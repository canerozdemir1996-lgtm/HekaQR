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Z:\HEKA\000_HEKATasarımlar\009_Üretim Tasarımları\QR KOD BARKOD\"/>
    </mc:Choice>
  </mc:AlternateContent>
  <xr:revisionPtr revIDLastSave="0" documentId="13_ncr:1_{EAB7CA3A-5C68-4C77-8440-98A9A93CBB37}" xr6:coauthVersionLast="47" xr6:coauthVersionMax="47" xr10:uidLastSave="{00000000-0000-0000-0000-000000000000}"/>
  <bookViews>
    <workbookView xWindow="-108" yWindow="-108" windowWidth="46296" windowHeight="25416" activeTab="1" xr2:uid="{DB6BB5ED-62CC-40CA-9E39-D09F2F8D60BB}"/>
  </bookViews>
  <sheets>
    <sheet name="EDİT" sheetId="2" r:id="rId1"/>
    <sheet name="BARTENDER" sheetId="1" r:id="rId2"/>
    <sheet name="DATA" sheetId="3" r:id="rId3"/>
    <sheet name="QR KONTROL" sheetId="5" r:id="rId4"/>
    <sheet name="Worksheet" sheetId="6" r:id="rId5"/>
  </sheets>
  <externalReferences>
    <externalReference r:id="rId6"/>
  </externalReferences>
  <definedNames>
    <definedName name="_xlnm._FilterDatabase" localSheetId="1" hidden="1">BARTENDER!$A$1:$D$3</definedName>
    <definedName name="_xlnm._FilterDatabase" localSheetId="2" hidden="1">DATA!$A$1:$A$2932</definedName>
    <definedName name="_xleta.CODE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2" i="1"/>
  <c r="C2" i="1"/>
  <c r="B2" i="1"/>
  <c r="B2" i="2"/>
  <c r="C2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A128" i="6"/>
  <c r="B128" i="6" s="1"/>
  <c r="A127" i="6"/>
  <c r="A126" i="6"/>
  <c r="A125" i="6"/>
  <c r="A124" i="6"/>
  <c r="B124" i="6" s="1"/>
  <c r="A123" i="6"/>
  <c r="B123" i="6" s="1"/>
  <c r="A122" i="6"/>
  <c r="A121" i="6"/>
  <c r="B121" i="6" s="1"/>
  <c r="A120" i="6"/>
  <c r="A119" i="6"/>
  <c r="A118" i="6"/>
  <c r="A117" i="6"/>
  <c r="B117" i="6" s="1"/>
  <c r="A116" i="6"/>
  <c r="A115" i="6"/>
  <c r="A114" i="6"/>
  <c r="B114" i="6" s="1"/>
  <c r="A113" i="6"/>
  <c r="B113" i="6" s="1"/>
  <c r="A112" i="6"/>
  <c r="A111" i="6"/>
  <c r="A110" i="6"/>
  <c r="A109" i="6"/>
  <c r="A108" i="6"/>
  <c r="B108" i="6" s="1"/>
  <c r="A107" i="6"/>
  <c r="A106" i="6"/>
  <c r="A105" i="6"/>
  <c r="A104" i="6"/>
  <c r="A103" i="6"/>
  <c r="A102" i="6"/>
  <c r="A101" i="6"/>
  <c r="B101" i="6" s="1"/>
  <c r="A100" i="6"/>
  <c r="A99" i="6"/>
  <c r="B99" i="6" s="1"/>
  <c r="A98" i="6"/>
  <c r="B98" i="6" s="1"/>
  <c r="A97" i="6"/>
  <c r="A96" i="6"/>
  <c r="A95" i="6"/>
  <c r="A94" i="6"/>
  <c r="A93" i="6"/>
  <c r="A92" i="6"/>
  <c r="A91" i="6"/>
  <c r="B91" i="6" s="1"/>
  <c r="A90" i="6"/>
  <c r="B90" i="6" s="1"/>
  <c r="A89" i="6"/>
  <c r="A88" i="6"/>
  <c r="B88" i="6" s="1"/>
  <c r="A87" i="6"/>
  <c r="A86" i="6"/>
  <c r="A85" i="6"/>
  <c r="A84" i="6"/>
  <c r="A83" i="6"/>
  <c r="A82" i="6"/>
  <c r="B82" i="6" s="1"/>
  <c r="A81" i="6"/>
  <c r="B81" i="6" s="1"/>
  <c r="A80" i="6"/>
  <c r="B80" i="6" s="1"/>
  <c r="A79" i="6"/>
  <c r="B79" i="6" s="1"/>
  <c r="A78" i="6"/>
  <c r="A77" i="6"/>
  <c r="B77" i="6" s="1"/>
  <c r="A76" i="6"/>
  <c r="A75" i="6"/>
  <c r="A74" i="6"/>
  <c r="B74" i="6" s="1"/>
  <c r="A73" i="6"/>
  <c r="B73" i="6" s="1"/>
  <c r="A72" i="6"/>
  <c r="B72" i="6" s="1"/>
  <c r="A71" i="6"/>
  <c r="B71" i="6" s="1"/>
  <c r="A70" i="6"/>
  <c r="B70" i="6" s="1"/>
  <c r="A69" i="6"/>
  <c r="B69" i="6" s="1"/>
  <c r="A68" i="6"/>
  <c r="B68" i="6" s="1"/>
  <c r="A67" i="6"/>
  <c r="A66" i="6"/>
  <c r="B66" i="6" s="1"/>
  <c r="A65" i="6"/>
  <c r="A64" i="6"/>
  <c r="A63" i="6"/>
  <c r="B63" i="6" s="1"/>
  <c r="A62" i="6"/>
  <c r="B62" i="6" s="1"/>
  <c r="A61" i="6"/>
  <c r="A60" i="6"/>
  <c r="B60" i="6" s="1"/>
  <c r="A59" i="6"/>
  <c r="B59" i="6" s="1"/>
  <c r="A58" i="6"/>
  <c r="A57" i="6"/>
  <c r="A56" i="6"/>
  <c r="A55" i="6"/>
  <c r="A54" i="6"/>
  <c r="A53" i="6"/>
  <c r="B53" i="6" s="1"/>
  <c r="A52" i="6"/>
  <c r="B52" i="6" s="1"/>
  <c r="A51" i="6"/>
  <c r="B51" i="6" s="1"/>
  <c r="A50" i="6"/>
  <c r="B50" i="6" s="1"/>
  <c r="A49" i="6"/>
  <c r="B49" i="6" s="1"/>
  <c r="A48" i="6"/>
  <c r="B48" i="6" s="1"/>
  <c r="A47" i="6"/>
  <c r="A46" i="6"/>
  <c r="A45" i="6"/>
  <c r="A44" i="6"/>
  <c r="A43" i="6"/>
  <c r="B43" i="6" s="1"/>
  <c r="A42" i="6"/>
  <c r="B42" i="6" s="1"/>
  <c r="A41" i="6"/>
  <c r="B41" i="6" s="1"/>
  <c r="A40" i="6"/>
  <c r="B40" i="6" s="1"/>
  <c r="A39" i="6"/>
  <c r="B39" i="6" s="1"/>
  <c r="A38" i="6"/>
  <c r="B38" i="6" s="1"/>
  <c r="A37" i="6"/>
  <c r="A36" i="6"/>
  <c r="B36" i="6" s="1"/>
  <c r="A35" i="6"/>
  <c r="B35" i="6" s="1"/>
  <c r="A34" i="6"/>
  <c r="B34" i="6" s="1"/>
  <c r="A33" i="6"/>
  <c r="B33" i="6" s="1"/>
  <c r="A32" i="6"/>
  <c r="B32" i="6" s="1"/>
  <c r="A31" i="6"/>
  <c r="B31" i="6" s="1"/>
  <c r="A30" i="6"/>
  <c r="B30" i="6" s="1"/>
  <c r="A29" i="6"/>
  <c r="B29" i="6" s="1"/>
  <c r="A28" i="6"/>
  <c r="B28" i="6" s="1"/>
  <c r="A27" i="6"/>
  <c r="A26" i="6"/>
  <c r="A25" i="6"/>
  <c r="B25" i="6" s="1"/>
  <c r="A24" i="6"/>
  <c r="A23" i="6"/>
  <c r="A22" i="6"/>
  <c r="A21" i="6"/>
  <c r="B21" i="6" s="1"/>
  <c r="A20" i="6"/>
  <c r="B20" i="6" s="1"/>
  <c r="A19" i="6"/>
  <c r="B19" i="6" s="1"/>
  <c r="A18" i="6"/>
  <c r="B18" i="6" s="1"/>
  <c r="A17" i="6"/>
  <c r="A16" i="6"/>
  <c r="B16" i="6" s="1"/>
  <c r="A15" i="6"/>
  <c r="A14" i="6"/>
  <c r="A13" i="6"/>
  <c r="B13" i="6" s="1"/>
  <c r="A12" i="6"/>
  <c r="B12" i="6" s="1"/>
  <c r="A11" i="6"/>
  <c r="B11" i="6" s="1"/>
  <c r="A10" i="6"/>
  <c r="B10" i="6" s="1"/>
  <c r="A9" i="6"/>
  <c r="B9" i="6" s="1"/>
  <c r="A8" i="6"/>
  <c r="B8" i="6" s="1"/>
  <c r="A7" i="6"/>
  <c r="A6" i="6"/>
  <c r="A5" i="6"/>
  <c r="B5" i="6" s="1"/>
  <c r="A4" i="6"/>
  <c r="B4" i="6" s="1"/>
  <c r="A3" i="6"/>
  <c r="B3" i="6" s="1"/>
  <c r="B2" i="5"/>
  <c r="B3" i="5"/>
  <c r="B4" i="5"/>
  <c r="B7" i="5"/>
  <c r="B9" i="5"/>
  <c r="B11" i="5"/>
  <c r="B14" i="5"/>
  <c r="B15" i="5"/>
  <c r="B16" i="5"/>
  <c r="B18" i="5"/>
  <c r="B22" i="5"/>
  <c r="B26" i="5"/>
  <c r="B29" i="5"/>
  <c r="C37" i="5"/>
  <c r="D37" i="5" s="1"/>
  <c r="B38" i="5"/>
  <c r="B46" i="5"/>
  <c r="B50" i="5"/>
  <c r="C58" i="5"/>
  <c r="D58" i="5" s="1"/>
  <c r="B58" i="5"/>
  <c r="C60" i="5"/>
  <c r="D60" i="5" s="1"/>
  <c r="B58" i="6"/>
  <c r="B63" i="5"/>
  <c r="B64" i="5"/>
  <c r="B65" i="5"/>
  <c r="C67" i="5"/>
  <c r="D67" i="5" s="1"/>
  <c r="B68" i="5"/>
  <c r="B69" i="5"/>
  <c r="B70" i="5"/>
  <c r="B78" i="6"/>
  <c r="C88" i="5"/>
  <c r="D88" i="5" s="1"/>
  <c r="C91" i="5"/>
  <c r="D91" i="5" s="1"/>
  <c r="B93" i="5"/>
  <c r="B94" i="5"/>
  <c r="C99" i="5"/>
  <c r="D99" i="5" s="1"/>
  <c r="C100" i="5"/>
  <c r="D100" i="5" s="1"/>
  <c r="C101" i="5"/>
  <c r="D101" i="5" s="1"/>
  <c r="C107" i="5"/>
  <c r="D107" i="5" s="1"/>
  <c r="B107" i="5"/>
  <c r="B104" i="6"/>
  <c r="B106" i="6"/>
  <c r="B114" i="5"/>
  <c r="B117" i="5"/>
  <c r="B118" i="5"/>
  <c r="B119" i="5"/>
  <c r="C120" i="5"/>
  <c r="D120" i="5" s="1"/>
  <c r="B120" i="5"/>
  <c r="B121" i="5"/>
  <c r="B126" i="5"/>
  <c r="C127" i="5"/>
  <c r="D127" i="5" s="1"/>
  <c r="C129" i="5"/>
  <c r="D129" i="5" s="1"/>
  <c r="C131" i="5"/>
  <c r="D131" i="5" s="1"/>
  <c r="C132" i="5"/>
  <c r="D132" i="5" s="1"/>
  <c r="C134" i="5"/>
  <c r="D134" i="5" s="1"/>
  <c r="B6" i="6"/>
  <c r="B7" i="6"/>
  <c r="B14" i="6"/>
  <c r="B15" i="6"/>
  <c r="B17" i="6"/>
  <c r="B22" i="6"/>
  <c r="B23" i="6"/>
  <c r="B24" i="6"/>
  <c r="B26" i="6"/>
  <c r="B27" i="6"/>
  <c r="B44" i="6"/>
  <c r="B45" i="6"/>
  <c r="B47" i="6"/>
  <c r="B55" i="6"/>
  <c r="B57" i="6"/>
  <c r="B61" i="6"/>
  <c r="B67" i="6"/>
  <c r="B83" i="6"/>
  <c r="B84" i="6"/>
  <c r="B87" i="6"/>
  <c r="B96" i="6"/>
  <c r="B97" i="6"/>
  <c r="B100" i="6"/>
  <c r="B116" i="6"/>
  <c r="B118" i="6"/>
  <c r="B126" i="6"/>
  <c r="B86" i="6"/>
  <c r="C11" i="5"/>
  <c r="D11" i="5" s="1"/>
  <c r="B20" i="5"/>
  <c r="C31" i="5"/>
  <c r="D31" i="5" s="1"/>
  <c r="C38" i="5"/>
  <c r="D38" i="5" s="1"/>
  <c r="C41" i="5"/>
  <c r="D41" i="5" s="1"/>
  <c r="C75" i="5"/>
  <c r="D75" i="5" s="1"/>
  <c r="C102" i="5"/>
  <c r="D102" i="5" s="1"/>
  <c r="C103" i="5"/>
  <c r="D103" i="5" s="1"/>
  <c r="C110" i="5"/>
  <c r="D110" i="5" s="1"/>
  <c r="C114" i="5"/>
  <c r="D114" i="5" s="1"/>
  <c r="C115" i="5"/>
  <c r="D115" i="5" s="1"/>
  <c r="C126" i="5"/>
  <c r="D126" i="5" s="1"/>
  <c r="C5" i="5"/>
  <c r="D5" i="5" s="1"/>
  <c r="A14" i="5"/>
  <c r="C14" i="5"/>
  <c r="D14" i="5" s="1"/>
  <c r="A15" i="5"/>
  <c r="C15" i="5"/>
  <c r="D15" i="5" s="1"/>
  <c r="A16" i="5"/>
  <c r="C16" i="5"/>
  <c r="D16" i="5" s="1"/>
  <c r="A17" i="5"/>
  <c r="C17" i="5"/>
  <c r="D17" i="5" s="1"/>
  <c r="A18" i="5"/>
  <c r="C18" i="5"/>
  <c r="D18" i="5" s="1"/>
  <c r="A19" i="5"/>
  <c r="C19" i="5"/>
  <c r="D19" i="5" s="1"/>
  <c r="A20" i="5"/>
  <c r="C20" i="5"/>
  <c r="D20" i="5" s="1"/>
  <c r="A21" i="5"/>
  <c r="C21" i="5"/>
  <c r="D21" i="5" s="1"/>
  <c r="A22" i="5"/>
  <c r="C22" i="5"/>
  <c r="D22" i="5" s="1"/>
  <c r="A23" i="5"/>
  <c r="C23" i="5"/>
  <c r="D23" i="5" s="1"/>
  <c r="A24" i="5"/>
  <c r="C24" i="5"/>
  <c r="D24" i="5" s="1"/>
  <c r="A25" i="5"/>
  <c r="C25" i="5"/>
  <c r="D25" i="5" s="1"/>
  <c r="A26" i="5"/>
  <c r="C26" i="5"/>
  <c r="D26" i="5" s="1"/>
  <c r="A27" i="5"/>
  <c r="C27" i="5"/>
  <c r="D27" i="5" s="1"/>
  <c r="A28" i="5"/>
  <c r="C28" i="5"/>
  <c r="D28" i="5" s="1"/>
  <c r="A29" i="5"/>
  <c r="C29" i="5"/>
  <c r="D29" i="5" s="1"/>
  <c r="A30" i="5"/>
  <c r="C30" i="5"/>
  <c r="D30" i="5" s="1"/>
  <c r="A31" i="5"/>
  <c r="A32" i="5"/>
  <c r="C32" i="5"/>
  <c r="D32" i="5" s="1"/>
  <c r="A33" i="5"/>
  <c r="C33" i="5"/>
  <c r="D33" i="5" s="1"/>
  <c r="A34" i="5"/>
  <c r="C34" i="5"/>
  <c r="D34" i="5" s="1"/>
  <c r="A35" i="5"/>
  <c r="C35" i="5"/>
  <c r="D35" i="5" s="1"/>
  <c r="A36" i="5"/>
  <c r="C36" i="5"/>
  <c r="D36" i="5" s="1"/>
  <c r="A37" i="5"/>
  <c r="A38" i="5"/>
  <c r="A39" i="5"/>
  <c r="C39" i="5"/>
  <c r="D39" i="5" s="1"/>
  <c r="A40" i="5"/>
  <c r="C40" i="5"/>
  <c r="D40" i="5" s="1"/>
  <c r="A41" i="5"/>
  <c r="A42" i="5"/>
  <c r="B42" i="5"/>
  <c r="C42" i="5"/>
  <c r="D42" i="5" s="1"/>
  <c r="A43" i="5"/>
  <c r="C43" i="5"/>
  <c r="D43" i="5" s="1"/>
  <c r="A44" i="5"/>
  <c r="C44" i="5"/>
  <c r="D44" i="5" s="1"/>
  <c r="A45" i="5"/>
  <c r="C45" i="5"/>
  <c r="D45" i="5" s="1"/>
  <c r="A46" i="5"/>
  <c r="A47" i="5"/>
  <c r="C47" i="5"/>
  <c r="D47" i="5" s="1"/>
  <c r="A48" i="5"/>
  <c r="A49" i="5"/>
  <c r="C49" i="5"/>
  <c r="D49" i="5" s="1"/>
  <c r="A50" i="5"/>
  <c r="A51" i="5"/>
  <c r="A52" i="5"/>
  <c r="C52" i="5"/>
  <c r="D52" i="5" s="1"/>
  <c r="A53" i="5"/>
  <c r="C53" i="5"/>
  <c r="D53" i="5" s="1"/>
  <c r="A54" i="5"/>
  <c r="C54" i="5"/>
  <c r="D54" i="5" s="1"/>
  <c r="A55" i="5"/>
  <c r="C55" i="5"/>
  <c r="D55" i="5" s="1"/>
  <c r="A56" i="5"/>
  <c r="A57" i="5"/>
  <c r="C57" i="5"/>
  <c r="D57" i="5" s="1"/>
  <c r="A58" i="5"/>
  <c r="A59" i="5"/>
  <c r="C59" i="5"/>
  <c r="D59" i="5" s="1"/>
  <c r="A60" i="5"/>
  <c r="A61" i="5"/>
  <c r="C61" i="5"/>
  <c r="D61" i="5" s="1"/>
  <c r="A62" i="5"/>
  <c r="C62" i="5"/>
  <c r="D62" i="5" s="1"/>
  <c r="A63" i="5"/>
  <c r="C63" i="5"/>
  <c r="D63" i="5" s="1"/>
  <c r="A64" i="5"/>
  <c r="C64" i="5"/>
  <c r="D64" i="5" s="1"/>
  <c r="A65" i="5"/>
  <c r="C65" i="5"/>
  <c r="D65" i="5" s="1"/>
  <c r="A66" i="5"/>
  <c r="A67" i="5"/>
  <c r="A68" i="5"/>
  <c r="A69" i="5"/>
  <c r="A70" i="5"/>
  <c r="C70" i="5"/>
  <c r="D70" i="5" s="1"/>
  <c r="A71" i="5"/>
  <c r="C71" i="5"/>
  <c r="D71" i="5" s="1"/>
  <c r="A72" i="5"/>
  <c r="C72" i="5"/>
  <c r="D72" i="5" s="1"/>
  <c r="A73" i="5"/>
  <c r="C73" i="5"/>
  <c r="D73" i="5" s="1"/>
  <c r="A74" i="5"/>
  <c r="C74" i="5"/>
  <c r="D74" i="5" s="1"/>
  <c r="A75" i="5"/>
  <c r="A76" i="5"/>
  <c r="A77" i="5"/>
  <c r="A78" i="5"/>
  <c r="A79" i="5"/>
  <c r="A80" i="5"/>
  <c r="C80" i="5"/>
  <c r="D80" i="5" s="1"/>
  <c r="A81" i="5"/>
  <c r="A82" i="5"/>
  <c r="C82" i="5"/>
  <c r="D82" i="5" s="1"/>
  <c r="A83" i="5"/>
  <c r="A84" i="5"/>
  <c r="C84" i="5"/>
  <c r="D84" i="5" s="1"/>
  <c r="A85" i="5"/>
  <c r="C85" i="5"/>
  <c r="D85" i="5" s="1"/>
  <c r="A86" i="5"/>
  <c r="A87" i="5"/>
  <c r="C87" i="5"/>
  <c r="D87" i="5" s="1"/>
  <c r="A88" i="5"/>
  <c r="A89" i="5"/>
  <c r="C89" i="5"/>
  <c r="D89" i="5" s="1"/>
  <c r="A90" i="5"/>
  <c r="C90" i="5"/>
  <c r="D90" i="5" s="1"/>
  <c r="A91" i="5"/>
  <c r="A92" i="5"/>
  <c r="C92" i="5"/>
  <c r="D92" i="5" s="1"/>
  <c r="A93" i="5"/>
  <c r="C93" i="5"/>
  <c r="D93" i="5" s="1"/>
  <c r="A94" i="5"/>
  <c r="C94" i="5"/>
  <c r="D94" i="5" s="1"/>
  <c r="A95" i="5"/>
  <c r="C95" i="5"/>
  <c r="D95" i="5" s="1"/>
  <c r="A96" i="5"/>
  <c r="A97" i="5"/>
  <c r="A98" i="5"/>
  <c r="C98" i="5"/>
  <c r="D98" i="5" s="1"/>
  <c r="A99" i="5"/>
  <c r="A100" i="5"/>
  <c r="A101" i="5"/>
  <c r="A102" i="5"/>
  <c r="A103" i="5"/>
  <c r="A104" i="5"/>
  <c r="C104" i="5"/>
  <c r="D104" i="5" s="1"/>
  <c r="A105" i="5"/>
  <c r="C105" i="5"/>
  <c r="D105" i="5" s="1"/>
  <c r="A106" i="5"/>
  <c r="A107" i="5"/>
  <c r="A108" i="5"/>
  <c r="A109" i="5"/>
  <c r="C109" i="5"/>
  <c r="D109" i="5" s="1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C122" i="5"/>
  <c r="D122" i="5" s="1"/>
  <c r="A123" i="5"/>
  <c r="C123" i="5"/>
  <c r="D123" i="5" s="1"/>
  <c r="A124" i="5"/>
  <c r="C124" i="5"/>
  <c r="D124" i="5" s="1"/>
  <c r="A125" i="5"/>
  <c r="A126" i="5"/>
  <c r="A127" i="5"/>
  <c r="A128" i="5"/>
  <c r="A129" i="5"/>
  <c r="A130" i="5"/>
  <c r="C130" i="5"/>
  <c r="D130" i="5" s="1"/>
  <c r="A131" i="5"/>
  <c r="A132" i="5"/>
  <c r="A133" i="5"/>
  <c r="C133" i="5"/>
  <c r="D133" i="5" s="1"/>
  <c r="A134" i="5"/>
  <c r="A135" i="5"/>
  <c r="C135" i="5"/>
  <c r="D135" i="5" s="1"/>
  <c r="A136" i="5"/>
  <c r="A2" i="5"/>
  <c r="C2" i="5"/>
  <c r="D2" i="5" s="1"/>
  <c r="A3" i="5"/>
  <c r="C3" i="5"/>
  <c r="D3" i="5" s="1"/>
  <c r="A4" i="5"/>
  <c r="C4" i="5"/>
  <c r="D4" i="5" s="1"/>
  <c r="A5" i="5"/>
  <c r="A6" i="5"/>
  <c r="C6" i="5"/>
  <c r="D6" i="5" s="1"/>
  <c r="A7" i="5"/>
  <c r="C7" i="5"/>
  <c r="D7" i="5" s="1"/>
  <c r="A8" i="5"/>
  <c r="C8" i="5"/>
  <c r="D8" i="5" s="1"/>
  <c r="A9" i="5"/>
  <c r="C9" i="5"/>
  <c r="D9" i="5" s="1"/>
  <c r="A10" i="5"/>
  <c r="C10" i="5"/>
  <c r="D10" i="5" s="1"/>
  <c r="A11" i="5"/>
  <c r="A12" i="5"/>
  <c r="C12" i="5"/>
  <c r="D12" i="5" s="1"/>
  <c r="A13" i="5"/>
  <c r="C13" i="5"/>
  <c r="D13" i="5" s="1"/>
  <c r="A1" i="5"/>
  <c r="B5" i="5"/>
  <c r="B23" i="5"/>
  <c r="B39" i="5"/>
  <c r="C1" i="2"/>
  <c r="B1" i="5" s="1"/>
  <c r="B25" i="5" l="1"/>
  <c r="B10" i="5"/>
  <c r="B8" i="5"/>
  <c r="B19" i="5"/>
  <c r="B52" i="5"/>
  <c r="B27" i="5"/>
  <c r="B24" i="5"/>
  <c r="B17" i="5"/>
  <c r="B67" i="5"/>
  <c r="B57" i="5"/>
  <c r="B113" i="5"/>
  <c r="B115" i="6"/>
  <c r="B107" i="6"/>
  <c r="B89" i="6"/>
  <c r="B76" i="6"/>
  <c r="B56" i="6"/>
  <c r="B110" i="6"/>
  <c r="B127" i="6"/>
  <c r="B109" i="6"/>
  <c r="B102" i="6"/>
  <c r="B92" i="6"/>
  <c r="B54" i="6"/>
  <c r="B122" i="6"/>
  <c r="B95" i="6"/>
  <c r="B51" i="5"/>
  <c r="B45" i="5"/>
  <c r="C97" i="5"/>
  <c r="D97" i="5" s="1"/>
  <c r="C112" i="5"/>
  <c r="D112" i="5" s="1"/>
  <c r="B48" i="5"/>
  <c r="B64" i="6"/>
  <c r="B120" i="6"/>
  <c r="C81" i="5"/>
  <c r="D81" i="5" s="1"/>
  <c r="B112" i="6"/>
  <c r="B21" i="5"/>
  <c r="C69" i="5"/>
  <c r="D69" i="5" s="1"/>
  <c r="B105" i="6"/>
  <c r="B37" i="6"/>
  <c r="C121" i="5"/>
  <c r="D121" i="5" s="1"/>
  <c r="C79" i="5"/>
  <c r="D79" i="5" s="1"/>
  <c r="B78" i="5"/>
  <c r="C119" i="5"/>
  <c r="D119" i="5" s="1"/>
  <c r="C77" i="5"/>
  <c r="D77" i="5" s="1"/>
  <c r="B66" i="5"/>
  <c r="C68" i="5"/>
  <c r="D68" i="5" s="1"/>
  <c r="B46" i="6"/>
  <c r="B125" i="6"/>
  <c r="B85" i="6"/>
  <c r="B65" i="6"/>
  <c r="B119" i="6"/>
  <c r="C48" i="5"/>
  <c r="D48" i="5" s="1"/>
  <c r="B75" i="6"/>
  <c r="B103" i="6"/>
  <c r="B94" i="6"/>
  <c r="B93" i="6"/>
  <c r="C78" i="5"/>
  <c r="D78" i="5" s="1"/>
  <c r="B111" i="6"/>
  <c r="C117" i="5"/>
  <c r="D117" i="5" s="1"/>
  <c r="C86" i="5"/>
  <c r="D86" i="5" s="1"/>
  <c r="C106" i="5"/>
  <c r="D106" i="5" s="1"/>
  <c r="C76" i="5"/>
  <c r="D76" i="5" s="1"/>
  <c r="C66" i="5"/>
  <c r="D66" i="5" s="1"/>
  <c r="C56" i="5"/>
  <c r="D56" i="5" s="1"/>
  <c r="B134" i="5"/>
  <c r="C46" i="5"/>
  <c r="D46" i="5" s="1"/>
  <c r="C96" i="5"/>
  <c r="D96" i="5" s="1"/>
  <c r="B112" i="5"/>
  <c r="C83" i="5"/>
  <c r="D83" i="5" s="1"/>
  <c r="B105" i="5"/>
  <c r="C136" i="5"/>
  <c r="D136" i="5" s="1"/>
  <c r="C125" i="5"/>
  <c r="D125" i="5" s="1"/>
  <c r="C113" i="5"/>
  <c r="D113" i="5" s="1"/>
  <c r="B72" i="5"/>
  <c r="B61" i="5"/>
  <c r="C118" i="5"/>
  <c r="D118" i="5" s="1"/>
  <c r="B108" i="5"/>
  <c r="C108" i="5"/>
  <c r="D108" i="5" s="1"/>
  <c r="B106" i="5"/>
  <c r="C116" i="5"/>
  <c r="D116" i="5" s="1"/>
  <c r="B90" i="5"/>
  <c r="B136" i="5"/>
  <c r="B60" i="5"/>
  <c r="B101" i="5"/>
  <c r="B130" i="5"/>
  <c r="B88" i="5"/>
  <c r="B100" i="5"/>
  <c r="B125" i="5"/>
  <c r="B81" i="5"/>
  <c r="B87" i="5"/>
  <c r="C51" i="5"/>
  <c r="D51" i="5" s="1"/>
  <c r="C111" i="5"/>
  <c r="D111" i="5" s="1"/>
  <c r="C50" i="5"/>
  <c r="D50" i="5" s="1"/>
  <c r="B124" i="5"/>
  <c r="C128" i="5"/>
  <c r="D128" i="5" s="1"/>
  <c r="B12" i="5"/>
  <c r="B6" i="5"/>
  <c r="B135" i="5"/>
  <c r="B129" i="5"/>
  <c r="B111" i="5"/>
  <c r="B99" i="5"/>
  <c r="B86" i="5"/>
  <c r="B62" i="5"/>
  <c r="B56" i="5"/>
  <c r="B123" i="5"/>
  <c r="B74" i="5"/>
  <c r="B44" i="5"/>
  <c r="B116" i="5"/>
  <c r="B104" i="5"/>
  <c r="B92" i="5"/>
  <c r="B80" i="5"/>
  <c r="B31" i="5"/>
  <c r="B128" i="5"/>
  <c r="B110" i="5"/>
  <c r="B98" i="5"/>
  <c r="B85" i="5"/>
  <c r="B122" i="5"/>
  <c r="B55" i="5"/>
  <c r="B49" i="5"/>
  <c r="B37" i="5"/>
  <c r="B91" i="5"/>
  <c r="B79" i="5"/>
  <c r="B73" i="5"/>
  <c r="B43" i="5"/>
  <c r="B30" i="5"/>
  <c r="B133" i="5"/>
  <c r="B127" i="5"/>
  <c r="B115" i="5"/>
  <c r="B109" i="5"/>
  <c r="B103" i="5"/>
  <c r="B84" i="5"/>
  <c r="B97" i="5"/>
  <c r="B54" i="5"/>
  <c r="B36" i="5"/>
  <c r="B132" i="5"/>
  <c r="B59" i="5"/>
  <c r="B102" i="5"/>
  <c r="B96" i="5"/>
  <c r="B83" i="5"/>
  <c r="B35" i="5"/>
  <c r="B89" i="5"/>
  <c r="B77" i="5"/>
  <c r="B71" i="5"/>
  <c r="B53" i="5"/>
  <c r="B47" i="5"/>
  <c r="B41" i="5"/>
  <c r="B28" i="5"/>
  <c r="B131" i="5"/>
  <c r="B95" i="5"/>
  <c r="B34" i="5"/>
  <c r="B82" i="5"/>
  <c r="B76" i="5"/>
  <c r="B40" i="5"/>
  <c r="B13" i="5"/>
  <c r="B33" i="5"/>
  <c r="B75" i="5"/>
  <c r="B32" i="5"/>
  <c r="B1" i="2"/>
  <c r="A2" i="6" s="1"/>
  <c r="C1" i="5" l="1"/>
  <c r="D1" i="5" s="1"/>
  <c r="B2" i="6"/>
</calcChain>
</file>

<file path=xl/sharedStrings.xml><?xml version="1.0" encoding="utf-8"?>
<sst xmlns="http://schemas.openxmlformats.org/spreadsheetml/2006/main" count="6777" uniqueCount="5325">
  <si>
    <t>SKU</t>
  </si>
  <si>
    <t>QR DOSYA ADI</t>
  </si>
  <si>
    <t>ÜRÜN ADI</t>
  </si>
  <si>
    <t>H1F6JMEWRBR-185</t>
  </si>
  <si>
    <t>skyli̇ne-tekli̇-turuncu-cam-sarkit-medium</t>
  </si>
  <si>
    <t>SKYLİNE TEKLİ TURUNCU CAM SARKIT - MEDIUM</t>
  </si>
  <si>
    <t>AYDINLATMACIYIZ</t>
  </si>
  <si>
    <t>Variant SKU</t>
  </si>
  <si>
    <t>KANAL</t>
  </si>
  <si>
    <t>Handle</t>
  </si>
  <si>
    <t>Title</t>
  </si>
  <si>
    <t>Image Src</t>
  </si>
  <si>
    <t>CF2F1C1M2E3M0</t>
  </si>
  <si>
    <t>AYDN</t>
  </si>
  <si>
    <t>heka-led-e27-st64-ampul-6w-2500k-gun-isigi-erd-82</t>
  </si>
  <si>
    <t>Heka Led E27 St64 Ampul 6W 2500K (Gün Işığı) ERD-81</t>
  </si>
  <si>
    <t>https://cdn.shopify.com/s/files/1/0914/5896/1709/files/heka-led-e27-st64-ampul-6w-2500k-gun-isigi-erd-81-6704_d1f49306-5056-4783-8087-21f0106c9d90.jpg?v=1754746522</t>
  </si>
  <si>
    <t>H1C6JMPJMG0-023</t>
  </si>
  <si>
    <t>kutan-tekli-platin-altin-led-sarkit-avize</t>
  </si>
  <si>
    <t>Kutan Tekli Platin Altın LED Sarkıt Avize</t>
  </si>
  <si>
    <t>https://cdn.shopify.com/s/files/1/0914/5896/1709/files/H1C6JMPJMG0.023_1.jpg?v=1753356046</t>
  </si>
  <si>
    <t>H1C6JMPJMG0-016</t>
  </si>
  <si>
    <t>erebos-altin-led-sarkit-avize</t>
  </si>
  <si>
    <t>Erebos Altın LED Sarkıt Avize</t>
  </si>
  <si>
    <t>https://cdn.shopify.com/s/files/1/0914/5896/1709/files/erebos-led-sarkit-7200.jpg?v=1751452695</t>
  </si>
  <si>
    <t>T1C6JMELTB0-070</t>
  </si>
  <si>
    <t>sabran-pleksi̇-boncuk-sarkit-70cm</t>
  </si>
  <si>
    <t>Şabran Pleksi Boncuk Sarkıt Avize 70 cm</t>
  </si>
  <si>
    <t>https://cdn.shopify.com/s/files/1/0914/5896/1709/files/sabran-pleksi-boncuk-sarkit-70cm-7252.jpg?v=1751452316</t>
  </si>
  <si>
    <t>T1C6JMELTB0-060</t>
  </si>
  <si>
    <t>sabran-pleksi-boncuk-sarkit-avize-60-cm</t>
  </si>
  <si>
    <t>Şabran Pleksi Boncuk Sarkıt Avize 60 cm</t>
  </si>
  <si>
    <t>T1C6JMELTB0-050</t>
  </si>
  <si>
    <t>sabran-pleksi̇-boncuk-sarkit-50cm</t>
  </si>
  <si>
    <t>Şabran Pleksi Boncuk Sarkıt Avize 50 cm</t>
  </si>
  <si>
    <t>https://cdn.shopify.com/s/files/1/0914/5896/1709/files/sabran-pleksi-boncuk-sarkit-50cm-7250.jpg?v=1751452007</t>
  </si>
  <si>
    <t>H1C2WRSJMER-016</t>
  </si>
  <si>
    <t>ravanda-siyah-mermer-sarkit-avize-16-cm</t>
  </si>
  <si>
    <t>Ravanda Siyah Mermer Sarkıt Avize 16 cm</t>
  </si>
  <si>
    <t>https://cdn.shopify.com/s/files/1/0914/5896/1709/files/ravanda-siyah-mermer-sarkit-16cm-7249.jpg?v=1751451816</t>
  </si>
  <si>
    <t>H1C2JMBERF0-027</t>
  </si>
  <si>
    <t>bulut-tekli̇-cam-bakir-sarkit</t>
  </si>
  <si>
    <t>Bulut Tekli Cam Sarkıt Bakır Avize</t>
  </si>
  <si>
    <t>https://cdn.shopify.com/s/files/1/0914/5896/1709/files/bulut-tekli-cam-bakir-sarkit-7248.jpg?v=1751451625</t>
  </si>
  <si>
    <t>H1C2JMKERF0-027</t>
  </si>
  <si>
    <t>bulut-tekli-cam-sarkit-krom-avize</t>
  </si>
  <si>
    <t>Bulut Tekli Cam Sarkıt Krom Avize</t>
  </si>
  <si>
    <t>https://cdn.shopify.com/s/files/1/0914/5896/1709/files/bulut-tekli-cam-krom-sarkit-7247.jpg?v=1751451417</t>
  </si>
  <si>
    <t>T1C2EMBJRS0-032</t>
  </si>
  <si>
    <t>antares-dovmeli-bakir-cam-sarkit-avize</t>
  </si>
  <si>
    <t>Antares Dövmeli Bakır Cam Sarkıt Avize</t>
  </si>
  <si>
    <t>https://cdn.shopify.com/s/files/1/0914/5896/1709/files/T1C2EMBJRS0-032.jpg?v=1751451141</t>
  </si>
  <si>
    <t>H1C6JRSJRB0-010</t>
  </si>
  <si>
    <t>aybar-tekli-led-sarkit-avize-10-cm</t>
  </si>
  <si>
    <t>Aybar Tekli LED Sarkıt Avize 10 cm</t>
  </si>
  <si>
    <t>https://cdn.shopify.com/s/files/1/0914/5896/1709/files/aybar-tekli-led-sarkit-avize-10-cm-7244.jpg?v=1751447117</t>
  </si>
  <si>
    <t>H1C6JMGJMP0-023</t>
  </si>
  <si>
    <t>kutan-tekli-sarkit</t>
  </si>
  <si>
    <t>Kutan Tekli Altın Platin LED Sarkıt Avize</t>
  </si>
  <si>
    <t>https://cdn.shopify.com/s/files/1/0914/5896/1709/files/kutan-tekli-sarkit-7242.jpg?v=1751446676</t>
  </si>
  <si>
    <t>H1C6JMGJMP0-013</t>
  </si>
  <si>
    <t>yaldiz-tekli-altin-platin-led-sarkit-avize</t>
  </si>
  <si>
    <t>Yaldız Tekli Altın Platin LED Sarkıt Avize</t>
  </si>
  <si>
    <t>https://cdn.shopify.com/s/files/1/0914/5896/1709/files/yaldiz-tekli-sarkit-7240.jpg?v=1751446435</t>
  </si>
  <si>
    <t>H1C2JMEECS0-030</t>
  </si>
  <si>
    <t>lange-seffaf-cam-eski̇tme-e27-sarkit-30cm</t>
  </si>
  <si>
    <t>Lange Şeffaf Cam Eskitme E27 Sarkıt Avize 30 cm</t>
  </si>
  <si>
    <t>https://cdn.shopify.com/s/files/1/0914/5896/1709/files/lange-seffaf-cam-eskitme-e27-sarkit-30cm-7237.jpg?v=1751445864</t>
  </si>
  <si>
    <t>H1C2JMEECS0-025</t>
  </si>
  <si>
    <t>lange-seffaf-cam-eskitme-e27-sarkit-avize-25-cm</t>
  </si>
  <si>
    <t>Lange Şeffaf Cam Eskitme E27 Sarkıt Avize 25 cm</t>
  </si>
  <si>
    <t>https://cdn.shopify.com/s/files/1/0914/5896/1709/files/H1C2JMEECS0-025.jpg?v=1751453095</t>
  </si>
  <si>
    <t>H1C2JMEECS0-020</t>
  </si>
  <si>
    <t>lange-seffaf-cam-eski̇tme-e27-sarkit-20cm</t>
  </si>
  <si>
    <t>Lange Şeffaf Cam Eskitme E14 Sarkıt Avize 20 cm</t>
  </si>
  <si>
    <t>https://cdn.shopify.com/s/files/1/0914/5896/1709/files/lange-seffaf-cam-eskitme-e27-sarkit-20cm-7230.jpg?v=1751445423</t>
  </si>
  <si>
    <t>H1C2JMEERL0-030</t>
  </si>
  <si>
    <t>lange-bal-cam-eskitme-sarkit-avize-30-cm</t>
  </si>
  <si>
    <t>Lange Bal Cam Eskitme Sarkıt Avize 30 cm</t>
  </si>
  <si>
    <t>https://cdn.shopify.com/s/files/1/0914/5896/1709/files/lange-bal-cam-eskitme-sarkit-avize-30-cm-7226.jpg?v=1751445132</t>
  </si>
  <si>
    <t>H1C2JMEERL0-025</t>
  </si>
  <si>
    <t>lange-bal-cam-eskitme-sarkit-avize-25-cm</t>
  </si>
  <si>
    <t>Lange Bal Cam Eskitme Sarkıt Avize 25 cm</t>
  </si>
  <si>
    <t>https://cdn.shopify.com/s/files/1/0914/5896/1709/files/lange-balcam-eskitme-e27-sarkit-25cm-7223.jpg?v=1751444099</t>
  </si>
  <si>
    <t>H1C2JMEERL0-020</t>
  </si>
  <si>
    <t>lange-bal-cam-eskitme-sarkit-avize-20-cm</t>
  </si>
  <si>
    <t>Lange Bal Cam Eskitme Sarkıt Avize 20 cm</t>
  </si>
  <si>
    <t>https://cdn.shopify.com/s/files/1/0914/5896/1709/files/lange-bal-cam-eskitme-e27-sarkit-20cm-7219.jpg?v=1751443968</t>
  </si>
  <si>
    <t>H1C2JMEECB0-035</t>
  </si>
  <si>
    <t>harry-buzlu-cam-eskitme-sarkit-avize-35-cm</t>
  </si>
  <si>
    <t>Harry Buzlu Cam Eskitme Sarkıt Avize 35 cm</t>
  </si>
  <si>
    <t>https://cdn.shopify.com/s/files/1/0914/5896/1709/files/harry-buzlu-cam-eskitme-sarkit-7217.jpg?v=1751443780</t>
  </si>
  <si>
    <t>T1C2ERLJRS0-025</t>
  </si>
  <si>
    <t>tabit-tekli-bal-cam-avize</t>
  </si>
  <si>
    <t>Tabıt Tekli Bal Cam Avize</t>
  </si>
  <si>
    <t>https://cdn.shopify.com/s/files/1/0914/5896/1709/files/tabit-tekli-bal-cam-avize-7216.jpg?v=1751365231</t>
  </si>
  <si>
    <t>T1C2ERLJRS0-027</t>
  </si>
  <si>
    <t>subra-tekli-bal-cam-avize</t>
  </si>
  <si>
    <t>Subra Tekli Bal Cam Avize</t>
  </si>
  <si>
    <t>https://cdn.shopify.com/s/files/1/0914/5896/1709/files/subra-tekli-bal-cam-avize-7215.jpg?v=1751364878</t>
  </si>
  <si>
    <t>T1C2ERFJRS0-040</t>
  </si>
  <si>
    <t>castor-tekli-fume-cam-avize</t>
  </si>
  <si>
    <t>Castor Tekli Füme Cam Avize</t>
  </si>
  <si>
    <t>https://cdn.shopify.com/s/files/1/0914/5896/1709/files/castor-tekli-fume-cam-avize-7214.jpg?v=1751364792</t>
  </si>
  <si>
    <t>T1C2ERLJRS0-040</t>
  </si>
  <si>
    <t>castor-tekli-bal-cam-avize</t>
  </si>
  <si>
    <t>Castor Tekli Bal Cam Avize</t>
  </si>
  <si>
    <t>https://cdn.shopify.com/s/files/1/0914/5896/1709/files/castor-tekli-bal-cam-avize-5962.jpg?v=1751364709</t>
  </si>
  <si>
    <t>T1C6JMELRBR-055</t>
  </si>
  <si>
    <t>culfa-eskitme-yatay-led-sarkit-avize-55-cm</t>
  </si>
  <si>
    <t>Culfa Eskitme Yatay LED Sarkıt Avize 55 cm</t>
  </si>
  <si>
    <t>https://cdn.shopify.com/s/files/1/0914/5896/1709/files/culfa-eskitme-led-sarkit-55cm-7213.jpg?v=1751364607</t>
  </si>
  <si>
    <t>H1C6BRZJRBE-060</t>
  </si>
  <si>
    <t>eflatun-akrilik-sarkit-avize-60-cm</t>
  </si>
  <si>
    <t>Eflatun Akrilik Sarkıt Avize 60 cm</t>
  </si>
  <si>
    <t>https://cdn.shopify.com/s/files/1/0914/5896/1709/files/eflatun-akrilik-sarkit-60cm-7206.jpg?v=1751361996</t>
  </si>
  <si>
    <t>H1C6BRZJRBE-040</t>
  </si>
  <si>
    <t>eflatun-akri̇li̇k-sarkit-40cm</t>
  </si>
  <si>
    <t>Eflatun Akrilik Sarkıt Avize 40 cm</t>
  </si>
  <si>
    <t>https://cdn.shopify.com/s/files/1/0914/5896/1709/files/eflatun-akrilik-sarkit-40cm-7205.jpg?v=1751361841</t>
  </si>
  <si>
    <t>H1C6JMEBCS0-020</t>
  </si>
  <si>
    <t>letoon-akrilik-eskitme-yaprak-led-sarkit-avize</t>
  </si>
  <si>
    <t>Letoon Akrilik Eskitme Yaprak LED Sarkıt Avize</t>
  </si>
  <si>
    <t>https://cdn.shopify.com/s/files/1/0914/5896/1709/files/dekoratif-akrilik-yaprak-sarkit-aydinlatma-3394.jpg?v=1751361556</t>
  </si>
  <si>
    <t>H1C6JMELCT0-080</t>
  </si>
  <si>
    <t>dara-eskitme-led-sarkit-avize-80-cm</t>
  </si>
  <si>
    <t>Dara Eskitme LED Sarkıt Avize 80 cm</t>
  </si>
  <si>
    <t>https://cdn.shopify.com/s/files/1/0914/5896/1709/files/dara-led-eskitme-sarkit-80cm-7204.jpg?v=1751361388</t>
  </si>
  <si>
    <t>H1C6JMELCT0-060</t>
  </si>
  <si>
    <t>dara-eskitme-led-sarkit-avize-60-cm</t>
  </si>
  <si>
    <t>Dara Eskitme LED Sarkıt Avize 60 cm</t>
  </si>
  <si>
    <t>https://cdn.shopify.com/s/files/1/0914/5896/1709/files/dara-led-eskitme-sarkit-60cm-7201.jpg?v=1751361218</t>
  </si>
  <si>
    <t>T1C6JMBLCSL-070</t>
  </si>
  <si>
    <t>papua-linear-bakir-sarkit-70-cm</t>
  </si>
  <si>
    <t>Papua Linear Bakır Sarkıt 70 cm</t>
  </si>
  <si>
    <t>https://cdn.shopify.com/s/files/1/0914/5896/1709/files/T1C6JMBLCSL-070.jpg?v=1751443431</t>
  </si>
  <si>
    <t>T1C2EMBJRS0-040</t>
  </si>
  <si>
    <t>rigel-buyuk-ufo-cam-bakir-avize</t>
  </si>
  <si>
    <t>Rigel Büyük Ufo Cam Bakır Avize</t>
  </si>
  <si>
    <t>https://cdn.shopify.com/s/files/1/0914/5896/1709/files/rigel-buyuk-ufo-cam-bakir-avize-7198.jpg?v=1751360363</t>
  </si>
  <si>
    <t>T1C2ERFJRS0-048</t>
  </si>
  <si>
    <t>regulus-tekli-fume-cam-avize</t>
  </si>
  <si>
    <t>Regulus Tekli Füme Cam Avize</t>
  </si>
  <si>
    <t>https://cdn.shopify.com/s/files/1/0914/5896/1709/files/regulus-tekli-fume-cam-avize-7197.jpg?v=1751360130</t>
  </si>
  <si>
    <t>T1C2ERLJRS0-048</t>
  </si>
  <si>
    <t>regulus-tekli-bal-cam-avize</t>
  </si>
  <si>
    <t>Regulus Tekli Bal Cam Avize</t>
  </si>
  <si>
    <t>https://cdn.shopify.com/s/files/1/0914/5896/1709/files/regulus-tekli-bal-cam-avize-7196.jpg?v=1751360013</t>
  </si>
  <si>
    <t>H1C2JMEECSU-020</t>
  </si>
  <si>
    <t>dakar-eskitme-seffaf-cam-sarkit-avize-20-cm</t>
  </si>
  <si>
    <t>Dakar Eskitme Şeffaf Cam Sarkıt Avize 20 cm</t>
  </si>
  <si>
    <t>https://cdn.shopify.com/s/files/1/0914/5896/1709/files/dakar-eskitme-sarkit-20cm-5311.jpg?v=1751359860</t>
  </si>
  <si>
    <t>H1C2JMEECSU-025</t>
  </si>
  <si>
    <t>dakar-eskitme-seffaf-cam-sarkit-avize-25-cm</t>
  </si>
  <si>
    <t>Dakar Eskitme Şeffaf Cam Sarkıt Avize 25 cm</t>
  </si>
  <si>
    <t>https://cdn.shopify.com/s/files/1/0914/5896/1709/files/H1C2JMEECSU-025.jpg?v=1751452597</t>
  </si>
  <si>
    <t>H1C6JMKECTR-035</t>
  </si>
  <si>
    <t>marsal-led-krom-sarkit-avize-35-cm</t>
  </si>
  <si>
    <t>Marşal LED Krom Sarkıt Avize 35 cm</t>
  </si>
  <si>
    <t>https://cdn.shopify.com/s/files/1/0914/5896/1709/files/marsal-led-krom-sarkit-7191.jpg?v=1751359513</t>
  </si>
  <si>
    <t>H1C6JMKECTR-025</t>
  </si>
  <si>
    <t>marsal-led-krom-sarkit</t>
  </si>
  <si>
    <t>Marşal Krom LED Sarkıt Avize 25 cm</t>
  </si>
  <si>
    <t>https://cdn.shopify.com/s/files/1/0914/5896/1709/files/marsal-led-krom-sarkit-25cm-5320.jpg?v=1751357532</t>
  </si>
  <si>
    <t>CM2G2P3T2I970</t>
  </si>
  <si>
    <t>erd-307-misir-seffaf-10w-uc-renkli̇-e27-led-ampul</t>
  </si>
  <si>
    <t>ERD-307 MISIR ŞEFFAF 10W ÜÇ RENKLİ E27 LED AMPUL</t>
  </si>
  <si>
    <t>https://cdn.shopify.com/s/files/1/0914/5896/1709/files/erd-307.jpg?v=1750234491</t>
  </si>
  <si>
    <t>CM1G2P3T2I970</t>
  </si>
  <si>
    <t>erd-306-misir-seffaf-10w-uc-renkli̇-e14-led-ampul</t>
  </si>
  <si>
    <t>MISIR ŞEFFAF 10W ÜÇ RENKLİ E14 LED AMPUL ERD-306</t>
  </si>
  <si>
    <t>https://cdn.shopify.com/s/files/1/0914/5896/1709/files/erd-306.jpg?v=1750234392</t>
  </si>
  <si>
    <t>CM3G2P302D8G1</t>
  </si>
  <si>
    <t>erd-305-misir-seffaf-5w-6500k-g9-led-ampul</t>
  </si>
  <si>
    <t>ERD-305 MISIR ŞEFFAF 5W 6500K G9 LED AMPUL</t>
  </si>
  <si>
    <t>https://cdn.shopify.com/s/files/1/0914/5896/1709/files/erd-305.jpg?v=1750234316</t>
  </si>
  <si>
    <t>CA2G1C3M2J5V1X10</t>
  </si>
  <si>
    <t>a60-seffaf-12w-3000k-e27-gunisigi-led-dimmerli-ampul-10lu-erd-304</t>
  </si>
  <si>
    <t>A60 Şeffaf 12W 3000K E27 Günışığı LED Dimmerli Ampul 10'lu Erd-304</t>
  </si>
  <si>
    <t>https://cdn.shopify.com/s/files/1/0914/5896/1709/files/a60-seffaf-12w-3000k-e27-gunisigi-led-dimmerli-ampul-erd-304-7180.jpg?v=1746166382</t>
  </si>
  <si>
    <t>CA2G1C3M2J5V1X5</t>
  </si>
  <si>
    <t>a60-seffaf-12w-3000k-e27-gunisigi-led-dimmerli-ampul-5li-erd-304</t>
  </si>
  <si>
    <t>A60 Şeffaf 12W 3000K E27 Günışığı LED Dimmerli Ampul 5'li Erd-304</t>
  </si>
  <si>
    <t>https://cdn.shopify.com/s/files/1/0914/5896/1709/files/a60-seffaf-12w-3000k-e27-gunisigi-led-dimmerli-ampul-erd-304-7177.jpg?v=1746166332</t>
  </si>
  <si>
    <t>CA2G1C3M2J5V1X3</t>
  </si>
  <si>
    <t>a60-seffaf-12w-3000k-e27-gunisigi-led-dimmerli-ampul-3lu-erd-304</t>
  </si>
  <si>
    <t>A60 Şeffaf 12W 3000K E27 Günışığı LED Dimmerli Ampul 3'lü Erd-304</t>
  </si>
  <si>
    <t>https://cdn.shopify.com/s/files/1/0914/5896/1709/files/a60-seffaf-12w-3000k-e27-gunisigi-led-dimmerli-ampul-erd-304-7174.jpg?v=1746166209</t>
  </si>
  <si>
    <t>CA2G1C3M2J5V1</t>
  </si>
  <si>
    <t>a60-seffaf-12w-3000k-e27-gunisigi-led-ampul-erd-304</t>
  </si>
  <si>
    <t>A60 Şeffaf 12W 3000K E27 Günışığı Led Ampul Erd-304</t>
  </si>
  <si>
    <t>https://cdn.shopify.com/s/files/1/0914/5896/1709/files/erd-304-a60-seffaf-12w-3000k-e27-led-ampul-7169.jpg?v=1746014886</t>
  </si>
  <si>
    <t>CG2E1C3M2E8Q0X3</t>
  </si>
  <si>
    <t>heka-filament-rustik-led-ampul-6w-e27-beyaz-isik-3lu-erd-247</t>
  </si>
  <si>
    <t>Heka Filament Rustik LED Ampul 6W E27 Beyaz Işık 3'lü ERD-247</t>
  </si>
  <si>
    <t>https://cdn.shopify.com/s/files/1/0914/5896/1709/files/led-filament-rustik-ampul-6-watt-e27-beyaz-isik-erd-247-6932.jpg?v=1745219704</t>
  </si>
  <si>
    <t>CG2E1C3M2E8Q0X5</t>
  </si>
  <si>
    <t>heka-filament-rustik-led-ampul-6w-e27-beyaz-isik-5li-erd-247</t>
  </si>
  <si>
    <t>Heka Filament Rustik LED Ampul 6W E27 Beyaz Işık 5'li ERD-247</t>
  </si>
  <si>
    <t>https://cdn.shopify.com/s/files/1/0914/5896/1709/files/led-filament-rustik-ampul-6-watt-e27-beyaz-isik-erd-247-6929.jpg?v=1745219658</t>
  </si>
  <si>
    <t>CG2E1C3M2E8Q0X10</t>
  </si>
  <si>
    <t>heka-filament-rustik-led-ampul-6w-e27-beyaz-isik-10lu-erd-247</t>
  </si>
  <si>
    <t>Heka Filament Rustik LED Ampul 6W E27 Beyaz Işık 10'lu ERD-247</t>
  </si>
  <si>
    <t>https://cdn.shopify.com/s/files/1/0914/5896/1709/files/led-filament-rustik-ampul-6-watt-e27-beyaz-isik-erd-247-6926.jpg?v=1745219390</t>
  </si>
  <si>
    <t>L1T6AACJMKJ-055</t>
  </si>
  <si>
    <t>solarix-dimmerli-sarjli-ceviz-ahsap-calisma-masa-lambasi</t>
  </si>
  <si>
    <t>Solarix Dimmerli Şarjlı Ceviz Ahşap Çalışma Masa Lambası</t>
  </si>
  <si>
    <t>https://cdn.shopify.com/s/files/1/0914/5896/1709/files/solarix-dimmerli-sarjli-ceviz-ahsap-masa-lambasi-6375_3be202fb-c9ea-4f53-b84b-e22c6c88a621.jpg?v=1744974713</t>
  </si>
  <si>
    <t>CK2G1C1M2G210</t>
  </si>
  <si>
    <t>heka-led-ampul-8w-2200k-e27-amber-cam-mum-sarisi-isik</t>
  </si>
  <si>
    <t>Heka Led Ampul 8W 2200K E27 ( Amber Cam - Mum Sarısı Işık )</t>
  </si>
  <si>
    <t>https://cdn.shopify.com/s/files/1/0914/5896/1709/files/heka-led-ampul-8w-2200k-e27-amber-cam-mum-sarisi-isik-4819.jpg?v=1744786480</t>
  </si>
  <si>
    <t>CA2F1C1M2E3M0x10</t>
  </si>
  <si>
    <t>a60-bal-cam-led-ampul-6w-2500k-e27-gun-isigi-10lu-erd-37</t>
  </si>
  <si>
    <t>A60 Bal Cam LED Ampul 6W 2500K E27 (Gün Işığı) 10'lu ERD-37</t>
  </si>
  <si>
    <t>https://cdn.shopify.com/s/files/1/0914/5896/1709/files/a60-ampul-bal-cam-led-6w-2500k-e27-gun-isigi-6467.jpg?v=1744785207</t>
  </si>
  <si>
    <t>CA2F1C1M2E3M0x5</t>
  </si>
  <si>
    <t>a60-bal-cam-led-ampul-6w-2500k-e27-gun-isigi-5li-erd-37</t>
  </si>
  <si>
    <t>A60 Bal Cam LED Ampul 6W 2500K E27 (Gün Işığı) 5'li ERD-37</t>
  </si>
  <si>
    <t>https://cdn.shopify.com/s/files/1/0914/5896/1709/files/a60-ampul-bal-cam-led-6w-2500k-e27-gun-isigi-6465.jpg?v=1744785193</t>
  </si>
  <si>
    <t>CA2F1C1M2E3M0x3</t>
  </si>
  <si>
    <t>a60-bal-cam-led-ampul-6w-2500k-e27-gun-isigi-3lu-erd-37</t>
  </si>
  <si>
    <t>A60 Bal Cam LED Ampul 6W 2500K E27 (Gün Işığı) 3'lü ERD-37</t>
  </si>
  <si>
    <t>https://cdn.shopify.com/s/files/1/0914/5896/1709/files/a60-ampul-bal-cam-led-6w-2500k-e27-gun-isigi-6463.jpg?v=1744785181</t>
  </si>
  <si>
    <t>CA2D1C3M2G5U1X10</t>
  </si>
  <si>
    <t>led-filament-rustik-ampul-e27-8w-3000k-gun-isigi-10lu-erd-252</t>
  </si>
  <si>
    <t>Heka LED Filament Rustik Ampul E27 8W 3000K Gün Işığı 10'lu ERD-252</t>
  </si>
  <si>
    <t>https://cdn.shopify.com/s/files/1/0914/5896/1709/files/led-filament-rustik-ampul-e27-8w-3000k-gun-isigi-erd-252-7075.jpg?v=1744727076</t>
  </si>
  <si>
    <t>CA2D1C3M2G5U1X5</t>
  </si>
  <si>
    <t>heka-led-filament-rustik-ampul-e27-8w-3000k-gun-isigi-5li-erd-252</t>
  </si>
  <si>
    <t>Heka LED Filament Rustik Ampul E27 8W 3000K Gün Işığı 5'li ERD-252</t>
  </si>
  <si>
    <t>https://cdn.shopify.com/s/files/1/0914/5896/1709/files/led-filament-rustik-ampul-e27-8w-3000k-gun-isigi-erd-252-7078.jpg?v=1744727050</t>
  </si>
  <si>
    <t>CA2D1C3M2G5U1X3</t>
  </si>
  <si>
    <t>heka-led-filament-rustik-ampul-e27-8w-3000k-gun-isigi-3lu-erd-252</t>
  </si>
  <si>
    <t>Heka LED Filament Rustik Ampul E27 8W 3000K Gün Işığı 3'lü ERD-252</t>
  </si>
  <si>
    <t>https://cdn.shopify.com/s/files/1/0914/5896/1709/files/led-filament-rustik-ampul-e27-8w-3000k-gun-isigi-erd-252-7081.jpg?v=1744727017</t>
  </si>
  <si>
    <t>CK3G2P4M2B5B1X10</t>
  </si>
  <si>
    <t>heka-smd-led-ampul-g9-3w-3000k-gun-isigi-10lu-erd-263</t>
  </si>
  <si>
    <t>Heka Smd LED Ampul G9 3W 3000k Gün Işığı 10'lu ERD-263</t>
  </si>
  <si>
    <t>https://cdn.shopify.com/s/files/1/0914/5896/1709/files/smd-led-ampul-g9-3w-3000k-gun-isigi-erd-263-7129.jpg?v=1744726636</t>
  </si>
  <si>
    <t>CK3G2P4M2B5B1X5</t>
  </si>
  <si>
    <t>heka-smd-led-ampul-g9-3w-3000k-gun-isigi-5li-erd-263</t>
  </si>
  <si>
    <t>Heka Smd LED Ampul G9 3W 3000k Gün Işığı 5'li ERD-263</t>
  </si>
  <si>
    <t>https://cdn.shopify.com/s/files/1/0914/5896/1709/files/smd-led-ampul-g9-3w-3000k-gun-isigi-erd-263-7132.jpg?v=1744726594</t>
  </si>
  <si>
    <t>CK3G2P4M2B5B1X3</t>
  </si>
  <si>
    <t>heka-smd-led-ampul-g9-3w-3000k-gun-isigi-3lu-erd-263</t>
  </si>
  <si>
    <t>Heka Smd LED Ampul G9 3W 3000k Gün Işığı 3'lü ERD-263</t>
  </si>
  <si>
    <t>https://cdn.shopify.com/s/files/1/0914/5896/1709/files/smd-led-ampul-g9-3w-3000k-gun-isigi-erd-263-7135.jpg?v=1744726551</t>
  </si>
  <si>
    <t>CR2F1C1M2E3M0X10</t>
  </si>
  <si>
    <t>heka-rustik-led-ampul-6w-2500k-e27-gun-isigi-10lu-erd-45</t>
  </si>
  <si>
    <t>Heka Rustik LED Ampul 6W 2500K E27 Gün Işığı 10'lu ERD-45</t>
  </si>
  <si>
    <t>https://cdn.shopify.com/s/files/1/0914/5896/1709/files/rustik-led-ampul-6w-2500k-e27-gun-isigi-erd-45-7084.jpg?v=1744726312</t>
  </si>
  <si>
    <t>CR2F1C1M2E3M0X5</t>
  </si>
  <si>
    <t>rustik-led-ampul-6w-2500k-e27-gun-isigi-5li-erd-45</t>
  </si>
  <si>
    <t>Heka Rustik LED Ampul 6W 2500K E27 Gün Işığı 5'li ERD-45</t>
  </si>
  <si>
    <t>https://cdn.shopify.com/s/files/1/0914/5896/1709/files/rustik-led-ampul-6w-2500k-e27-gun-isigi-erd-45-7087.jpg?v=1744726269</t>
  </si>
  <si>
    <t>CR2F1C1M2E3M0X3</t>
  </si>
  <si>
    <t>heka-rustik-led-ampul-6w-2500k-e27-gun-isigi-3lu-erd-45</t>
  </si>
  <si>
    <t>Heka Rustik LED Ampul 6W 2500K E27 Gün Işığı 3'lü ERD-45</t>
  </si>
  <si>
    <t>https://cdn.shopify.com/s/files/1/0914/5896/1709/files/rustik-led-ampul-6w-2500k-e27-gun-isigi-erd-45-7090.jpg?v=1744726233</t>
  </si>
  <si>
    <t>CC1E1C3M2A4C0X10</t>
  </si>
  <si>
    <t>led-rustik-ampul-e14-c7-ampul-2w-2700k-gun-isigi-10lu-erd-69</t>
  </si>
  <si>
    <t>Heka LED Rustik Ampul E14 C7 Ampul 2W 2700K Gün Işığı 10'lu ERD-69</t>
  </si>
  <si>
    <t>https://cdn.shopify.com/s/files/1/0914/5896/1709/files/erd-69x10.jpg?v=1750857165</t>
  </si>
  <si>
    <t>CC1E1C3M2A4C0X5</t>
  </si>
  <si>
    <t>heka-led-rustik-ampul-e14-c7-ampul-2w-2700k-gun-isigi-5li-erd-69</t>
  </si>
  <si>
    <t>Heka LED Rustik Ampul E14 C7 Ampul 2W 2700K Gün Işığı 5'li ERD-69</t>
  </si>
  <si>
    <t>https://cdn.shopify.com/s/files/1/0914/5896/1709/files/erd-69x5.jpg?v=1750857119</t>
  </si>
  <si>
    <t>CC1E1C3M2A4C0X3</t>
  </si>
  <si>
    <t>led-rustik-ampul-e14-c7-ampul-2w-2700k-gun-isigi-3lu-erd-69</t>
  </si>
  <si>
    <t>Heka LED Rustik Ampul E14 C7 Ampul 2W 2700K Gün Işığı 3'lü ERD-69</t>
  </si>
  <si>
    <t>https://cdn.shopify.com/s/files/1/0914/5896/1709/files/led-rustik-ampul-e14-c7-ampul-2w-2700k-gun-isigi-erd-69-7108.jpg?v=1744725104</t>
  </si>
  <si>
    <t>CL2F1C1M2G3R0X10</t>
  </si>
  <si>
    <t>heka-rustik-led-cubuk-ampul-e27-8w-2500k-gun-isigi-10lu-erd-38</t>
  </si>
  <si>
    <t>Heka Rustik LED Çubuk Ampul E27 8W 2500K Gün Işığı 10'lu ERD-38</t>
  </si>
  <si>
    <t>https://cdn.shopify.com/s/files/1/0914/5896/1709/files/rustik-led-cubuk-ampul-e27-8w-2500k-gun-isigi-erd-38-7093.jpg?v=1744724930</t>
  </si>
  <si>
    <t>CL2F1C1M2G3R0X5</t>
  </si>
  <si>
    <t>heka-rustik-led-cubuk-ampul-e27-8w-2500k-gun-isigi-5li-erd-38</t>
  </si>
  <si>
    <t>Heka Rustik LED Çubuk Ampul E27 8W 2500K Gün Işığı 5'li ERD-38</t>
  </si>
  <si>
    <t>https://cdn.shopify.com/s/files/1/0914/5896/1709/files/rustik-led-cubuk-ampul-e27-8w-2500k-gun-isigi-erd-38-7096.jpg?v=1744724877</t>
  </si>
  <si>
    <t>CL2F1C1M2G3R0X3</t>
  </si>
  <si>
    <t>rustik-led-cubuk-ampul-e27-8w-2500k-gun-isigi-3lu-erd-38</t>
  </si>
  <si>
    <t>Heka Rustik LED Çubuk Ampul E27 8W 2500K Gün Işığı 3'lü ERD-38</t>
  </si>
  <si>
    <t>https://cdn.shopify.com/s/files/1/0914/5896/1709/files/rustik-led-cubuk-ampul-e27-8w-2500k-gun-isigi-erd-38-7099.jpg?v=1744724777</t>
  </si>
  <si>
    <t>CE2F1C1M2G3R0X10</t>
  </si>
  <si>
    <t>heka-rustik-led-ampul-e27-g95-8w-2500k-gun-isigi-10lu-erd-86</t>
  </si>
  <si>
    <t>Heka Rustik LED Ampul E27 G95 8W 2500K Gün Işığı 10'lu ERD-86</t>
  </si>
  <si>
    <t>https://cdn.shopify.com/s/files/1/0914/5896/1709/files/rustik-led-ampul-e27-g95-8w-2500k-gun-isigi-erd-86-7111.jpg?v=1744713845</t>
  </si>
  <si>
    <t>CE2F1C1M2G3R0X5</t>
  </si>
  <si>
    <t>heka-rustik-led-ampul-e27-g95-8w-2500k-gun-isigi-5li-erd-86</t>
  </si>
  <si>
    <t>Heka Rustik LED Ampul E27 G95 8W 2500K Gün Işığı 5'li ERD-86</t>
  </si>
  <si>
    <t>https://cdn.shopify.com/s/files/1/0914/5896/1709/files/rustik-led-ampul-e27-g95-8w-2500k-gun-isigi-erd-86-7114.jpg?v=1744713804</t>
  </si>
  <si>
    <t>CE2F1C1M2G3R0X3</t>
  </si>
  <si>
    <t>heka-rustik-led-ampul-e27-g95-8w-2500k-gun-isigi-3lu-erd-86</t>
  </si>
  <si>
    <t>Heka Rustik LED Ampul E27 G95 8W 2500K Gün Işığı 3'lü ERD-86</t>
  </si>
  <si>
    <t>https://cdn.shopify.com/s/files/1/0914/5896/1709/files/rustik-led-ampul-e27-g95-8w-2500k-gun-isigi-erd-86-7117.jpg?v=1744713761</t>
  </si>
  <si>
    <t>CE2E1C3M2E4P0X10</t>
  </si>
  <si>
    <t>heka-rustik-led-ampul-e27-g95-6w-2700k-gun-isigi-10lu-erd-88</t>
  </si>
  <si>
    <t>Heka Rustik LED Ampul E27 G95 6W 2700K Gün Işığı 10'lu ERD-88</t>
  </si>
  <si>
    <t>https://cdn.shopify.com/s/files/1/0914/5896/1709/files/rustik-led-ampul-e27-g95-6w-2700k-gun-isigi-erd-88-7120.jpg?v=1744713385</t>
  </si>
  <si>
    <t>CE2E1C3M2E4P0X5</t>
  </si>
  <si>
    <t>heka-rustik-led-ampul-e27-g95-6w-2700k-gun-isigi-5li-erd-88</t>
  </si>
  <si>
    <t>Heka Rustik LED Ampul E27 G95 6W 2700K Gün Işığı 5'li ERD-88</t>
  </si>
  <si>
    <t>https://cdn.shopify.com/s/files/1/0914/5896/1709/files/rustik-led-ampul-e27-g95-6w-2700k-gun-isigi-erd-88-7123.jpg?v=1744713344</t>
  </si>
  <si>
    <t>CE2E1C3M2E4P0X3</t>
  </si>
  <si>
    <t>heka-rustik-led-ampul-e27-g95-6w-2700k-gun-isigi-3lu-erd-88</t>
  </si>
  <si>
    <t>Heka Rustik LED Ampul E27 G95 6W 2700K Gün Işığı 3'lü ERD-88</t>
  </si>
  <si>
    <t>https://cdn.shopify.com/s/files/1/0914/5896/1709/files/rustik-led-ampul-e27-g95-6w-2700k-gun-isigi-erd-88-7126.jpg?v=1744713306</t>
  </si>
  <si>
    <t>CK4G3S3M2A5A0X10</t>
  </si>
  <si>
    <t>heka-cob-led-ampul-g4-2w-3000k-10lu-erd-266</t>
  </si>
  <si>
    <t>Heka Cob LED Ampul G4 2W 3000K 10'lu ERD-266</t>
  </si>
  <si>
    <t>https://cdn.shopify.com/s/files/1/0914/5896/1709/files/cob-led-ampul-g4-2w-3000k-erd-266-7138.jpg?v=1744713129</t>
  </si>
  <si>
    <t>CK4G3S3M2A5A0X5</t>
  </si>
  <si>
    <t>cob-led-ampul-g4-2w-3000k-5li-erd-266</t>
  </si>
  <si>
    <t>Heka Cob LED Ampul G4 2W 3000K 5'li ERD-266</t>
  </si>
  <si>
    <t>https://cdn.shopify.com/s/files/1/0914/5896/1709/files/cob-led-ampul-g4-2w-3000k-erd-266-7141.jpg?v=1744713070</t>
  </si>
  <si>
    <t>CK4G3S3M2A5A0X3</t>
  </si>
  <si>
    <t>cob-led-ampul-g4-2w-3000k-3lu-erd-266</t>
  </si>
  <si>
    <t>Heka Cob LED Ampul G4 2W 3000K 3'lü ERD-266</t>
  </si>
  <si>
    <t>https://cdn.shopify.com/s/files/1/0914/5896/1709/files/cob-led-ampul-g4-2w-3000k-erd-266-7144.jpg?v=1744713036</t>
  </si>
  <si>
    <t>CK5G3P3P2E5J1X10</t>
  </si>
  <si>
    <t>heka-gu10-220v-6w-3000k-cob-led-ampul-10lu-erd-284</t>
  </si>
  <si>
    <t>Heka GU10 220V 6W 3000k Cob LED Ampul 10'lu ERD-284</t>
  </si>
  <si>
    <t>https://cdn.shopify.com/s/files/1/0914/5896/1709/files/gu10-220v-6w-3000k-cob-led-ampul-erd-284-7147.jpg?v=1744708883</t>
  </si>
  <si>
    <t>CK5G3P3P2E5J1X5</t>
  </si>
  <si>
    <t>heka-gu10-220v-6w-3000k-cob-led-ampul-5li-erd-284</t>
  </si>
  <si>
    <t>Heka GU10 220V 6W 3000k Cob LED Ampul 5'li ERD-284</t>
  </si>
  <si>
    <t>https://cdn.shopify.com/s/files/1/0914/5896/1709/files/gu10-220v-6w-3000k-cob-led-ampul-erd-284-7150.jpg?v=1744708843</t>
  </si>
  <si>
    <t>CK5G3P3P2E5J1X3</t>
  </si>
  <si>
    <t>gu10-220v-6w-3000k-cob-led-ampul-3lu-erd-284</t>
  </si>
  <si>
    <t>Heka GU10 220V 6W 3000k Cob LED Ampul 3'lü ERD-284</t>
  </si>
  <si>
    <t>https://cdn.shopify.com/s/files/1/0914/5896/1709/files/gu10-220v-6w-3000k-cob-led-ampul-erd-284-7153.jpg?v=1744708800</t>
  </si>
  <si>
    <t>CK1G2C402A5A1X10</t>
  </si>
  <si>
    <t>heka-opal-cam-2-w-3000k-e14-led-ampul-10lu-erd-290</t>
  </si>
  <si>
    <t>Heka Opal Cam 2 W 3000K E14 LED Ampul 10'lu ERD-290</t>
  </si>
  <si>
    <t>https://cdn.shopify.com/s/files/1/0914/5896/1709/files/opal-cam-2-w-3000k-e14-led-ampul-erd-290-7156.jpg?v=1744708645</t>
  </si>
  <si>
    <t>CK1G2C402A5A1X5</t>
  </si>
  <si>
    <t>opal-cam-2-w-3000k-e14-led-ampul-5li-erd-290</t>
  </si>
  <si>
    <t>Heka Opal Cam 2 W 3000K E14 LED Ampul 5'li ERD-290</t>
  </si>
  <si>
    <t>https://cdn.shopify.com/s/files/1/0914/5896/1709/files/opal-cam-2-w-3000k-e14-led-ampul-erd-290-7159.jpg?v=1744708592</t>
  </si>
  <si>
    <t>CK1G2C402A5A1X3</t>
  </si>
  <si>
    <t>heka-opal-cam-2-w-3000k-e14-led-ampul-3lu-erd-290</t>
  </si>
  <si>
    <t>Heka Opal Cam 2 W 3000K E14 LED Ampul 3'lü ERD-290</t>
  </si>
  <si>
    <t>https://cdn.shopify.com/s/files/1/0914/5896/1709/files/opal-cam-2-w-3000k-e14-led-ampul-erd-290-7162.jpg?v=1744708561</t>
  </si>
  <si>
    <t>CG2E1C4M2E5O0X10</t>
  </si>
  <si>
    <t>heka-led-ampul-6w-3000k-e27-gun-isigi-10lu-erd-239</t>
  </si>
  <si>
    <t>Heka LED Ampul 6W 3000K E27 (Gün Işığı) 10'lu ERD-239</t>
  </si>
  <si>
    <t>https://cdn.shopify.com/s/files/1/0914/5896/1709/files/led-ampul-6w-3000k-e27-gun-isigi-erd-239-7066.jpg?v=1744707942</t>
  </si>
  <si>
    <t>CG2E1C4M2E5O0X5</t>
  </si>
  <si>
    <t>heka-led-ampul-6w-3000k-e27-gun-isigi-5li-erd-239</t>
  </si>
  <si>
    <t>Heka LED Ampul 6W 3000K E27 (Gün Işığı) 5'li ERD-239</t>
  </si>
  <si>
    <t>https://cdn.shopify.com/s/files/1/0914/5896/1709/files/led-ampul-6w-3000k-e27-gun-isigi-erd-239-7069.jpg?v=1744707908</t>
  </si>
  <si>
    <t>CG2E1C4M2E5O0X3</t>
  </si>
  <si>
    <t>heka-led-ampul-6w-3000k-e27-gun-isigi-3lu-erd-239</t>
  </si>
  <si>
    <t>Heka LED Ampul 6W 3000K E27 (Gün Işığı) 3'lü ERD-239</t>
  </si>
  <si>
    <t>https://cdn.shopify.com/s/files/1/0914/5896/1709/files/led-ampul-6w-3000k-e27-gun-isigi-erd-239-7072.jpg?v=1744707866</t>
  </si>
  <si>
    <t>CB2F1C1M2E3M0X10</t>
  </si>
  <si>
    <t>heka-rustik-led-ampul-e27-6w-2500k-gun-isigi-10lu-erd-39</t>
  </si>
  <si>
    <t>Heka Rustik LED Ampul E27 6W 2500K Gün Işığı 10'lu ERD-39</t>
  </si>
  <si>
    <t>https://cdn.shopify.com/s/files/1/0914/5896/1709/files/rustik-led-ampul-e27-6w-2500k-gun-isigi-erd-39-7030.jpg?v=1744706374</t>
  </si>
  <si>
    <t>CB2F1C1M2E3M0X5</t>
  </si>
  <si>
    <t>rustik-led-ampul-e27-6w-2500k-gun-isigi-5li-erd-39</t>
  </si>
  <si>
    <t>Heka Rustik LED Ampul E27 6W 2500K Gün Işığı 5'li ERD-39</t>
  </si>
  <si>
    <t>https://cdn.shopify.com/s/files/1/0914/5896/1709/files/rustik-led-ampul-e27-6w-2500k-gun-isigi-erd-39-7033.jpg?v=1744706332</t>
  </si>
  <si>
    <t>CB2F1C1M2E3M0X3</t>
  </si>
  <si>
    <t>rustik-led-ampul-e27-6w-2500k-gun-isigi-3lu-erd-39</t>
  </si>
  <si>
    <t>Heka Rustik LED Ampul E27 6W 2500K Gün Işığı 3'lü ERD-39</t>
  </si>
  <si>
    <t>https://cdn.shopify.com/s/files/1/0914/5896/1709/files/rustik-led-ampul-e27-6w-2500k-gun-isigi-erd-39-7036.jpg?v=1744706286</t>
  </si>
  <si>
    <t>CD1F1C4M2E5M0X10</t>
  </si>
  <si>
    <t>heka-rustik-led-ampul-6w-3000k-e14-gun-isigi-10lu-erd-237</t>
  </si>
  <si>
    <t>Heka Rustik LED Ampul 6W 3000K E14 Gün Işığı 10'lu ERD-237</t>
  </si>
  <si>
    <t>https://cdn.shopify.com/s/files/1/0914/5896/1709/files/rustik-led-ampul-6w-3000k-e14-gun-isigi-erd-237-7057.jpg?v=1744705419</t>
  </si>
  <si>
    <t>CD1F1C4M2E5M0X5</t>
  </si>
  <si>
    <t>heka-rustik-led-ampul-6w-3000k-e14-gun-isigi-5li-erd-237</t>
  </si>
  <si>
    <t>Heka Rustik LED Ampul 6W 3000K E14 Gün Işığı 5'li ERD-237</t>
  </si>
  <si>
    <t>https://cdn.shopify.com/s/files/1/0914/5896/1709/files/rustik-led-ampul-6w-3000k-e14-gun-isigi-erd-237-7060.jpg?v=1744705370</t>
  </si>
  <si>
    <t>CD1F1C4M2E5M0X3</t>
  </si>
  <si>
    <t>heka-rustik-led-ampul-6w-3000k-e14-gun-isigi-3lu-erd-237</t>
  </si>
  <si>
    <t>Heka Rustik LED Ampul 6W 3000K E14 Gün Işığı 3'lü ERD-237</t>
  </si>
  <si>
    <t>https://cdn.shopify.com/s/files/1/0914/5896/1709/files/rustik-led-ampul-6w-3000k-e14-gun-isigi-erd-237-7063.jpg?v=1744705325</t>
  </si>
  <si>
    <t>CL2F1C1M2E3M0X10</t>
  </si>
  <si>
    <t>heka-led-ampul-6w-2500k-e27-gun-isigi-10lu-erd-33</t>
  </si>
  <si>
    <t>Heka LED Ampul 6W 2500K E27 (Gün Işığı) 10'lu ERD-33</t>
  </si>
  <si>
    <t>https://cdn.shopify.com/s/files/1/0914/5896/1709/files/led-ampul-6w-2500k-e27-gun-isigi-erd-33-7010.jpg?v=1744704972</t>
  </si>
  <si>
    <t>CL2F1C1M2E3M0X5</t>
  </si>
  <si>
    <t>heka-led-ampul-6w-2500k-e27-gun-isigi-5li-erd-33</t>
  </si>
  <si>
    <t>Heka LED Ampul 6W 2500K E27 (Gün Işığı) 5'li ERD-33</t>
  </si>
  <si>
    <t>https://cdn.shopify.com/s/files/1/0914/5896/1709/files/led-ampul-6w-2500k-e27-gun-isigi-erd-33-7013.jpg?v=1744704939</t>
  </si>
  <si>
    <t>CL2F1C1M2E3M0X3</t>
  </si>
  <si>
    <t>led-ampul-6w-2500k-e27-gun-isigi-3lu-erd-33</t>
  </si>
  <si>
    <t>Heka LED Ampul 6W 2500K E27 (Gün Işığı) 3'lü ERD-33</t>
  </si>
  <si>
    <t>https://cdn.shopify.com/s/files/1/0914/5896/1709/files/led-ampul-6w-2500k-e27-gun-isigi-erd-33-7016.jpg?v=1744704901</t>
  </si>
  <si>
    <t>CB2E1C4M2H5T0X10</t>
  </si>
  <si>
    <t>led-ampul-e27-9w-3000k-gun-isigi-10lu-erd-233</t>
  </si>
  <si>
    <t>Heka LED Ampul E27 9W 3000K Gün Işığı 10'lu ERD-233</t>
  </si>
  <si>
    <t>https://cdn.shopify.com/s/files/1/0914/5896/1709/files/led-ampul-e27-9w-3000k-gun-isigi-erd-233-7039.jpg?v=1744704574</t>
  </si>
  <si>
    <t>CB2E1C4M2H5T0x5</t>
  </si>
  <si>
    <t>heka-led-ampul-e27-9w-3000k-gun-isigi-5li-erd-233</t>
  </si>
  <si>
    <t>Heka LED Ampul E27 9W 3000K Gün Işığı 5'li ERD-233</t>
  </si>
  <si>
    <t>https://cdn.shopify.com/s/files/1/0914/5896/1709/files/led-ampul-e27-9w-3000k-gun-isigi-erd-233-7042.jpg?v=1744704533</t>
  </si>
  <si>
    <t>CB2E1C4M2H5T0X3</t>
  </si>
  <si>
    <t>led-ampul-e27-9w-3000k-gun-isigi-3lu-erd-233</t>
  </si>
  <si>
    <t>Heka LED Ampul E27 9W 3000K Gün Işığı 3'lü ERD-233</t>
  </si>
  <si>
    <t>https://cdn.shopify.com/s/files/1/0914/5896/1709/files/led-ampul-e27-9w-3000k-gun-isigi-erd-233-7045.jpg?v=1744704483</t>
  </si>
  <si>
    <t>CF2F1C4M2E5M0X10</t>
  </si>
  <si>
    <t>led-ampul-6w-3000k-e27-gun-isigi-10lu-erd-234</t>
  </si>
  <si>
    <t>Heka LED Ampul 6W 3000K E27 Gün Işığı 10'lu ERD-234</t>
  </si>
  <si>
    <t>https://cdn.shopify.com/s/files/1/0914/5896/1709/files/led-ampul-6w-3000k-e27-gun-isigi-erd-234-7048.jpg?v=1744703578</t>
  </si>
  <si>
    <t>CF2F1C4M2E5M0X5</t>
  </si>
  <si>
    <t>heka-led-ampul-6w-3000k-e27-gun-isigi-5li-erd-234</t>
  </si>
  <si>
    <t>Heka LED Ampul 6W 3000K E27 Gün Işığı 5'li ERD-234</t>
  </si>
  <si>
    <t>https://cdn.shopify.com/s/files/1/0914/5896/1709/files/led-ampul-6w-3000k-e27-gun-isigi-erd-234-7051.jpg?v=1744703526</t>
  </si>
  <si>
    <t>CF2F1C4M2E5M0X3</t>
  </si>
  <si>
    <t>heka-led-ampul-6w-3000k-e27-gun-isigi-3lu-erd-234</t>
  </si>
  <si>
    <t>Heka LED Ampul 6W 3000K E27 Gün Işığı 3'lü ERD-234</t>
  </si>
  <si>
    <t>https://cdn.shopify.com/s/files/1/0914/5896/1709/files/led-ampul-6w-3000k-e27-gun-isigi-erd-234-7054.jpg?v=1744703489</t>
  </si>
  <si>
    <t>CK3G2P3M2H5R0X10</t>
  </si>
  <si>
    <t>heka-smd-led-ampul-g9-9w-3000k-10lu-erd-270</t>
  </si>
  <si>
    <t>Heka Smd LED Ampul G9 9W 3000K 10'lu ERD-270</t>
  </si>
  <si>
    <t>https://cdn.shopify.com/s/files/1/0914/5896/1709/files/smd-led-ampul-g9-9w-3000k-erd-270-7021.jpg?v=1744699416</t>
  </si>
  <si>
    <t>CK3G2P3M2H5R0X5</t>
  </si>
  <si>
    <t>smd-led-ampul-g9-9w-3000k-5li-erd-270</t>
  </si>
  <si>
    <t>Heka Smd LED Ampul G9 9W 3000K 5'li ERD-270</t>
  </si>
  <si>
    <t>https://cdn.shopify.com/s/files/1/0914/5896/1709/files/smd-led-ampul-g9-9w-3000k-erd-270-7024.jpg?v=1744699363</t>
  </si>
  <si>
    <t>CK3G2P3M2H5R0X3</t>
  </si>
  <si>
    <t>heka-smd-led-ampul-g9-9w-3000k-3li-erd-270</t>
  </si>
  <si>
    <t>Heka Smd LED Ampul G9 9W 3000K 3'li ERD-270</t>
  </si>
  <si>
    <t>https://cdn.shopify.com/s/files/1/0914/5896/1709/files/smd-led-ampul-g9-9w-3000k-erd-270-7027.jpg?v=1744699332</t>
  </si>
  <si>
    <t>CA2E1C3M2E7O0X10</t>
  </si>
  <si>
    <t>heka-e27-6w-4000k-filament-led-ampul-10lu-erd-283</t>
  </si>
  <si>
    <t>HEKA E27 6W 4000k Filament LED Ampul 10'lu ERD-283</t>
  </si>
  <si>
    <t>https://cdn.shopify.com/s/files/1/0914/5896/1709/files/e27-220v-6w-4000k-filament-led-ampul-erd-283-7001.jpg?v=1744698993</t>
  </si>
  <si>
    <t>CA2E1C3M2E7O0X5</t>
  </si>
  <si>
    <t>heka-e27-6w-4000k-filament-led-ampul-5li-erd-283</t>
  </si>
  <si>
    <t>HEKA E27 6W 4000k Filament LED Ampul 5'li ERD-283</t>
  </si>
  <si>
    <t>https://cdn.shopify.com/s/files/1/0914/5896/1709/files/e27-220v-6w-4000k-filament-led-ampul-erd-283-7004.jpg?v=1744698932</t>
  </si>
  <si>
    <t>CA2E1C3M2E7O0X3</t>
  </si>
  <si>
    <t>heka-e27-6w-4000k-filament-led-ampul-3lu-erd-283</t>
  </si>
  <si>
    <t>HEKA E27 6W 4000k Filament LED Ampul 3'lü ERD-283</t>
  </si>
  <si>
    <t>https://cdn.shopify.com/s/files/1/0914/5896/1709/files/e27-220v-6w-4000k-filament-led-ampul-erd-283-7007.jpg?v=1744698857</t>
  </si>
  <si>
    <t>CL2F1C1M2C3I0X10</t>
  </si>
  <si>
    <t>heka-rustik-led-ampul-e27-4w-2500k-gun-isigi-10lu-erd-32</t>
  </si>
  <si>
    <t>Heka Rustik LED Ampul E27 4W 2500K Gün Işığı 10'lu ERD-32</t>
  </si>
  <si>
    <t>https://cdn.shopify.com/s/files/1/0914/5896/1709/files/rustik-led-ampul-e27-4w-2500k-gun-isigi-erd-32-6971.jpg?v=1744205813</t>
  </si>
  <si>
    <t>CL2F1C1M2C3I0X5</t>
  </si>
  <si>
    <t>rustik-led-ampul-e27-4w-2500k-gun-isigi-erd-32-5li</t>
  </si>
  <si>
    <t>Heka Rustik LED Ampul E27 4W 2500K Gün Işığı 5'li ERD-32</t>
  </si>
  <si>
    <t>https://cdn.shopify.com/s/files/1/0914/5896/1709/files/rustik-led-ampul-e27-4w-2500k-gun-isigi-erd-32-6974.jpg?v=1744205660</t>
  </si>
  <si>
    <t>CL2F1C1M2C3I0X3</t>
  </si>
  <si>
    <t>heka-rustik-led-ampul-e27-4w-2500k-gun-isigi-3lu-erd-32</t>
  </si>
  <si>
    <t>Heka Rustik LED Ampul E27 4W 2500K Gün Işığı 3'lü ERD-32</t>
  </si>
  <si>
    <t>https://cdn.shopify.com/s/files/1/0914/5896/1709/files/rustik-led-ampul-e27-4w-2500k-gun-isigi-erd-32-6977.jpg?v=1744205597</t>
  </si>
  <si>
    <t>CA2E1C3M2E8P0x10</t>
  </si>
  <si>
    <t>heka-led-ampul-6w-6500k-e27-beyaz-a60-10lu-erd-96</t>
  </si>
  <si>
    <t>Heka LED Ampul 6w 6500k E27 Beyaz A60 10'lu ERD-96</t>
  </si>
  <si>
    <t>https://cdn.shopify.com/s/files/1/0914/5896/1709/files/led-ampul-6w-6500k-e27-beyaz-a60-erd-96-6040.jpg?v=1744205272</t>
  </si>
  <si>
    <t>CA2E1C3M2E8P0x5</t>
  </si>
  <si>
    <t>heka-led-ampul-6w-6500k-e27-beyaz-a60-5li-erd-96</t>
  </si>
  <si>
    <t>Heka LED Ampul 6w 6500k E27 Beyaz A60 5'li ERD-96</t>
  </si>
  <si>
    <t>https://cdn.shopify.com/s/files/1/0914/5896/1709/files/led-ampul-6w-6500k-e27-beyaz-a60-erd-96-6037.jpg?v=1744205221</t>
  </si>
  <si>
    <t>CA2E1C3M2E8P0x3</t>
  </si>
  <si>
    <t>heka-led-ampul-6w-6500k-e27-beyaz-isik-a60-3lu-erd-96</t>
  </si>
  <si>
    <t>Heka LED Ampul 6w 6500k E27 Beyaz Işık A60 3'lü ERD-96</t>
  </si>
  <si>
    <t>https://cdn.shopify.com/s/files/1/0914/5896/1709/files/led-ampul-6w-6500k-e27-beyaz-a60-erd-96-6035.jpg?v=1744205160</t>
  </si>
  <si>
    <t>CK5G3P3P2E7J1X10</t>
  </si>
  <si>
    <t>gu10-220v-6w-4000k-cob-led-ampul-erd-285-10lu</t>
  </si>
  <si>
    <t>GU10 220V 6W 4000K COB LED Ampul 10'lu ERD-285</t>
  </si>
  <si>
    <t>https://cdn.shopify.com/s/files/1/0914/5896/1709/files/gu10-220v-6w-4000k-cob-led-ampul-erd-285-6980.jpg?v=1744204862</t>
  </si>
  <si>
    <t>CK5G3P3P2E7J1X5</t>
  </si>
  <si>
    <t>gu10-220v-6w-4000k-cob-led-ampul-5li-erd-285</t>
  </si>
  <si>
    <t>GU10 220V 6W 4000K COB LED Ampul 5'li ERD-285</t>
  </si>
  <si>
    <t>https://cdn.shopify.com/s/files/1/0914/5896/1709/files/gu10-220v-6w-4000k-cob-led-ampul-erd-285-6983.jpg?v=1744204817</t>
  </si>
  <si>
    <t>CK5G3P3P2E7J1X3</t>
  </si>
  <si>
    <t>gu10-220v-6w-4000k-cob-led-ampul-3lu-erd-285</t>
  </si>
  <si>
    <t>GU10 220V 6W 4000K COB LED Ampul 3'lü ERD-285</t>
  </si>
  <si>
    <t>https://cdn.shopify.com/s/files/1/0914/5896/1709/files/gu10-220v-6w-4000k-cob-led-ampul-erd-285-6986.jpg?v=1744204734</t>
  </si>
  <si>
    <t>CM3G2P3E2F5J1x10</t>
  </si>
  <si>
    <t>uzun-misir-seffaf-7w-3000k-g9-led-ampul-10lu-erd-289</t>
  </si>
  <si>
    <t>Uzun Mısır Şeffaf 7W 3000K G9 LED Ampul 10'lu ERD-289</t>
  </si>
  <si>
    <t>https://cdn.shopify.com/s/files/1/0914/5896/1709/files/uzun-misir-seffaf-7-w-3000k-g9-led-ampul-erd-289-6962.jpg?v=1744204379</t>
  </si>
  <si>
    <t>CM3G2P3E2F5J1x5</t>
  </si>
  <si>
    <t>uzun-misir-seffaf-7w-3000k-g9-led-ampul-5li-erd-289</t>
  </si>
  <si>
    <t>Uzun Mısır Şeffaf 7W 3000K G9 LED Ampul 5'li ERD-289</t>
  </si>
  <si>
    <t>https://cdn.shopify.com/s/files/1/0914/5896/1709/files/uzun-misir-seffaf-7-w-3000k-g9-led-ampul-erd-289-6965.jpg?v=1744204317</t>
  </si>
  <si>
    <t>CM3G2P3E2F5J1x3</t>
  </si>
  <si>
    <t>uzun-misir-seffaf-7w-3000k-g9-led-ampul-3lu-erd-289</t>
  </si>
  <si>
    <t>Uzun Mısır Şeffaf 7W 3000K G9 LED Ampul 3'lü ERD-289</t>
  </si>
  <si>
    <t>https://cdn.shopify.com/s/files/1/0914/5896/1709/files/uzun-misir-seffaf-7-w-3000k-g9-led-ampul-erd-289-6968.jpg?v=1744204256</t>
  </si>
  <si>
    <t>CF2E1C3M2E8P0x10</t>
  </si>
  <si>
    <t>dekoratif-rustik-armut-led-ampul-e27-st64-6w-6500k-10lu-beyaz-isik-erd-209</t>
  </si>
  <si>
    <t>Dekoratif Rustik Armut LED Ampul E27 ST64 6W 6500K 10'lu Beyaz Işık ERD-209</t>
  </si>
  <si>
    <t>https://cdn.shopify.com/s/files/1/0914/5896/1709/files/dekoratif-rustik-led-armut-ampul-e27-st64-6w-6500k-beyaz-isik-erd-209-6070.jpg?v=1744203954</t>
  </si>
  <si>
    <t>CF2E1C3M2E8P0x5</t>
  </si>
  <si>
    <t>dekoratif-rustik-armut-led-ampul-e27-st64-6w-6500k-beyaz-isik-5li-erd-209</t>
  </si>
  <si>
    <t>Dekoratif Rustik Armut LED Ampul E27 ST64 6W 6500K Beyaz Işık 5'li ERD-209</t>
  </si>
  <si>
    <t>https://cdn.shopify.com/s/files/1/0914/5896/1709/files/dekoratif-rustik-led-armut-ampul-e27-st64-6w-6500k-beyaz-isik-erd-209-6068.jpg?v=1744203904</t>
  </si>
  <si>
    <t>CF2E1C3M2E8P0x3</t>
  </si>
  <si>
    <t>dekoratif-rustik-armut-led-ampul-e27-st64-6w-6500k-beyaz-isik-3lu-erd-209</t>
  </si>
  <si>
    <t>Dekoratif Rustik Armut LED Ampul E27 ST64 6W 6500K Beyaz Işık 3'lü ERD-209</t>
  </si>
  <si>
    <t>https://cdn.shopify.com/s/files/1/0914/5896/1709/files/dekoratif-rustik-led-armut-ampul-e27-st64-6w-6500k-beyaz-isik-erd-209-6056.jpg?v=1744203845</t>
  </si>
  <si>
    <t>CK3G2P3M2D5H0X10</t>
  </si>
  <si>
    <t>smd-led-ampul-g9-5w-3000k-gun-isigi-10lu-erd-268</t>
  </si>
  <si>
    <t>Smd LED Ampul G9 5W 3000k Gün Işığı 10'lu ERD-268</t>
  </si>
  <si>
    <t>https://cdn.shopify.com/s/files/1/0914/5896/1709/files/smd-led-ampul-g9-5w-3000k-gun-isigi-erd-268-6648.jpg?v=1744195869</t>
  </si>
  <si>
    <t>CK3G2P3M2D5H0X5</t>
  </si>
  <si>
    <t>smd-led-ampul-g9-5w-3000k-gun-isigi-5li-erd-268</t>
  </si>
  <si>
    <t>Smd LED Ampul G9 5W 3000k Gün Işığı 5'li ERD-268</t>
  </si>
  <si>
    <t>https://cdn.shopify.com/s/files/1/0914/5896/1709/files/smd-led-ampul-g9-5w-3000k-gun-isigi-erd-268-6646.jpg?v=1744195818</t>
  </si>
  <si>
    <t>CK3G2P3M2D5H0X3</t>
  </si>
  <si>
    <t>smd-led-ampul-g9-5w-3000k-gun-isigi-erd-268</t>
  </si>
  <si>
    <t>Smd LED Ampul G9 5W 3000k Gün Işığı 3'lü ERD-268</t>
  </si>
  <si>
    <t>https://cdn.shopify.com/s/files/1/0914/5896/1709/files/smd-led-ampul-g9-5w-3000k-gun-isigi-erd-268-6644.jpg?v=1744195374</t>
  </si>
  <si>
    <t>CN1E1C3M2G5T0x10</t>
  </si>
  <si>
    <t>heka-filament-rustik-led-ampul-kivrik-uc-8w-3000k-e14-gun-isigi-10lu-erd-36</t>
  </si>
  <si>
    <t>Heka Filament Rustik LED Ampul Kıvrık Uç 8W 3000K E14 Gün Işığı 10'lu ERD-36</t>
  </si>
  <si>
    <t>https://cdn.shopify.com/s/files/1/0914/5896/1709/files/heka-10-lu-filament-rustik-led-ampul-kivrik-uc-8w-3000k-e14-gun-isigi-6587.jpg?v=1744191039</t>
  </si>
  <si>
    <t>CN1E1C3M2G5T0x5</t>
  </si>
  <si>
    <t>heka-5li-filament-rustik-led-ampul-kivrik-uc-8w-3000k-e14-gun-isigi</t>
  </si>
  <si>
    <t>Heka Filament Rustik LED Ampul Kıvrık Uç 8W 3000K E14 Gün Işığı 5'li ERD-36</t>
  </si>
  <si>
    <t>https://cdn.shopify.com/s/files/1/0914/5896/1709/files/heka-5-li-filament-rustik-led-ampul-kivrik-uc-8w-3000k-e14-gun-isigi-2316.png?v=1744190937</t>
  </si>
  <si>
    <t>CN1E1C3M2G5T0x3</t>
  </si>
  <si>
    <t>heka-filament-rustik-led-ampul-kivrik-uc-8w-3000k-e14-gun-isigi-3lu-erd-36</t>
  </si>
  <si>
    <t>Heka Filament Rustik LED Ampul Kıvrık Uç 8W 3000K E14 Gün Işığı 3'lü ERD-36</t>
  </si>
  <si>
    <t>https://cdn.shopify.com/s/files/1/0914/5896/1709/files/heka-3-lu-filament-rustik-led-ampul-kivrik-uc-8w-3000k-e14-gun-isigi-6672.jpg?v=1744190714</t>
  </si>
  <si>
    <t>Erd-35x10</t>
  </si>
  <si>
    <t>heka-rustik-led-ampul-8w-3000k-e14-gun-isigi-10lu-erd-35</t>
  </si>
  <si>
    <t>Heka Rustik LED Ampul 8W 3000K E14 (Gün Işığı) 10'lu ERD-35</t>
  </si>
  <si>
    <t>https://cdn.shopify.com/s/files/1/0914/5896/1709/files/heka-10-lu-rustik-led-ampul-8w-3000k-e14-gun-isigi-5698.jpg?v=1744190476</t>
  </si>
  <si>
    <t>Erd-35x5</t>
  </si>
  <si>
    <t>heka-rustik-led-ampul-8w-3000k-e14-gun-isigi-5li-erd-35</t>
  </si>
  <si>
    <t>Heka Rustik LED Ampul 8W 3000K E14 (Gün Işığı) 5'li ERD-35</t>
  </si>
  <si>
    <t>https://cdn.shopify.com/s/files/1/0914/5896/1709/files/heka-5-li-rustik-led-ampul-8w-3000k-e14-gun-isigi-2320.jpg?v=1744190422</t>
  </si>
  <si>
    <t>Erd-35x3</t>
  </si>
  <si>
    <t>heka-rustik-led-ampul-8w-3000k-e14-gun-isigi-3lu-erd-35</t>
  </si>
  <si>
    <t>Heka Rustik LED Ampul 8W 3000K E14 (Gün Işığı) 3'lü ERD-35</t>
  </si>
  <si>
    <t>https://cdn.shopify.com/s/files/1/0914/5896/1709/files/heka-3-lu-rustik-led-ampul-8w-3000k-e14-gun-isigi-6597.jpg?v=1744190355</t>
  </si>
  <si>
    <t>CE2E1C3M2E8P0x5</t>
  </si>
  <si>
    <t>rustik-led-ampul-e27-g95-6w-6500k-beyaz-isik-5li-erd-47</t>
  </si>
  <si>
    <t>Rustik LED Ampul E27 G95 6W 6500K Beyaz Işık 5'li ERD-46</t>
  </si>
  <si>
    <t>https://cdn.shopify.com/s/files/1/0914/5896/1709/files/rustik-led-ampul-e27-g95-6w-6500k-beyaz-isik-6471_f8363224-9bf9-4e1c-b66f-ee9b6833b6a4.jpg?v=1744189132</t>
  </si>
  <si>
    <t>CE2E1C3M2E8P0x10</t>
  </si>
  <si>
    <t>rustik-led-ampul-e27-g95-6w-6500k-beyaz-isik-10lu-erd-46</t>
  </si>
  <si>
    <t>Rustik LED Ampul E27 G95 6W 6500K Beyaz Işık 10'lu ERD-46</t>
  </si>
  <si>
    <t>https://cdn.shopify.com/s/files/1/0914/5896/1709/files/rustik-led-ampul-e27-g95-6w-6500k-beyaz-isik-6473.jpg?v=1744189031</t>
  </si>
  <si>
    <t>TYCDBD3CA32750FA00</t>
  </si>
  <si>
    <t>rustik-led-ampul-e27-g95-6w-6500k-beyaz-isik-3lu-erd-46</t>
  </si>
  <si>
    <t>Rustik LED Ampul E27 G95 6W 6500K Beyaz Işık 3'lü ERD-46</t>
  </si>
  <si>
    <t>https://cdn.shopify.com/s/files/1/0914/5896/1709/files/rustik-led-ampul-e27-g95-6w-6500k-beyaz-isik-6469.jpg?v=1744188557</t>
  </si>
  <si>
    <t>CF2F1C1M2G3R0X10</t>
  </si>
  <si>
    <t>e27-st64-armut-led-ampul-8w-2500k-gun-isigi-10lu-erd-53</t>
  </si>
  <si>
    <t>E27 St64 Armut LED Ampul 8W 2500K Gün Işığı 10'lu ERD-53</t>
  </si>
  <si>
    <t>https://cdn.shopify.com/s/files/1/0914/5896/1709/files/led-e27-st64-armut-ampul-8w-2500k-gun-isigi-erd-53-6669.jpg?v=1744188375</t>
  </si>
  <si>
    <t>CF2F1C1M2G3R0x5</t>
  </si>
  <si>
    <t>e27-st64-armut-led-ampul-8w-2500k-gun-isigi-5li-erd-53</t>
  </si>
  <si>
    <t>E27 St64 Armut LED Ampul 8W 2500K Gün Işığı 5'li ERD-53</t>
  </si>
  <si>
    <t>https://cdn.shopify.com/s/files/1/0914/5896/1709/files/led-e27-st64-armut-ampul-8w-2500k-gun-isigi-erd-53-6661.jpg?v=1744188315</t>
  </si>
  <si>
    <t>CF2F1C1M2G3R0x3</t>
  </si>
  <si>
    <t>e27-st64-armut-led-ampul-8w-2500k-gun-isigi-3lu-erd-53</t>
  </si>
  <si>
    <t>E27 St64  Armut LED Ampul 8W 2500K Gün Işığı 3'lü ERD-53</t>
  </si>
  <si>
    <t>https://cdn.shopify.com/s/files/1/0914/5896/1709/files/led-e27-st64-armut-ampul-8w-2500k-gun-isigi-erd-53-6665.jpg?v=1744188178</t>
  </si>
  <si>
    <t>CK5G3P3P2E8J1X10</t>
  </si>
  <si>
    <t>gu10-220v-6w-6500k-cob-led-ampul-10lu-erd-286</t>
  </si>
  <si>
    <t>GU10 220V 6W 6500K COB LED Ampul 10'lu ERD-286</t>
  </si>
  <si>
    <t>https://cdn.shopify.com/s/files/1/0914/5896/1709/files/gu10-220v-6w-6500k-cob-led-ampul-erd-286-6998.jpg?v=1744187893</t>
  </si>
  <si>
    <t>CK5G3P3P2E8J1X5</t>
  </si>
  <si>
    <t>gu10-220v-6w-6500k-cob-led-ampul-5li-erd-286</t>
  </si>
  <si>
    <t>GU10 220V 6W 6500K COB LED Ampul 5'li ERD-286</t>
  </si>
  <si>
    <t>https://cdn.shopify.com/s/files/1/0914/5896/1709/files/gu10-220v-6w-6500k-cob-led-ampul-erd-286-6995.jpg?v=1744187800</t>
  </si>
  <si>
    <t>CK5G3P3P2E8J1X3</t>
  </si>
  <si>
    <t>gu10-220v-6w-6500k-cob-led-ampul-3lu-erd-286</t>
  </si>
  <si>
    <t>GU10 220V 6W 6500K COB LED Ampul 3'lü ERD-286</t>
  </si>
  <si>
    <t>https://cdn.shopify.com/s/files/1/0914/5896/1709/files/gu10-220v-6w-6500k-cob-led-ampul-erd-286-6992.jpg?v=1744187746</t>
  </si>
  <si>
    <t>CN1E1C3M2E5Q0x10</t>
  </si>
  <si>
    <t>rustik-e14-led-ampul-kivrik-uc-6w-3000k-gun-isigi-10lu-erd-83</t>
  </si>
  <si>
    <t>Rustik E14 LED Ampul Kıvrık Uç 6W 3000K Gün Işığı 10'lu ERD-83</t>
  </si>
  <si>
    <t>https://cdn.shopify.com/s/files/1/0914/5896/1709/files/led-rustik-e14-ampul-kivrik-uc-6w-3000k-gun-isigi-erd-83-6657.jpg?v=1744187117</t>
  </si>
  <si>
    <t>CN1E1C3M2E5Q0x5</t>
  </si>
  <si>
    <t>rustik-e14-led-ampul-kivrik-uc-6w-3000k-gun-isigi-5li-erd-83</t>
  </si>
  <si>
    <t>Rustik E14 LED Ampul Kıvrık Uç 6W 3000K Gün Işığı 5'li ERD-83</t>
  </si>
  <si>
    <t>https://cdn.shopify.com/s/files/1/0914/5896/1709/files/led-rustik-e14-ampul-kivrik-uc-6w-3000k-gun-isigi-erd-83-6655.jpg?v=1744187061</t>
  </si>
  <si>
    <t>CN1E1C3M2E5Q0x3</t>
  </si>
  <si>
    <t>rustik-e14-led-ampul-kivrik-uc-6w-3000k-gun-isigi-3lu-erd-83</t>
  </si>
  <si>
    <t>Rustik E14 LED Ampul Kıvrık Uç 6W 3000K Gün Işığı 3'lü ERD-83</t>
  </si>
  <si>
    <t>https://cdn.shopify.com/s/files/1/0914/5896/1709/files/led-rustik-e14-ampul-kivrik-uc-6w-3000k-gun-isigi-erd-83-6651.jpg?v=1744187006</t>
  </si>
  <si>
    <t>CD1E1C3M2E9Q0X10</t>
  </si>
  <si>
    <t>3-renkli-led-filament-rustik-ampul-6w-e14-c35-erd-260</t>
  </si>
  <si>
    <t>3 Renkli Filament Rustik LED Ampul 6W E14 C35 10'lu ERD-260</t>
  </si>
  <si>
    <t>https://cdn.shopify.com/s/files/1/0914/5896/1709/files/3-renkli-led-filament-rustik-ampul-6w-e14-c35-erd-260-6948.jpg?v=1744186772</t>
  </si>
  <si>
    <t>CD1E1C3M2E9Q0X5</t>
  </si>
  <si>
    <t>3-renkli-filament-rustik-led-ampul-6w-e14-c35-5li-erd-260</t>
  </si>
  <si>
    <t>3 Renkli Filament Rustik LED Ampul 6W E14 C35 5'li ERD-260</t>
  </si>
  <si>
    <t>https://cdn.shopify.com/s/files/1/0914/5896/1709/files/3-renkli-led-filament-rustik-ampul-6w-e14-c35-erd-260-6952.jpg?v=1744186716</t>
  </si>
  <si>
    <t>CD1E1C3M2E9Q0X3</t>
  </si>
  <si>
    <t>3-renkli-filament-rustik-led-ampul-6w-e14-c35-3lu-erd-260</t>
  </si>
  <si>
    <t>3 Renkli Filament Rustik LED Ampul 6W E14 C35 3'lü ERD-260</t>
  </si>
  <si>
    <t>https://cdn.shopify.com/s/files/1/0914/5896/1709/files/3-renkli-led-filament-rustik-ampul-6w-e14-c35-erd-260-6956.jpg?v=1744186625</t>
  </si>
  <si>
    <t>CD1E1C3M2E7O0x10</t>
  </si>
  <si>
    <t>e14-220v-6w-4000k-filament-led-ampul-10lu-erd-282</t>
  </si>
  <si>
    <t>E14 220V 6W 4000K Filament LED Ampul 10'lu ERD-282</t>
  </si>
  <si>
    <t>https://cdn.shopify.com/s/files/1/0914/5896/1709/files/e14-220v-6w-4000k-filament-led-ampul-erd-282-6642.jpg?v=1744186213</t>
  </si>
  <si>
    <t>CD1E1C3M2E7O0x5</t>
  </si>
  <si>
    <t>e14-220v-6w-4000k-filament-led-ampul-5li-erd-282</t>
  </si>
  <si>
    <t>E14 220V 6W 4000K Filament LED Ampul 5'li ERD-282</t>
  </si>
  <si>
    <t>https://cdn.shopify.com/s/files/1/0914/5896/1709/files/e14-220v-6w-4000k-filament-led-ampul-erd-282-6640.jpg?v=1744186149</t>
  </si>
  <si>
    <t>CD1E1C3M2E7O0x3</t>
  </si>
  <si>
    <t>e14-220v-6w-4000k-filament-led-ampul-3lu-erd-282</t>
  </si>
  <si>
    <t>E14 220V 6W 4000K Filament LED Ampul 3'lü ERD-282</t>
  </si>
  <si>
    <t>https://cdn.shopify.com/s/files/1/0914/5896/1709/files/e14-220v-6w-4000k-filament-led-ampul-erd-282-6638.jpg?v=1744186004</t>
  </si>
  <si>
    <t>CK4G2P4M2D5H0x10</t>
  </si>
  <si>
    <t>smd-led-ampul-5-watt-g4-gun-isigi-10lu-erd-267</t>
  </si>
  <si>
    <t>Smd Led Ampul 5 Watt G4 Gün Işığı 10'lu ERD-267</t>
  </si>
  <si>
    <t>https://cdn.shopify.com/s/files/1/0914/5896/1709/files/smd-led-ampul-5-watt-g4-gun-isigi-erd-267-6803.jpg?v=1743688470</t>
  </si>
  <si>
    <t>CK4G2P4M2D5H0x5</t>
  </si>
  <si>
    <t>smd-led-ampul-5-watt-g4-gun-isigi-5li-erd-267</t>
  </si>
  <si>
    <t>Smd Led Ampul 5 Watt G4 Gün Işığı 5'li ERD-267</t>
  </si>
  <si>
    <t>https://cdn.shopify.com/s/files/1/0914/5896/1709/files/smd-led-ampul-5-watt-g4-gun-isigi-erd-267-6800.jpg?v=1743688458</t>
  </si>
  <si>
    <t>CK4G2P4M2D5H0x3</t>
  </si>
  <si>
    <t>smd-led-ampul-5-watt-g4-gun-isigi-3lu-erd-267</t>
  </si>
  <si>
    <t>Smd Led Ampul 5 Watt G4 Gün Işığı 3'lü ERD-267</t>
  </si>
  <si>
    <t>https://cdn.shopify.com/s/files/1/0914/5896/1709/files/smd-led-ampul-5-watt-g4-gun-isigi-erd-267-6797.jpg?v=1743688446</t>
  </si>
  <si>
    <t>CA2F1C3M2C6H1x5</t>
  </si>
  <si>
    <t>gun-isigi-seffaf-cam-led-filament-ampul-4w-3200k-e27-5li-erd-28</t>
  </si>
  <si>
    <t>Gün Işığı Şeffaf Cam Led Filament Ampul 4w 3200k E27 5'li ERD-28</t>
  </si>
  <si>
    <t>https://cdn.shopify.com/s/files/1/0914/5896/1709/files/gun-isigi-seffaf-cam-led-filament-ampul-4w-3200k-e27-erd-28-6025.jpg?v=1743687563</t>
  </si>
  <si>
    <t>CA2F1C3M2C6H1x3</t>
  </si>
  <si>
    <t>gun-isigi-seffaf-cam-led-filament-ampul-4w-3200k-e27-3lu-erd-28</t>
  </si>
  <si>
    <t>Gün Işığı Şeffaf Cam Led Filament Ampul 4w 3200k E27 3'lü ERD-28</t>
  </si>
  <si>
    <t>https://cdn.shopify.com/s/files/1/0914/5896/1709/files/led-ampul-4w-3200k-e27-gun-isigi-erd-28-6023.jpg?v=1743687553</t>
  </si>
  <si>
    <t>CG1E1C3M2E5Q0X10</t>
  </si>
  <si>
    <t>led-ampul-6w-e14-3000k-gun-isigi-10lu-erd-44</t>
  </si>
  <si>
    <t>Led Ampul 6W E14 3000K Gün Işığı 10'lu ERD-44</t>
  </si>
  <si>
    <t>https://cdn.shopify.com/s/files/1/0914/5896/1709/files/led-ampul-6w-e14-3000kgun-isigi-6893.jpg?v=1743687391</t>
  </si>
  <si>
    <t>CG1E1C3M2E5Q0X5</t>
  </si>
  <si>
    <t>led-ampul-6w-e14-3000kgun-isigi-5li-erd-44</t>
  </si>
  <si>
    <t>Led Ampul 6W E14 3000KGün Işığı 5'li ERD-44</t>
  </si>
  <si>
    <t>https://cdn.shopify.com/s/files/1/0914/5896/1709/files/led-ampul-6w-e14-3000kgun-isigi-6887.jpg?v=1743687381</t>
  </si>
  <si>
    <t>CG1E1C3M2E5Q0X3</t>
  </si>
  <si>
    <t>led-ampul-6w-e14-3000k-gun-isigi-3lu-erd-44</t>
  </si>
  <si>
    <t>Led Ampul 6W E14 3000K Gün Işığı 3'lü ERD-44</t>
  </si>
  <si>
    <t>https://cdn.shopify.com/s/files/1/0914/5896/1709/files/led-ampul-6w-e14-3000kgun-isigi-6878.jpg?v=1743687370</t>
  </si>
  <si>
    <t>CD1F1C1M2E3M0X3</t>
  </si>
  <si>
    <t>rustik-led-ampul-6w-e14-2500k-gun-isigi-3lu-erd-34</t>
  </si>
  <si>
    <t>Rustik Led Ampul 6W E14 2500K Gün Işığı 3'lü ERD-34</t>
  </si>
  <si>
    <t>https://cdn.shopify.com/s/files/1/0914/5896/1709/files/rustik-led-ampul-6w-e14-2500k-gun-isigi-erd-34-6835.jpg?v=1743687076</t>
  </si>
  <si>
    <t>CD1F1C1M2E3M0X5</t>
  </si>
  <si>
    <t>rustik-led-ampul-6w-e14-2500k-gun-isigi-5li-erd-34</t>
  </si>
  <si>
    <t>Rustik Led Ampul 6W E14 2500K Gün Işığı 5'li ERD-34</t>
  </si>
  <si>
    <t>https://cdn.shopify.com/s/files/1/0914/5896/1709/files/erd-34_5.jpg?v=1743690968</t>
  </si>
  <si>
    <t>CD1F1C1M2E3M0X10</t>
  </si>
  <si>
    <t>rustik-led-ampul-6w-e14-2500k-gun-isigi-10lu-erd-34</t>
  </si>
  <si>
    <t>Rustik Led Ampul 6W E14 2500K Gün Işığı 10'lu ERD-34</t>
  </si>
  <si>
    <t>https://cdn.shopify.com/s/files/1/0914/5896/1709/files/rustik-led-ampul-6w-e14-2500k-gun-isigi-erd-34-6819.jpg?v=1743687056</t>
  </si>
  <si>
    <t>CG2E1C3M2E5Q0X10</t>
  </si>
  <si>
    <t>led-filament-rustik-ampul-6-watt-e27-beyaz-isik-10lu-erd-247</t>
  </si>
  <si>
    <t>Led Ampul 6W 3000K E27 (Gün Işığı) 10'lu ERD-42</t>
  </si>
  <si>
    <t>https://cdn.shopify.com/s/files/1/0914/5896/1709/files/led-ampul-6w-3000k-e27-gun-isigi-erd-42-6816.jpg?v=1743686810</t>
  </si>
  <si>
    <t>CG2E1C3M2E5Q0X5</t>
  </si>
  <si>
    <t>led-filament-rustik-ampul-6-watt-e27-beyaz-isik-5li-erd-247</t>
  </si>
  <si>
    <t>Led Ampul 6W 3000K E27 (Gün Işığı) 5'li ERD-42</t>
  </si>
  <si>
    <t>https://cdn.shopify.com/s/files/1/0914/5896/1709/files/led-ampul-6w-3000k-e27-gun-isigi-erd-42-6813.jpg?v=1743686798</t>
  </si>
  <si>
    <t>CG2E1C3M2E5Q0X3</t>
  </si>
  <si>
    <t>led-filament-rustik-ampul-6-watt-e27-beyaz-isik-3lu-erd-247</t>
  </si>
  <si>
    <t>Led Ampul 6W 3000K E27 (Gün Işığı) 3'lü ERD-42</t>
  </si>
  <si>
    <t>https://cdn.shopify.com/s/files/1/0914/5896/1709/files/led-ampul-6w-3000k-e27-gun-isigi-erd-42-6810.jpg?v=1743686786</t>
  </si>
  <si>
    <t>CK1G2P3M2D5H0X10</t>
  </si>
  <si>
    <t>led-ampul-5w-3000k-e14-gun-isigi-10lu-erd-217</t>
  </si>
  <si>
    <t>Led Ampul 5W 3000K E14 (Gün Işığı) 10'lu ERD-217</t>
  </si>
  <si>
    <t>https://cdn.shopify.com/s/files/1/0914/5896/1709/files/led-ampul-5w-3000k-e14-gun-isigi-erd-217-6873.jpg?v=1743686560</t>
  </si>
  <si>
    <t>CK1G2P3M2D5H0X5</t>
  </si>
  <si>
    <t>led-ampul-5w-3000k-e14-gun-isigi-5li-erd-217</t>
  </si>
  <si>
    <t>Led Ampul 5W 3000K E14 (Gün Işığı) 5'li ERD-217</t>
  </si>
  <si>
    <t>https://cdn.shopify.com/s/files/1/0914/5896/1709/files/led-ampul-5w-3000k-e14-gun-isigi-erd-217-6867.jpg?v=1743686548</t>
  </si>
  <si>
    <t>CK1G2P3M2D5H0X3</t>
  </si>
  <si>
    <t>led-ampul-5w-3000k-e14-gun-isigi-3lu-erd-217</t>
  </si>
  <si>
    <t>Led Ampul 5W 3000K E14 (Gün Işığı) 3'lü ERD-217</t>
  </si>
  <si>
    <t>https://cdn.shopify.com/s/files/1/0914/5896/1709/files/led-ampul-5w-3000k-e14-gun-isigi-erd-217-6865.jpg?v=1743686538</t>
  </si>
  <si>
    <t>CN1E1C3M2E8Q0X10</t>
  </si>
  <si>
    <t>dekoratif-kivrik-buji-mum-avize-ampulu-6w-e14-6500k-beyaz-isik-10lu-erd-94</t>
  </si>
  <si>
    <t>Dekoratif Kıvrık Buji Mum Avize Ampulü 6W E14 6500K Beyaz Işık 10'lu ERD-94</t>
  </si>
  <si>
    <t>https://cdn.shopify.com/s/files/1/0914/5896/1709/files/dekoratif-kivrik-buji-mum-avize-ampulu-6w-e14-6500k-beyaz-isik-erd-94-6046.jpg?v=1743686194</t>
  </si>
  <si>
    <t>CN1E1C3M2E8Q0x5</t>
  </si>
  <si>
    <t>dekoratif-kivrik-buji-mum-avize-ampulu-6w-e14-6500k-beyaz-isik-5li-erd-94</t>
  </si>
  <si>
    <t>Dekoratif Kıvrık Buji Mum Avize Ampulü 6W E14 6500K Beyaz Işık 5'li ERD-94</t>
  </si>
  <si>
    <t>https://cdn.shopify.com/s/files/1/0914/5896/1709/files/dekoratif-kivrik-buji-mum-avize-ampulu-6w-e14-6500k-beyaz-isik-erd-94-6044.jpg?v=1743686184</t>
  </si>
  <si>
    <t>CN1E1C3M2E8Q0x3</t>
  </si>
  <si>
    <t>dekoratif-kivrik-buji-mum-avize-ampulu-6w-e14-6500k-beyaz-isik-3lu-erd-94</t>
  </si>
  <si>
    <t>Dekoratif Kıvrık Buji Mum Avize Ampulü 6W E14 6500K Beyaz Işık 3'lü ERD-94</t>
  </si>
  <si>
    <t>https://cdn.shopify.com/s/files/1/0914/5896/1709/files/dekoratif-kivrik-buji-mum-avize-ampulu-6w-e14-6500k-beyaz-isik-erd-94-6042.jpg?v=1743686174</t>
  </si>
  <si>
    <t>CE2F1C1M2E3M0X3</t>
  </si>
  <si>
    <t>rustik-led-ampul-e27-g95-6w-2500k-gun-isigi-3lu-erd-82</t>
  </si>
  <si>
    <t>Rustik Led Ampul E27 G95 6W 2500K Gün Işığı 3'lü ERD-82</t>
  </si>
  <si>
    <t>https://cdn.shopify.com/s/files/1/0914/5896/1709/files/rustik-led-ampul-e27-g95-6w-2500k-gun-isigi-erd-82-6923.jpg?v=1743684725</t>
  </si>
  <si>
    <t>CE2F1C1M2E3M0X5</t>
  </si>
  <si>
    <t>rustik-led-ampul-e27-g95-6w-2500k-gun-isigi-5li-erd-82</t>
  </si>
  <si>
    <t>Rustik Led Ampul E27 G95 6W 2500K Gün Işığı 5'li ERD-82</t>
  </si>
  <si>
    <t>https://cdn.shopify.com/s/files/1/0914/5896/1709/files/rustik-led-ampul-e27-g95-6w-2500k-gun-isigi-erd-82-6920.jpg?v=1743684713</t>
  </si>
  <si>
    <t>CE2F1C1M2E3M0X10</t>
  </si>
  <si>
    <t>rustik-led-ampul-e27-g95-6w-2500k-gun-isigi-10lu-erd-82</t>
  </si>
  <si>
    <t>Rustik Led Ampul E27 G95 6W 2500K Gün Işığı 10'lu ERD-82</t>
  </si>
  <si>
    <t>https://cdn.shopify.com/s/files/1/0914/5896/1709/files/rustik-led-ampul-e27-g95-6w-2500k-gun-isigi-erd-82-6917.jpg?v=1743684700</t>
  </si>
  <si>
    <t>CD1E1C3M2E8Q0x10</t>
  </si>
  <si>
    <t>dekoratif-mum-led-avize-ampulu-rustik-e14-6w-6500k-beyaz-isik-10lu-erd-93</t>
  </si>
  <si>
    <t>Dekoratif Mum Led Avize Ampulü Rustik E14 6W 6500K Beyaz Işık 10'lu ERD-93</t>
  </si>
  <si>
    <t>https://cdn.shopify.com/s/files/1/0914/5896/1709/files/dekoratif-mum-led-avize-ampulu-rustik-e14-6w-6500k-beyaz-isik-erd-93-6076.jpg?v=1743682886</t>
  </si>
  <si>
    <t>CD1E1C3M2E8Q0x5</t>
  </si>
  <si>
    <t>dekoratif-mum-led-avize-ampulu-rustik-e14-6w-6500k-beyaz-isik-5li-erd-93</t>
  </si>
  <si>
    <t>Dekoratif Mum Led Avize Ampulü Rustik E14 6W 6500K Beyaz Işık 5'li ERD-93</t>
  </si>
  <si>
    <t>https://cdn.shopify.com/s/files/1/0914/5896/1709/files/dekoratif-mum-led-avize-ampulu-rustik-e14-6w-6500k-beyaz-isik-erd-93-6074.jpg?v=1743682875</t>
  </si>
  <si>
    <t>CD1E1C3M2E8Q0x3</t>
  </si>
  <si>
    <t>dekoratif-mum-led-avize-ampulu-rustik-e14-6w-6500k-beyaz-isik-3lu-erd-93</t>
  </si>
  <si>
    <t>Dekoratif Mum Led Avize Ampulü Rustik E14 6W 6500K Beyaz Işık 3'lü ERD-93</t>
  </si>
  <si>
    <t>https://cdn.shopify.com/s/files/1/0914/5896/1709/files/dekoratif-mum-led-avize-ampulu-rustik-e14-6w-6500k-beyaz-isik-erd-93-6072.jpg?v=1743682865</t>
  </si>
  <si>
    <t>CF2E1C3M2E4P0X10</t>
  </si>
  <si>
    <t>led-e27-st64-ampul-6w-2700k-gun-isigi-10lu-erd-85</t>
  </si>
  <si>
    <t>LED E27 ST64 Ampul 6W 2700K Gün Işığı 10'lu Erd-85</t>
  </si>
  <si>
    <t>https://cdn.shopify.com/s/files/1/0914/5896/1709/files/led-e27-st64-ampul-6w-2700k-gun-isigi-erd-85-6914.jpg?v=1743682854</t>
  </si>
  <si>
    <t>CF2E1C3M2E4P0X5</t>
  </si>
  <si>
    <t>led-e27-st64-ampul-6w-2700k-gun-isigi-5li-erd-85</t>
  </si>
  <si>
    <t>Led E27 St64 Ampul 6W 2700K Gün Işığı 5'li ERD-85</t>
  </si>
  <si>
    <t>https://cdn.shopify.com/s/files/1/0914/5896/1709/files/led-e27-st64-ampul-6w-2700k-gun-isigi-erd-85-6908.jpg?v=1743682844</t>
  </si>
  <si>
    <t>CF2E1C3M2E4P0X3</t>
  </si>
  <si>
    <t>led-e27-st64-ampul-6w-2700k-gun-isigi-3lu-erd-85</t>
  </si>
  <si>
    <t>Led E27 St64 Ampul 6W 2700K Gün Işığı 3'lü ERD-85</t>
  </si>
  <si>
    <t>https://cdn.shopify.com/s/files/1/0914/5896/1709/files/led-e27-st64-ampul-6w-2700k-gun-isigi-erd-85-6902.jpg?v=1743682831</t>
  </si>
  <si>
    <t>CF2F1C1M2E3M0X5</t>
  </si>
  <si>
    <t>led-e27-st64-ampul-6w-2500k-gun-isigi-5li-erd-81</t>
  </si>
  <si>
    <t>Heka E27 ST64 LED Ampul 6W 2500K (Gün Işığı) 5'li Erd-81</t>
  </si>
  <si>
    <t>https://cdn.shopify.com/s/files/1/0914/5896/1709/files/led-e27-st64-ampul-6w-2500k-gun-isigi-erd-81-6853.jpg?v=1743682819</t>
  </si>
  <si>
    <t>CF2F1C1M2E3M0X10</t>
  </si>
  <si>
    <t>led-e27-st64-ampul-6w-2500k-gun-isigi-10lu-erd-81</t>
  </si>
  <si>
    <t>Heka E27 St64 LED Ampul 6W 2500K (Gün Işığı) 10'lu ERD-81</t>
  </si>
  <si>
    <t>https://cdn.shopify.com/s/files/1/0914/5896/1709/files/led-e27-st64-ampul-6w-2500k-gun-isigi-erd-81-6848.jpg?v=1743682806</t>
  </si>
  <si>
    <t>CF2F1C1M2E3M0X3</t>
  </si>
  <si>
    <t>led-e27-st64-ampul-6w-2500k-gun-isigi-3lu-erd-81</t>
  </si>
  <si>
    <t>Heka E27 St64 LED Ampul 6W 2500K (Gün Işığı) 3'lü ERD-81</t>
  </si>
  <si>
    <t>https://cdn.shopify.com/s/files/1/0914/5896/1709/files/led-e27-st64-ampul-6w-2500k-gun-isigi-erd-81-6841.jpg?v=1743682796</t>
  </si>
  <si>
    <t>CA2E1C3M2E5P0</t>
  </si>
  <si>
    <t>heka-led-rustik-ampul-e27-6w-3000k-gun-isigi-erd-96</t>
  </si>
  <si>
    <t>Heka Led Rustik Ampul E27 6W 3000K Gün Işığı ERD-95</t>
  </si>
  <si>
    <t>https://cdn.shopify.com/s/files/1/0914/5896/1709/files/heka-led-rustik-ampul-e27-6w-3000k-gun-isigi-erd-95-6687_9203d275-d789-417a-89c6-5133511c7250.jpg?v=1743681478</t>
  </si>
  <si>
    <t>CD1E1C3M2E5Q0x10</t>
  </si>
  <si>
    <t>dekoratif-mum-led-avize-ampulu-6w-3000k-e14-gun-isigi-10lu-erd-92</t>
  </si>
  <si>
    <t>Dekoratif Mum Led Avize Ampulü 6W 3000K E14 Gün Işığı 10'LÜ ERD-92</t>
  </si>
  <si>
    <t>https://cdn.shopify.com/s/files/1/0914/5896/1709/files/dekoratif-mum-led-avize-ampulu-6w-3000k-e14-gun-isigi-erd-92-6064.jpg?v=1743663311</t>
  </si>
  <si>
    <t>CD1E1C3M2E5Q0x5</t>
  </si>
  <si>
    <t>dekoratif-mum-led-avize-ampulu-6w-3000k-e14-gun-isigi-5li̇-erd-92</t>
  </si>
  <si>
    <t>Dekoratif Mum Led Avize Ampulü 6W 3000K E14 Gün Işığı 5'Lİ ERD-92</t>
  </si>
  <si>
    <t>https://cdn.shopify.com/s/files/1/0914/5896/1709/files/dekoratif-mum-led-avize-ampulu-6w-3000k-e14-gun-isigi-erd-92-6062.jpg?v=1743663301</t>
  </si>
  <si>
    <t>CD1E1C3M2E5Q0x3</t>
  </si>
  <si>
    <t>dekoratif-mum-led-avize-ampulu-6w-3000k-e14-gun-isigi-3lu-erd-92</t>
  </si>
  <si>
    <t>Dekoratif Mum Led Avize Ampulü 6W 3000K E14 Gün Işığı 3'lü ERD-92</t>
  </si>
  <si>
    <t>https://cdn.shopify.com/s/files/1/0914/5896/1709/files/dekoratif-mum-led-avize-ampulu-6w-3000k-e14-gun-isigi-3-lu-erd-92-6060.jpg?v=1743663290</t>
  </si>
  <si>
    <t>CA2E1C3M2E9R0X3</t>
  </si>
  <si>
    <t>3-renkli-led-filament-rustik-ampul-6w-e27-a60-3lu-erd-261</t>
  </si>
  <si>
    <t>3 Renkli Led Filament Rustik Ampul 6W E27 A60 3'lü ERD-261</t>
  </si>
  <si>
    <t>https://cdn.shopify.com/s/files/1/0914/5896/1709/files/3-renkli-led-filament-rustik-ampul-6w-e27-a60-erd-261-6943.jpg?v=1743603314</t>
  </si>
  <si>
    <t>CA2E1C3M2E9R0X5</t>
  </si>
  <si>
    <t>3-renkli-led-filament-rustik-ampul-6w-e27-a60-5li-erd-261</t>
  </si>
  <si>
    <t>3 Renkli Led Filament Rustik Ampul 6W E27 A60 5'li ERD-261</t>
  </si>
  <si>
    <t>https://cdn.shopify.com/s/files/1/0914/5896/1709/files/3-renkli-led-filament-rustik-ampul-6w-e27-a60-erd-261-6939.jpg?v=1743603298</t>
  </si>
  <si>
    <t>CA2E1C3M2E9R0X10</t>
  </si>
  <si>
    <t>3-renkli-led-filament-rustik-ampul-6w-e27-a60-10lu-erd-261</t>
  </si>
  <si>
    <t>3 Renkli Led Filament Rustik Ampul 6W E27 A60 10'lu ERD-261</t>
  </si>
  <si>
    <t>https://cdn.shopify.com/s/files/1/0914/5896/1709/files/3-renkli-led-filament-rustik-ampul-6w-e27-a60-erd-261-6935.jpg?v=1743660473</t>
  </si>
  <si>
    <t>CN1F1C3M2C6H1x10</t>
  </si>
  <si>
    <t>dekoratif-kivrik-buji-mum-led-avize-ampulu-4w-3200k-e14-gun-isigi-10lu-erd-23</t>
  </si>
  <si>
    <t>Dekoratif Kıvrık Buji Mum Led Avize Ampulü 4w 3200k E14 Gün Işığı 10'lu ERD-23</t>
  </si>
  <si>
    <t>https://cdn.shopify.com/s/files/1/0914/5896/1709/files/dekoratif-kivrik-buji-mum-led-avize-ampulu-4w-3200k-e14-gun-isigi-erd-23-6054.jpg?v=1743601165</t>
  </si>
  <si>
    <t>CN1F1C3M2C6H1x5</t>
  </si>
  <si>
    <t>dekoratif-kivrik-buji-mum-led-avize-ampulu-4w-3200k-e14-gun-isigi-5li-erd-23</t>
  </si>
  <si>
    <t>Dekoratif Kıvrık Buji Mum Led Avize Ampulü 4w 3200k E14 Gün Işığı 5'li ERD-23</t>
  </si>
  <si>
    <t>https://cdn.shopify.com/s/files/1/0914/5896/1709/files/dekoratif-kivrik-buji-mum-led-avize-ampulu-4w-3200k-e14-gun-isigi-erd-23-6052.jpg?v=1743601152</t>
  </si>
  <si>
    <t>CN1F1C3M2C6H1x3</t>
  </si>
  <si>
    <t>dekoratif-kivrik-buji-mum-led-avize-ampulu-4w-3200k-e14-gun-isigi-3lu-erd-23</t>
  </si>
  <si>
    <t>Dekoratif Kıvrık Buji Mum Led Avize Ampulü 4w 3200k E14 Gün Işığı 3'lü ERD-23</t>
  </si>
  <si>
    <t>https://cdn.shopify.com/s/files/1/0914/5896/1709/files/dekoratif-kivrik-buji-mum-led-avize-ampulu-4w-3200k-e14-gun-isigi-erd-23-6048.jpg?v=1743601140</t>
  </si>
  <si>
    <t>CA2E1C3M2E5P0x10</t>
  </si>
  <si>
    <t>heka-led-rustik-ampul-e27-6w-3000k-gun-isigi-10lu-erd-95</t>
  </si>
  <si>
    <t>Heka Led Rustik Ampul E27 6W 3000K Gün Işığı 10'lu ERD-95</t>
  </si>
  <si>
    <t>https://cdn.shopify.com/s/files/1/0914/5896/1709/files/led-rustik-ampul-e27-6w-3000k-gun-isigi-erd-95-5983.jpg?v=1741867613</t>
  </si>
  <si>
    <t>CA2E1C3M2E5P0x5</t>
  </si>
  <si>
    <t>heka-led-rustik-ampul-e27-6w-3000k-gun-isigi-5li-erd-95</t>
  </si>
  <si>
    <t>Heka Led Rustik Ampul E27 6W 3000K Gün Işığı 5'li ERD-95</t>
  </si>
  <si>
    <t>https://cdn.shopify.com/s/files/1/0914/5896/1709/files/heka-led-rustik-ampul-e27-6w-3000k-gun-isigi-5-li-erd-95-6080.jpg?v=1741867611</t>
  </si>
  <si>
    <t>CA2E1C3M2E5P0x3</t>
  </si>
  <si>
    <t>heka-led-rustik-ampul-e27-6w-3000k-gun-isigi-3lu-erd-95</t>
  </si>
  <si>
    <t>Heka Led Rustik Ampul E27 6W 3000K Gün Işığı 3'lü ERD-95</t>
  </si>
  <si>
    <t>https://cdn.shopify.com/s/files/1/0914/5896/1709/files/led-rustik-ampul-e27-6w-3000k-gun-isigi-erd-95-5979.jpg?v=1741867609</t>
  </si>
  <si>
    <t>H1C6BCSJMG0-018</t>
  </si>
  <si>
    <t>harran-akrilik-sarkit-avize</t>
  </si>
  <si>
    <t>Harran Akrilik Sarkıt Avize</t>
  </si>
  <si>
    <t>https://cdn.shopify.com/s/files/1/0914/5896/1709/files/dekoratif-akrilik-sarkit-aydinlatma-2861.jpg?v=1741867604</t>
  </si>
  <si>
    <t>L1T6JMGLCTJ-031</t>
  </si>
  <si>
    <t>selis-di̇mmerli̇-sarjli-sapkali-altin-masa-lambasi</t>
  </si>
  <si>
    <t>SELIS DİMMERLİ ŞARJLI ŞAPKALI ALTIN MASA LAMBASI</t>
  </si>
  <si>
    <t>https://cdn.shopify.com/s/files/1/0914/5896/1709/files/selis-dimmerli-sarjli-sapkali-altin-masa-lambasi-6399.jpg?v=1741867589</t>
  </si>
  <si>
    <t>L1T6JMKLCTJ-031</t>
  </si>
  <si>
    <t>selis-di̇mmerli̇-sarjli-sapkali-krom-masa-lambasi</t>
  </si>
  <si>
    <t>SELIS DİMMERLİ ŞARJLI ŞAPKALI KROM MASA LAMBASI</t>
  </si>
  <si>
    <t>https://cdn.shopify.com/s/files/1/0914/5896/1709/files/selis-dimmerli-sarjli-sapkali-krom-masa-lambasi-6409.jpg?v=1741867575</t>
  </si>
  <si>
    <t>T1C1JMKERFR-050</t>
  </si>
  <si>
    <t>mi̇na-12-li̇-fume-cam-krom-salon-avi̇ze</t>
  </si>
  <si>
    <t>MİNA 12 Lİ FÜME CAM KROM SALON AVİZE</t>
  </si>
  <si>
    <t>https://cdn.shopify.com/s/files/1/0914/5896/1709/files/mina-12-li-fume-cam-krom-salon-avize-5916.jpg?v=1741867573</t>
  </si>
  <si>
    <t>H1C6JMELCT0-053</t>
  </si>
  <si>
    <t>kula-cember-eskitme-uclu-led-sarkit-52cm</t>
  </si>
  <si>
    <t>Kula Çember Eskitme Üçlü Led Sarkıt 52cm</t>
  </si>
  <si>
    <t>https://cdn.shopify.com/s/files/1/0914/5896/1709/files/kula-cember-eskitme-led-sarkit-5806.jpg?v=1741867571</t>
  </si>
  <si>
    <t>H1C6JMELCT0-032</t>
  </si>
  <si>
    <t>kula-cember-eskitme-tekli-led-sarkit-32cm</t>
  </si>
  <si>
    <t>Kula Çember Eskitme Tekli Led Sarkıt 32cm</t>
  </si>
  <si>
    <t>https://cdn.shopify.com/s/files/1/0914/5896/1709/files/kula-tekli-cember-eskitme-led-sarkit-32cm-5405.jpg?v=1741867569</t>
  </si>
  <si>
    <t>H1C6JMELCT0-052</t>
  </si>
  <si>
    <t>kula-cember-eskitme-i̇kili-led-sarkit-52cm</t>
  </si>
  <si>
    <t>Kula Çember Eskitme İkili Led Sarkıt 52cm</t>
  </si>
  <si>
    <t>https://cdn.shopify.com/s/files/1/0914/5896/1709/files/kula-cember-eskitme-led-sarkit-5804.jpg?v=1741867566</t>
  </si>
  <si>
    <t>H1C2JMEERL0-029</t>
  </si>
  <si>
    <t>velvet-eski̇tme-i̇ki̇li̇-glop-bal-camli-sarkit-avi̇ze</t>
  </si>
  <si>
    <t>VELVET ESKİTME İKİLİ GLOP BAL CAMLI SARKIT AVİZE</t>
  </si>
  <si>
    <t>https://cdn.shopify.com/s/files/1/0914/5896/1709/files/velvet-eskitme-ikili-glop-bal-camli-sarkit-avize-6234.jpg?v=1741867557</t>
  </si>
  <si>
    <t>H1C2JMEERL0-014</t>
  </si>
  <si>
    <t>rubi̇s-eski̇tme-tekli̇-glop-bal-camli-sarkit-avi̇ze</t>
  </si>
  <si>
    <t>RUBİS ESKİTME TEKLİ GLOP BAL CAMLI SARKIT AVİZE</t>
  </si>
  <si>
    <t>https://cdn.shopify.com/s/files/1/0914/5896/1709/files/rubis-eskitme-tekli-glop-bal-camli-sarkit-avize-6258.jpg?v=1741867550</t>
  </si>
  <si>
    <t>H1C2JMEERL0-036</t>
  </si>
  <si>
    <t>rubi̇s-eski̇tme-uclu-glop-bal-camli-sarkit-avi̇ze</t>
  </si>
  <si>
    <t>RUBİS ESKİTME ÜÇLÜ GLOP BAL CAMLI SARKIT AVİZE</t>
  </si>
  <si>
    <t>https://cdn.shopify.com/s/files/1/0914/5896/1709/files/rubis-eskitme-uclu-glop-bal-camli-sarkit-avize-6215.jpg?v=1741867539</t>
  </si>
  <si>
    <t>H1C2JMEECT0-036</t>
  </si>
  <si>
    <t>rubi̇s-eski̇tme-uclu-glop-beyaz-camli-sarkit-avi̇ze</t>
  </si>
  <si>
    <t>RUBİS ESKİTME ÜÇLÜ GLOP BEYAZ CAMLI SARKIT AVİZE</t>
  </si>
  <si>
    <t>https://cdn.shopify.com/s/files/1/0914/5896/1709/files/rubis-eskitme-uclu-glop-beyaz-camli-sarkit-avize-6224.jpg?v=1741867531</t>
  </si>
  <si>
    <t>H1C2JMEERL0-032</t>
  </si>
  <si>
    <t>rubi̇s-eski̇tme-i̇ki̇li̇-glop-bal-camli-sarkit-avi̇ze</t>
  </si>
  <si>
    <t>RUBİS ESKİTME İKİLİ GLOP BAL CAMLI SARKIT AVİZE</t>
  </si>
  <si>
    <t>https://cdn.shopify.com/s/files/1/0914/5896/1709/files/rubis-eskitme-ikili-glop-bal-camli-sarkit-avize-6248.jpg?v=1741867521</t>
  </si>
  <si>
    <t>HX-1</t>
  </si>
  <si>
    <t>bal-tekli-cam-avize</t>
  </si>
  <si>
    <t>BAL TEKLİ CAM AVİZE</t>
  </si>
  <si>
    <t>https://cdn.shopify.com/s/files/1/0914/5896/1709/files/hx-1-tekli-cam-avize-bal-1-6088.jpg?v=1741867519</t>
  </si>
  <si>
    <t>H1C2JMEECT0-029</t>
  </si>
  <si>
    <t>velvet-eskitme-ikili-glop-beyaz-camli-sarkit-avize</t>
  </si>
  <si>
    <t>VELVET ESKİTME İKİLİ GLOP BEYAZ CAMLI SARKIT AVİZE</t>
  </si>
  <si>
    <t>https://cdn.shopify.com/s/files/1/0914/5896/1709/files/velvet-eskitme-ikili-glop-beyaz-camli-sarkit-avize-6228.jpg?v=1741867509</t>
  </si>
  <si>
    <t>H1C2JMEECT0-031</t>
  </si>
  <si>
    <t>elegan-eskitme-ikili-glop-beyaz-camli-sarkit-avize</t>
  </si>
  <si>
    <t>ELEGAN ESKİTME İKİLİ GLOP BEYAZ CAMLI SARKIT AVİZE</t>
  </si>
  <si>
    <t>https://cdn.shopify.com/s/files/1/0914/5896/1709/files/elegan-eskitme-ikili-glop-beyaz-camli-sarkit-avize-6205.jpg?v=1741867500</t>
  </si>
  <si>
    <t>H1C2JMEECT0-032</t>
  </si>
  <si>
    <t>rubi̇s-eski̇tme-tekli̇-glop-beyaz-camli-sarkit-avi̇ze</t>
  </si>
  <si>
    <t>RUBİS ESKİTME İKİLİ GLOP BEYAZ CAMLI SARKIT AVİZE</t>
  </si>
  <si>
    <t>https://cdn.shopify.com/s/files/1/0914/5896/1709/files/rubis-eskitme-ikili-glop-beyaz-camli-sarkit-avize-6240.jpg?v=1741867491</t>
  </si>
  <si>
    <t>H1C2JMEECT0-016</t>
  </si>
  <si>
    <t>rubis-eskitme-tekli-glop-beyaz-camli-sarkit-avize</t>
  </si>
  <si>
    <t>RUBİS ESKİTME TEKLİ GLOP BEYAZ CAMLI SARKIT AVİZE</t>
  </si>
  <si>
    <t>https://cdn.shopify.com/s/files/1/0914/5896/1709/files/rubis-eskitme-tekli-glop-beyaz-camli-sarkit-avize-6252.jpg?v=1741867483</t>
  </si>
  <si>
    <t>H1C6JMELCT0-100</t>
  </si>
  <si>
    <t>kula-cember-eskitme-dortlu-led-sarkit-100cm</t>
  </si>
  <si>
    <t>Kula Çember Eskitme Dörtlü Led Sarkıt 100cm</t>
  </si>
  <si>
    <t>https://cdn.shopify.com/s/files/1/0914/5896/1709/files/kula-dortlu-cember-eskitme-led-sarkit-5403.jpg?v=1741867481</t>
  </si>
  <si>
    <t>CE2E1C3M2E4P0</t>
  </si>
  <si>
    <t>heka-rustik-led-ampul-e27-g95-6w-2700k-gun-isigi-erd-88</t>
  </si>
  <si>
    <t>Heka Rustik Led Ampul E27 G95 6W 2700K Gün Işığı ERD-88</t>
  </si>
  <si>
    <t>https://cdn.shopify.com/s/files/1/0914/5896/1709/files/heka-rustik-led-ampul-e27-g95-6w-2700k-gun-isigi-4834.jpg?v=1741867478</t>
  </si>
  <si>
    <t>CK3G2P3M2D5H0</t>
  </si>
  <si>
    <t>heka-smd-led-ampul-g9-5w-3000k-gun-isigi-erd-268</t>
  </si>
  <si>
    <t>Heka Smd Led Ampul G9 5W 3000k Gün Işığı ERD-268</t>
  </si>
  <si>
    <t>https://cdn.shopify.com/s/files/1/0914/5896/1709/files/heka-smd-led-ampul-g9-5w-3000k-gun-isigi-5620.jpg?v=1741867475</t>
  </si>
  <si>
    <t>CF2F1C1M2G3R0</t>
  </si>
  <si>
    <t>heka-led-e27-st64-ampul-8w-2500k-gun-isigi-erd-53</t>
  </si>
  <si>
    <t>Heka Led E27 St64 Ampul 8W 2500K Gün Işığı ERD-53</t>
  </si>
  <si>
    <t>https://cdn.shopify.com/s/files/1/0914/5896/1709/files/heka-led-e27-st64-ampul-8w-2500k-gun-isigi-erd-53-6617.jpg?v=1741867471</t>
  </si>
  <si>
    <t>CK5G3P3P2E5J1</t>
  </si>
  <si>
    <t>gu10-220v-6w-3000k-cob-led-ampul-erd-284</t>
  </si>
  <si>
    <t>GU10 220V 6W 3000K COB LED AMPUL ERD-284</t>
  </si>
  <si>
    <t>https://cdn.shopify.com/s/files/1/0914/5896/1709/files/erd-284-gu10-220v-6w-3000k-cob-led-ampul-5814.jpg?v=1741867468</t>
  </si>
  <si>
    <t>CD1E1C3M2G5T0</t>
  </si>
  <si>
    <t>heka-rustik-led-ampul-8w-3000k-e14-gun-isigi-erd-35</t>
  </si>
  <si>
    <t>Heka Rustik Led Ampul 8W 3000K E14 (Gün Işığı) ERD-35</t>
  </si>
  <si>
    <t>https://cdn.shopify.com/s/files/1/0914/5896/1709/files/heka-rustik-led-ampul-8w-3000k-e14-gun-isigi-4795.jpg?v=1741867465</t>
  </si>
  <si>
    <t>CN1E1C3M2G5T0</t>
  </si>
  <si>
    <t>heka-rustik-led-ampul-8w-3000k-e14-gun-isigi-erd-36</t>
  </si>
  <si>
    <t>Heka Rustik Led Ampul 8W 3000K E14 Gün Işığı ERD-36</t>
  </si>
  <si>
    <t>https://cdn.shopify.com/s/files/1/0914/5896/1709/files/heka-rustik-led-ampul-8w-3000k-e14-gun-isigi-4794.jpg?v=1741867461</t>
  </si>
  <si>
    <t>CA2E1C3M2E7O0</t>
  </si>
  <si>
    <t>heka-e27-220v-6w-4000k-fi̇lament-led-ampul-erd-283</t>
  </si>
  <si>
    <t>HEKA E27 220V 6W 4000K FİLAMENT LED AMPUL ERD-283</t>
  </si>
  <si>
    <t>https://cdn.shopify.com/s/files/1/0914/5896/1709/files/erd-283-e27-220v-6w-4000k-filament-led-ampul-5812.jpg?v=1741867460</t>
  </si>
  <si>
    <t>CK4G2S3M3A551</t>
  </si>
  <si>
    <t>seffaf-12v-2w-3000k-g4-smd-led-ampul-erd-276</t>
  </si>
  <si>
    <t>Şeffaf 12V 2W 3000K G4 SMD LED Ampul ERD-276</t>
  </si>
  <si>
    <t>https://cdn.shopify.com/s/files/1/0914/5896/1709/files/erd-276-seffaf-12v-2w-3000k-g4-led-ampul-5808.jpg?v=1741867456</t>
  </si>
  <si>
    <t>CE2E1C3M2E8P0</t>
  </si>
  <si>
    <t>heka-rustik-led-ampul-e27-g95-6w-6500k-beyaz-isik-erd-46</t>
  </si>
  <si>
    <t>Heka Rustik Led Ampul E27 G95 6W 6500K Beyaz Işık ERD-46</t>
  </si>
  <si>
    <t>https://cdn.shopify.com/s/files/1/0914/5896/1709/files/heka-rustik-led-ampul-e27-g95-6w-6500k-beyaz-isik-4833.jpg?v=1741867453</t>
  </si>
  <si>
    <t>CE2F1C1M2G3R0</t>
  </si>
  <si>
    <t>heka-rustik-led-ampul-e27-g95-8w-2500k-gun-isigi-erd-86</t>
  </si>
  <si>
    <t>Heka Rustik Led Ampul E27 G95 8W 2500K Gün Işığı ERD-86</t>
  </si>
  <si>
    <t>https://cdn.shopify.com/s/files/1/0914/5896/1709/files/heka-rustik-led-ampul-e27-g95-8w-2500k-gun-isigi-4831.jpg?v=1741867449</t>
  </si>
  <si>
    <t>CL2F1C1M2G3R0</t>
  </si>
  <si>
    <t>heka-rustik-led-cubuk-ampul-e27-8w-2500k-gun-isigi-erd-38</t>
  </si>
  <si>
    <t>Heka Rustik Led Çubuk Ampul E27 8W 2500K Gün Işığı ERD-38</t>
  </si>
  <si>
    <t>https://cdn.shopify.com/s/files/1/0914/5896/1709/files/heka-rustik-led-cubuk-ampul-e27-8w-2500k-gun-isigi-4829.jpg?v=1741867445</t>
  </si>
  <si>
    <t>CK3G2P4M2B5B1</t>
  </si>
  <si>
    <t>heka-smd-led-ampul-g9-3w-3000k-gun-isigi-erd-263</t>
  </si>
  <si>
    <t>Heka Smd Led Ampul G9 3W 3000k Gün Işığı ERD-263</t>
  </si>
  <si>
    <t>https://cdn.shopify.com/s/files/1/0914/5896/1709/files/heka-smd-led-ampul-g9-3w-3000k-gun-isigi-5618.jpg?v=1741867442</t>
  </si>
  <si>
    <t>CP1F2P4M2F5N0</t>
  </si>
  <si>
    <t>heka-smd-led-ampul-e14-7w-3000k-gun-isigi-erd-256</t>
  </si>
  <si>
    <t>Heka Smd Led Ampul E14 7W 3000K Gün Işığı ERD-256</t>
  </si>
  <si>
    <t>https://cdn.shopify.com/s/files/1/0914/5896/1709/files/heka-smd-led-ampul-e14-7w-3000k-gun-isigi-2636.jpg?v=1741867433</t>
  </si>
  <si>
    <t>CF2E1C3M2E8P0</t>
  </si>
  <si>
    <t>heka-rustik-led-ampul-e27-st64-6w-6500k-beyaz-isik-erd-209</t>
  </si>
  <si>
    <t>Heka Rustik Led Ampul E27 ST64 6W 6500K Beyaz Işık ERD-209</t>
  </si>
  <si>
    <t>https://cdn.shopify.com/s/files/1/0914/5896/1709/files/heka-rustik-led-ampul-e27-st64-6w-6500k-beyaz-isik-4835.jpg?v=1741867430</t>
  </si>
  <si>
    <t>T1C2ERFJRS0-037</t>
  </si>
  <si>
    <t>vega-tekli-fume-cam-avize</t>
  </si>
  <si>
    <t>VEGA TEKLİ FÜME CAM AVİZE</t>
  </si>
  <si>
    <t>https://cdn.shopify.com/s/files/1/0914/5896/1709/files/vega-tekli-fume-cam-avize-6321.jpg?v=1742886669</t>
  </si>
  <si>
    <t>T1C2ERFJRS0-025</t>
  </si>
  <si>
    <t>tabit-tekli-fume-cam-avize</t>
  </si>
  <si>
    <t>TABIT TEKLİ FÜME CAM AVİZE</t>
  </si>
  <si>
    <t>https://cdn.shopify.com/s/files/1/0914/5896/1709/files/tabit-tekli-fume-cam-avize-6309.jpg?v=1742886672</t>
  </si>
  <si>
    <t>T1C2ERFJRS0-035</t>
  </si>
  <si>
    <t>sirius-tekli-fume-cam-avize</t>
  </si>
  <si>
    <t>SIRIUS TEKLİ FÜME CAM AVİZE</t>
  </si>
  <si>
    <t>https://cdn.shopify.com/s/files/1/0914/5896/1709/files/sirius-tekli-fume-cam-avize-6306.jpg?v=1741867401</t>
  </si>
  <si>
    <t>H1C6JMEECSU-012</t>
  </si>
  <si>
    <t>kobe-seffaf-tekli-eskitme-sarkit</t>
  </si>
  <si>
    <t>KOBE ŞEFFAF TEKLİ  ESKİTME SARKIT</t>
  </si>
  <si>
    <t>https://cdn.shopify.com/s/files/1/0914/5896/1709/files/kobe-seffaf-tekli-eskitme-sarkit-5913.jpg?v=1741867381</t>
  </si>
  <si>
    <t>CK1G2C402A5A1</t>
  </si>
  <si>
    <t>erd-290-opal-cam-2-w-3000k-e14-led-ampul-erd-290</t>
  </si>
  <si>
    <t>OPAL CAM 2 W 3000K E14 LED AMPUL ERD-290</t>
  </si>
  <si>
    <t>https://cdn.shopify.com/s/files/1/0914/5896/1709/files/erd-290-opal-cam-2-w-3000k-e14-led-ampul-erd-290-6768.jpg?v=1742283899</t>
  </si>
  <si>
    <t>H1C6JMGLCS0-070</t>
  </si>
  <si>
    <t>flori̇da-akri̇li̇k-sarkit</t>
  </si>
  <si>
    <t>FLORİDA AKRİLİK LED SARKIT</t>
  </si>
  <si>
    <t>https://cdn.shopify.com/s/files/1/0914/5896/1709/files/IMG_9531.jpg?v=1742972682</t>
  </si>
  <si>
    <t>CC1E1C3M2A4C0</t>
  </si>
  <si>
    <t>heka-led-rustik-ampul-e14-c7-ampul-2w-2700k-gun-isigi-erd-69</t>
  </si>
  <si>
    <t>Heka Led Rustik Ampul E14 C7 Ampul 2W 2700K Gün Işığı ERD-69</t>
  </si>
  <si>
    <t>https://cdn.shopify.com/s/files/1/0914/5896/1709/files/heka-led-rustik-ampul-e14-c7-ampul-2w-2700k-gun-isigi-erd-69-6762.jpg?v=1741938606</t>
  </si>
  <si>
    <t>CD1E1C3M2E7O0</t>
  </si>
  <si>
    <t>heka-e14-220v-6w-4000k-fi̇lament-led-ampul-erd-282</t>
  </si>
  <si>
    <t>HEKA E14 220V 6W 4000K FİLAMENT LED AMPUL ERD-282</t>
  </si>
  <si>
    <t>https://cdn.shopify.com/s/files/1/0914/5896/1709/files/heka-e14-220v-6w-4000k-filament-led-ampul-erd-282-6764.jpg?v=1741938661</t>
  </si>
  <si>
    <t>CE2E1C4M2H5T0</t>
  </si>
  <si>
    <t>heka-led-ampul-e27-9w-3000k-gun-isigi-erd-232</t>
  </si>
  <si>
    <t>Heka Led Ampul E27 9W 3000K Gün Işığı ERD-232</t>
  </si>
  <si>
    <t>https://cdn.shopify.com/s/files/1/0914/5896/1709/files/heka-led-ampul-e27-9w-3000k-gun-isigi-erd-232-6766.jpg?v=1741938721</t>
  </si>
  <si>
    <t>CK4G3S3M2A5A0</t>
  </si>
  <si>
    <t>heka-cob-led-ampul-g4-2w-3000k-erd-266</t>
  </si>
  <si>
    <t>Heka Cob Led Ampul G4 2W 3000K ERD-266</t>
  </si>
  <si>
    <t>https://cdn.shopify.com/s/files/1/0914/5896/1709/files/heka-cob-led-ampul-g4-2w-3000k-erd-266-6770.jpg?v=1741941712</t>
  </si>
  <si>
    <t>CA2F1C1M2E3M0</t>
  </si>
  <si>
    <t>heka-bal-cam-led-ampul-6w-2500k-e27-gun-isigi-erd-37</t>
  </si>
  <si>
    <t>Heka Bal Cam Led Ampul 6W 2500K E27 (Gün Işığı) ERD-37</t>
  </si>
  <si>
    <t>https://cdn.shopify.com/s/files/1/0914/5896/1709/files/heka-bal-cam-led-ampul-6w-2500k-e27-gun-isigi-erd-37-6758.jpg?v=1741937995</t>
  </si>
  <si>
    <t>H1C6JMGLCS0-060</t>
  </si>
  <si>
    <t>florida-akrilik-sarkit</t>
  </si>
  <si>
    <t>FLORİDA AKRİLİK SARKIT</t>
  </si>
  <si>
    <t>https://cdn.shopify.com/s/files/1/0914/5896/1709/files/IMG_9581.jpg?v=1742972682</t>
  </si>
  <si>
    <t>T1C1JMKERFD-050</t>
  </si>
  <si>
    <t>mina-uclu-fume-cam-krom-avize</t>
  </si>
  <si>
    <t>MİNA ÜÇLÜ FÜME CAM KROM AVİZE</t>
  </si>
  <si>
    <t>https://cdn.shopify.com/s/files/1/0914/5896/1709/files/mina-uclu-fume-cam-krom-avize-5930.jpg?v=1741867356</t>
  </si>
  <si>
    <t>T1C2ERFJRS0-027</t>
  </si>
  <si>
    <t>aldebaran-tekli-fume-cam-avize</t>
  </si>
  <si>
    <t>ALDEBARAN TEKLİ FÜME CAM AVİZE</t>
  </si>
  <si>
    <t>https://cdn.shopify.com/s/files/1/0914/5896/1709/files/aldebaran-tekli-fume-cam-avize-5933.jpg?v=1741867354</t>
  </si>
  <si>
    <t>CG2F1C1M2E3L0</t>
  </si>
  <si>
    <t>heka-led-ampul-6w-2500k-e27-gun-isigi-erd-43</t>
  </si>
  <si>
    <t>Heka Led Ampul 6W 2500K E27 (Gün Işığı) ERD-43</t>
  </si>
  <si>
    <t>https://cdn.shopify.com/s/files/1/0914/5896/1709/files/heka-led-ampul-6w-2500k-e27-gun-isigi-erd-43-6756.jpg?v=1741937945</t>
  </si>
  <si>
    <t>H1C6JMEBRL0-015</t>
  </si>
  <si>
    <t>alaca-tekli-akrilik-sarkit</t>
  </si>
  <si>
    <t>Alaca Tekli Akrilik Sarkıt Avize 48 cm</t>
  </si>
  <si>
    <t>https://cdn.shopify.com/s/files/1/0914/5896/1709/files/H1C6JMEBRL0-015-5.jpg?v=1751452857</t>
  </si>
  <si>
    <t>CA2E1C3M2E8P0</t>
  </si>
  <si>
    <t>heka-led-ampul-e27-6w-6500k-beyaz-isik-erd-96</t>
  </si>
  <si>
    <t>Heka LED Ampul E27 6W 6500K Beyaz Işık ERD-96</t>
  </si>
  <si>
    <t>https://cdn.shopify.com/s/files/1/0914/5896/1709/files/heka-led-ampul-e27-6w-6500k-beyaz-isik-erd-96-6752.jpg?v=1741938036</t>
  </si>
  <si>
    <t>CB2E1C4M2H5T0</t>
  </si>
  <si>
    <t>heka-led-ampul-e27-9w-3000k-gun-isigi-erd-233</t>
  </si>
  <si>
    <t>Heka Led Ampul E27 9W 3000K Gün Işığı ERD-233</t>
  </si>
  <si>
    <t>https://cdn.shopify.com/s/files/1/0914/5896/1709/files/heka-led-ampul-e27-9w-3000k-gun-isigi-erd-233-6750.jpg?v=1741937710</t>
  </si>
  <si>
    <t>CK5G3P3P2E7J1</t>
  </si>
  <si>
    <t>gu10-220v-6w-4000k-cob-led-ampul-erd-285</t>
  </si>
  <si>
    <t>GU10 220V 6W 4000K COB LED AMPUL ERD-285</t>
  </si>
  <si>
    <t>https://cdn.shopify.com/s/files/1/0914/5896/1709/files/gu10-220v-6w-4000k-cob-led-ampul-erd-285-6754.jpg?v=1741937830</t>
  </si>
  <si>
    <t>CK5G3P3P2E8J1</t>
  </si>
  <si>
    <t>gu10-220v-6w-6500k-cob-led-ampul-erd-286</t>
  </si>
  <si>
    <t>GU10 220V 6W 6500K COB LED AMPUL ERD-286</t>
  </si>
  <si>
    <t>https://cdn.shopify.com/s/files/1/0914/5896/1709/files/gu10-220v-6w-6500k-cob-led-ampul-erd-286-6755.jpg?v=1741937882</t>
  </si>
  <si>
    <t>CF2E1C3M2E4P0</t>
  </si>
  <si>
    <t>heka-led-e27-st64-ampul-6w-2700k-gun-isigi-erd-85</t>
  </si>
  <si>
    <t>Heka Led E27 St64 Ampul 6W 2700K Gün Işığı ERD-85</t>
  </si>
  <si>
    <t>https://cdn.shopify.com/s/files/1/0914/5896/1709/files/heka-led-e27-st64-ampul-6w-2700k-gun-isigi-erd-85-6734.jpg?v=1741935873</t>
  </si>
  <si>
    <t>CL2F1C1M2E3M0</t>
  </si>
  <si>
    <t>heka-led-ampul-6w-2500k-e27-gun-isigi-erd-33</t>
  </si>
  <si>
    <t>Heka Led Ampul 6W 2500K E27 (Gün Işığı) ERD-33</t>
  </si>
  <si>
    <t>https://cdn.shopify.com/s/files/1/0914/5896/1709/files/heka-led-ampul-6w-2500k-e27-gun-isigi-erd-33-6744.jpg?v=1741936253</t>
  </si>
  <si>
    <t>CE2G1C1M2C3E1</t>
  </si>
  <si>
    <t>lambam-led-ampul-4w-2500k-e27-gun-isigi-erd-30</t>
  </si>
  <si>
    <t>Lambam Led Ampul 4W 2500K E27 (Gün Işığı) ERD-30</t>
  </si>
  <si>
    <t>https://cdn.shopify.com/s/files/1/0914/5896/1709/files/lambam-led-ampul-4w-2500k-e27-gun-isigi-erd-30-6732.jpg?v=1741935815</t>
  </si>
  <si>
    <t>L1T6JRSBCSJ-018</t>
  </si>
  <si>
    <t>clara-dimmerli-sarjli-kristal-akrilik-siyah-masa-lambasi</t>
  </si>
  <si>
    <t>CLARA DİMMERLİ ŞARJLI KRİSTAL AKRİLİK SİYAH MASA LAMBASI</t>
  </si>
  <si>
    <t>https://cdn.shopify.com/s/files/1/0914/5896/1709/files/IMG_9529.jpg?v=1743163288</t>
  </si>
  <si>
    <t>CB2F1C1M2E3M0</t>
  </si>
  <si>
    <t>heka-rustik-led-ampul-e27-6w-2500k-gun-isigi-erd-39</t>
  </si>
  <si>
    <t>Heka Rustik Led Ampul E27 6W 2500K Gün Işığı ERD-39</t>
  </si>
  <si>
    <t>https://cdn.shopify.com/s/files/1/0914/5896/1709/files/heka-rustik-led-ampul-e27-6w-2500k-gun-isigi-erd-39-6730.jpg?v=1741935733</t>
  </si>
  <si>
    <t>H1T6AA1AAAJ-016</t>
  </si>
  <si>
    <t>shaggy-antik-mese-ahsap-mantar-masa-lambasi</t>
  </si>
  <si>
    <t>SHAGGY ANTİK MEŞE AHŞAP MANTAR MASA LAMBASI</t>
  </si>
  <si>
    <t>https://cdn.shopify.com/s/files/1/0914/5896/1709/files/AN6.jpg?v=1743065192</t>
  </si>
  <si>
    <t>H1T6AAWAAAJ-016</t>
  </si>
  <si>
    <t>shaggy-wenge-ahsap-mantar-masa-lambasi</t>
  </si>
  <si>
    <t>SHAGGY WENGE AHŞAP MANTAR MASA LAMBASI</t>
  </si>
  <si>
    <t>https://cdn.shopify.com/s/files/1/0914/5896/1709/files/WE6.jpg?v=1743065235</t>
  </si>
  <si>
    <t>CF2G1C1M2C3E1</t>
  </si>
  <si>
    <t>lambam-led-ampul-4w-2500k-e27-gun-isigi-erd-31</t>
  </si>
  <si>
    <t>Lambam Led Ampul 4W 2500K E27 (Gün Işığı) ERD-31</t>
  </si>
  <si>
    <t>https://cdn.shopify.com/s/files/1/0914/5896/1709/files/lambam-led-ampul-4w-2500k-e27-gun-isigi-erd-31-6738.jpg?v=1741936070</t>
  </si>
  <si>
    <t>H1T6ARAAAAJ-016</t>
  </si>
  <si>
    <t>shaggy-sari-ahsap-mantar-masa-lambasi</t>
  </si>
  <si>
    <t>SHAGGY SARI AHŞAP MANTAR MASA LAMBASI</t>
  </si>
  <si>
    <t>https://cdn.shopify.com/s/files/1/0914/5896/1709/files/SA6_d7d8ef78-590c-413f-ada5-db796c8dc670.jpg?v=1743065379</t>
  </si>
  <si>
    <t>CL2F1C1M2C3I0</t>
  </si>
  <si>
    <t>heka-rustik-led-ampul-e27-4w-2500k-gun-isigi-erd-32</t>
  </si>
  <si>
    <t>Heka Rustik Led Ampul E27 4W 2500K Gün Işığı ERD-32</t>
  </si>
  <si>
    <t>https://cdn.shopify.com/s/files/1/0914/5896/1709/files/heka-rustik-led-ampul-e27-4w-2500k-gun-isigi-erd-32-6742.jpg?v=1741939157</t>
  </si>
  <si>
    <t>CD1F1C1M2E3M0</t>
  </si>
  <si>
    <t>heka-rustik-led-ampul-6w-e14-2500k-gun-isigi-erd-34</t>
  </si>
  <si>
    <t>Heka Rustik Led Ampul 6W E14 2500K Gün Işığı ERD-34</t>
  </si>
  <si>
    <t>https://cdn.shopify.com/s/files/1/0914/5896/1709/files/heka-rustik-led-ampul-6w-e14-2500k-gun-isigi-erd-34-6746.jpg?v=1741936303</t>
  </si>
  <si>
    <t>CE2F1C1M2E3M0</t>
  </si>
  <si>
    <t>heka-rustik-led-ampul-e27-g95-6w-2500k-gun-isigi-erd-82</t>
  </si>
  <si>
    <t>Heka Rustik Led Ampul E27 G95 6W 2500K Gün Işığı ERD-82</t>
  </si>
  <si>
    <t>https://cdn.shopify.com/s/files/1/0914/5896/1709/files/heka-rustik-led-ampul-e27-g95-6w-2500k-gun-isigi-erd-82-6722.jpg?v=1741934983</t>
  </si>
  <si>
    <t>L1T6JMBLCTJ-031</t>
  </si>
  <si>
    <t>selis-dimmerli-sarjli-sapkali-bakir-masa-lambasi</t>
  </si>
  <si>
    <t>SELIS DİMMERLİ ŞARJLI ŞAPKALI BAKIR MASA LAMBASI</t>
  </si>
  <si>
    <t>https://cdn.shopify.com/s/files/1/0914/5896/1709/files/IMG_9238.jpg?v=1743168565</t>
  </si>
  <si>
    <t>CK1G2P3M2D5H0</t>
  </si>
  <si>
    <t>heka-led-ampul-5w-3000k-e14-gun-isigi-erd-217</t>
  </si>
  <si>
    <t>Heka Led Ampul 5W 3000K E14 (Gün Işığı) ERD-217</t>
  </si>
  <si>
    <t>https://cdn.shopify.com/s/files/1/0914/5896/1709/files/heka-led-ampul-5w-3000k-e14-gun-isigi-erd-217-6740.jpg?v=1742475716</t>
  </si>
  <si>
    <t>L1T6JMGLCTJ-016</t>
  </si>
  <si>
    <t>lumira-sarjli-mini-altin-led-masa-lambasi</t>
  </si>
  <si>
    <t>LUMIRA ŞARJLI MİNİ ALTIN LED MASA LAMBASI</t>
  </si>
  <si>
    <t>https://cdn.shopify.com/s/files/1/0914/5896/1709/files/IMG_9112.jpg?v=1743167480</t>
  </si>
  <si>
    <t>L1T6JMKLCTJ-016</t>
  </si>
  <si>
    <t>lumira-sarjli-mini-krom-led-masa-lambasi</t>
  </si>
  <si>
    <t>LUMIRA ŞARJLI  MİNİ  KROM LED MASA LAMBASI</t>
  </si>
  <si>
    <t>https://cdn.shopify.com/s/files/1/0914/5896/1709/files/IMG_9110_5edd942b-9008-4aff-89af-c5e8b1feee76.jpg?v=1743167845</t>
  </si>
  <si>
    <t>CA2E1C3M2E9R0</t>
  </si>
  <si>
    <t>heka-3-renkli-led-filament-rustik-ampul-6w-e27-a60-erd-261</t>
  </si>
  <si>
    <t>Heka 3 Renkli Led Filament Rustik Ampul 6W E27 A60 ERD-261</t>
  </si>
  <si>
    <t>https://cdn.shopify.com/s/files/1/0914/5896/1709/files/heka-3-renkli-led-filament-rustik-ampul-6w-e27-a60-erd-261-6713.jpg?v=1741941966</t>
  </si>
  <si>
    <t>CF2F1C4M2E5M0</t>
  </si>
  <si>
    <t>heka-led-ampul-6w-3000k-e27-gun-isigi-erd-234</t>
  </si>
  <si>
    <t>Heka Led Ampul 6W 3000K E27 Gün Işığı ERD-234</t>
  </si>
  <si>
    <t>https://cdn.shopify.com/s/files/1/0914/5896/1709/files/heka-led-ampul-6w-3000k-e27-gun-isigi-erd-234-6718.jpg?v=1741934870</t>
  </si>
  <si>
    <t>L1T6JMKBCSJ-018</t>
  </si>
  <si>
    <t>clara-dimmerli-sarjli-kristal-akrilik-krom-masa-lambasi</t>
  </si>
  <si>
    <t>CLARA DİMMERLİ ŞARJLI KRİSTAL AKRİLİK KROM MASA LAMBASI</t>
  </si>
  <si>
    <t>https://cdn.shopify.com/s/files/1/0914/5896/1709/files/IMG_9527.jpg?v=1743166957</t>
  </si>
  <si>
    <t>CA2F1C3M2C6H1</t>
  </si>
  <si>
    <t>lambam-led-ampul-4w-3200k-e27-gun-isigi-erd-28</t>
  </si>
  <si>
    <t>Lambam Led Ampul 4W 3200K E27 (Gün Işığı) ERD-28</t>
  </si>
  <si>
    <t>https://cdn.shopify.com/s/files/1/0914/5896/1709/files/lambam-led-ampul-4w-3200k-e27-gun-isigi-erd-28-6717.jpg?v=1741934806</t>
  </si>
  <si>
    <t>H1T6ARMAAAJ-017</t>
  </si>
  <si>
    <t>shaggy-mavi-battal-ebru-ahsap-mantar-masa-lambasi</t>
  </si>
  <si>
    <t>SHAGGY MAVİ BATTAL EBRU AHŞAP MANTAR MASA LAMBASI</t>
  </si>
  <si>
    <t>https://cdn.shopify.com/s/files/1/0914/5896/1709/files/MAV6.jpg?v=1743066321</t>
  </si>
  <si>
    <t>CG1E1C3M2E5Q0</t>
  </si>
  <si>
    <t>heka-led-ampul-6w-e14-3000kgun-isigi-erd-44</t>
  </si>
  <si>
    <t>Heka Led Ampul 6W E14 3000KGün Işığı ERD-44</t>
  </si>
  <si>
    <t>https://cdn.shopify.com/s/files/1/0914/5896/1709/files/heka-led-ampul-6w-e14-3000kgun-isigi-erd-44-6726.jpg?v=1741935117</t>
  </si>
  <si>
    <t>H1T6ARKAAAJ-017</t>
  </si>
  <si>
    <t>shaggy-kirmizi-battal-ebru-ahsap-mantar-masa-lamba</t>
  </si>
  <si>
    <t>SHAGGY KIRMIZI BATTAL EBRU AHŞAP MANTAR MASA LAMBA</t>
  </si>
  <si>
    <t>https://cdn.shopify.com/s/files/1/0914/5896/1709/files/BA6_f5a46024-cfed-499e-b2ab-bf73c383fb06.jpg?v=1743064089</t>
  </si>
  <si>
    <t>CN1E1C3M2E8Q0</t>
  </si>
  <si>
    <t>heka-led-filament-rustik-ampul-kivrik-uc-6w-e14-6500k-beyaz-isik-erd-94</t>
  </si>
  <si>
    <t>Heka Led Filament Rustik Ampul Kıvrık Uç  6W E14 6500K Beyaz Işık ERD-94</t>
  </si>
  <si>
    <t>https://cdn.shopify.com/s/files/1/0914/5896/1709/files/heka-led-filament-rustik-ampul-kivrik-uc-6w-e14-6500k-beyaz-isik-erd-94-6720.jpg?v=1741934923</t>
  </si>
  <si>
    <t>H1T6ARMAAAJ-016</t>
  </si>
  <si>
    <t>shaggy-mavi-klasik-ebru-ahsap-mantar-masa-lambasi</t>
  </si>
  <si>
    <t>SHAGGY MAVİ KLASİK EBRU AHŞAP MANTAR MASA LAMBASI</t>
  </si>
  <si>
    <t>https://cdn.shopify.com/s/files/1/0914/5896/1709/files/MM6.jpg?v=1743066577</t>
  </si>
  <si>
    <t>CK3G2P3M2H5R0</t>
  </si>
  <si>
    <t>heka-smd-led-ampul-g9-9w-3000k-erd-270</t>
  </si>
  <si>
    <t>Heka Smd Led Ampul G9 9W 3000K ERD-270</t>
  </si>
  <si>
    <t>https://cdn.shopify.com/s/files/1/0914/5896/1709/files/heka-smd-led-ampul-g9-9w-3000k-erd-270-6709.jpg?v=1741933878</t>
  </si>
  <si>
    <t>CM3G2P3E2F5J1</t>
  </si>
  <si>
    <t>uzun-misir-seffaf-7w-3000k-g9-led-ampul-erd-289</t>
  </si>
  <si>
    <t>Uzun Mısır Şeffaf 7W 3000K G9 LED Ampul ERD-289</t>
  </si>
  <si>
    <t>https://cdn.shopify.com/s/files/1/0914/5896/1709/files/erd-289-uzun-misir-seffaf-7-w-3000k-g9-led-ampul-erd-289-6856.jpg?v=1742475801</t>
  </si>
  <si>
    <t>H1T6ARKAAAJ-016</t>
  </si>
  <si>
    <t>shaggy-kirmizi-klasik-ebru-ahsap-mantar-masa-lambasi</t>
  </si>
  <si>
    <t>SHAGGY KIRMIZI KLASİK EBRU AHŞAP MANTAR MASA LAMBA</t>
  </si>
  <si>
    <t>https://cdn.shopify.com/s/files/1/0914/5896/1709/files/44.jpg?v=1743066764</t>
  </si>
  <si>
    <t>heka-led-e27-st64-ampul-6w-2500k-gun-isigi-erd-81</t>
  </si>
  <si>
    <t>https://cdn.shopify.com/s/files/1/0914/5896/1709/files/heka-led-e27-st64-ampul-6w-2500k-gun-isigi-erd-81-6704.jpg?v=1741933464</t>
  </si>
  <si>
    <t>CN1E1C3M2E5Q0</t>
  </si>
  <si>
    <t>heka-led-rustik-e14-ampul-kivrik-uc-6w-3000k-gun-isigi-erd-83</t>
  </si>
  <si>
    <t>Heka Led Rustik E14 Ampul Kıvrık Uç 6W 3000K Gün Işığı ERD-83</t>
  </si>
  <si>
    <t>https://cdn.shopify.com/s/files/1/0914/5896/1709/files/heka-led-rustik-e14-ampul-kivrik-uc-6w-3000k-gun-isigi-erd-83-6700.jpg?v=1741933349</t>
  </si>
  <si>
    <t>CD1E1C3M2E9Q0</t>
  </si>
  <si>
    <t>heka-3-renkli-led-filament-rustik-ampul-6w-e14-c35-erd-260</t>
  </si>
  <si>
    <t>Heka 3 Renkli Led Filament Rustik Ampul 6W E14 C35 ERD-260</t>
  </si>
  <si>
    <t>https://cdn.shopify.com/s/files/1/0914/5896/1709/files/heka-3-renkli-led-filament-rustik-ampul-6w-e14-c35-erd-260-6693.jpg?v=1741934288</t>
  </si>
  <si>
    <t>H1T6AAWAAWJ-017</t>
  </si>
  <si>
    <t>morchella-sarjli-wenge-mantar-masa-lambasi</t>
  </si>
  <si>
    <t>MORCHELLA ŞARJLI WENGE MANTAR MASA LAMBASI</t>
  </si>
  <si>
    <t>https://cdn.shopify.com/s/files/1/0914/5896/1709/files/Morchella-Wenge-3.jpg?v=1743160946</t>
  </si>
  <si>
    <t>CG2E1C3M2E5Q0</t>
  </si>
  <si>
    <t>heka-led-ampul-6w-3000k-e27-gun-isigi-erd-42</t>
  </si>
  <si>
    <t>Heka Led Ampul 6W 3000K E27 (Gün Işığı) ERD-42</t>
  </si>
  <si>
    <t>https://cdn.shopify.com/s/files/1/0914/5896/1709/files/heka-led-ampul-6w-3000k-e27-gun-isigi-erd-42-6698.jpg?v=1741933453</t>
  </si>
  <si>
    <t>CN1F1C3M2C6H1</t>
  </si>
  <si>
    <t>lambam-led-ampul-4w-3200k-e14-gun-isigi-erd-23</t>
  </si>
  <si>
    <t>Lambam Led Ampul 4W 3200K E14 (Gün Işığı) ERD-23</t>
  </si>
  <si>
    <t>https://cdn.shopify.com/s/files/1/0914/5896/1709/files/lambam-led-ampul-4w-3200k-e14-gun-isigi-erd-23-6703.jpg?v=1741933435</t>
  </si>
  <si>
    <t>solarix-dimmerli-sarjli-akaagac-ahsap-calisma-masa-lambasi-kopya</t>
  </si>
  <si>
    <t>https://cdn.shopify.com/s/files/1/0914/5896/1709/files/IMG_9124.jpg?v=1743072618</t>
  </si>
  <si>
    <t>L1T6AAAJMKJ-055</t>
  </si>
  <si>
    <t>solarix-dimmerli-sarjli-akcaagac-ahsap-calisma-masa-lambasi</t>
  </si>
  <si>
    <t>Solarix Dimmerli Şarjlı Akaağaç Ahşap Çalışma Masa Lambası</t>
  </si>
  <si>
    <t>https://cdn.shopify.com/s/files/1/0914/5896/1709/files/IMG_9179.jpg?v=1743073038</t>
  </si>
  <si>
    <t>H1T6AAAARAJ-017</t>
  </si>
  <si>
    <t>morchella-sarjli-sari-mantar-masa-lambasi</t>
  </si>
  <si>
    <t>MORCHELLA ŞARJLI SARI MANTAR MASA LAMBASI</t>
  </si>
  <si>
    <t>https://cdn.shopify.com/s/files/1/0914/5896/1709/files/Morchella-Sari-1.jpg?v=1743161478</t>
  </si>
  <si>
    <t>H1T6AAKARYJ-017</t>
  </si>
  <si>
    <t>morchella-sarjli-yesil-mantar-masa-lambasi</t>
  </si>
  <si>
    <t>MORCHELLA ŞARJLI YEŞİL MANTAR MASA LAMBASI</t>
  </si>
  <si>
    <t>https://cdn.shopify.com/s/files/1/0914/5896/1709/files/Morchella-Yesil-9.jpg?v=1743074414</t>
  </si>
  <si>
    <t>H1T6AAAARMJ-017</t>
  </si>
  <si>
    <t>morchella-sarjli-mavi-mantar-masa-lambasi</t>
  </si>
  <si>
    <t>MORCHELLA ŞARJLI MAVİ MANTAR MASA LAMBASI</t>
  </si>
  <si>
    <t>https://cdn.shopify.com/s/files/1/0914/5896/1709/files/Morchella-Mavi-1.jpg?v=1743161216</t>
  </si>
  <si>
    <t>L1T6JMBLCTJ-016</t>
  </si>
  <si>
    <t>lumira-sarjli-mini-bakir-led-masa-lambasi</t>
  </si>
  <si>
    <t>LUMIRA ŞARJLI MİNİ  BAKIR LED MASA LAMBASI</t>
  </si>
  <si>
    <t>https://cdn.shopify.com/s/files/1/0914/5896/1709/files/IMG_9111.jpg?v=1743168053</t>
  </si>
  <si>
    <t>CD1E1C3M2E8Q0</t>
  </si>
  <si>
    <t>heka-rustik-led-e14-ampul-6w-6500k-beyaz-isik-erd-93</t>
  </si>
  <si>
    <t>Heka Rustik Led E14 Ampul 6W 6500K Beyaz Işık ERD-93</t>
  </si>
  <si>
    <t>https://cdn.shopify.com/s/files/1/0914/5896/1709/files/heka-rustik-led-e14-ampul-6w-6500k-beyaz-isik-erd-93-6691.jpg?v=1741933155</t>
  </si>
  <si>
    <t>L1T6JMGBCSJ-018</t>
  </si>
  <si>
    <t>clara-dimmerli-sarjli-kristal-akrilik-altin-masa-lambasi</t>
  </si>
  <si>
    <t>CLARA DİMMERLİ ŞARJLI KRİSTAL AKRİLİK ALTIN MASA LAMBASI</t>
  </si>
  <si>
    <t>https://cdn.shopify.com/s/files/1/0914/5896/1709/files/IMG_9524.jpg?v=1743166598</t>
  </si>
  <si>
    <t>NGJ16005</t>
  </si>
  <si>
    <t>beton-abajur</t>
  </si>
  <si>
    <t>BETON ABAJUR</t>
  </si>
  <si>
    <t>https://cdn.shopify.com/s/files/1/0914/5896/1709/files/NGJ16005.jpg?v=1743168840</t>
  </si>
  <si>
    <t>CD1E1C3M2E5Q0</t>
  </si>
  <si>
    <t>heka-rustik-led-ampul-6w-3000k-e14-gun-isigi-erd-92</t>
  </si>
  <si>
    <t>Heka Rustik Led Ampul 6W 3000K E14 Gün Işığı ERD-92</t>
  </si>
  <si>
    <t>https://cdn.shopify.com/s/files/1/0914/5896/1709/files/heka-rustik-led-ampul-6w-3000k-e14-gun-isigi-erd-92-6689.jpg?v=1741933037</t>
  </si>
  <si>
    <t>F1T6AAWAA1R-035</t>
  </si>
  <si>
    <t>portobello-sarjli-3-renkli-dokunmatik-ahsap-mantar-masa-lambasi-dokunmatik-dimmer-ozellikli</t>
  </si>
  <si>
    <t>PORTOBELLO | Şarjlı 3 Renkli Dokunmatik Ahşap Mantar Masa Lambası | Dokunmatik Dimmer Özellikli</t>
  </si>
  <si>
    <t>https://cdn.shopify.com/s/files/1/0914/5896/1709/files/F1T6AAWAA1R-035-6.jpg?v=1743069829</t>
  </si>
  <si>
    <t>CR2F1C1M2E3M0</t>
  </si>
  <si>
    <t>heka-rustik-led-ampul-6w-2500k-e27-gun-isigi-erd-45</t>
  </si>
  <si>
    <t>Heka Rustik Led Ampul 6W 2500K E27 Gün Işığı ERD-45</t>
  </si>
  <si>
    <t>https://cdn.shopify.com/s/files/1/0914/5896/1709/files/heka-rustik-led-ampul-6w-2500k-e27-gun-isigi-erd-45-6685.jpg?v=1741873358</t>
  </si>
  <si>
    <t>CD1F1C3M2C6H1</t>
  </si>
  <si>
    <t>lambam-led-ampul-4w-3200k-e14-gun-isigi-erd-25</t>
  </si>
  <si>
    <t>Lambam Led Ampul 4W 3200K E14 (Gün Işığı) ERD-25</t>
  </si>
  <si>
    <t>https://cdn.shopify.com/s/files/1/0914/5896/1709/files/lambam-led-ampul-4w-3200k-e14-gun-isigi-erd-25-6676.jpg?v=1741941819</t>
  </si>
  <si>
    <t>CD1F1C4M2E5M0</t>
  </si>
  <si>
    <t>heka-rustik-led-ampul-6w-3000k-e14-gun-isigi-erd-237</t>
  </si>
  <si>
    <t>Heka Rustik Led Ampul 6W 3000K E14 Gün Işığı ERD-237</t>
  </si>
  <si>
    <t>https://cdn.shopify.com/s/files/1/0914/5896/1709/files/heka-rustik-led-ampul-6w-3000k-e14-gun-isigi-erd-237-6677.jpg?v=1741872923</t>
  </si>
  <si>
    <t>CG2E1C4M2E5O0</t>
  </si>
  <si>
    <t>heka-led-ampul-6w-3000k-e27-gun-isigi-erd-239</t>
  </si>
  <si>
    <t>Heka Led Ampul 6W 3000K E27 (Gün Işığı) ERD-239</t>
  </si>
  <si>
    <t>https://cdn.shopify.com/s/files/1/0914/5896/1709/files/heka-led-ampul-6w-3000k-e27-gun-isigi-erd-239-6681.jpg?v=1741873243</t>
  </si>
  <si>
    <t>CG2E1C3M2E8Q0</t>
  </si>
  <si>
    <t>heka-led-filament-rustik-ampul-6-watt-e27-beyaz-isik-erd-247</t>
  </si>
  <si>
    <t>Heka Led Filament Rustik Ampul 6 Watt E27 Beyaz Işık ERD-247</t>
  </si>
  <si>
    <t>https://cdn.shopify.com/s/files/1/0914/5896/1709/files/heka-led-filament-rustik-ampul-6-watt-e27-beyaz-isik-erd-247-6679.jpg?v=1741872986</t>
  </si>
  <si>
    <t>CA2D1C3M2G5U1</t>
  </si>
  <si>
    <t>heka-led-filament-rustik-ampul-e27-8w-3000k-gun-isigi-erd-252</t>
  </si>
  <si>
    <t>Heka Led Filament Rustik Ampul E27 8W 3000K Gün Işığı ERD-252</t>
  </si>
  <si>
    <t>https://cdn.shopify.com/s/files/1/0914/5896/1709/files/heka-led-filament-rustik-ampul-e27-8w-3000k-gun-isigi-erd-252-6674.jpg?v=1741872729</t>
  </si>
  <si>
    <t>CK4G2P4M2D5H0</t>
  </si>
  <si>
    <t>heka-smd-led-ampul-5-watt-g4-gun-isigi-erd-267</t>
  </si>
  <si>
    <t>Heka Smd Led Ampul 5 Watt G4 Gün Işığı ERD-267</t>
  </si>
  <si>
    <t>https://cdn.shopify.com/s/files/1/0914/5896/1709/files/heka-smd-led-ampul-5-watt-g4-gun-isigi-erd-267-6860.jpg?v=1742477085</t>
  </si>
  <si>
    <t>HEKA STORE</t>
  </si>
  <si>
    <t>H1C6ECSJMED-043</t>
  </si>
  <si>
    <t>STORE</t>
  </si>
  <si>
    <t>varda-tekli-seffaf-cam-led-sarkit-avize</t>
  </si>
  <si>
    <t>Varda Tekli Şeffaf Cam LED Sarkıt Avize</t>
  </si>
  <si>
    <t>https://cdn.shopify.com/s/files/1/0698/3086/9177/files/varda-tekli-seffaf-sarkit-2420.jpg?v=1755166167</t>
  </si>
  <si>
    <t>H1W6JMKBCSC-043</t>
  </si>
  <si>
    <t>alabanda-ikili-seffaf-akrilik-krom-led-aplik</t>
  </si>
  <si>
    <t>Alabanda İkili Şeffaf Akrilik Krom LED Aplik</t>
  </si>
  <si>
    <t>https://cdn.shopify.com/s/files/1/0698/3086/9177/files/alabanda-ikili-seffaf-akrilik-krom-led-aplik-7440.jpg?v=1755089447</t>
  </si>
  <si>
    <t>H1C6JMEWRF0-049</t>
  </si>
  <si>
    <t>bantu-eskitme-ikili-mermer-sarkit</t>
  </si>
  <si>
    <t>Bantu Eskitme İkili Mermer Sarkıt</t>
  </si>
  <si>
    <t>https://cdn.shopify.com/s/files/1/0698/3086/9177/files/bantu-eskitme-ikili-mermer-sarkit-7423.jpg?v=1755087378</t>
  </si>
  <si>
    <t>H1W6WRBJME0-060</t>
  </si>
  <si>
    <t>tome-eskitme-uclu-mermer-aplik</t>
  </si>
  <si>
    <t>Tome Eskitme Üçlü Mermer Aplik</t>
  </si>
  <si>
    <t>https://cdn.shopify.com/s/files/1/0698/3086/9177/files/tome-eskitme-uclu-mermer-aplik-7414.jpg?v=1755086665</t>
  </si>
  <si>
    <t>H1C6JMEBCSR-033</t>
  </si>
  <si>
    <t>burundi-tekli-led-sarkit</t>
  </si>
  <si>
    <t>Burundi Tekli Led Sarkıt</t>
  </si>
  <si>
    <t>https://cdn.shopify.com/s/files/1/0698/3086/9177/files/burundi-tekli-led-sarkit-7381.jpg?v=1754490408</t>
  </si>
  <si>
    <t>H1W6JMPWRBD-037</t>
  </si>
  <si>
    <t>ekho-mermer-platin-aplik</t>
  </si>
  <si>
    <t>Ekho Mermer Platin Aplik</t>
  </si>
  <si>
    <t>https://cdn.shopify.com/s/files/1/0698/3086/9177/files/ekho-mermer-platin-aplik-7299.jpg?v=1754548806</t>
  </si>
  <si>
    <t>H1T6VRSERF0-070</t>
  </si>
  <si>
    <t>kinsasa-siyah-deri-uc-fume-camli-masa-lambasi</t>
  </si>
  <si>
    <t>Kinşasa Siyah Deri Üç Füme Camlı Masa Lambası</t>
  </si>
  <si>
    <t>https://cdn.shopify.com/s/files/1/0698/3086/9177/files/kinsasa-siyah-deri-uc-fume-camli-masa-lambasi-7204.jpg?v=1752137536</t>
  </si>
  <si>
    <t>H1C6JMPWRF0-030</t>
  </si>
  <si>
    <t>atakama-mermer-platin-sarkit-30cm</t>
  </si>
  <si>
    <t>Atakama Mermer Platin Sarkıt 30 cm</t>
  </si>
  <si>
    <t>https://cdn.shopify.com/s/files/1/0698/3086/9177/files/IMG_9446kopya.jpg?v=1754490409</t>
  </si>
  <si>
    <t>H1C6JMPWRF0-050</t>
  </si>
  <si>
    <t>atakama-mermer-platin-sarkit-50cm</t>
  </si>
  <si>
    <t>Atakama Mermer Platin Sarkıt 50 cm</t>
  </si>
  <si>
    <t>https://cdn.shopify.com/s/files/1/0698/3086/9177/files/IMG_9446kopya_3f0dc5f8-a280-438f-82a1-2bbd2083c346.jpg?v=1752137537</t>
  </si>
  <si>
    <t>H1C6JMEERFC-115</t>
  </si>
  <si>
    <t>nablus-uc-sira-fume-cam-cubuklu-eskitme-avize</t>
  </si>
  <si>
    <t>Nablus Üç Sıra Füme Cam Çubuklu Eskitme Avize</t>
  </si>
  <si>
    <t>https://cdn.shopify.com/s/files/1/0698/3086/9177/files/IMG_9798_ab80f20a-890f-4e11-8d5a-e8eab3e9e116.jpg?v=1754490410</t>
  </si>
  <si>
    <t>H1C6JMEERFC-020</t>
  </si>
  <si>
    <t>nablus-seffaf-cam-cubuklu-eskitme-sarkit-1</t>
  </si>
  <si>
    <t>Nablus Şeffaf Cam Çubuklu Eskitme Sarkıt</t>
  </si>
  <si>
    <t>https://cdn.shopify.com/s/files/1/0698/3086/9177/files/nablus-seffaf-cam-cubuklu-eskitme-sarkit-7092_9e79a64d-21bb-4207-9cad-56de58e06be2.jpg?v=1754490411</t>
  </si>
  <si>
    <t>H1F6JMEERFC-155</t>
  </si>
  <si>
    <t>nablus-seffaf-cam-cubuklu-eskitme-lambader-1</t>
  </si>
  <si>
    <t>Nablus Şeffaf Cam Çubuklu Eskitme Lambader</t>
  </si>
  <si>
    <t>https://cdn.shopify.com/s/files/1/0698/3086/9177/files/nablus-seffaf-cam-cubuklu-eskitme-lambader-7071_ef3e1c36-065f-4d3d-ae62-07ac5bbb4926.jpg?v=1754557772</t>
  </si>
  <si>
    <t>H1T6JMEERFC-038</t>
  </si>
  <si>
    <t>nablus-seffaf-cam-cubuklu-eskitme-masa-lambasi-1</t>
  </si>
  <si>
    <t>Nablus şeffaf cam çubuklu eskitme masa lambası</t>
  </si>
  <si>
    <t>https://cdn.shopify.com/s/files/1/0698/3086/9177/files/nablus-seffaf-cam-cubuklu-eskitme-masa-lambasi-7056_cdf664fb-5e96-4fe1-8a4c-d5d1c959b9f2.jpg?v=1752137543</t>
  </si>
  <si>
    <t>H1C6JMEERFC-120</t>
  </si>
  <si>
    <t>nablus-seffaf-cam-cubuklu-eskitme-yemek-masasi-avize-1</t>
  </si>
  <si>
    <t>Nablus Şeffaf Cam Çubuklu Eskitme Yemek Masası Avize</t>
  </si>
  <si>
    <t>https://cdn.shopify.com/s/files/1/0698/3086/9177/files/nablus-seffaf-cam-cubuklu-eskitme-y-masasi-avize-7135_37e12ccd-16cc-4f45-9221-bea030cc167f.jpg?v=1754490412</t>
  </si>
  <si>
    <t>H1C6JMEERFC-080</t>
  </si>
  <si>
    <t>nablus-seffaf-cam-cubuklu-eskitme-salon-avize-80cm-1</t>
  </si>
  <si>
    <t>Nablus Şeffaf Cam Çubuklu Eskitme Salon Avize - 80cm</t>
  </si>
  <si>
    <t>https://cdn.shopify.com/s/files/1/0698/3086/9177/files/nablus-seffaf-cam-cubuklu-eskitme-salon-avize-80cm-7115_787ba9f0-1bea-4627-8e28-ba741916ef33.jpg?v=1754490413</t>
  </si>
  <si>
    <t>H1C6JMEERFC-060</t>
  </si>
  <si>
    <t>nablus-seffaf-cam-cubuklu-eskitme-salon-avize-60cm</t>
  </si>
  <si>
    <t>Nablus Şeffaf Cam Çubuklu Eskitme Salon Avize - 60cm</t>
  </si>
  <si>
    <t>https://cdn.shopify.com/s/files/1/0698/3086/9177/files/nablus-seffaf-cam-cubuklu-eskitme-salon-avize-60cm-7104_7057f0d7-12e8-4e03-b882-21cef55314fb.jpg?v=1754490414</t>
  </si>
  <si>
    <t>H1W6JMEERFC-065</t>
  </si>
  <si>
    <t>nablus-seffaf-cam-cubuklu-eskitme-aplik-1</t>
  </si>
  <si>
    <t>Nablus Şeffaf Cam Çubuklu Eskitme Aplik</t>
  </si>
  <si>
    <t>https://cdn.shopify.com/s/files/1/0698/3086/9177/files/nablus-seffaf-cam-cubuklu-eskitme-aplik-7072_2daf5323-72ad-4596-bebc-aec20e99dd50.jpg?v=1754548808</t>
  </si>
  <si>
    <t>H1C6YRBJRS0-130</t>
  </si>
  <si>
    <t>galaxy-beyaz-soft-touch-dalga-sarkit-130cm</t>
  </si>
  <si>
    <t>GALAXY BEYAZ SOFT TOUCH DALGA SARKIT 130cm</t>
  </si>
  <si>
    <t>https://cdn.shopify.com/s/files/1/0698/3086/9177/files/H1C6YRBJRS0-130-4.jpg?v=1752213481</t>
  </si>
  <si>
    <t>H1W6JMEWRBF-050</t>
  </si>
  <si>
    <t>bender-mermer-platini-aplik</t>
  </si>
  <si>
    <t>Bender Mermer Platin Aplik</t>
  </si>
  <si>
    <t>https://cdn.shopify.com/s/files/1/0698/3086/9177/files/IMG_8282_47127b50-8dc9-40f7-ada2-2f39b7f48049.jpg?v=1754548809</t>
  </si>
  <si>
    <t>H1W6JMEWRBD-046</t>
  </si>
  <si>
    <t>alberta-mermer-eskitme-aplik</t>
  </si>
  <si>
    <t>Alberta Mermer Eskitme Aplik</t>
  </si>
  <si>
    <t>https://cdn.shopify.com/s/files/1/0698/3086/9177/files/alberta-mermer-eskitme-aplik-7144.jpg?v=1754548810</t>
  </si>
  <si>
    <t>H1C6JMEWRFP-120</t>
  </si>
  <si>
    <t>azor-dortlu-mermer-eski̇tme-sarkit</t>
  </si>
  <si>
    <t>AZOR DÖRTLÜ MERMER ESKİTME SARKIT</t>
  </si>
  <si>
    <t>https://cdn.shopify.com/s/files/1/0698/3086/9177/files/azor-dortlu-mermer-eskitme-sarkit-7041.jpg?v=1754490416</t>
  </si>
  <si>
    <t>H1C6JMEWRFP-140</t>
  </si>
  <si>
    <t>azor-besli̇-mermer-eski̇tme-sarkit</t>
  </si>
  <si>
    <t>AZOR BEŞLİ MERMER ESKİTME SARKIT</t>
  </si>
  <si>
    <t>https://cdn.shopify.com/s/files/1/0698/3086/9177/files/azor-besli-mermer-eskitme-sarkit-7025.jpg?v=1754490417</t>
  </si>
  <si>
    <t>H1P6ERLERB0-027</t>
  </si>
  <si>
    <t>salvador-bal-beyaz-cam-eskitme-plafonyer-27cm</t>
  </si>
  <si>
    <t>Salvador Bal &amp; Beyaz Cam Eskitme Plafonyer 27cm</t>
  </si>
  <si>
    <t>https://cdn.shopify.com/s/files/1/0698/3086/9177/files/H1P6ERLERB0-027_01.jpg?v=1754490418</t>
  </si>
  <si>
    <t>H1P6ERFERB0-040</t>
  </si>
  <si>
    <t>salvador-fume-beyaz-cam-plati̇n-plafonyer-40cm</t>
  </si>
  <si>
    <t>Salvador Füme &amp; Beyaz Cam Platin Plafonyer 40cm</t>
  </si>
  <si>
    <t>https://cdn.shopify.com/s/files/1/0698/3086/9177/files/H1P6ERFERB0-040_01.jpg?v=1754490420</t>
  </si>
  <si>
    <t>H1C6JMGBRRR-060</t>
  </si>
  <si>
    <t>asena-tekli-akrilik-led-sarkit-60-cm</t>
  </si>
  <si>
    <t>Asena Tekli Akrilik LED Sarkıt 60 cm</t>
  </si>
  <si>
    <t>https://cdn.shopify.com/s/files/1/0698/3086/9177/files/asena-tekli-akrilik-led-sarkit-3705.jpg?v=1752137570</t>
  </si>
  <si>
    <t>H1C6JMGBRRR-051</t>
  </si>
  <si>
    <t>asena-tekli-akrilik-led-sarkit-50-cm</t>
  </si>
  <si>
    <t>Asena Tekli Akrilik LED Sarkıt 50 cm</t>
  </si>
  <si>
    <t>https://cdn.shopify.com/s/files/1/0698/3086/9177/files/asena-tekli-akrilik-led-sarkit-3704.jpg?v=1752137571</t>
  </si>
  <si>
    <t>H1C6JMGBRRR-032</t>
  </si>
  <si>
    <t>asena-tekli-akrilik-led-sarkit-32-cm</t>
  </si>
  <si>
    <t>Asena Tekli Akrilik LED Sarkıt 32 cm</t>
  </si>
  <si>
    <t>https://cdn.shopify.com/s/files/1/0698/3086/9177/files/asena-tekli-akrilik-led-sarkit-1005.jpg?v=1754490421</t>
  </si>
  <si>
    <t>H1C6JMGBRRR-040</t>
  </si>
  <si>
    <t>asena-tekli-akrilik-led-sarkit-40-cm</t>
  </si>
  <si>
    <t>Asena Tekli Akrilik LED Sarkıt 40 cm</t>
  </si>
  <si>
    <t>https://cdn.shopify.com/s/files/1/0698/3086/9177/files/asena-tekli-akrilik-led-sarkit-40-cm-6957.jpg?v=1752137572</t>
  </si>
  <si>
    <t>H1F6WRBJMEC-150</t>
  </si>
  <si>
    <t>capri-uc-silindir-mermerli-eskitme-led-lambader-1</t>
  </si>
  <si>
    <t>Capri Üç Silindir Mermerli Eskitme LED Lambader</t>
  </si>
  <si>
    <t>https://cdn.shopify.com/s/files/1/0698/3086/9177/files/IMG_9996.jpg?v=1754921668</t>
  </si>
  <si>
    <t>H1C6KRSBRB0-088</t>
  </si>
  <si>
    <t>biskek-platin-paslanmaz-akrilik-plafonyer-80-cm-1</t>
  </si>
  <si>
    <t>Bişkek Platin Paslanmaz Akrilik Plafonyer 88 cm</t>
  </si>
  <si>
    <t>https://cdn.shopify.com/s/files/1/0698/3086/9177/files/H1C6KRSBRB0-088_2.jpg?v=1754490422</t>
  </si>
  <si>
    <t>H1C6KRSBRB0-045</t>
  </si>
  <si>
    <t>bern-platin-paslanmaz-akrilik-plafonyer-40-cm-1</t>
  </si>
  <si>
    <t>Bern Platin Paslanmaz Akrilik Plafonyer 45 cm</t>
  </si>
  <si>
    <t>https://cdn.shopify.com/s/files/1/0698/3086/9177/files/bern-platin-paslanmaz-akrilik-avize-40-cm-4832_58b2c6d0-5fef-4b34-aed1-0d87e63f4455.jpg?v=1754490422</t>
  </si>
  <si>
    <t>H1C6KMGBRB0-132</t>
  </si>
  <si>
    <t>stockholm-altin-paslanmaz-beyaz-akrilik-avize-120cm-1</t>
  </si>
  <si>
    <t>Stockholm Altın Paslanmaz Beyaz Akrilik Avize - 132cm</t>
  </si>
  <si>
    <t>https://cdn.shopify.com/s/files/1/0698/3086/9177/files/H1C6KMGBRB0-132.jpg?v=1754490423</t>
  </si>
  <si>
    <t>H1C6KMGBRB0-075</t>
  </si>
  <si>
    <t>stockholm-altin-paslanmaz-beyaz-akrilik-avize-90cm-1</t>
  </si>
  <si>
    <t>Stockholm Altın Paslanmaz Beyaz Akrilik Avize - 75cm</t>
  </si>
  <si>
    <t>https://cdn.shopify.com/s/files/1/0698/3086/9177/files/stockholm-altin-paslanmaz-beyaz-akrilik-avize-90-c-4829_97bb86a5-1e88-4ee2-83f7-ed5c48a64732.jpg?v=1754490424</t>
  </si>
  <si>
    <t>H1C6KMGBRB0-055</t>
  </si>
  <si>
    <t>stockholm-altin-paslanmaz-beyaz-akrilik-avize-55cm</t>
  </si>
  <si>
    <t>Stockholm Altın Paslanmaz Beyaz Akrilik Avize 55cm</t>
  </si>
  <si>
    <t>https://cdn.shopify.com/s/files/1/0698/3086/9177/files/H1C6KMGBRB0-055_2.jpg?v=1754490424</t>
  </si>
  <si>
    <t>H1T2XBJ0000-050</t>
  </si>
  <si>
    <t>abha-traverter-masa-lambasi-1</t>
  </si>
  <si>
    <t>Abha Traverter Masa Lambası</t>
  </si>
  <si>
    <t>https://cdn.shopify.com/s/files/1/0698/3086/9177/files/H1T2XBJ0000-50_01.jpg?v=1753770195</t>
  </si>
  <si>
    <t>H1C6JMPWRBR-078</t>
  </si>
  <si>
    <t>anvers-mermer-salon-platin-avize</t>
  </si>
  <si>
    <t>Anvers Mermer Salon Platin Avize</t>
  </si>
  <si>
    <t>https://cdn.shopify.com/s/files/1/0698/3086/9177/files/IMG_9509.jpg?v=1754490425</t>
  </si>
  <si>
    <t>H1C6WRBJMER-020</t>
  </si>
  <si>
    <t>aspendos-tekli-eskitme-mermer-led-sarkit-avize-20-cm</t>
  </si>
  <si>
    <t>Aspendos Tekli Eskitme Mermer LED Sarkıt Avize 20 cm</t>
  </si>
  <si>
    <t>https://cdn.shopify.com/s/files/1/0698/3086/9177/files/H1C6WRBJMER-020_1.jpg?v=1754490427</t>
  </si>
  <si>
    <t>CK2G1C2A2D2Y1</t>
  </si>
  <si>
    <t>ataturk-fume-5w-2200k-e27-led-ampul-erd-1881-2</t>
  </si>
  <si>
    <t>Atatürk Füme 5W 2200K  E27 LED Ampul Erd-1881/2</t>
  </si>
  <si>
    <t>https://cdn.shopify.com/s/files/1/0698/3086/9177/files/heka-smart-home-sarkit-avize-ataturk-imza-figurlu-fume-cam-461.jpg?v=1752137579</t>
  </si>
  <si>
    <t>CK2G1C1A2D2Y1</t>
  </si>
  <si>
    <t>ataturk-bal-5w-2200k-e27-led-ampul-erd-1881-1</t>
  </si>
  <si>
    <t>Atatürk Bal 5W 2200K E27 LED Ampul Erd-1881/1</t>
  </si>
  <si>
    <t>https://cdn.shopify.com/s/files/1/0698/3086/9177/files/heka-smart-home-sarkit-avize-ataturk-imza-figurlu-bal-cam-457.jpg?v=1752137580</t>
  </si>
  <si>
    <t>CK2G1C1V2D2Y1</t>
  </si>
  <si>
    <t>vav-bal-5w-2200k-e27-led-ampul-erd-2015-8</t>
  </si>
  <si>
    <t>Vav Bal 5W 2200K  E27 LED Ampul Erd-2015/8</t>
  </si>
  <si>
    <t>https://cdn.shopify.com/s/files/1/0698/3086/9177/files/heka-smart-home-sarkit-avize-vav-figurlu-bal-cam-453.jpg?v=1752137580</t>
  </si>
  <si>
    <t>CK2G1C2V2D2Y1</t>
  </si>
  <si>
    <t>vav-fume-5w-2200k-e27-led-ampul-erd-2019-3</t>
  </si>
  <si>
    <t>Vav Füme 5W 2200K  E27 LED Ampul Erd-2019/3</t>
  </si>
  <si>
    <t>https://cdn.shopify.com/s/files/1/0698/3086/9177/files/heka-smart-home-sarkit-avize-vav-figurlu-fume-cam-449.jpg?v=1752137581</t>
  </si>
  <si>
    <t>CK2G1C1Y2D2Y1</t>
  </si>
  <si>
    <t>ay-yildiz-bal-5w-2200k-e27-led-ampul-erd-1923-1</t>
  </si>
  <si>
    <t>Ay Yıldız Bal 5W 2200K E27 LED Ampul Erd-1923/1</t>
  </si>
  <si>
    <t>https://cdn.shopify.com/s/files/1/0698/3086/9177/files/heka-smart-home-sarkit-ampul-ay-yildiz-figurlu-bal-cam-445.jpg?v=1752137581</t>
  </si>
  <si>
    <t>CK2G1C2Y2D2Y1</t>
  </si>
  <si>
    <t>ay-yildiz-fume-5w-2200k-e27-led-ampul-erd-1923-2</t>
  </si>
  <si>
    <t>Ay Yıldız Füme 5W 2200K E27 LED Ampul Erd-1923/2</t>
  </si>
  <si>
    <t>https://cdn.shopify.com/s/files/1/0698/3086/9177/files/heka-smart-home-sarkit-ampul-ay-yildiz-figurlu-fume-cam-441.jpg?v=1752137582</t>
  </si>
  <si>
    <t>H1T2JMEERFR-060</t>
  </si>
  <si>
    <t>galata-2li-geyik-boynuzu-masa-lambasi</t>
  </si>
  <si>
    <t>Galata 2'Li Geyik Boynuzu Masa Lambası</t>
  </si>
  <si>
    <t>https://cdn.shopify.com/s/files/1/0698/3086/9177/files/H1T2JMEERFR-060_1.jpg?v=1752137583</t>
  </si>
  <si>
    <t>H1F2JMEERFR-180</t>
  </si>
  <si>
    <t>galata-4lu-geyik-boynuzu-lambader</t>
  </si>
  <si>
    <t>Galata 4'lü Geyik Boynuzu Lambader</t>
  </si>
  <si>
    <t>https://cdn.shopify.com/s/files/1/0698/3086/9177/files/galata-4-lu-geyik-boynuzu-lambader-4700.jpg?v=1754557774</t>
  </si>
  <si>
    <t>H1W6JMELCS0-050</t>
  </si>
  <si>
    <t>madrid-eskitme-mesale-led-aplik</t>
  </si>
  <si>
    <t>Madrid Eskitme Meşale LED Aplik</t>
  </si>
  <si>
    <t>https://cdn.shopify.com/s/files/1/0698/3086/9177/files/madrid-mesale-eskitme-aplik-396.jpg?v=1754548811</t>
  </si>
  <si>
    <t>H1C6JMEWRBR-070</t>
  </si>
  <si>
    <t>efes-eskitme-mermer-led-salon-avize</t>
  </si>
  <si>
    <t>Efes Eskitme Mermer LED Salon Avize</t>
  </si>
  <si>
    <t>https://cdn.shopify.com/s/files/1/0698/3086/9177/files/efes-salon-avizesi-3344.jpg?v=1754490427</t>
  </si>
  <si>
    <t>CK2G1C1M2C2W0</t>
  </si>
  <si>
    <t>bal-led-ampul-4w-2200k-e27-erd-72</t>
  </si>
  <si>
    <t>Bal LED Ampul 4W 2200K E27 Erd-72</t>
  </si>
  <si>
    <t>https://cdn.shopify.com/s/files/1/0698/3086/9177/files/heka-yamuk-sarkit-avize-4w-2200k-e27-bal-cam-380.jpg?v=1752137585</t>
  </si>
  <si>
    <t>CK2G1C2M2C220</t>
  </si>
  <si>
    <t>fume-led-ampul-4w-2200k-e27-erd-73</t>
  </si>
  <si>
    <t>Füme LED Ampul 4W 2200K E27 Erd-73</t>
  </si>
  <si>
    <t>https://cdn.shopify.com/s/files/1/0698/3086/9177/files/heka-yamuk-sarkit-avize-4w-2200k-e27-fume-cam-376.jpg?v=1752137586</t>
  </si>
  <si>
    <t>CK2G1C1M2E2Z0</t>
  </si>
  <si>
    <t>buyuk-yamuk-bal-led-ampul-6w-2200k-e27-erd-226</t>
  </si>
  <si>
    <t>Büyük Yamuk Bal LED Ampul 6W 2200K E27 Erd-226</t>
  </si>
  <si>
    <t>https://cdn.shopify.com/s/files/1/0698/3086/9177/files/heka-yamuk-sarkit-avize-6w-2200k-e27-bal-cam-372.jpg?v=1752137587</t>
  </si>
  <si>
    <t>CK2G1C7B2E2A0</t>
  </si>
  <si>
    <t>seffaf-fume-led-ampul-6w-2200k-e27-erd-244</t>
  </si>
  <si>
    <t>Şeffaf Füme LED Ampul 6W 2200K E27 Erd-244</t>
  </si>
  <si>
    <t>https://cdn.shopify.com/s/files/1/0698/3086/9177/files/seffaf-fume-led-ampul-6w-2200k-e27-erd-244-6361.jpg?v=1752137588</t>
  </si>
  <si>
    <t>CK2G1C1I2D2Y1</t>
  </si>
  <si>
    <t>istanbul-bal-led-ampul-5w-2200k-e27-erd-1453-1</t>
  </si>
  <si>
    <t>İstanbul Bal LED Ampul 5W 2200K E27 Erd-1453/1</t>
  </si>
  <si>
    <t>https://cdn.shopify.com/s/files/1/0698/3086/9177/files/istanbul-bal-led-ampul-5w-2200k-e27-erd-1453-1-6360.jpg?v=1752137588</t>
  </si>
  <si>
    <t>CK2G1C1L2D2Y1</t>
  </si>
  <si>
    <t>london-bal-led-ampul-5w-2200k-e27-erd-1922-1</t>
  </si>
  <si>
    <t>London Bal LED Ampul 5W 2200K E27  Erd-1922/1</t>
  </si>
  <si>
    <t>https://cdn.shopify.com/s/files/1/0698/3086/9177/files/london-bal-led-ampul-5w-2200k-e27-erd-1922-1-6359.jpg?v=1752137589</t>
  </si>
  <si>
    <t>CK2G1C2L2D2Y1</t>
  </si>
  <si>
    <t>london-fume-led-ampul-5w-2200k-e27-erd-1922-2</t>
  </si>
  <si>
    <t>London Füme LED Ampul 5W 2200K E27 Erd-1922/2</t>
  </si>
  <si>
    <t>https://cdn.shopify.com/s/files/1/0698/3086/9177/files/erd-1922-2-fume-5w-2200k-london-e27-led-ampul-6351.jpg?v=1752137590</t>
  </si>
  <si>
    <t>H1C2JMEERFD-180</t>
  </si>
  <si>
    <t>galata-10lu-eskitme-cam-yemek-masa-ustu-avize</t>
  </si>
  <si>
    <t>Galata 10'lu Eskitme Cam Yemek Masa Üstü Avize</t>
  </si>
  <si>
    <t>https://cdn.shopify.com/s/files/1/0698/3086/9177/files/galata-yemek-masasi-avize-10-lu-318.jpg?v=1754490428</t>
  </si>
  <si>
    <t>H1W6JMEWRY0-026</t>
  </si>
  <si>
    <t>tekfur-yesil-mermer-aplik</t>
  </si>
  <si>
    <t>Tekfur Yeşil Mermer Aplik Küçük</t>
  </si>
  <si>
    <t>https://cdn.shopify.com/s/files/1/0698/3086/9177/files/tekfur-yesil-mermer-aplik-6349.jpg?v=1754548812</t>
  </si>
  <si>
    <t>H1S5CMB000T-090</t>
  </si>
  <si>
    <t>bella-bakir-tirtikli-spot-6x9-cm</t>
  </si>
  <si>
    <t>Bella Bakır Tırtıklı Spot 6x9 cm</t>
  </si>
  <si>
    <t>https://cdn.shopify.com/s/files/1/0698/3086/9177/files/bella-bakir-tirtikli-spot-60x90-mm-6346.jpg?v=1752137592</t>
  </si>
  <si>
    <t>H1S5CMB000L-140</t>
  </si>
  <si>
    <t>mia-bakir-duz-spot-6x14-cm</t>
  </si>
  <si>
    <t>Mia Bakır Düz Spot 6x14 cm</t>
  </si>
  <si>
    <t>https://cdn.shopify.com/s/files/1/0698/3086/9177/files/mia-bakir-duz-spot-60x140-mm-6345.jpg?v=1752137593</t>
  </si>
  <si>
    <t>H1S5CMB000T-140</t>
  </si>
  <si>
    <t>mia-bakir-tirtikli-spot-6x14-cm</t>
  </si>
  <si>
    <t>Mia Bakır Tırtıklı Spot 6x14 cm</t>
  </si>
  <si>
    <t>https://cdn.shopify.com/s/files/1/0698/3086/9177/files/mia-bakir-tirtikli-spot-60x140-mm-6344.jpg?v=1752137593</t>
  </si>
  <si>
    <t>H1S5CMB000L-210</t>
  </si>
  <si>
    <t>eva-bakir-duz-spot-6x21-cm</t>
  </si>
  <si>
    <t>Eva Bakır Düz Spot 6x21 cm</t>
  </si>
  <si>
    <t>https://cdn.shopify.com/s/files/1/0698/3086/9177/files/eva-bakir-duz-spot-60x210-mm-6343.jpg?v=1752137594</t>
  </si>
  <si>
    <t>H1S5CMB000T-210</t>
  </si>
  <si>
    <t>eva-bakir-tirtikli-spot-6x21-cm</t>
  </si>
  <si>
    <t>Eva Bakır Tırtıklı Spot 6x21 cm</t>
  </si>
  <si>
    <t>https://cdn.shopify.com/s/files/1/0698/3086/9177/files/eva-bakir-tirtikli-spot-60x210-mm-6342.jpg?v=1752137594</t>
  </si>
  <si>
    <t>H1S5CMB000L-120</t>
  </si>
  <si>
    <t>selina-bakir-duz-spot-4x12-cm</t>
  </si>
  <si>
    <t>Selina Bakır Düz Spot 4x12 cm</t>
  </si>
  <si>
    <t>https://cdn.shopify.com/s/files/1/0698/3086/9177/files/selina-bakir-duz-spot-40x120-mm-6341.jpg?v=1752137595</t>
  </si>
  <si>
    <t>H1W6JMELCTL-101</t>
  </si>
  <si>
    <t>akra-eskitme-led-aplik-100-cm</t>
  </si>
  <si>
    <t>Akra Eskitme Led Aplik 100 cm</t>
  </si>
  <si>
    <t>https://cdn.shopify.com/s/files/1/0698/3086/9177/files/akra-dekoratif-led-aplik-248.jpg?v=1752137596</t>
  </si>
  <si>
    <t>H1C6JMEBCSR-047</t>
  </si>
  <si>
    <t>sofya-akrilik-seffaf-eskitme-cam-led-sarkit-avize-21-cm</t>
  </si>
  <si>
    <t>Sofya Akrilik Şeffaf Eskitme Cam LED Sarkıt Avize 21 cm</t>
  </si>
  <si>
    <t>https://cdn.shopify.com/s/files/1/0698/3086/9177/files/H1C6JMEBCSR-047.jpg?v=1754490429</t>
  </si>
  <si>
    <t>H1W2JMEERFR-035</t>
  </si>
  <si>
    <t>galata-2li-eskitme-geyik-boynuzu-aplik</t>
  </si>
  <si>
    <t>Galata 2'li Eskitme Geyik Boynuzu Aplik</t>
  </si>
  <si>
    <t>https://cdn.shopify.com/s/files/1/0698/3086/9177/files/galata-2-li-geyik-boynuzu-apligi-225.jpg?v=1754548813</t>
  </si>
  <si>
    <t>H1W6BCSJMK0-012</t>
  </si>
  <si>
    <t>butterlfy-krom-akrilik-kelebek-aplik</t>
  </si>
  <si>
    <t>Butterlfy Krom Akrilik Kelebek Aplik</t>
  </si>
  <si>
    <t>https://cdn.shopify.com/s/files/1/0698/3086/9177/files/akrilik-kelebek-aplik-215.jpg?v=1754548814</t>
  </si>
  <si>
    <t>F1C5DRB000U-023</t>
  </si>
  <si>
    <t>cone-beton-beyaz-sarkit-avize</t>
  </si>
  <si>
    <t>Cone Beton Beyaz Sarkıt Avize</t>
  </si>
  <si>
    <t>https://cdn.shopify.com/s/files/1/0698/3086/9177/files/cone-beton-beyaz-sarkit-6339.jpg?v=1752137599</t>
  </si>
  <si>
    <t>F1C5DRB000L-015</t>
  </si>
  <si>
    <t>toppu-beyaz-beton-sarkit-avize</t>
  </si>
  <si>
    <t>Toppu Beton Beyaz Sarkıt Avize</t>
  </si>
  <si>
    <t>https://cdn.shopify.com/s/files/1/0698/3086/9177/files/toppu-beton-beyaz-sarkit-6338.jpg?v=1752137600</t>
  </si>
  <si>
    <t>F1C2DRB000L-019</t>
  </si>
  <si>
    <t>pot-beton-beyaz-sarkit</t>
  </si>
  <si>
    <t>Pot Beton Beyaz Sarkıt</t>
  </si>
  <si>
    <t>https://cdn.shopify.com/s/files/1/0698/3086/9177/files/pot-beton-beyaz-sarkit-6337.jpg?v=1752137600</t>
  </si>
  <si>
    <t>F1W3DRGAAWH-015</t>
  </si>
  <si>
    <t>tochi-mini-ahsap-beton-g9-hareketli-aplik</t>
  </si>
  <si>
    <t>Tochi Mini Ahşap Beton G9 Hareketli Aplik</t>
  </si>
  <si>
    <t>https://cdn.shopify.com/s/files/1/0698/3086/9177/files/tochi-mini-ahsap-beton-aplik-153.jpg?v=1752137601</t>
  </si>
  <si>
    <t>F1F5DRGAAWL-155</t>
  </si>
  <si>
    <t>tochi-ahsap-beton-lambader</t>
  </si>
  <si>
    <t>Tochi Ahşap Beton Lambader</t>
  </si>
  <si>
    <t>https://cdn.shopify.com/s/files/1/0698/3086/9177/files/tochi-ahsap-beton-lambader-149.jpg?v=1752137601</t>
  </si>
  <si>
    <t>F1T3DRGAAWL-038</t>
  </si>
  <si>
    <t>tochi-link-ahsap-beton-masa-lambasi</t>
  </si>
  <si>
    <t>Tochi Link Ahşap Beton Masa Lambası</t>
  </si>
  <si>
    <t>https://cdn.shopify.com/s/files/1/0698/3086/9177/files/tochi-link-ahsap-beton-masa-lambasi-144.jpg?v=1752137602</t>
  </si>
  <si>
    <t>F1C6DRGAAWL-120</t>
  </si>
  <si>
    <t>tochi-linear-ahsap-beton-sarkit-120-cm</t>
  </si>
  <si>
    <t>Tochi Linear Ahşap Beton Sarkıt 120 cm</t>
  </si>
  <si>
    <t>https://cdn.shopify.com/s/files/1/0698/3086/9177/files/tochi-linear-ahsap-beton-sarkit-137.jpg?v=1752137602</t>
  </si>
  <si>
    <t>F1T1AAMJRBR-030</t>
  </si>
  <si>
    <t>tochi-mush-ahsap-beyaz-masa-lambasi</t>
  </si>
  <si>
    <t>Tochi Mush Ahşap Beyaz Masa Lambası</t>
  </si>
  <si>
    <t>https://cdn.shopify.com/s/files/1/0698/3086/9177/files/tochi-mush-ahsap-beyaz-masa-lambasi-6334.jpg?v=1752137603</t>
  </si>
  <si>
    <t>H1C6JMEWRBR-123</t>
  </si>
  <si>
    <t>anvers-eskitme-mermer-yemek-masa-ustu-led-avize</t>
  </si>
  <si>
    <t>Anvers Eskitme Mermer Yemek Masa Üstü LED Avize</t>
  </si>
  <si>
    <t>https://cdn.shopify.com/s/files/1/0698/3086/9177/files/IMG_9838.jpg?v=1754490431</t>
  </si>
  <si>
    <t>H1C6JMEWRBR-078</t>
  </si>
  <si>
    <t>anvers-eskitme-beyaz-mermer-led-salon-avize</t>
  </si>
  <si>
    <t>Anvers Eskitme Beyaz Mermer LED Salon Avize</t>
  </si>
  <si>
    <t>https://cdn.shopify.com/s/files/1/0698/3086/9177/files/IMG_9680.jpg?v=1754490432</t>
  </si>
  <si>
    <t>H1C6JMEECSR-020</t>
  </si>
  <si>
    <t>burkina-eskitme-seffaf-cam-led-sarkit-avize-20-cm</t>
  </si>
  <si>
    <t>Burkina Eskitme Şeffaf Cam LED Sarkıt Avize 20 cm</t>
  </si>
  <si>
    <t>https://cdn.shopify.com/s/files/1/0698/3086/9177/files/burkina-sarkit-20cm-6333.jpg?v=1754490433</t>
  </si>
  <si>
    <t>H1C6JMEBCSR-120</t>
  </si>
  <si>
    <t>sofya-akrilik-seffaf-eskitme-cam-led-sarkit-avize-100-cm</t>
  </si>
  <si>
    <t>Sofya Akrilik Şeffaf Eskitme Cam LED Sarkıt Avize 100 cm</t>
  </si>
  <si>
    <t>https://cdn.shopify.com/s/files/1/0698/3086/9177/files/H1C6JMEBCSR-120SofyaAkrilikSeffafEskitmeCamLEDSarkitAvize100cm-2.jpg?v=1754490434</t>
  </si>
  <si>
    <t>H1W3JMEECT0-066</t>
  </si>
  <si>
    <t>lahey-soft-i̇kili-eskitme-aplik</t>
  </si>
  <si>
    <t>Lahey Soft İkili Eskitme Aplik</t>
  </si>
  <si>
    <t>https://cdn.shopify.com/s/files/1/0698/3086/9177/files/T1W3112101_5_10edf3d2-d238-4862-8207-6f182a90f354.jpg?v=1754548816</t>
  </si>
  <si>
    <t>H1C6JMEWRB0-060</t>
  </si>
  <si>
    <t>lion-eskitme-mermer-led-sarkit-avize-60-cm</t>
  </si>
  <si>
    <t>Lion Eskitme Mermer LED Sarkıt Avize 60 cm</t>
  </si>
  <si>
    <t>https://cdn.shopify.com/s/files/1/0698/3086/9177/files/lion-mermer-eskitme-sarkit-60cm-84.jpg?v=1752137608</t>
  </si>
  <si>
    <t>H1C6JMEECT0-045</t>
  </si>
  <si>
    <t>luanda-eskitme-cam-led-sarkit-avize-45-cm</t>
  </si>
  <si>
    <t>Luanda Eskitme Cam LED Sarkıt Avize 45 cm</t>
  </si>
  <si>
    <t>https://cdn.shopify.com/s/files/1/0698/3086/9177/files/luanda-led-eskitme-sarkit-45cm-6327.jpg?v=1754490436</t>
  </si>
  <si>
    <t>H1C6JMEERLR-030</t>
  </si>
  <si>
    <t>viyana-eskitme-bal-cam-sarkit-avize-30-cm</t>
  </si>
  <si>
    <t>Viyana Eskitme Bal Cam Sarkıt Avize 30 cm</t>
  </si>
  <si>
    <t>https://cdn.shopify.com/s/files/1/0698/3086/9177/files/H1C6JMEERLR-030.jpg?v=1754490436</t>
  </si>
  <si>
    <t>H1C6JMEERLR-031</t>
  </si>
  <si>
    <t>viyana-eskitme-cam-led-sarkit-avize-31-cm</t>
  </si>
  <si>
    <t>Viyana Bal Ufo Cam Sarkıt Avize 31 cm</t>
  </si>
  <si>
    <t>https://cdn.shopify.com/s/files/1/0698/3086/9177/files/viyana-cam-sarkit-31cm-68.jpg?v=1754490437</t>
  </si>
  <si>
    <t>H1C6JMEERLR-018</t>
  </si>
  <si>
    <t>viyana-eskitme-bal-cam-sarkit-avize-18-cm</t>
  </si>
  <si>
    <t>Viyana Eskitme Bal Cam Sarkıt Avize 18 cm</t>
  </si>
  <si>
    <t>https://cdn.shopify.com/s/files/1/0698/3086/9177/files/H1C6JMEERLR-018ViyanaEskitmeBalCamSarkitAvize18cm.jpg?v=1754490438</t>
  </si>
  <si>
    <t>H1C6JMEERLR-020</t>
  </si>
  <si>
    <t>viyana-eskitme-bal-cam-sarkit-avize-20-cm</t>
  </si>
  <si>
    <t>Viyana Eskitme Bal Cam Sarkıt Avize 20 cm</t>
  </si>
  <si>
    <t>https://cdn.shopify.com/s/files/1/0698/3086/9177/files/H1C6JMEERLR-020_1.jpg?v=1754490439</t>
  </si>
  <si>
    <t>H1W5WRBJME0-027</t>
  </si>
  <si>
    <t>erciyes-beyaz-eskitme-mermer-aplik</t>
  </si>
  <si>
    <t>Erciyes Beyaz Eskitme Mermer Aplik</t>
  </si>
  <si>
    <t>https://cdn.shopify.com/s/files/1/0698/3086/9177/files/erciyes-beyaz-mermer-aplik-6322.jpg?v=1754548818</t>
  </si>
  <si>
    <t>H1W1JMEECS0-026</t>
  </si>
  <si>
    <t>marsilya-tekli-seffaf-eskitme-aplik-2</t>
  </si>
  <si>
    <t>Marsilya Tekli Şeffaf Eskitme Aplik</t>
  </si>
  <si>
    <t>https://cdn.shopify.com/s/files/1/0698/3086/9177/files/H1W1JGES0-026-4.jpg?v=1754548819</t>
  </si>
  <si>
    <t>H1C6JMPWRBR-120</t>
  </si>
  <si>
    <t>ekho-mermer-platin-yemek-masasi-sarkit-avize-120-cm</t>
  </si>
  <si>
    <t>Ekho Mermer Platin Yemek Masası Sarkıt Avize 120 cm</t>
  </si>
  <si>
    <t>https://cdn.shopify.com/s/files/1/0698/3086/9177/files/H1C6JMPWRBR-120_11.jpg?v=1754490441</t>
  </si>
  <si>
    <t>H1C6JMPWRBR-080</t>
  </si>
  <si>
    <t>ekho-salon-mermer-platin-sarkit-avize-80-cm</t>
  </si>
  <si>
    <t>Ekho Salon Mermer Platin Sarkıt Avize 80 cm</t>
  </si>
  <si>
    <t>https://cdn.shopify.com/s/files/1/0698/3086/9177/files/H1C6JMPWRBR-080_07.jpg?v=1754490443</t>
  </si>
  <si>
    <t>H1C6JMPWRBR-123</t>
  </si>
  <si>
    <t>anvers-mermer-yemek-masasi-platin-avize</t>
  </si>
  <si>
    <t>Anvers Mermer Yemek Masası Platin Avize</t>
  </si>
  <si>
    <t>https://cdn.shopify.com/s/files/1/0698/3086/9177/files/H1C6JMPWRBR-123_07.jpg?v=1754490445</t>
  </si>
  <si>
    <t>H1F6KMPWRB0-167</t>
  </si>
  <si>
    <t>regina-platin-mermer-lambader</t>
  </si>
  <si>
    <t>Regina Platin Mermer Lambader</t>
  </si>
  <si>
    <t>https://cdn.shopify.com/s/files/1/0698/3086/9177/files/regina-platin-mermer-lambader-6070.jpg?v=1754557776</t>
  </si>
  <si>
    <t>H1T6KMPWRB0-057</t>
  </si>
  <si>
    <t>regina-platin-mermer-masa-lambasi</t>
  </si>
  <si>
    <t>Regina Platin Mermer Masa Lambası</t>
  </si>
  <si>
    <t>https://cdn.shopify.com/s/files/1/0698/3086/9177/files/regina-platin-mermer-masa-lambasi-6062.jpg?v=1752137620</t>
  </si>
  <si>
    <t>H1C6WRBJME0-045</t>
  </si>
  <si>
    <t>albina-mermer-eskitme-dikey-sarkit-45-cm</t>
  </si>
  <si>
    <t>Albina Mermer Eskitme Dikey Sarkıt 45 Cm</t>
  </si>
  <si>
    <t>https://cdn.shopify.com/s/files/1/0698/3086/9177/files/albina-mermer-eskitme-dikey-sarkit-45-cm-6544.jpg?v=1754490446</t>
  </si>
  <si>
    <t>H1C6WRBJME0-064</t>
  </si>
  <si>
    <t>albina-mermer-eskitme-dikey-sarkit-64-cm</t>
  </si>
  <si>
    <t>Albina Mermer Eskitme Dikey Sarkıt 64 Cm</t>
  </si>
  <si>
    <t>https://cdn.shopify.com/s/files/1/0698/3086/9177/files/albina-mermer-eskitme-dikey-sarkit-64-cm-6533.jpg?v=1754490448</t>
  </si>
  <si>
    <t>H1S5CMK000L-140</t>
  </si>
  <si>
    <t>mia-siyah-duz-spot-60x140cm-2</t>
  </si>
  <si>
    <t>Mia Krom Düz Spot 6x14cm</t>
  </si>
  <si>
    <t>https://cdn.shopify.com/s/files/1/0698/3086/9177/files/mia-krom-duz-spot-60x140-mm-5156.jpg?v=1752137622</t>
  </si>
  <si>
    <t>H1S5CM3000L-140</t>
  </si>
  <si>
    <t>mia-siyah-duz-spot-60x140cm-1</t>
  </si>
  <si>
    <t>Mia Mat Krom Düz Spot 6X14 cm</t>
  </si>
  <si>
    <t>https://cdn.shopify.com/s/files/1/0698/3086/9177/files/H1S5CM3000L-140.jpg?v=1754056002</t>
  </si>
  <si>
    <t>H1S5CMK000L-090</t>
  </si>
  <si>
    <t>bella-krom-duz-spot-6x9-cm</t>
  </si>
  <si>
    <t>Bella Krom Düz Spot 6X9 cm</t>
  </si>
  <si>
    <t>https://cdn.shopify.com/s/files/1/0698/3086/9177/files/bella-krom-duz-spot-60x90-mm-5154.jpg?v=1752137623</t>
  </si>
  <si>
    <t>H1S5CM3000L-090</t>
  </si>
  <si>
    <t>bella-mat-krom-duz-spot-6x9-cm</t>
  </si>
  <si>
    <t>Bella Mat Krom Düz Spot 6X9 cm</t>
  </si>
  <si>
    <t>https://cdn.shopify.com/s/files/1/0698/3086/9177/files/bella-mat-krom-duz-spot-60x90-mm-5153.jpg?v=1752137624</t>
  </si>
  <si>
    <t>H1F6JMKWRB0-173</t>
  </si>
  <si>
    <t>santiago-beyaz-mermer-krom-lambader</t>
  </si>
  <si>
    <t>Santiago Beyaz Mermer Krom Lambader</t>
  </si>
  <si>
    <t>https://cdn.shopify.com/s/files/1/0698/3086/9177/files/H1F6JMKWRB0-173.jpg?v=1754557778</t>
  </si>
  <si>
    <t>H1S5CRB000L-090</t>
  </si>
  <si>
    <t>bella-beyaz-duz-spot-6x9-cm</t>
  </si>
  <si>
    <t>Bella Beyaz Düz Spot 6X9 cm</t>
  </si>
  <si>
    <t>https://cdn.shopify.com/s/files/1/0698/3086/9177/files/H1S5CRB000L-090.jpg?v=1754054383</t>
  </si>
  <si>
    <t>H1F2JMEWRY1-173</t>
  </si>
  <si>
    <t>ponzan-yesil-mermer-eskitme-lambader</t>
  </si>
  <si>
    <t>Ponzan Yeşil Mermer Eskitme Lambader</t>
  </si>
  <si>
    <t>https://cdn.shopify.com/s/files/1/0698/3086/9177/files/H1F2JMEWRY1-173-2.jpg?v=1754557779</t>
  </si>
  <si>
    <t>H1F2JMEWRB1-173</t>
  </si>
  <si>
    <t>ponzan-beyaz-mermer-eskitme-lambader</t>
  </si>
  <si>
    <t>Ponzan Beyaz Mermer Eskitme Lambader</t>
  </si>
  <si>
    <t>https://cdn.shopify.com/s/files/1/0698/3086/9177/files/H1F2JMEWRB1-173.jpg?v=1754557779</t>
  </si>
  <si>
    <t>H1F2JMEWRG1-173</t>
  </si>
  <si>
    <t>ponzan-gri-mermer-eskitme-lambader</t>
  </si>
  <si>
    <t>Ponzan Gri Mermer Eskitme Lambader</t>
  </si>
  <si>
    <t>https://cdn.shopify.com/s/files/1/0698/3086/9177/files/H1F2JMEWRG1-173-1.jpg?v=1754557780</t>
  </si>
  <si>
    <t>H1C6VRSERF0-136</t>
  </si>
  <si>
    <t>kinsasa-siyah-deri-bes-fume-cam-plafonyer</t>
  </si>
  <si>
    <t>Kinşasa Siyah Deri Beş Füme Cam Plafonyer</t>
  </si>
  <si>
    <t>https://cdn.shopify.com/s/files/1/0698/3086/9177/files/kinsasa-siyah-deri-bes-fume-cam-plafonyer-6641.jpg?v=1754490449</t>
  </si>
  <si>
    <t>H1S5CRB000L-140</t>
  </si>
  <si>
    <t>mia-siyah-duz-spot-60x140cm</t>
  </si>
  <si>
    <t>Mia Beyaz Düz Spot 6X14 cm</t>
  </si>
  <si>
    <t>https://cdn.shopify.com/s/files/1/0698/3086/9177/files/mia-beyaz-duz-spot-60x140-cm-5136.jpg?v=1752137632</t>
  </si>
  <si>
    <t>H1F6KRGPRBP-145</t>
  </si>
  <si>
    <t>marsis-paslanmaz-gri-lambader</t>
  </si>
  <si>
    <t>Marsis Paslanmaz Platin Lambader</t>
  </si>
  <si>
    <t>https://cdn.shopify.com/s/files/1/0698/3086/9177/files/H1F6KRGPRBP-145_02.jpg?v=1754557781</t>
  </si>
  <si>
    <t>H1W6JME0000-033</t>
  </si>
  <si>
    <t>esvatini-eskitme-aplik</t>
  </si>
  <si>
    <t>Esvatini Eskitme Aplik</t>
  </si>
  <si>
    <t>https://cdn.shopify.com/s/files/1/0698/3086/9177/files/esvatini-eskitme-aplik-5845.jpg?v=1754548821</t>
  </si>
  <si>
    <t>H1F6ERFWRB0-120</t>
  </si>
  <si>
    <t>seul-dortlu-fume-cam-eskitme-mermer-lambader</t>
  </si>
  <si>
    <t>Seul Dörtlü Füme Cam Eskitme Mermer Lambader</t>
  </si>
  <si>
    <t>https://cdn.shopify.com/s/files/1/0698/3086/9177/files/9_9c13172b-5a09-4706-858a-1dd974bf59e1.jpg?v=1754557782</t>
  </si>
  <si>
    <t>H1C6JRGERF1-028</t>
  </si>
  <si>
    <t>kabil-tekli-fume-cam-gri-sarkit-28-cm</t>
  </si>
  <si>
    <t>Kabil Tekli Füme Cam Gri Sarkıt 28 cm</t>
  </si>
  <si>
    <t>https://cdn.shopify.com/s/files/1/0698/3086/9177/files/kabil-tekli-fume-cam-gri-sarkit-28cm-6185.jpg?v=1754490451</t>
  </si>
  <si>
    <t>H1C6JMEJMR0-106</t>
  </si>
  <si>
    <t>tugela-uc-kollu-koyu-eskitme-sarkit-avize-1</t>
  </si>
  <si>
    <t>Tugela Üç Kollu Koyu Eskitme Sarkıt Avize 106 cm</t>
  </si>
  <si>
    <t>https://cdn.shopify.com/s/files/1/0698/3086/9177/files/tugela-uc-kollu-koyu-eskitme-sarkit-106cm-5130.jpg?v=1754490452</t>
  </si>
  <si>
    <t>H1C6JMEJMR0-68</t>
  </si>
  <si>
    <t>tugela-uc-kollu-koyu-eskitme-sarkit-avize</t>
  </si>
  <si>
    <t>Tugela Üç Kollu Koyu Eskitme Sarkıt Avize 68 cm</t>
  </si>
  <si>
    <t>https://cdn.shopify.com/s/files/1/0698/3086/9177/files/tugela-uc-kollu-koyu-eskitme-sarkit-avize-6585.jpg?v=1754490454</t>
  </si>
  <si>
    <t>H1C6JBJECS0-150</t>
  </si>
  <si>
    <t>bermuda-seffaf-cam-bej-yemek-masasi-avize-150-cm</t>
  </si>
  <si>
    <t>Bermuda Şeffaf Cam Bej Yemek Masası Avize 150 cm</t>
  </si>
  <si>
    <t>https://cdn.shopify.com/s/files/1/0698/3086/9177/files/bermuda-seffaf-cam-bej-yemek-masasi-avize-150cm-5341.jpg?v=1752137641</t>
  </si>
  <si>
    <t>H1C6JBJECS0-120</t>
  </si>
  <si>
    <t>bermuda-seffaf-cam-bej-yemek-masasi-avize-120-cm</t>
  </si>
  <si>
    <t>Bermuda Şeffaf Cam Bej Yemek Masası Avize 120 cm</t>
  </si>
  <si>
    <t>https://cdn.shopify.com/s/files/1/0698/3086/9177/files/bermuda-seffaf-cam-bej-yemek-masasi-avize-120cm-5323.jpg?v=1754490455</t>
  </si>
  <si>
    <t>H1T6ERFWRB0-037</t>
  </si>
  <si>
    <t>seul-i̇kili-fume-cam-beyaz-mermer-eskitme-masa-lambasi</t>
  </si>
  <si>
    <t>Seul İkili Füme Cam Beyaz Mermer Eskitme Masa Lambası</t>
  </si>
  <si>
    <t>https://cdn.shopify.com/s/files/1/0698/3086/9177/files/8_69a73428-8f2c-4c48-8a48-3cc0eda82c65.jpg?v=1752137644</t>
  </si>
  <si>
    <t>H1C6ERFWRB0-059</t>
  </si>
  <si>
    <t>seul-fume-cam-beyaz-mermer-eskitme-yatay-sarkit-avize</t>
  </si>
  <si>
    <t>Seul Füme Cam Beyaz Mermer Eskitme Yatay Sarkıt Avize</t>
  </si>
  <si>
    <t>https://cdn.shopify.com/s/files/1/0698/3086/9177/files/1_59254c73-39e4-4562-82e4-88279896cb28.jpg?v=1754490457</t>
  </si>
  <si>
    <t>H1W6VRSERF0-056</t>
  </si>
  <si>
    <t>kinsasa-siyah-deri-uc-fume-cam-aplik</t>
  </si>
  <si>
    <t>Kinşasa Siyah Deri Üç Füme Cam Aplik</t>
  </si>
  <si>
    <t>https://cdn.shopify.com/s/files/1/0698/3086/9177/files/kinsasa-siyah-deri-uc-fume-cam-aplik-5124.jpg?v=1754548822</t>
  </si>
  <si>
    <t>H1W6VRVERL0-056</t>
  </si>
  <si>
    <t>kinsasa-kahverengi-deri-uc-bal-cam-aplik</t>
  </si>
  <si>
    <t>Kinşasa Kahverengi Deri Üç Bal Cam Aplik</t>
  </si>
  <si>
    <t>https://cdn.shopify.com/s/files/1/0698/3086/9177/files/kinsasa-kahverengi-deri-uc-bal-cam-aplik-5123.jpg?v=1754548824</t>
  </si>
  <si>
    <t>H1C6VRVERL0-120</t>
  </si>
  <si>
    <t>kinsasa-kahverengi-deri-dort-bal-cam-plafonyer</t>
  </si>
  <si>
    <t>Kinşasa Kahverengi Deri Dört Bal Cam Plafonyer</t>
  </si>
  <si>
    <t>https://cdn.shopify.com/s/files/1/0698/3086/9177/files/kinsasa-kahverengi-deri-dort-bal-cam-plafonyer-5122.jpg?v=1754490459</t>
  </si>
  <si>
    <t>H1W6WRB0000-045</t>
  </si>
  <si>
    <t>iguazu-mermer-aplik-45-cm</t>
  </si>
  <si>
    <t>Iguazu Mermer Aplik 45 cm</t>
  </si>
  <si>
    <t>https://cdn.shopify.com/s/files/1/0698/3086/9177/files/iguazu-mermer-aplik-45cm-6148.jpg?v=1754548827</t>
  </si>
  <si>
    <t>H1W6JMEWRBD-040</t>
  </si>
  <si>
    <t>teta-beyaz-mermer-eskitme-aplik</t>
  </si>
  <si>
    <t>Teta Beyaz Mermer Eskitme Aplik 15x40 cm</t>
  </si>
  <si>
    <t>https://cdn.shopify.com/s/files/1/0698/3086/9177/files/H1W6JMEWRBD-040_11.jpg?v=1754548828</t>
  </si>
  <si>
    <t>H1C6JSEECB0-100</t>
  </si>
  <si>
    <t>kongo-buzlu-cam-soft-eskitme-yemek-masasi-avize</t>
  </si>
  <si>
    <t>Kongo Buzlu Cam Soft Eskitme Yemek Masası Avize</t>
  </si>
  <si>
    <t>https://cdn.shopify.com/s/files/1/0698/3086/9177/files/kongo-buzlu-cam-soft-eskitme-yemek-masasi-avize-5118.jpg?v=1754490460</t>
  </si>
  <si>
    <t>H1C6JMEERB0-120</t>
  </si>
  <si>
    <t>zambiya-beyaz-buzlu-cam-eskitme-yatay-sarkit-avize-1</t>
  </si>
  <si>
    <t>Zambiya Beyaz Buzlu Cam Eskitme Yatay Sarkıt 120 cm</t>
  </si>
  <si>
    <t>https://cdn.shopify.com/s/files/1/0698/3086/9177/files/zambiya-beyaz-buzlu-cam-eskitme-yatay-sarkit-120cm-5117.jpg?v=1754490461</t>
  </si>
  <si>
    <t>H1C6JMEERB0-074</t>
  </si>
  <si>
    <t>zambiya-beyaz-buzlu-cam-eskitme-simit-avize-1</t>
  </si>
  <si>
    <t>Zambiya Beyaz Buzlu Cam Eskitme Simit Avize 74 cm</t>
  </si>
  <si>
    <t>https://cdn.shopify.com/s/files/1/0698/3086/9177/files/zambiya-beyaz-buzlu-cam-eskitme-simit-avize-6623.jpg?v=1754490463</t>
  </si>
  <si>
    <t>H1F6KMEPRBP-145</t>
  </si>
  <si>
    <t>marsis-paslanmaz-eskitme-lambader</t>
  </si>
  <si>
    <t>Marsis Paslanmaz Eskitme Lambader</t>
  </si>
  <si>
    <t>https://cdn.shopify.com/s/files/1/0698/3086/9177/files/H1F6KMEPRBP-145_09.jpg?v=1754557784</t>
  </si>
  <si>
    <t>H1C6ERLJRS0-030</t>
  </si>
  <si>
    <t>gambia-bal-cam-siyah-sarkit-avize-30-cm</t>
  </si>
  <si>
    <t>Gambia Bal Cam Siyah Sarkıt Avize 30 cm</t>
  </si>
  <si>
    <t>https://cdn.shopify.com/s/files/1/0698/3086/9177/files/gambia-bal-cam-siyah-sarkit-30cm-5308.jpg?v=1752137681</t>
  </si>
  <si>
    <t>H1C6ERLJRS0-036</t>
  </si>
  <si>
    <t>gambia-bal-cam-siyah-sarkit-avize-36-cm</t>
  </si>
  <si>
    <t>Gambia Bal Cam Siyah Sarkıt Avize 36 cm</t>
  </si>
  <si>
    <t>https://cdn.shopify.com/s/files/1/0698/3086/9177/files/gambia-bal-cam-siyah-sarkit-36cm-5113.jpg?v=1752137683</t>
  </si>
  <si>
    <t>H1W6ERLJRS0-026</t>
  </si>
  <si>
    <t>gambia-bal-cam-siyah-aplik-26-cm</t>
  </si>
  <si>
    <t>Gambia Bal Cam Siyah Aplik 26 cm</t>
  </si>
  <si>
    <t>https://cdn.shopify.com/s/files/1/0698/3086/9177/files/gambia-bal-cam-siyah-aplik-26cm-5810.jpg?v=1754548830</t>
  </si>
  <si>
    <t>H1W5JMGECS0-061</t>
  </si>
  <si>
    <t>manila-seffaf-cam-gold-aplik</t>
  </si>
  <si>
    <t>Manila Şeffaf Cam Gold Aplik</t>
  </si>
  <si>
    <t>https://cdn.shopify.com/s/files/1/0698/3086/9177/files/H1W5JMGECS0-061-4.jpg?v=1754548832</t>
  </si>
  <si>
    <t>H1C5JMGECS0-130</t>
  </si>
  <si>
    <t>manila-seffaf-cam-gold-salon-sarkit-avize</t>
  </si>
  <si>
    <t>Manila Şeffaf Cam Gold Salon Sarkıt Avize</t>
  </si>
  <si>
    <t>https://cdn.shopify.com/s/files/1/0698/3086/9177/files/manila-seffaf-cam-gold-salon-avize-5110.jpg?v=1754490464</t>
  </si>
  <si>
    <t>H1WAJMEECB0-035</t>
  </si>
  <si>
    <t>belize-buzlu-cam-recine-korumali-koyu-eskitme-aplik</t>
  </si>
  <si>
    <t>Belize Buzlu Cam Reçine Korumalı Koyu Eskitme Aplik</t>
  </si>
  <si>
    <t>https://cdn.shopify.com/s/files/1/0698/3086/9177/files/belize-buzlu-cam-recine-korumali-koyu-eskitme-apli-5109.jpg?v=1754548833</t>
  </si>
  <si>
    <t>H1WAJME0000-077</t>
  </si>
  <si>
    <t>eritre-recine-korumali-koyu-eskitme-aplik</t>
  </si>
  <si>
    <t>Eritre Reçine Korumalı Koyu Eskitme Aplik</t>
  </si>
  <si>
    <t>https://cdn.shopify.com/s/files/1/0698/3086/9177/files/eritre-recine-korumali-koyu-eskitme-aplik-6019.jpg?v=1754548836</t>
  </si>
  <si>
    <t>H1WAMME000M-044</t>
  </si>
  <si>
    <t>belarus-recine-korumali-koyu-eskitme-aplik</t>
  </si>
  <si>
    <t>Belarus Reçine Korumalı Koyu Eskitme Aplik</t>
  </si>
  <si>
    <t>https://cdn.shopify.com/s/files/1/0698/3086/9177/files/H1WAMME000M-044-2.jpg?v=1754548838</t>
  </si>
  <si>
    <t>H1WAMME0000-030</t>
  </si>
  <si>
    <t>bolivya-recine-korumali-koyu-eskitme-aplik</t>
  </si>
  <si>
    <t>Bolivya Reçine Korumalı Koyu Eskitme Aplik</t>
  </si>
  <si>
    <t>https://cdn.shopify.com/s/files/1/0698/3086/9177/files/H1WAMME0000-030-4.jpg?v=1754548840</t>
  </si>
  <si>
    <t>H1C5JMGECS1-052</t>
  </si>
  <si>
    <t>manila-seffaf-cam-gold-tekli-sarkit-avize</t>
  </si>
  <si>
    <t>Manila Şeffaf Cam Gold Tekli Sarkıt Avize</t>
  </si>
  <si>
    <t>https://cdn.shopify.com/s/files/1/0698/3086/9177/files/H1C5JMGECS1-052_8.jpg?v=1754490466</t>
  </si>
  <si>
    <t>H1C6JRGERF1-037</t>
  </si>
  <si>
    <t>kabil-tekli-fume-cam-gri-sarkit-37-cm</t>
  </si>
  <si>
    <t>Kabil Tekli Füme Cam Gri Sarkıt 37 cm</t>
  </si>
  <si>
    <t>https://cdn.shopify.com/s/files/1/0698/3086/9177/files/kabil-tekli-fume-cam-gri-sarkit-37-cm-6654.jpg?v=1753943319</t>
  </si>
  <si>
    <t>H1F6JBJECS0-162</t>
  </si>
  <si>
    <t>bermuda-seffaf-cam-bej-lambader</t>
  </si>
  <si>
    <t>Bermuda Şeffaf Cam Bej Lambader</t>
  </si>
  <si>
    <t>https://cdn.shopify.com/s/files/1/0698/3086/9177/files/bermuda-seffaf-cam-bej-lambader-5582.jpg?v=1754557785</t>
  </si>
  <si>
    <t>H1W6JBJECS0-060</t>
  </si>
  <si>
    <t>bermuda-seffaf-cam-bej-aplik-60-cm</t>
  </si>
  <si>
    <t>Bermuda Şeffaf Cam Bej Aplik 60 cm</t>
  </si>
  <si>
    <t>https://cdn.shopify.com/s/files/1/0698/3086/9177/files/bermuda-seffaf-cam-bej-aplik-60cm-6073.jpg?v=1754548841</t>
  </si>
  <si>
    <t>H1W6JRGERF1-032</t>
  </si>
  <si>
    <t>kabil-tekli-fume-cam-gri-aplik-32-cm</t>
  </si>
  <si>
    <t>Kabil Tekli Füme Cam Gri Aplik 32 cm</t>
  </si>
  <si>
    <t>https://cdn.shopify.com/s/files/1/0698/3086/9177/files/H1W6JRGERF1-032-6.jpg?v=1752137734</t>
  </si>
  <si>
    <t>H1W6JRGERF1-028</t>
  </si>
  <si>
    <t>kabil-tekli-fume-cam-gri-aplik-28-cm</t>
  </si>
  <si>
    <t>Kabil Tekli Füme Cam Gri Aplik 28 cm</t>
  </si>
  <si>
    <t>https://cdn.shopify.com/s/files/1/0698/3086/9177/files/H1W6JRGERF1-028.jpg?v=1754548843</t>
  </si>
  <si>
    <t>H1W6JRGERFM-028</t>
  </si>
  <si>
    <t>kabil-i̇kili-fume-cam-gri-aplik-28-cm</t>
  </si>
  <si>
    <t>Kabil İkili Füme Cam Gri Aplik 28 cm</t>
  </si>
  <si>
    <t>https://cdn.shopify.com/s/files/1/0698/3086/9177/files/H1W6JRGERFM-028-1.jpg?v=1754548845</t>
  </si>
  <si>
    <t>H1W6WRB0000-058</t>
  </si>
  <si>
    <t>iguazu-mermer-aplik-58-cm</t>
  </si>
  <si>
    <t>Iguazu Mermer Aplik 58 cm</t>
  </si>
  <si>
    <t>https://cdn.shopify.com/s/files/1/0698/3086/9177/files/iguazu-mermer-aplik-58cm-6142.jpg?v=1754548846</t>
  </si>
  <si>
    <t>H1W6ECTJME0-023</t>
  </si>
  <si>
    <t>linz-soft-cam-eskitme-aplik</t>
  </si>
  <si>
    <t>Linz Soft Cam Eskitme Aplik</t>
  </si>
  <si>
    <t>https://cdn.shopify.com/s/files/1/0698/3086/9177/files/linz-soft-cam-eskitme-aplik-5796.jpg?v=1754548848</t>
  </si>
  <si>
    <t>H1C6ECTJME0-023</t>
  </si>
  <si>
    <t>linz-soft-cam-eskitme-sarkit-avize</t>
  </si>
  <si>
    <t>Linz Soft Cam Eskitme Sarkıt Avize</t>
  </si>
  <si>
    <t>https://cdn.shopify.com/s/files/1/0698/3086/9177/files/linz-soft-cam-eskitme-sarkit-5281.jpg?v=1754490467</t>
  </si>
  <si>
    <t>H1C6JSEECB0-067</t>
  </si>
  <si>
    <t>kongo-buzlu-cam-soft-eskitme-salon-avize</t>
  </si>
  <si>
    <t>Kongo Buzlu Cam Soft Eskitme Salon Avize</t>
  </si>
  <si>
    <t>https://cdn.shopify.com/s/files/1/0698/3086/9177/files/kongo-buzlu-cam-soft-eskitme-salon-avize-5095.jpg?v=1754490469</t>
  </si>
  <si>
    <t>H1T6WRBJME0-070</t>
  </si>
  <si>
    <t>hartum-mermer-eskitme-masa-lambasi</t>
  </si>
  <si>
    <t>Hartum Mermer Eskitme Masa Lambası</t>
  </si>
  <si>
    <t>https://cdn.shopify.com/s/files/1/0698/3086/9177/files/hartum-mermer-eskitme-masa-lambasi-5725.jpg?v=1752137759</t>
  </si>
  <si>
    <t>H1F6WRBJME0-165</t>
  </si>
  <si>
    <t>hartum-mermer-eskitme-lambader</t>
  </si>
  <si>
    <t>Hartum Mermer Eskitme Lambader</t>
  </si>
  <si>
    <t>https://cdn.shopify.com/s/files/1/0698/3086/9177/files/hartum-mermer-eskitme-lambader-5624.jpg?v=1754557787</t>
  </si>
  <si>
    <t>H1C6JMEERB0-090</t>
  </si>
  <si>
    <t>zambiya-beyaz-buzlu-cam-eskitme-simit-avize</t>
  </si>
  <si>
    <t>Zambiya Beyaz Buzlu Cam Eskitme Simit Avize 90 cm</t>
  </si>
  <si>
    <t>https://cdn.shopify.com/s/files/1/0698/3086/9177/files/zambiya-beyaz-buzlu-cam-eskitme-simit-avize-6672.jpg?v=1752137762</t>
  </si>
  <si>
    <t>H1C6ERLJRS0-026</t>
  </si>
  <si>
    <t>gambia-bal-cam-siyah-sarkit-avize-26-cm</t>
  </si>
  <si>
    <t>Gambia Bal Cam Siyah Sarkıt Avize 26 cm</t>
  </si>
  <si>
    <t>https://cdn.shopify.com/s/files/1/0698/3086/9177/files/gambia-bal-cam-siyah-sarkit-26cm-5298.jpg?v=1754490470</t>
  </si>
  <si>
    <t>H1W6KRGPRBP-070</t>
  </si>
  <si>
    <t>marsis-3-sirali-paslanmaz-gri-salon-led-avize</t>
  </si>
  <si>
    <t>Marsis 3 Sıralı Paslanmaz Platin Salon LED Avize</t>
  </si>
  <si>
    <t>https://cdn.shopify.com/s/files/1/0698/3086/9177/files/marsis-3-sirali-paslanmaz-gri-salon-led-avize-6684.jpg?v=1754660984</t>
  </si>
  <si>
    <t>H1T6ERLJRS0-028</t>
  </si>
  <si>
    <t>gambia-bal-cam-siyah-masa-lambasi-28-cm</t>
  </si>
  <si>
    <t>Gambia Bal Cam Siyah Masa Lambası 28 cm</t>
  </si>
  <si>
    <t>https://cdn.shopify.com/s/files/1/0698/3086/9177/files/1_541de212-953f-4425-82f0-60ef707b0c5a.jpg?v=1752137767</t>
  </si>
  <si>
    <t>H1T6ERLJRS0-038</t>
  </si>
  <si>
    <t>gambia-bal-cam-siyah-masa-lambasi-38-cm</t>
  </si>
  <si>
    <t>Gambia Bal Cam Siyah Masa Lambası 38 cm</t>
  </si>
  <si>
    <t>https://cdn.shopify.com/s/files/1/0698/3086/9177/files/gambia-bal-cam-siyah-masa-lambasi-38cm-5088.jpg?v=1752137769</t>
  </si>
  <si>
    <t>H1T6ERLJRS0-033</t>
  </si>
  <si>
    <t>gambia-bal-cam-siyah-masa-lambasi-33-cm</t>
  </si>
  <si>
    <t>Gambia Bal Cam Siyah Masa Lambası 33 cm</t>
  </si>
  <si>
    <t>https://cdn.shopify.com/s/files/1/0698/3086/9177/files/gambia-bal-cam-siyah-masa-lambasi-33cm-5669.jpg?v=1752137771</t>
  </si>
  <si>
    <t>H1C6WRBJMG0-120</t>
  </si>
  <si>
    <t>gabon-mermer-gold-sarkit-avize</t>
  </si>
  <si>
    <t>Gabon Mermer Gold Sarkıt Avize</t>
  </si>
  <si>
    <t>https://cdn.shopify.com/s/files/1/0698/3086/9177/files/gabon-mermer-gold-sarkit-avize-6717.jpg?v=1754490473</t>
  </si>
  <si>
    <t>H1F6WRBJMG0-170</t>
  </si>
  <si>
    <t>gabon-mermer-gold-lambader</t>
  </si>
  <si>
    <t>Gabon Mermer Gold Lambader</t>
  </si>
  <si>
    <t>https://cdn.shopify.com/s/files/1/0698/3086/9177/files/gabon-mermer-gold-lambader-5085.jpg?v=1754557788</t>
  </si>
  <si>
    <t>H1F6JMEWRB0-165</t>
  </si>
  <si>
    <t>gine-mermer-toplu-eskitme-lambader</t>
  </si>
  <si>
    <t>Gine Mermer Toplu Eskitme Lambader</t>
  </si>
  <si>
    <t>https://cdn.shopify.com/s/files/1/0698/3086/9177/files/gine-mermer-toplu-eskitme-lambader-6097.jpg?v=1754557789</t>
  </si>
  <si>
    <t>H1C6JMEWRB0-085</t>
  </si>
  <si>
    <t>gine-mermer-toplu-eskitme-salon-avize-85-cm</t>
  </si>
  <si>
    <t>Gine Mermer Toplu Eskitme Salon Avize 85 cm</t>
  </si>
  <si>
    <t>https://cdn.shopify.com/s/files/1/0698/3086/9177/files/gine-mermer-toplu-eskitme-salon-avize-85cm-6116.jpg?v=1754660865</t>
  </si>
  <si>
    <t>H1C6JMEWRB0-065</t>
  </si>
  <si>
    <t>gine-mermer-toplu-eskitme-salon-avize-65-cm</t>
  </si>
  <si>
    <t>Gine Mermer Toplu Eskitme Salon Avize 65 cm</t>
  </si>
  <si>
    <t>https://cdn.shopify.com/s/files/1/0698/3086/9177/files/gine-mermer-toplu-eskitme-salon-avize-65-cm-6735.jpg?v=1754490476</t>
  </si>
  <si>
    <t>H1T6WRBJMG0-059</t>
  </si>
  <si>
    <t>gabon-mermer-gold-masa-lambasi</t>
  </si>
  <si>
    <t>Gabon Mermer Gold Masa Lambası</t>
  </si>
  <si>
    <t>https://cdn.shopify.com/s/files/1/0698/3086/9177/files/2_e467651d-0d0f-4ba1-814b-dd063adc76c0.jpg?v=1753770235</t>
  </si>
  <si>
    <t>H1W6WRBJMG0-128</t>
  </si>
  <si>
    <t>gabon-mermer-gold-aplik-128-cm</t>
  </si>
  <si>
    <t>Gabon Mermer Gold Aplik 128 cm</t>
  </si>
  <si>
    <t>https://cdn.shopify.com/s/files/1/0698/3086/9177/files/gabon-mermer-gold-aplik-128cm-5080.jpg?v=1754548849</t>
  </si>
  <si>
    <t>H1W6WRBJMG0-066</t>
  </si>
  <si>
    <t>gabon-mermer-gold-aplik-66-cm</t>
  </si>
  <si>
    <t>Gabon Mermer Gold Aplik 66 cm</t>
  </si>
  <si>
    <t>https://cdn.shopify.com/s/files/1/0698/3086/9177/files/gabon-mermer-gold-aplik-66cm-5079.jpg?v=1754548850</t>
  </si>
  <si>
    <t>H1C6JMEWRB0-120</t>
  </si>
  <si>
    <t>gine-mermer-toplu-eskitme-yemek-masasi-avize-120-cm</t>
  </si>
  <si>
    <t>Gine Mermer Toplu Eskitme Yemek Masası Avize 120 cm</t>
  </si>
  <si>
    <t>https://cdn.shopify.com/s/files/1/0698/3086/9177/files/gine-mermer-toplu-eskitme-yemek-masasi-avize-120cm-6111.jpg?v=1754490477</t>
  </si>
  <si>
    <t>H1W6JMEWRBZ-103</t>
  </si>
  <si>
    <t>gine-mermer-toplu-eskitme-aplik-103-cm</t>
  </si>
  <si>
    <t>Gine Mermer Toplu Eskitme Aplik 103 cm</t>
  </si>
  <si>
    <t>https://cdn.shopify.com/s/files/1/0698/3086/9177/files/gine-mermer-toplu-eskitme-aplik-103cm-6074.jpg?v=1754548852</t>
  </si>
  <si>
    <t>H1C6JMNBCSP-055</t>
  </si>
  <si>
    <t>surinam-kristal-akrilik-nikel-tekli-sarkit</t>
  </si>
  <si>
    <t>Surinam Kristal Akrilik Nikel Tekli Sarkıt</t>
  </si>
  <si>
    <t>https://cdn.shopify.com/s/files/1/0698/3086/9177/files/surinam-kristal-akrilik-nikel-tekli-sarkit-6752.jpg?v=1754490479</t>
  </si>
  <si>
    <t>H1C6JMEBCSP-055</t>
  </si>
  <si>
    <t>surinam-kristal-akrilik-eskitme-tekli-sarkit</t>
  </si>
  <si>
    <t>Surinam Kristal Akrilik Eskitme Tekli Sarkıt</t>
  </si>
  <si>
    <t>https://cdn.shopify.com/s/files/1/0698/3086/9177/files/surinam-kristal-akrilik-eskitme-tekli-sarkit-6761.jpg?v=1754490480</t>
  </si>
  <si>
    <t>H1W6JMRWRB0-050</t>
  </si>
  <si>
    <t>pony-at-saci-koyu-eskitme-mermer-aplik-1</t>
  </si>
  <si>
    <t>Pony At Saçı Koyu Eskitme Mermer Küçük Aplik</t>
  </si>
  <si>
    <t>https://cdn.shopify.com/s/files/1/0698/3086/9177/files/H1W6JMRWRB0-050-4.jpg?v=1754548853</t>
  </si>
  <si>
    <t>H1C6JMRWRB0-080</t>
  </si>
  <si>
    <t>pony-i̇kili-at-saci-koyu-eskitme-mermer-sarkit-avize-1</t>
  </si>
  <si>
    <t>Pony İkili At Saçı Koyu Eskitme Mermer Sarkıt Büyük Avize</t>
  </si>
  <si>
    <t>https://cdn.shopify.com/s/files/1/0698/3086/9177/files/H1C6JMRWRB0-080_09.jpg?v=1752137807</t>
  </si>
  <si>
    <t>H1C6JMRWRB0-079</t>
  </si>
  <si>
    <t>pony-at-saci-koyu-eskitme-mermer-sarkit-avize-1</t>
  </si>
  <si>
    <t>Pony At Saçı Koyu Eskitme Mermer Sarkıt Büyük Avize</t>
  </si>
  <si>
    <t>https://cdn.shopify.com/s/files/1/0698/3086/9177/files/pony-at-saci-koyu-eskitme-mermer-buyuk-sarkit-5072.jpg?v=1752137808</t>
  </si>
  <si>
    <t>H1W6JMRWRB0-079</t>
  </si>
  <si>
    <t>pony-at-saci-koyu-eskitme-mermer-aplik</t>
  </si>
  <si>
    <t>Pony At Saçı Koyu Eskitme Mermer Büyük Aplik</t>
  </si>
  <si>
    <t>https://cdn.shopify.com/s/files/1/0698/3086/9177/files/pony-at-saci-koyu-eskitme-mermer-buyuk-aplik-5071.jpg?v=1752137815</t>
  </si>
  <si>
    <t>H1C6JMRWRB0-051</t>
  </si>
  <si>
    <t>pony-at-saci-koyu-eskitme-mermer-sarkit-avize</t>
  </si>
  <si>
    <t>Pony At Saçı Koyu Eskitme Mermer Sarkıt Küçük Avize</t>
  </si>
  <si>
    <t>https://cdn.shopify.com/s/files/1/0698/3086/9177/files/H1C6JMRWRB0-051_02.jpg?v=1754490481</t>
  </si>
  <si>
    <t>H1C6JMRWRB0-052</t>
  </si>
  <si>
    <t>pony-i̇kili-at-saci-koyu-eskitme-mermer-sarkit-avize</t>
  </si>
  <si>
    <t>Pony İkili At Saçı Koyu Eskitme Mermer Sarkıt Küçük Avize</t>
  </si>
  <si>
    <t>https://cdn.shopify.com/s/files/1/0698/3086/9177/files/H1C6JMRWRB0-052_07.jpg?v=1754490483</t>
  </si>
  <si>
    <t>H1C6ERFWRB0-058</t>
  </si>
  <si>
    <t>seul-fume-cam-beyaz-mermer-eskitme-sarkit-55-cm</t>
  </si>
  <si>
    <t>Seul Füme Cam Beyaz Mermer Eskitme Sarkıt</t>
  </si>
  <si>
    <t>https://cdn.shopify.com/s/files/1/0698/3086/9177/files/5_0f057356-aafe-4a6c-b81f-741b1f9a51c2.jpg?v=1754490484</t>
  </si>
  <si>
    <t>H1W6ERFWRB0-036</t>
  </si>
  <si>
    <t>seul-i̇kili-fume-cam-beyaz-mermer-eskitme-sarkit</t>
  </si>
  <si>
    <t>Seul İkili Füme Cam Beyaz Mermer Eskitme Sarkıt</t>
  </si>
  <si>
    <t>https://cdn.shopify.com/s/files/1/0698/3086/9177/files/6_6210ccac-fe5e-4e79-be7e-91e67b4ac539.jpg?v=1754490485</t>
  </si>
  <si>
    <t>H1C6ERFWRB0-056</t>
  </si>
  <si>
    <t>seul-fume-cam-beyaz-mermer-eskitme-sarkit-56cm</t>
  </si>
  <si>
    <t>Seul Füme Cam Beyaz Mermer Eskitme Sarkıt 56 cm</t>
  </si>
  <si>
    <t>https://cdn.shopify.com/s/files/1/0698/3086/9177/files/8_1c5d8666-c5b4-426a-aae7-63cf6d019e1b.jpg?v=1754490487</t>
  </si>
  <si>
    <t>H1C6ERFWRB0-023</t>
  </si>
  <si>
    <t>seul-fume-cam-beyaz-mermer-eskitme-sarkit-23cm</t>
  </si>
  <si>
    <t>Seul Füme Cam Beyaz Mermer Eskitme Sarkıt 23 cm</t>
  </si>
  <si>
    <t>https://cdn.shopify.com/s/files/1/0698/3086/9177/files/seul-fume-cam-beyaz-mermer-eskitme-sarkit-23cm-6040.jpg?v=1754490488</t>
  </si>
  <si>
    <t>H1C6ERFWRB0-036</t>
  </si>
  <si>
    <t>seul-fume-cam-beyaz-mermer-eskitme-sarkit-36cm</t>
  </si>
  <si>
    <t>Seul Füme Cam Beyaz Mermer Eskitme Sarkıt 36 cm</t>
  </si>
  <si>
    <t>https://cdn.shopify.com/s/files/1/0698/3086/9177/files/5_bfcc941d-a649-4bd4-98c5-8fa5b28e15f0.jpg?v=1754490489</t>
  </si>
  <si>
    <t>H1T6ERFWRB0-025</t>
  </si>
  <si>
    <t>seul-fume-cam-beyaz-mermer-eskitme-masa-lambasi</t>
  </si>
  <si>
    <t>Seul Füme Cam Beyaz Mermer Eskitme Masa Lambası</t>
  </si>
  <si>
    <t>https://cdn.shopify.com/s/files/1/0698/3086/9177/files/4_8c65e8d5-d6af-49fd-a6e9-1c72bec517fb.jpg?v=1752137826</t>
  </si>
  <si>
    <t>H1C6ECSERB0-040</t>
  </si>
  <si>
    <t>salvador-seffaf-beyaz-cam-eskitme-sarkit-40cm</t>
  </si>
  <si>
    <t>Salvador Şeffaf &amp; Beyaz Cam Eskitme Sarkıt 40 cm</t>
  </si>
  <si>
    <t>https://cdn.shopify.com/s/files/1/0698/3086/9177/files/salvador-seffaf-beyaz-cam-eskitme-sarkit-40cm-5062.jpg?v=1754490491</t>
  </si>
  <si>
    <t>H1C6ERLERB0-040</t>
  </si>
  <si>
    <t>salvador-bal-beyaz-cam-eskitme-sarkit-40cm</t>
  </si>
  <si>
    <t>Salvador Bal &amp; Beyaz Cam Eskitme Sarkıt 40 cm</t>
  </si>
  <si>
    <t>https://cdn.shopify.com/s/files/1/0698/3086/9177/files/salvador-bal-beyaz-cam-eskitme-sarkit-40cm-5061.jpg?v=1754490492</t>
  </si>
  <si>
    <t>H1C6ERFERB0-040</t>
  </si>
  <si>
    <t>salvador-fume-beyaz-cam-eskitme-sarkit-40cm</t>
  </si>
  <si>
    <t>Salvador Füme &amp; Beyaz Cam Eskitme Sarkıt 40 cm</t>
  </si>
  <si>
    <t>https://cdn.shopify.com/s/files/1/0698/3086/9177/files/salvador-fume-beyaz-cam-eskitme-sarkit-40cm-5060.jpg?v=1754490493</t>
  </si>
  <si>
    <t>H1C6ERLERB0-027</t>
  </si>
  <si>
    <t>salvador-bal-beyaz-cam-eskitme-sarkit-27cm</t>
  </si>
  <si>
    <t>Salvador Bal &amp; Beyaz Cam Eskitme Sarkıt 27 cm</t>
  </si>
  <si>
    <t>https://cdn.shopify.com/s/files/1/0698/3086/9177/files/salvador-bal-beyaz-cam-eskitme-sarkit-27cm-5059.jpg?v=1754490495</t>
  </si>
  <si>
    <t>H1C6ECSERB0-027</t>
  </si>
  <si>
    <t>salvador-seffaf-beyaz-cam-eskitme-sarkit-avize-27-cm</t>
  </si>
  <si>
    <t>Salvador Şeffaf &amp; Beyaz Cam Eskitme Sarkıt Avize 27 cm</t>
  </si>
  <si>
    <t>https://cdn.shopify.com/s/files/1/0698/3086/9177/files/salvador-seffaf-beyaz-cam-eskitme-sarkit-27cm-6223.jpg?v=1754490496</t>
  </si>
  <si>
    <t>H1W6WRBJME0-039</t>
  </si>
  <si>
    <t>hartum-mermer-eskitme-aplik</t>
  </si>
  <si>
    <t>Hartum Mermer Eskitme Aplik</t>
  </si>
  <si>
    <t>https://cdn.shopify.com/s/files/1/0698/3086/9177/files/hartum-mermer-eskitme-aplik-5057.jpg?v=1754548855</t>
  </si>
  <si>
    <t>H1C6JMEWRFP-110</t>
  </si>
  <si>
    <t>azor-uclu-mermer-eskitme-sarkit</t>
  </si>
  <si>
    <t>Azor Üçlü Mermer Eskitme Sarkıt</t>
  </si>
  <si>
    <t>https://cdn.shopify.com/s/files/1/0698/3086/9177/files/5_6b45e4ac-da0e-4775-94fc-6b2f0223e3e6.jpg?v=1754490498</t>
  </si>
  <si>
    <t>H1C6JMEWRFP-100</t>
  </si>
  <si>
    <t>azor-i̇kili-mermer-eskitme-sarkit</t>
  </si>
  <si>
    <t>Azor İkili Mermer Eskitme Sarkıt</t>
  </si>
  <si>
    <t>https://cdn.shopify.com/s/files/1/0698/3086/9177/files/7_951fc945-42d3-4010-9e2b-127401928306.jpg?v=1754490499</t>
  </si>
  <si>
    <t>H1C6ERFERB0-027</t>
  </si>
  <si>
    <t>salvador-fume-beyaz-cam-eskitme-sarkit-27cm</t>
  </si>
  <si>
    <t>Salvador Füme &amp; Beyaz Cam Eskitme Sarkıt 27 cm</t>
  </si>
  <si>
    <t>https://cdn.shopify.com/s/files/1/0698/3086/9177/files/salvador-fume-beyaz-cam-platin-sarkit-27cm-6264.jpg?v=1754490501</t>
  </si>
  <si>
    <t>H1F6JMEERB0-163</t>
  </si>
  <si>
    <t>zambiya-beyaz-buzlu-cam-eskitme-lambader</t>
  </si>
  <si>
    <t>Zambiya Beyaz Buzlu Cam Eskitme Lambader</t>
  </si>
  <si>
    <t>https://cdn.shopify.com/s/files/1/0698/3086/9177/files/8_97e41118-7c40-4973-a195-58eee980317d.jpg?v=1754557790</t>
  </si>
  <si>
    <t>H1W6JMEECB0-058</t>
  </si>
  <si>
    <t>zambiya-beyaz-buzlu-cam-eskitme-aplik</t>
  </si>
  <si>
    <t>Zambiya Beyaz Buzlu Cam Eskitme Aplik</t>
  </si>
  <si>
    <t>https://cdn.shopify.com/s/files/1/0698/3086/9177/files/zambiya-beyaz-buzlu-cam-eskitme-aplik-5052.jpg?v=1754548856</t>
  </si>
  <si>
    <t>H1T6JMEECB0-042</t>
  </si>
  <si>
    <t>zambiya-beyaz-buzlu-cam-eskitme-masa-lambasi</t>
  </si>
  <si>
    <t>Zambiya Beyaz Buzlu Cam Eskitme Masa Lambası</t>
  </si>
  <si>
    <t>https://cdn.shopify.com/s/files/1/0698/3086/9177/files/9_61e6164d-24ef-4964-ae46-ab10dc89fc46.jpg?v=1752137839</t>
  </si>
  <si>
    <t>H1C6WRBJME0-080</t>
  </si>
  <si>
    <t>hartum-mermer-eskitme-salon-avize-80cm</t>
  </si>
  <si>
    <t>Hartum Mermer Eskitme Salon Avize 80 cm</t>
  </si>
  <si>
    <t>https://cdn.shopify.com/s/files/1/0698/3086/9177/files/hartum-mermer-eskitme-salon-avize-80cm-5050.jpg?v=1754490502</t>
  </si>
  <si>
    <t>H1C6JMEERB0-083</t>
  </si>
  <si>
    <t>zambiya-beyaz-buzlu-cam-eskitme-dikey-sarkit</t>
  </si>
  <si>
    <t>Zambiya Beyaz Buzlu Cam Eskitme Dikey Sarkıt</t>
  </si>
  <si>
    <t>https://cdn.shopify.com/s/files/1/0698/3086/9177/files/6.jpg?v=1754490504</t>
  </si>
  <si>
    <t>H1C6JMEERB0-163</t>
  </si>
  <si>
    <t>zambiya-beyaz-buzlu-cam-eskitme-yatay-sarkit-avize</t>
  </si>
  <si>
    <t>Zambiya Beyaz Buzlu Cam Eskitme Yatay Sarkıt 163 cm</t>
  </si>
  <si>
    <t>https://cdn.shopify.com/s/files/1/0698/3086/9177/files/7_1e9ac799-959e-4fe3-bfe6-058beb1c6a09.jpg?v=1754490505</t>
  </si>
  <si>
    <t>H1C2JMEECB0-050</t>
  </si>
  <si>
    <t>gana-beyaz-buzlu-cam-eskitme-avize-50-cm</t>
  </si>
  <si>
    <t>Gana Beyaz Buzlu Cam Eskitme Avize 50 cm</t>
  </si>
  <si>
    <t>https://cdn.shopify.com/s/files/1/0698/3086/9177/files/H1C2JMEECB0-050_9.jpg?v=1754490506</t>
  </si>
  <si>
    <t>H1C2JMEECB0-070</t>
  </si>
  <si>
    <t>gana-beyaz-buzlu-cam-eskitme-avize-70-cm</t>
  </si>
  <si>
    <t>Gana Beyaz Buzlu Cam Eskitme Avize 70 cm</t>
  </si>
  <si>
    <t>https://cdn.shopify.com/s/files/1/0698/3086/9177/files/gana-beyaz-buzlu-cam-eskitme-avize-70cm-5046.jpg?v=1752137849</t>
  </si>
  <si>
    <t>H1T6JMEERB0-048</t>
  </si>
  <si>
    <t>gana-beyaz-buzlu-cam-eskitme-masa-lambasi</t>
  </si>
  <si>
    <t>Gana Beyaz Buzlu Cam Eskitme Masa Lambası</t>
  </si>
  <si>
    <t>https://cdn.shopify.com/s/files/1/0698/3086/9177/files/H1T6JMEERB0-048_9.jpg?v=1752137851</t>
  </si>
  <si>
    <t>H1F6JMEERB0-160</t>
  </si>
  <si>
    <t>gana-i̇ki-beyaz-buzlu-cam-eskitme-lambader</t>
  </si>
  <si>
    <t>Gana İki Beyaz Buzlu Cam Eskitme Lambader</t>
  </si>
  <si>
    <t>https://cdn.shopify.com/s/files/1/0698/3086/9177/files/H1F6JMEERB0-160_7.jpg?v=1754557792</t>
  </si>
  <si>
    <t>H1W6JMEECB0-032</t>
  </si>
  <si>
    <t>gana-beyaz-buzlu-cam-eskitme-aplik</t>
  </si>
  <si>
    <t>Gana Beyaz Buzlu Cam Eskitme Aplik</t>
  </si>
  <si>
    <t>https://cdn.shopify.com/s/files/1/0698/3086/9177/files/gana-beyaz-buzlu-cam-eskitme-aplik-5043.jpg?v=1754548858</t>
  </si>
  <si>
    <t>H1C6JMEERB0-022</t>
  </si>
  <si>
    <t>gana-i̇ki-beyaz-buzlu-cam-eskitme-sarkit-22-cm</t>
  </si>
  <si>
    <t>Gana İki Beyaz Buzlu Cam Eskitme Sarkıt 22 cm</t>
  </si>
  <si>
    <t>https://cdn.shopify.com/s/files/1/0698/3086/9177/files/H1C6JMEERB0-022_3.jpg?v=1754490507</t>
  </si>
  <si>
    <t>H1W6JMEWRBZ-050</t>
  </si>
  <si>
    <t>gine-mermer-toplu-eskitme-aplik-50-cm</t>
  </si>
  <si>
    <t>Gine Mermer Toplu Eskitme Aplik 50 cm</t>
  </si>
  <si>
    <t>https://cdn.shopify.com/s/files/1/0698/3086/9177/files/gine-mermer-toplu-eskitme-aplik-50cm-6095.jpg?v=1754548859</t>
  </si>
  <si>
    <t>H1W6KRGPRBP-054</t>
  </si>
  <si>
    <t>marsis-2-sirali-paslanmaz-gri-salon-led-avize</t>
  </si>
  <si>
    <t>Marsis 2 Sıralı Paslanmaz Platin Salon LED Avize</t>
  </si>
  <si>
    <t>https://cdn.shopify.com/s/files/1/0698/3086/9177/files/H1W6KRGPRBP-054_06.jpg?v=1754490509</t>
  </si>
  <si>
    <t>H1W6KRGPRBP-038</t>
  </si>
  <si>
    <t>marsis-paslanmaz-gri-kucuk-led-aplik</t>
  </si>
  <si>
    <t>Marsis Paslanmaz Platin Küçük LED Aplik</t>
  </si>
  <si>
    <t>https://cdn.shopify.com/s/files/1/0698/3086/9177/files/H1W6KRGPRBP-038_05.jpg?v=1754548861</t>
  </si>
  <si>
    <t>H1C6JMEERB0-032</t>
  </si>
  <si>
    <t>gana-i̇ki-beyaz-buzlu-cam-eskitme-sarkit-32-cm</t>
  </si>
  <si>
    <t>Gana İki Beyaz Buzlu Cam Eskitme Sarkıt 32 cm</t>
  </si>
  <si>
    <t>https://cdn.shopify.com/s/files/1/0698/3086/9177/files/gana-iki-beyaz-buzlu-cam-eskitme-sarkit-32cm-5038.jpg?v=1752137869</t>
  </si>
  <si>
    <t>H1C6JMEERB0-043</t>
  </si>
  <si>
    <t>gana-i̇ki-beyaz-buzlu-cam-eskitme-sarkit-43-cm</t>
  </si>
  <si>
    <t>Gana İki Beyaz Buzlu Cam Eskitme Sarkıt 43 cm</t>
  </si>
  <si>
    <t>https://cdn.shopify.com/s/files/1/0698/3086/9177/files/gana-iki-beyaz-buzlu-cam-eskitme-sarkit-43cm-5037.jpg?v=1752137877</t>
  </si>
  <si>
    <t>H1W6ERLJRS0-055</t>
  </si>
  <si>
    <t>gambia-uc-bal-camli-siyah-aplik-55-cm</t>
  </si>
  <si>
    <t>Gambia Üç Bal Camlı Siyah Aplik 55 cm</t>
  </si>
  <si>
    <t>https://cdn.shopify.com/s/files/1/0698/3086/9177/files/gambia-uc-bal-camli-siyah-aplik-55cm-5036.jpg?v=1754548862</t>
  </si>
  <si>
    <t>H1W6ERLJRS0-036</t>
  </si>
  <si>
    <t>gambia-bal-cam-siyah-aplik-36-cm</t>
  </si>
  <si>
    <t>Gambia Bal Cam Siyah Aplik 36 cm</t>
  </si>
  <si>
    <t>https://cdn.shopify.com/s/files/1/0698/3086/9177/files/gambia-bal-cam-siyah-aplik-36cm-5035.jpg?v=1752137881</t>
  </si>
  <si>
    <t>H1W6ERLJRS0-030</t>
  </si>
  <si>
    <t>gambia-bal-cam-siyah-aplik-30-cm</t>
  </si>
  <si>
    <t>Gambia Bal Cam Siyah Aplik 30 cm</t>
  </si>
  <si>
    <t>https://cdn.shopify.com/s/files/1/0698/3086/9177/files/gambia-bal-cam-siyah-aplik-30cm-5034.jpg?v=1752137881</t>
  </si>
  <si>
    <t>H1W4JMGWRB0-026</t>
  </si>
  <si>
    <t>bruksel-gold-mermer-kucuk-aplik</t>
  </si>
  <si>
    <t>Brüksel Gold Mermer Küçük Aplik</t>
  </si>
  <si>
    <t>https://cdn.shopify.com/s/files/1/0698/3086/9177/files/H1W4JMGWRB0-026-6.jpg?v=1754548864</t>
  </si>
  <si>
    <t>H1W4JMGWRB0-035</t>
  </si>
  <si>
    <t>bruksel-gold-mermer-orta-boy-aplik</t>
  </si>
  <si>
    <t>Brüksel Gold Mermer Orta Boy Aplik</t>
  </si>
  <si>
    <t>https://cdn.shopify.com/s/files/1/0698/3086/9177/files/H1W4JMGWRB0-035-6.jpg?v=1752137894</t>
  </si>
  <si>
    <t>H1W4JMGWRB0-042</t>
  </si>
  <si>
    <t>bruksel-gold-mermer-buyuk-aplik</t>
  </si>
  <si>
    <t>Brüksel Gold Mermer Büyük Aplik</t>
  </si>
  <si>
    <t>https://cdn.shopify.com/s/files/1/0698/3086/9177/files/H1W4JMGWRB0-042-6.jpg?v=1752137906</t>
  </si>
  <si>
    <t>H1C6KMPECSR-145</t>
  </si>
  <si>
    <t>berlin-5li-platin-paslanmaz-seffaf-cam-yemek-masa-ustu-avize</t>
  </si>
  <si>
    <t>Berlin 5'li Platin Paslanmaz Şeffaf Cam Yemek Masa Üstü Avize</t>
  </si>
  <si>
    <t>https://cdn.shopify.com/s/files/1/0698/3086/9177/files/H1C6KMPECSR-145.jpg?v=1754490510</t>
  </si>
  <si>
    <t>H1W6JMKLCS0-050</t>
  </si>
  <si>
    <t>madrid-mesale-led-aplik</t>
  </si>
  <si>
    <t>Madrid Krom Meşale LED Aplik</t>
  </si>
  <si>
    <t>https://cdn.shopify.com/s/files/1/0698/3086/9177/files/madrid-mesale-krom-aplik-4943.jpg?v=1754548865</t>
  </si>
  <si>
    <t>shaggy-kirmizi-battal-ebru-ahsap-mantar-masa-lambasi</t>
  </si>
  <si>
    <t>Shaggy Kırmızı Battal Ebru Ahşap Mantar Masa Lambası</t>
  </si>
  <si>
    <t>https://cdn.shopify.com/s/files/1/0698/3086/9177/files/shaggy-kirmizi-battal-ebru-ahsap-mantar-masa-lamba-4927.jpg?v=1752137960</t>
  </si>
  <si>
    <t>Shaggy Kırmızı Klasik Ebru Ahşap Mantar Masa Lambası</t>
  </si>
  <si>
    <t>https://cdn.shopify.com/s/files/1/0698/3086/9177/files/shaggy-kirmizi-klasik-ebru-ahsap-mantar-masa-lamba-4926.jpg?v=1752137961</t>
  </si>
  <si>
    <t>Shaggy Mavi Battal Ebru Ahşap Mantar Masa Lambası</t>
  </si>
  <si>
    <t>https://cdn.shopify.com/s/files/1/0698/3086/9177/files/MAV1.jpg?v=1752137962</t>
  </si>
  <si>
    <t>Shaggy Mavi Klasik Ebru Ahşap Mantar Masa Lambası</t>
  </si>
  <si>
    <t>https://cdn.shopify.com/s/files/1/0698/3086/9177/files/MM1.jpg?v=1752137963</t>
  </si>
  <si>
    <t>Shaggy Sarı Ahşap Mantar Masa Lambası</t>
  </si>
  <si>
    <t>https://cdn.shopify.com/s/files/1/0698/3086/9177/files/shaggy-sari-ahsap-mantar-masa-lambasi-4922.jpg?v=1752137964</t>
  </si>
  <si>
    <t>Shaggy Wenge Ahşap Mantar Masa Lambası</t>
  </si>
  <si>
    <t>https://cdn.shopify.com/s/files/1/0698/3086/9177/files/shaggy-wenge-ahsap-mantar-masa-lambasi-4921.jpg?v=1752137965</t>
  </si>
  <si>
    <t>Shaggy Antik Meşe Ahşap Mantar Masa Lambası</t>
  </si>
  <si>
    <t>https://cdn.shopify.com/s/files/1/0698/3086/9177/files/shaggy-antik-mese-ahsap-mantar-masa-lambasi-4920.jpg?v=1752137966</t>
  </si>
  <si>
    <t>H1W6JMEBCST-090</t>
  </si>
  <si>
    <t>sofya-uclu-akrilik-eskitme-aplik-90cm</t>
  </si>
  <si>
    <t>Sofya Üçlü Akrilik Eskitme Aplik 90 cm</t>
  </si>
  <si>
    <t>https://cdn.shopify.com/s/files/1/0698/3086/9177/files/sofya-uclu-akrilik-eskitme-aplik-90cm-4914.jpg?v=1754548866</t>
  </si>
  <si>
    <t>H1W6JMEBCST-062</t>
  </si>
  <si>
    <t>sofya-i̇kili-akrilik-eskitme-aplik-62cm</t>
  </si>
  <si>
    <t>Sofya İkili Akrilik Eskitme Aplik 62 cm</t>
  </si>
  <si>
    <t>https://cdn.shopify.com/s/files/1/0698/3086/9177/files/sofya-ikili-akrilik-eskitme-aplik-62cm-4911.jpg?v=1754548867</t>
  </si>
  <si>
    <t>H1W6JMEBCST-034</t>
  </si>
  <si>
    <t>sofya-tekli-akrilik-eskitme-aplik-34cm</t>
  </si>
  <si>
    <t>Sofya Tekli Akrilik Eskitme Aplik 34 cm</t>
  </si>
  <si>
    <t>https://cdn.shopify.com/s/files/1/0698/3086/9177/files/sofya-tekli-akrilik-eskitme-aplik-34cm-4910.jpg?v=1754548868</t>
  </si>
  <si>
    <t>H1W6JMNZRFO-013</t>
  </si>
  <si>
    <t>odense-kabarcikli-basik-fume-cam-krom-led-aplik</t>
  </si>
  <si>
    <t>Odense Kabarcıklı Basık Füme Cam Krom Led Aplik</t>
  </si>
  <si>
    <t>https://cdn.shopify.com/s/files/1/0698/3086/9177/files/odense-kabarcikli-basik-fume-cam-krom-aplik-5929.jpg?v=1754548868</t>
  </si>
  <si>
    <t>H1W6JMNZCTO-013</t>
  </si>
  <si>
    <t>odense-kabarcikli-soft-basik-cam-krom-led-aplik</t>
  </si>
  <si>
    <t>Odense Kabarcıklı Soft Basık Cam Krom Led Aplik</t>
  </si>
  <si>
    <t>https://cdn.shopify.com/s/files/1/0698/3086/9177/files/odense-kabarcikli-soft-basik-cam-krom-aplik-5907.jpg?v=1754548870</t>
  </si>
  <si>
    <t>H1W6JMNZRFV-016</t>
  </si>
  <si>
    <t>kopenhag-kabarcikli-fume-cam-krom-aplik</t>
  </si>
  <si>
    <t>Kopenhag Kabarcıklı Füme Cam Krom Aplik</t>
  </si>
  <si>
    <t>https://cdn.shopify.com/s/files/1/0698/3086/9177/files/kopenhag-kabarcikli-fume-cam-krom-aplik-5936.jpg?v=1754548871</t>
  </si>
  <si>
    <t>H1W6JMNZCTV-016</t>
  </si>
  <si>
    <t>kopenhag-kabarcikli-soft-cam-krom-aplik</t>
  </si>
  <si>
    <t>Kopenhag Kabarcıklı Soft Cam Krom Aplik</t>
  </si>
  <si>
    <t>https://cdn.shopify.com/s/files/1/0698/3086/9177/files/kopenhag-kabarcikli-soft-cam-krom-aplik-5919.jpg?v=1754548872</t>
  </si>
  <si>
    <t>H1W3JRSZCTM-063</t>
  </si>
  <si>
    <t>helsingor-i̇kili-kabarcikli-soft-cam-siyah-aplik</t>
  </si>
  <si>
    <t>Helsingör İkili Kabarcıklı Soft Cam Siyah Aplik</t>
  </si>
  <si>
    <t>https://cdn.shopify.com/s/files/1/0698/3086/9177/files/helsingor-ikili-kabarcikli-soft-cam-siyah-aplik-5778.jpg?v=1754548873</t>
  </si>
  <si>
    <t>H1W3JMEZCTM-063</t>
  </si>
  <si>
    <t>helsingor-i̇kili-kabarcikli-soft-cam-eskitme-aplik</t>
  </si>
  <si>
    <t>Helsingör İkili Kabarcıklı Soft Cam Eskitme Aplik</t>
  </si>
  <si>
    <t>https://cdn.shopify.com/s/files/1/0698/3086/9177/files/helsingor-ikili-kabarcikli-soft-cam-eskitme-aplik-5750.jpg?v=1754548874</t>
  </si>
  <si>
    <t>H1W3JRSZCT1-026</t>
  </si>
  <si>
    <t>helsingor-tekli-kabarcikli-soft-cam-siyah-aplik</t>
  </si>
  <si>
    <t>Helsingör Tekli Kabarcıklı Soft Cam Siyah Aplik</t>
  </si>
  <si>
    <t>https://cdn.shopify.com/s/files/1/0698/3086/9177/files/helsingor-tekli-kabarcikli-soft-cam-siyah-aplik-5767.jpg?v=1754548876</t>
  </si>
  <si>
    <t>H1W3JMEZCT1-026</t>
  </si>
  <si>
    <t>helsingor-tekli-kabarcikli-soft-cam-eskitme-aplik</t>
  </si>
  <si>
    <t>Helsingör Tekli Kabarcıklı Soft Cam Eskitme Aplik</t>
  </si>
  <si>
    <t>https://cdn.shopify.com/s/files/1/0698/3086/9177/files/helsingor-tekli-kabarcikli-soft-cam-eskitme-aplik-5748.jpg?v=1754548877</t>
  </si>
  <si>
    <t>H1W6JMEZRLO-013</t>
  </si>
  <si>
    <t>odense-kabarcikli-basik-bal-cam-eskitme-led-aplik</t>
  </si>
  <si>
    <t>Odense Kabarcıklı Basık Bal Cam Eskitme Led Aplik</t>
  </si>
  <si>
    <t>https://cdn.shopify.com/s/files/1/0698/3086/9177/files/odense-kabarcikli-basik-bal-cam-eskitme-aplik-5877.jpg?v=1754548878</t>
  </si>
  <si>
    <t>H1W6JMEZRLV-016</t>
  </si>
  <si>
    <t>kopenhag-kabarcikli-bal-cam-eskitme-aplik</t>
  </si>
  <si>
    <t>Kopenhag Kabarcıklı Bal Cam Eskitme Aplik</t>
  </si>
  <si>
    <t>https://cdn.shopify.com/s/files/1/0698/3086/9177/files/kopenhag-kabarcikli-bal-cam-eskitme-aplik-5884.jpg?v=1754548879</t>
  </si>
  <si>
    <t>H1C6JMNZRFV-017</t>
  </si>
  <si>
    <t>kopenhag-kabarcikli-fume-cam-krom-sarkit</t>
  </si>
  <si>
    <t>Kopenhag Kabarcıklı Füme Cam Krom Sarkıt</t>
  </si>
  <si>
    <t>https://cdn.shopify.com/s/files/1/0698/3086/9177/files/kopenhag-kabarcikli-fume-cam-krom-sarkit-5437.jpg?v=1754490511</t>
  </si>
  <si>
    <t>H1F6ARVECSC-180</t>
  </si>
  <si>
    <t>naramata-ahsap-eskitme-kahverengi-lambader</t>
  </si>
  <si>
    <t>Naramata Ahşap Eskitme Kahverengi Lambader</t>
  </si>
  <si>
    <t>https://cdn.shopify.com/s/files/1/0698/3086/9177/files/IMG_0491.jpg?v=1754557793</t>
  </si>
  <si>
    <t>H1C6JMNZRFO-014</t>
  </si>
  <si>
    <t>odense-kabarcikli-basik-fume-cam-krom-sarkit-avize</t>
  </si>
  <si>
    <t>Odense Kabarcıklı Basık Füme Cam Krom Avize</t>
  </si>
  <si>
    <t>https://cdn.shopify.com/s/files/1/0698/3086/9177/files/H1C6JMNZRFO-014.jpg?v=1754490512</t>
  </si>
  <si>
    <t>H1C6JMNZCTO-014</t>
  </si>
  <si>
    <t>odense-kabarcikli-soft-basik-cam-krom-sarkit-avize</t>
  </si>
  <si>
    <t>Odense Kabarcıklı Soft Basık Cam Krom Sarkıt Avize</t>
  </si>
  <si>
    <t>https://cdn.shopify.com/s/files/1/0698/3086/9177/files/H1C6JMNZCTO-014_1.jpg?v=1754490513</t>
  </si>
  <si>
    <t>H1C6JMEZRLV-017</t>
  </si>
  <si>
    <t>kopenhag-kabarcikli-bal-cam-eskitme-sarkit</t>
  </si>
  <si>
    <t>Kopenhag Kabarcıklı Bal Cam Eskitme Sarkıt</t>
  </si>
  <si>
    <t>https://cdn.shopify.com/s/files/1/0698/3086/9177/files/H1C6JMEZRLV-017_5.jpg?v=1754490514</t>
  </si>
  <si>
    <t>H1C6JMNZCTV-017</t>
  </si>
  <si>
    <t>kopenhag-kabarcikli-cam-sarkit-avize</t>
  </si>
  <si>
    <t>Kopenhag Kabarcıklı Soft Cam Krom Sarkıt Avize</t>
  </si>
  <si>
    <t>https://cdn.shopify.com/s/files/1/0698/3086/9177/files/H1C6JMNZCTV-017_6.jpg?v=1754490515</t>
  </si>
  <si>
    <t>H1C3JMNZRNI-016</t>
  </si>
  <si>
    <t>ribe-kabarcikli-visne-telli-cam-nikel-sarkit-avize</t>
  </si>
  <si>
    <t>Ribe Kabarcıklı Vişne Telli Cam Nikel Sarkıt Avize</t>
  </si>
  <si>
    <t>https://cdn.shopify.com/s/files/1/0698/3086/9177/files/ribe-kabarcikli-visne-renk-telli-cam-nikel-sarkit-5260.jpg?v=1754490516</t>
  </si>
  <si>
    <t>H1C6JMEZRLO-014</t>
  </si>
  <si>
    <t>odense-kabarcikli-basik-bal-cam-eskitme-sarkit-avize</t>
  </si>
  <si>
    <t>Odense Kabarcıklı Basık Bal Cam Eskitme Sarkıt Avize</t>
  </si>
  <si>
    <t>https://cdn.shopify.com/s/files/1/0698/3086/9177/files/H1C6JMEZRLO-014_2.jpg?v=1754490517</t>
  </si>
  <si>
    <t>H1C6JMEERFP-025</t>
  </si>
  <si>
    <t>viyana-goktasi-fume-eskitme-cam-led-sarkit-avize-1</t>
  </si>
  <si>
    <t>Viyana Göktaşı Füme Eskitme Cam LED Sarkıt Avize 25 cm</t>
  </si>
  <si>
    <t>https://cdn.shopify.com/s/files/1/0698/3086/9177/files/H1C6JMEERFP-025_1.jpg?v=1754490518</t>
  </si>
  <si>
    <t>H1C6JMEERLP-025</t>
  </si>
  <si>
    <t>viyana-goktasi-bal-eskitme-cam-led-sarkit-avize-1</t>
  </si>
  <si>
    <t>Viyana Göktaşı Bal Eskitme Cam LED Sarkıt Avize 25 cm</t>
  </si>
  <si>
    <t>https://cdn.shopify.com/s/files/1/0698/3086/9177/files/H1C6JMEERLP-025_4822c35f-ecf2-4c27-bb5e-f99dc776cc64.jpg?v=1752137998</t>
  </si>
  <si>
    <t>H1L2JMRNRR1-054</t>
  </si>
  <si>
    <t>gostivar-koyu-eskitme-krem-renk-porselen-abajur</t>
  </si>
  <si>
    <t>Gostivar Koyu Eskitme Krem Renk Porselen Abajur</t>
  </si>
  <si>
    <t>https://cdn.shopify.com/s/files/1/0698/3086/9177/files/gostivar-koyu-eskitme-krem-renk-porselen-abajur-4890.jpg?v=1752137999</t>
  </si>
  <si>
    <t>H1L2JMRNRY1-054</t>
  </si>
  <si>
    <t>debre-koyu-eskitme-yesil-porselen-abajur</t>
  </si>
  <si>
    <t>Debre Koyu Eskitme Yeşil Porselen Abajur</t>
  </si>
  <si>
    <t>https://cdn.shopify.com/s/files/1/0698/3086/9177/files/H1F2JMRNRY1-153-H1L2JMRNRY1-054_2.jpg?v=1752138000</t>
  </si>
  <si>
    <t>H1L2JMENRR1-056</t>
  </si>
  <si>
    <t>kerava-eskitme-krem-renk-porselen-abajur</t>
  </si>
  <si>
    <t>Kerava Eskitme Krem Renk Porselen Abajur</t>
  </si>
  <si>
    <t>https://cdn.shopify.com/s/files/1/0698/3086/9177/files/H1F2JMENRR1-166-H1L2JMENRR1-056_4.jpg?v=1752138000</t>
  </si>
  <si>
    <t>H1L2JMEWRG1-059</t>
  </si>
  <si>
    <t>ponzan-gri-mermer-eskitme-abajur</t>
  </si>
  <si>
    <t>Ponzan Gri Mermer Eskitme Abajur</t>
  </si>
  <si>
    <t>https://cdn.shopify.com/s/files/1/0698/3086/9177/files/H1L2JMEWRG1-059_3.jpg?v=1752138001</t>
  </si>
  <si>
    <t>H1L2JMEWRY1-059</t>
  </si>
  <si>
    <t>ponzan-yesil-mermer-eskitme-abajur</t>
  </si>
  <si>
    <t>Ponzan Yeşil Mermer Eskitme Abajur</t>
  </si>
  <si>
    <t>https://cdn.shopify.com/s/files/1/0698/3086/9177/files/H1L2JMEWRY1-059_5.jpg?v=1752138002</t>
  </si>
  <si>
    <t>H1L2JMEWRB1-059</t>
  </si>
  <si>
    <t>ponzan-beyaz-mermer-eskitme-abajur</t>
  </si>
  <si>
    <t>Ponzan Beyaz Mermer Eskitme Abajur</t>
  </si>
  <si>
    <t>https://cdn.shopify.com/s/files/1/0698/3086/9177/files/H1L2JMEWRB1-059_3.jpg?v=1752138003</t>
  </si>
  <si>
    <t>H1L2JMGECS1-071</t>
  </si>
  <si>
    <t>bonn-gold-seffaf-cam-abajur</t>
  </si>
  <si>
    <t>Bonn Gold Şeffaf Cam Abajur</t>
  </si>
  <si>
    <t>https://cdn.shopify.com/s/files/1/0698/3086/9177/files/H1F2JMGECS1-170-H1L2JMGECS1-071_3.jpg?v=1752138004</t>
  </si>
  <si>
    <t>H1L1JMGJRSZ-063</t>
  </si>
  <si>
    <t>torino-gold-siyah-uc-kollu-abajur</t>
  </si>
  <si>
    <t>Torino Gold-Siyah Üç Kollu Abajur</t>
  </si>
  <si>
    <t>https://cdn.shopify.com/s/files/1/0698/3086/9177/files/H1F1JMGJRSZ-160-H1L1JMGJRSZ-063-2.jpg?v=1752138006</t>
  </si>
  <si>
    <t>H1L2JMENRB1-055</t>
  </si>
  <si>
    <t>kannus-eskitme-beyaz-renk-porselen-abajur</t>
  </si>
  <si>
    <t>Kannus Eskitme Beyaz Renk Porselen Abajur</t>
  </si>
  <si>
    <t>https://cdn.shopify.com/s/files/1/0698/3086/9177/files/H1F2JMENRB1-158-H1L2JMENRB1-055_4.jpg?v=1752138008</t>
  </si>
  <si>
    <t>H1F2JMENRR1-166</t>
  </si>
  <si>
    <t>kerava-eskitme-krem-porselen-lambader</t>
  </si>
  <si>
    <t>Kerava Eskitme Krem Porselen Lambader</t>
  </si>
  <si>
    <t>https://cdn.shopify.com/s/files/1/0698/3086/9177/files/H1F2JMENRR1-166-H1L2JMENRR1-056_2_e138641c-6928-40b6-9bb4-df71454e8afd.jpg?v=1754557798</t>
  </si>
  <si>
    <t>H1W6RMGECSP-025</t>
  </si>
  <si>
    <t>peru-pirinc-seffaf-kirlangic-cam-led-aplik-25cm</t>
  </si>
  <si>
    <t>Peru Pirinç Şeffaf Kırlangıç Cam LED Aplik 25 cm</t>
  </si>
  <si>
    <t>https://cdn.shopify.com/s/files/1/0698/3086/9177/files/peru-pirinc-seffaf-kirlangic-cam-aplik-25-cm-5237.jpg?v=1754548880</t>
  </si>
  <si>
    <t>H1W6RMGECSP-060</t>
  </si>
  <si>
    <t>peru-pirinc-seffaf-kirlangic-cam-led-aplik-60cm</t>
  </si>
  <si>
    <t>Peru Pirinç Şeffaf Kırlangıç Cam Led Aplik 60 cm</t>
  </si>
  <si>
    <t>https://cdn.shopify.com/s/files/1/0698/3086/9177/files/peru-pirinc-seffaf-kirlangic-cam-aplik-60-cm-5231.jpg?v=1754548881</t>
  </si>
  <si>
    <t>H1C6RMGECSP-150</t>
  </si>
  <si>
    <t>peru-pirinc-seffaf-kirlangic-cam-avize-150cm</t>
  </si>
  <si>
    <t>Peru Pirinç Şeffaf Kırlangıç Cam Avize 150 cm</t>
  </si>
  <si>
    <t>https://cdn.shopify.com/s/files/1/0698/3086/9177/files/H1C6RMGECSP-150.jpg?v=1754490519</t>
  </si>
  <si>
    <t>H1C6RMGECSR-100</t>
  </si>
  <si>
    <t>peru-pirinc-seffaf-kirlangic-cam-avize-100cm</t>
  </si>
  <si>
    <t>Peru Pirinç Şeffaf Kırlangıç Cam Avize 100 cm</t>
  </si>
  <si>
    <t>https://cdn.shopify.com/s/files/1/0698/3086/9177/files/peru-pirinc-seffaf-kirlangic-cam-avize-100-cm-4870.jpg?v=1752138019</t>
  </si>
  <si>
    <t>H1C6RMGECSR-080</t>
  </si>
  <si>
    <t>peru-pirinc-seffaf-kirlangic-cam-avize-80cm</t>
  </si>
  <si>
    <t>Peru Pirinç Şeffaf Kırlangıç Cam Avize 80 cm</t>
  </si>
  <si>
    <t>https://cdn.shopify.com/s/files/1/0698/3086/9177/files/H1C6RMGECSR-080PeruPirincSeffafKirlangicCamAvize80cm.jpg?v=1754490520</t>
  </si>
  <si>
    <t>H1C6RMGECS0-300</t>
  </si>
  <si>
    <t>peru-pirinc-seffaf-kirlangic-cam-avize-300cm</t>
  </si>
  <si>
    <t>Peru Pirinç Şeffaf Kırlangıç Cam Avize 300 cm</t>
  </si>
  <si>
    <t>https://cdn.shopify.com/s/files/1/0698/3086/9177/files/H1C6RMGECS0-300.jpg?v=1754490520</t>
  </si>
  <si>
    <t>H1C6R00ECS0-080</t>
  </si>
  <si>
    <t>oxford-pirinc-seffaf-yaprak-cam-avize-1</t>
  </si>
  <si>
    <t>Oxford Pirinç Şeffaf Yaprak Cam Avize 80 cm</t>
  </si>
  <si>
    <t>https://cdn.shopify.com/s/files/1/0698/3086/9177/files/oxford-pirinc-seffaf-yaprak-cam-avize-80-cm-5229.jpg?v=1754490521</t>
  </si>
  <si>
    <t>H1C6R00ECS0-120</t>
  </si>
  <si>
    <t>oxford-pirinc-seffaf-yaprak-cam-avize</t>
  </si>
  <si>
    <t>Oxford Pirinç Şeffaf Yaprak Cam Avize 120 cm</t>
  </si>
  <si>
    <t>https://cdn.shopify.com/s/files/1/0698/3086/9177/files/oxford-pirinc-seffaf-yaprak-cam-avize-120-cm-5228.jpg?v=1754490522</t>
  </si>
  <si>
    <t>H1W6R00ECS0-055</t>
  </si>
  <si>
    <t>oxford-pirinc-seffaf-yaprak-cam-aplik-55cm</t>
  </si>
  <si>
    <t>Oxford Pirinç Şeffaf Yaprak Cam Aplik 55cm</t>
  </si>
  <si>
    <t>https://cdn.shopify.com/s/files/1/0698/3086/9177/files/oxford-pirinc-seffaf-yaprak-cam-aplik-55-cm-5227.jpg?v=1754548882</t>
  </si>
  <si>
    <t>H1W6R00ECS0-064</t>
  </si>
  <si>
    <t>oxford-pirinc-seffaf-yaprak-cam-aplik-64cm</t>
  </si>
  <si>
    <t>Oxford Pirinç Şeffaf Yaprak Cam Aplik 64cm</t>
  </si>
  <si>
    <t>https://cdn.shopify.com/s/files/1/0698/3086/9177/files/oxford-pirinc-seffaf-yaprak-cam-aplik-64-cm-5226.jpg?v=1754548882</t>
  </si>
  <si>
    <t>H1F6JMNLCSP-165</t>
  </si>
  <si>
    <t>surinam-kristal-akrilik-nikel-lambader</t>
  </si>
  <si>
    <t>Surinam Kristal Akrilik Nikel Lambader</t>
  </si>
  <si>
    <t>https://cdn.shopify.com/s/files/1/0698/3086/9177/files/surinam-kristal-pleksi-nikel-lambader-4804.jpg?v=1754557803</t>
  </si>
  <si>
    <t>H1C6JMNLCSP-090</t>
  </si>
  <si>
    <t>surinam-kristal-akrilik-nikel-avize</t>
  </si>
  <si>
    <t>Surinam Kristal Akrilik Nikel Avize</t>
  </si>
  <si>
    <t>https://cdn.shopify.com/s/files/1/0698/3086/9177/files/H1C6JMNLCSP-090-1.jpg?v=1754490522</t>
  </si>
  <si>
    <t>H1C6KRSBRB0-061</t>
  </si>
  <si>
    <t>biskek-platin-paslanmaz-akrilik-plafonyer-60-cm</t>
  </si>
  <si>
    <t>Bişkek Platin Paslanmaz Akrilik Plafonyer 60 cm</t>
  </si>
  <si>
    <t>https://cdn.shopify.com/s/files/1/0698/3086/9177/files/H1C6KRSBRB0-061_2.jpg?v=1754490523</t>
  </si>
  <si>
    <t>H1C6KRSBRB0-080</t>
  </si>
  <si>
    <t>bern-platin-paslanmaz-akrilik-plafonyer-80-cm</t>
  </si>
  <si>
    <t>Bern Platin Paslanmaz Akrilik Plafonyer 80 cm</t>
  </si>
  <si>
    <t>https://cdn.shopify.com/s/files/1/0698/3086/9177/files/bern-platin-paslanmaz-akrilik-avize-80-cm-4834.jpg?v=1752138025</t>
  </si>
  <si>
    <t>H1C6KRSBRB0-060</t>
  </si>
  <si>
    <t>bern-platin-paslanmaz-akrilik-plafonyer-60-cm</t>
  </si>
  <si>
    <t>Bern Platin Paslanmaz Akrilik Plafonyer 60 cm</t>
  </si>
  <si>
    <t>https://cdn.shopify.com/s/files/1/0698/3086/9177/files/bern-platin-paslanmaz-akrilik-avize-60-cm-4833.jpg?v=1752138026</t>
  </si>
  <si>
    <t>H1W6KMGBRB0-022</t>
  </si>
  <si>
    <t>stockholm-altin-paslanmaz-beyaz-akrilik-led-aplik</t>
  </si>
  <si>
    <t>Stockholm Altın Paslanmaz Beyaz Akrilik Led Aplik</t>
  </si>
  <si>
    <t>https://cdn.shopify.com/s/files/1/0698/3086/9177/files/stockholm-altin-paslanmaz-beyaz-akrilik-aplik-4831.jpg?v=1754548883</t>
  </si>
  <si>
    <t>H1C3JMKECT0-085</t>
  </si>
  <si>
    <t>havana-krom-platin-8li-soft-cam-salon-avize-85cm</t>
  </si>
  <si>
    <t>Havana Krom-Platin 8'li Soft Cam Salon Avize 85 cm</t>
  </si>
  <si>
    <t>https://cdn.shopify.com/s/files/1/0698/3086/9177/files/H1C3JMKECT0-085_2.jpg?v=1754490524</t>
  </si>
  <si>
    <t>H1W6JMGECT0-022</t>
  </si>
  <si>
    <t>nepal-platin-tekli-soft-cam-led-aplik</t>
  </si>
  <si>
    <t>Nepal Platin Tekli Soft Cam Led Aplik</t>
  </si>
  <si>
    <t>https://cdn.shopify.com/s/files/1/0698/3086/9177/files/nepal-platin-tekli-soft-cam-aplik-4840.jpg?v=1754548884</t>
  </si>
  <si>
    <t>H1C6JMGECT0-120</t>
  </si>
  <si>
    <t>nepal-platin-on-soft-cam-yemek-masasi-avize-120cm</t>
  </si>
  <si>
    <t>Nepal Platin On Soft Cam Yemek Masası Avize 120 cm</t>
  </si>
  <si>
    <t>https://cdn.shopify.com/s/files/1/0698/3086/9177/files/H1C6JMGECT0-120_42b48977-2e12-4a01-bc9c-3fa1f6baf5af.jpg?v=1754490525</t>
  </si>
  <si>
    <t>H1C6JMGECT0-095</t>
  </si>
  <si>
    <t>nepal-platin-on-soft-cam-salon-avize-95cm</t>
  </si>
  <si>
    <t>Nepal Platin On Soft Cam Salon Avize 95 cm</t>
  </si>
  <si>
    <t>https://cdn.shopify.com/s/files/1/0698/3086/9177/files/H1C6JMGECT0-095.jpg?v=1752138032</t>
  </si>
  <si>
    <t>H1C6JMGECT0-080</t>
  </si>
  <si>
    <t>nepal-platin-sekiz-soft-cam-salon-avize-80cm</t>
  </si>
  <si>
    <t>Nepal Platin Sekiz Soft Cam Salon Avize 80 cm</t>
  </si>
  <si>
    <t>https://cdn.shopify.com/s/files/1/0698/3086/9177/files/H1C6JMGECT0-080.jpg?v=1754490526</t>
  </si>
  <si>
    <t>H1C6KRSBRB0-056</t>
  </si>
  <si>
    <t>oslo-tekli-platin-paslanmaz-beyaz-akrilik-avize</t>
  </si>
  <si>
    <t>Oslo Tekli Platin Paslanmaz Beyaz Akrilik Avize</t>
  </si>
  <si>
    <t>https://cdn.shopify.com/s/files/1/0698/3086/9177/files/oslo-tekli-siyah-paslanmaz-beyaz-akrilik-avize-4825.jpg?v=1754490527</t>
  </si>
  <si>
    <t>H1C6KRSBRB0-100</t>
  </si>
  <si>
    <t>oslo-platin-paslanmaz-beyaz-akrilik-25li-avize</t>
  </si>
  <si>
    <t>Oslo Platin Paslanmaz Beyaz Akrilik 25'li Avize</t>
  </si>
  <si>
    <t>https://cdn.shopify.com/s/files/1/0698/3086/9177/files/H1C6KRSBRB0-100_1.jpg?v=1754490528</t>
  </si>
  <si>
    <t>H1W6KRSBRB0-056</t>
  </si>
  <si>
    <t>oslo-platin-paslanmaz-beyaz-akrilik-led-aplik</t>
  </si>
  <si>
    <t>Oslo Platin Paslanmaz Beyaz Akrilik LED Aplik</t>
  </si>
  <si>
    <t>https://cdn.shopify.com/s/files/1/0698/3086/9177/files/oslo-siyah-paslanmaz-beyaz-akrilik-aplik-4823.jpg?v=1754548885</t>
  </si>
  <si>
    <t>H1F6KRSBRB0-146</t>
  </si>
  <si>
    <t>oslo-platin-paslanmaz-beyaz-akrilik-lambader</t>
  </si>
  <si>
    <t>Oslo Platin Paslanmaz Beyaz Akrilik Lambader</t>
  </si>
  <si>
    <t>https://cdn.shopify.com/s/files/1/0698/3086/9177/files/H1F6KRSBRB0-146_1.jpg?v=1754557804</t>
  </si>
  <si>
    <t>H1C6KRSBRB0-120</t>
  </si>
  <si>
    <t>oslo-platin-paslanmaz-akrilik-yemek-masasi-avize</t>
  </si>
  <si>
    <t>Oslo Platin Paslanmaz Akrilik Yemek Masası Avize</t>
  </si>
  <si>
    <t>https://cdn.shopify.com/s/files/1/0698/3086/9177/files/oslo-siyah-paslanmaz-akrilik-avize-4817.jpg?v=1754490528</t>
  </si>
  <si>
    <t>H1C6JMEVRV0-055</t>
  </si>
  <si>
    <t>lome-kahverengi-deri-eskitme-sarkit-avize</t>
  </si>
  <si>
    <t>Lome Kahverengi Deri Eskitme Sarkıt Avize</t>
  </si>
  <si>
    <t>https://cdn.shopify.com/s/files/1/0698/3086/9177/files/H1C6JMEVRV0-055.jpg?v=1754490531</t>
  </si>
  <si>
    <t>H1C6JMEVRV0-120</t>
  </si>
  <si>
    <t>lome-kahverengi-deri-eskitme-yemek-masasi-avize</t>
  </si>
  <si>
    <t>Lome Kahverengi Deri Eskitme Yemek Masası Avize</t>
  </si>
  <si>
    <t>https://cdn.shopify.com/s/files/1/0698/3086/9177/files/H1C6JMEVRV0-120.jpg?v=1754490531</t>
  </si>
  <si>
    <t>H1C6JMPVRG0-120</t>
  </si>
  <si>
    <t>lusaka-platin-gri-deri-avize</t>
  </si>
  <si>
    <t>Lusaka Platin Gri Deri Avize</t>
  </si>
  <si>
    <t>https://cdn.shopify.com/s/files/1/0698/3086/9177/files/H1C6JMPVRG0-120_3.jpg?v=1754490532</t>
  </si>
  <si>
    <t>H1W6KRSECSR-020</t>
  </si>
  <si>
    <t>berlin-platin-paslanmaz-seffaf-cam-sarkit-avize-20-cm</t>
  </si>
  <si>
    <t>Berlin Platin Paslanmaz Şeffaf Cam Sarkıt Avize 20 cm</t>
  </si>
  <si>
    <t>https://cdn.shopify.com/s/files/1/0698/3086/9177/files/berlin-platin-paslanmaz-seffaf-cam-sarkit-20-cm-5972.jpg?v=1754490533</t>
  </si>
  <si>
    <t>H1W3JMKECT0-105</t>
  </si>
  <si>
    <t>havana-krom-platin-15li-soft-cam-salon-avize-105cm</t>
  </si>
  <si>
    <t>Havana Krom-Platin 15'li Soft Cam Salon Avize 105 cm</t>
  </si>
  <si>
    <t>https://cdn.shopify.com/s/files/1/0698/3086/9177/files/H1W3JMKECT0-105_2.jpg?v=1754490533</t>
  </si>
  <si>
    <t>H1W3JMKECT0-021</t>
  </si>
  <si>
    <t>havana-krom-platin-tekli-soft-cam-led-aplik</t>
  </si>
  <si>
    <t>Havana Krom Platin Tekli Soft Cam Led Aplik</t>
  </si>
  <si>
    <t>https://cdn.shopify.com/s/files/1/0698/3086/9177/files/IMG_9988.jpg?v=1754548885</t>
  </si>
  <si>
    <t>H1C3JMKECT0-120</t>
  </si>
  <si>
    <t>havana-krom-platin-10lu-soft-cam-yemek-masa-ustu-avize-120cm</t>
  </si>
  <si>
    <t>Havana Krom-Platin 10'lu Soft Cam Yemek Masa Üstü Avize 120 cm</t>
  </si>
  <si>
    <t>https://cdn.shopify.com/s/files/1/0698/3086/9177/files/H1C3JMKECT0-120-3.jpg?v=1754490534</t>
  </si>
  <si>
    <t>H1C6WRBJME0-013</t>
  </si>
  <si>
    <t>harare-mermer-eskitme-sarkit-avize</t>
  </si>
  <si>
    <t>Harare Mermer Eskitme Sarkıt Avize</t>
  </si>
  <si>
    <t>https://cdn.shopify.com/s/files/1/0698/3086/9177/files/H1C6WRBJME0-013_07.jpg?v=1754490535</t>
  </si>
  <si>
    <t>H1C6WRBJME0-130</t>
  </si>
  <si>
    <t>hartum-mermer-eskitme-avize-130cm</t>
  </si>
  <si>
    <t>Hartum Mermer Eskitme Avize 130 cm</t>
  </si>
  <si>
    <t>https://cdn.shopify.com/s/files/1/0698/3086/9177/files/hartum-mermer-y-masasi-eskitme-avize-130cm-5544.jpg?v=1754490536</t>
  </si>
  <si>
    <t>H1C6WRBJMEC-090</t>
  </si>
  <si>
    <t>helsinki-mermer-eskitme-sarkit-90-cm</t>
  </si>
  <si>
    <t>Helsinki Mermer Eskitme Sarkıt 90 cm</t>
  </si>
  <si>
    <t>https://cdn.shopify.com/s/files/1/0698/3086/9177/files/helsinki-mermer-eskitme-avize-90cm-4858.jpg?v=1752138044</t>
  </si>
  <si>
    <t>H1C6WRBJMEC-065</t>
  </si>
  <si>
    <t>helsinki-mermer-eskitme-sarkit-65-cm</t>
  </si>
  <si>
    <t>Helsinki Mermer Eskitme Sarkıt 65 cm</t>
  </si>
  <si>
    <t>https://cdn.shopify.com/s/files/1/0698/3086/9177/files/helsinki-mermer-eskitme-avize-65cm-4857.jpg?v=1754490537</t>
  </si>
  <si>
    <t>H1C6WRBJMEC-130</t>
  </si>
  <si>
    <t>helsinki-i̇kili-mermer-eskitme-yemek-masa-ustu-avize</t>
  </si>
  <si>
    <t>Helsinki İkili Mermer Eskitme Yemek Masa Üstü Avize</t>
  </si>
  <si>
    <t>https://cdn.shopify.com/s/files/1/0698/3086/9177/files/helsinki-ikili-mermer-eskitme-avize-4856.jpg?v=1754490538</t>
  </si>
  <si>
    <t>H1C6VRVJRV0-120</t>
  </si>
  <si>
    <t>lizbon-deri-avize-1</t>
  </si>
  <si>
    <t>Lizbon Kahverengi Deri Eskitme Sarkıt Avize</t>
  </si>
  <si>
    <t>https://cdn.shopify.com/s/files/1/0698/3086/9177/files/H1C6VRVJRV0-120_1.jpg?v=1754490538</t>
  </si>
  <si>
    <t>H1C6VRSJRS0-120</t>
  </si>
  <si>
    <t>lizbon-deri-avize</t>
  </si>
  <si>
    <t>Lizbon Siyah Deri Avize</t>
  </si>
  <si>
    <t>https://cdn.shopify.com/s/files/1/0698/3086/9177/files/H1C6VRSJRS0-120.jpg?v=1754490539</t>
  </si>
  <si>
    <t>H1W6JRSBCS0-033</t>
  </si>
  <si>
    <t>panama-uc-seffaf-akrilik-siyah-led-aplik</t>
  </si>
  <si>
    <t>Panama Üç Şeffaf Akrilik Siyah Led Aplik</t>
  </si>
  <si>
    <t>https://cdn.shopify.com/s/files/1/0698/3086/9177/files/panama-uc-seffaf-akrilik-siyah-aplik-5956.jpg?v=1754548887</t>
  </si>
  <si>
    <t>H1C6JRSBCS0-120</t>
  </si>
  <si>
    <t>panama-14lu-seffaf-akrilik-siyah-yemek-masa-ustu-avize</t>
  </si>
  <si>
    <t>Panama 14'lü Şeffaf Akrilik Siyah Yemek Masa Üstü Avize</t>
  </si>
  <si>
    <t>https://cdn.shopify.com/s/files/1/0698/3086/9177/files/panama-12-seffaf-akrilik-siyah-yemek-masasi-avize-4855.jpg?v=1754490540</t>
  </si>
  <si>
    <t>H1C6JRSBCS0-093</t>
  </si>
  <si>
    <t>panama-12-20-28li-seffaf-akrilik-siyah-salon-avize</t>
  </si>
  <si>
    <t>Panama 12+20+28'li Şeffaf Akrilik Siyah Salon Avize</t>
  </si>
  <si>
    <t>https://cdn.shopify.com/s/files/1/0698/3086/9177/files/H1C6JRSBCS0-093.jpg?v=1754490540</t>
  </si>
  <si>
    <t>H1C6JRSBCS0-092</t>
  </si>
  <si>
    <t>panama-16-28li-seffaf-akrilik-siyah-salon-avize</t>
  </si>
  <si>
    <t>Panama 16+28'li Şeffaf Akrilik Siyah Salon Avize</t>
  </si>
  <si>
    <t>https://cdn.shopify.com/s/files/1/0698/3086/9177/files/H1C6JRSBCS0-092.jpg?v=1754490541</t>
  </si>
  <si>
    <t>H1C6JRSBCS0-068</t>
  </si>
  <si>
    <t>panama-20li-seffaf-akrilik-siyah-salon-avize</t>
  </si>
  <si>
    <t>Panama 20'li Şeffaf Akrilik Siyah Salon Avize</t>
  </si>
  <si>
    <t>https://cdn.shopify.com/s/files/1/0698/3086/9177/files/H1C6JRSBCS0-068.jpg?v=1754490542</t>
  </si>
  <si>
    <t>H1F6KRSECSR-170</t>
  </si>
  <si>
    <t>berlin-platin-paslanmaz-seffaf-cam-lambader</t>
  </si>
  <si>
    <t>Berlin Platin Paslanmaz Şeffaf Cam Lambader</t>
  </si>
  <si>
    <t>https://cdn.shopify.com/s/files/1/0698/3086/9177/files/berlin-platin-paslanmaz-seffaf-cam-lambader-5616.jpg?v=1754557805</t>
  </si>
  <si>
    <t>H1T6KRSECSR-020</t>
  </si>
  <si>
    <t>berlin-platin-paslanmaz-seffaf-cam-masa-lambasi</t>
  </si>
  <si>
    <t>Berlin Platin Paslanmaz Şeffaf Cam Masa Lambası</t>
  </si>
  <si>
    <t>https://cdn.shopify.com/s/files/1/0698/3086/9177/files/berlin-platin-paslanmaz-seffaf-cam-masa-lambasi-4847.jpg?v=1752138051</t>
  </si>
  <si>
    <t>H1W6KRSECSR-030</t>
  </si>
  <si>
    <t>berlin-platin-paslanmaz-seffaf-cam-sarkit-avize-30-cm</t>
  </si>
  <si>
    <t>Berlin Platin Paslanmaz Şeffaf Cam Sarkıt Avize 30 cm</t>
  </si>
  <si>
    <t>https://cdn.shopify.com/s/files/1/0698/3086/9177/files/H1W6KRSECSR-020.jpg?v=1752138052</t>
  </si>
  <si>
    <t>H1W6KRSECSR-025</t>
  </si>
  <si>
    <t>berlin-platin-paslanmaz-seffaf-cam-sarkit-avize-25-cm</t>
  </si>
  <si>
    <t>Berlin Platin Paslanmaz Şeffaf Cam Sarkıt Avize 25 cm</t>
  </si>
  <si>
    <t>https://cdn.shopify.com/s/files/1/0698/3086/9177/files/H1W6KRSECSR-020_c6ad7236-e98d-417e-8534-6a810a792134.jpg?v=1752138052</t>
  </si>
  <si>
    <t>H1F6JMELCSP-165</t>
  </si>
  <si>
    <t>surinam-kristal-akrilik-eskitme-lambader</t>
  </si>
  <si>
    <t>Surinam Kristal Akrilik Eskitme Lambader</t>
  </si>
  <si>
    <t>https://cdn.shopify.com/s/files/1/0698/3086/9177/files/surinam-kristal-pleksi-eskitme-lambader-4796.jpg?v=1754557806</t>
  </si>
  <si>
    <t>H1W6JMELCSP-083</t>
  </si>
  <si>
    <t>surinam-kristal-akrilik-eskitme-uclu-led-aplik</t>
  </si>
  <si>
    <t>Surinam Kristal Akrilik Eskitme Üçlü Led Aplik</t>
  </si>
  <si>
    <t>https://cdn.shopify.com/s/files/1/0698/3086/9177/files/surinam-kristal-pleksi-eskitme-uclu-aplik-4794.jpg?v=1754548887</t>
  </si>
  <si>
    <t>H1W6JMELCSP-082</t>
  </si>
  <si>
    <t>surinam-kristal-akrilik-eskitme-i̇kili-led-aplik</t>
  </si>
  <si>
    <t>Surinam Kristal Akrilik Eskitme İkili Led Aplik</t>
  </si>
  <si>
    <t>https://cdn.shopify.com/s/files/1/0698/3086/9177/files/surinam-kristal-pleksi-eskitme-ikili-aplik-4790.jpg?v=1754548888</t>
  </si>
  <si>
    <t>H1W6JMNLCSP-083</t>
  </si>
  <si>
    <t>surinam-kristal-akrilik-nikel-uclu-led-aplik</t>
  </si>
  <si>
    <t>Surinam Kristal Akrilik Nikel Üçlü Led Aplik</t>
  </si>
  <si>
    <t>https://cdn.shopify.com/s/files/1/0698/3086/9177/files/surinam-kristal-pleksi-nikel-uclu-aplik-4795.jpg?v=1754548889</t>
  </si>
  <si>
    <t>H1W6JMNLCSP-080</t>
  </si>
  <si>
    <t>surinam-kristal-akrilik-nikel-tekli-led-aplik</t>
  </si>
  <si>
    <t>Surinam Kristal Akrilik Nikel Tekli Led Aplik</t>
  </si>
  <si>
    <t>https://cdn.shopify.com/s/files/1/0698/3086/9177/files/surinam-kristal-pleksi-nikel-tekli-aplik-4789.jpg?v=1754548889</t>
  </si>
  <si>
    <t>H1W6JMELCSP-080</t>
  </si>
  <si>
    <t>surinam-kristal-akrilik-eskitme-tekli-led-aplik</t>
  </si>
  <si>
    <t>Surinam Kristal Akrilik Eskitme Tekli Led Aplik</t>
  </si>
  <si>
    <t>https://cdn.shopify.com/s/files/1/0698/3086/9177/files/surinam-kristal-pleksi-eskitme-tekli-aplik-4788.jpg?v=1754548890</t>
  </si>
  <si>
    <t>H1C6JMNLCSP-155</t>
  </si>
  <si>
    <t>surinam-kristal-akrilik-nikel-yemek-masa-ustu-avize</t>
  </si>
  <si>
    <t>Surinam Kristal Akrilik Nikel Yemek Masa Üstü Avize</t>
  </si>
  <si>
    <t>https://cdn.shopify.com/s/files/1/0698/3086/9177/files/H1C6JMNLCSP-155-2.jpg?v=1754490542</t>
  </si>
  <si>
    <t>H1C6JMELCSP-155</t>
  </si>
  <si>
    <t>surinam-kristal-akrilik-eskitme-yemek-masa-ustu-avize</t>
  </si>
  <si>
    <t>Surinam Kristal Akrilik Eskitme Yemek Masa Üstü Avize</t>
  </si>
  <si>
    <t>https://cdn.shopify.com/s/files/1/0698/3086/9177/files/H1C6JMELCSP-155.jpg?v=1754490543</t>
  </si>
  <si>
    <t>H1C6JMELCSP-090</t>
  </si>
  <si>
    <t>surinam-kristal-akrilik-eskitme-avize</t>
  </si>
  <si>
    <t>Surinam Kristal Akrilik Eskitme Avize</t>
  </si>
  <si>
    <t>https://cdn.shopify.com/s/files/1/0698/3086/9177/files/surinam-kristal-pleksi-eskitme-avize-4821.jpg?v=1754490543</t>
  </si>
  <si>
    <t>H1C6KRSECSR-082</t>
  </si>
  <si>
    <t>berlin-6li-platin-paslanmaz-seffaf-cam-salon-avize</t>
  </si>
  <si>
    <t>Berlin 6'lı Platin Paslanmaz Şeffaf Cam Salon Avize</t>
  </si>
  <si>
    <t>https://cdn.shopify.com/s/files/1/0698/3086/9177/files/berlin-6-li-platin-paslanmaz-seffaf-cam-salon-aviz-5502.jpg?v=1754490544</t>
  </si>
  <si>
    <t>H1C6KRSECSR-065</t>
  </si>
  <si>
    <t>berlin-5li-platin-paslanmaz-seffaf-cam-plafonyer-avize</t>
  </si>
  <si>
    <t>Berlin 5'li Platin Paslanmaz Şeffaf Cam Plafonyer Avize</t>
  </si>
  <si>
    <t>https://cdn.shopify.com/s/files/1/0698/3086/9177/files/H1C6KRSECSR-065.jpg?v=1754490545</t>
  </si>
  <si>
    <t>H1C6KRSECSR-050</t>
  </si>
  <si>
    <t>berlin-3lu-platin-paslanmaz-seffaf-cam-plafonyer-avize</t>
  </si>
  <si>
    <t>Berlin 3'lü Platin Paslanmaz Şeffaf Cam Plafonyer Avize</t>
  </si>
  <si>
    <t>https://cdn.shopify.com/s/files/1/0698/3086/9177/files/H1C6KRSECSR-050_c86bdcc7-b174-4224-8726-e03d18499583.jpg?v=1754490545</t>
  </si>
  <si>
    <t>H1W6KRSECSR-049</t>
  </si>
  <si>
    <t>berlin-platin-paslanmaz-seffaf-cam-led-aplik</t>
  </si>
  <si>
    <t>Berlin Platin Paslanmaz Şeffaf Cam LED Aplik</t>
  </si>
  <si>
    <t>https://cdn.shopify.com/s/files/1/0698/3086/9177/files/berlin-platin-paslanmaz-seffaf-cam-aplik-4849.jpg?v=1754548891</t>
  </si>
  <si>
    <t>H1W6JRSBCS0-039</t>
  </si>
  <si>
    <t>lima-uclu-seffaf-akrilik-platin-led-aplik</t>
  </si>
  <si>
    <t>Lima Üçlü Şeffaf Akrilik Platin Led Aplik</t>
  </si>
  <si>
    <t>https://cdn.shopify.com/s/files/1/0698/3086/9177/files/lima-uclu-seffaf-akrilik-platin-aplik-5958.jpg?v=1754548891</t>
  </si>
  <si>
    <t>H1W6JRSBCS0-018</t>
  </si>
  <si>
    <t>lima-i̇kili-seffaf-akrilik-platin-led-aplik</t>
  </si>
  <si>
    <t>Lima İkili Şeffaf Akrilik Platin Led Aplik</t>
  </si>
  <si>
    <t>https://cdn.shopify.com/s/files/1/0698/3086/9177/files/H1W6JRSBCS0-018.jpg?v=1754548892</t>
  </si>
  <si>
    <t>H1W6JRSBCS0-010</t>
  </si>
  <si>
    <t>lima-tekli-seffaf-akrilik-platin-led-aplik</t>
  </si>
  <si>
    <t>Lima Tekli Şeffaf Akrilik Platin Led Aplik</t>
  </si>
  <si>
    <t>https://cdn.shopify.com/s/files/1/0698/3086/9177/files/H1W6JRSBCS0-010.jpg?v=1754548893</t>
  </si>
  <si>
    <t>H1C6JRSBCS0-063</t>
  </si>
  <si>
    <t>lima-6li-seffaf-akrilik-platin-salon-avize</t>
  </si>
  <si>
    <t>Lima 6'lı Şeffaf Akrilik Platin Salon Avize</t>
  </si>
  <si>
    <t>https://cdn.shopify.com/s/files/1/0698/3086/9177/files/H1C6JRSBCS0-063-1.jpg?v=1754490546</t>
  </si>
  <si>
    <t>H1C6JRSBCS0-105</t>
  </si>
  <si>
    <t>lima-9lu-seffaf-akrilik-platin-salon-avize</t>
  </si>
  <si>
    <t>Lima 9'lu Şeffaf Akrilik Platin Salon Avize</t>
  </si>
  <si>
    <t>https://cdn.shopify.com/s/files/1/0698/3086/9177/files/H1C6JRSBCS0-105-2.jpg?v=1754490547</t>
  </si>
  <si>
    <t>H1C6JRSBCS0-115</t>
  </si>
  <si>
    <t>lima-6li-seffaf-akrilik-platin-yemek-masasi-avize</t>
  </si>
  <si>
    <t>Lima 6'lı Şeffaf Akrilik Platin Yemek Masası Avize</t>
  </si>
  <si>
    <t>https://cdn.shopify.com/s/files/1/0698/3086/9177/files/H1C6JRSBCS0-115-1.jpg?v=1754490547</t>
  </si>
  <si>
    <t>H1C6JRSERLM-030</t>
  </si>
  <si>
    <t>monako-bal-ve-beyaz-cam-metal-sarkit-avize-1</t>
  </si>
  <si>
    <t>Monako Bal Ve Beyaz Cam Metal Sarkıt Avize</t>
  </si>
  <si>
    <t>https://cdn.shopify.com/s/files/1/0698/3086/9177/files/H1C6JRSERLM-030_1.jpg?v=1754490548</t>
  </si>
  <si>
    <t>H1C6JRVERLM-030</t>
  </si>
  <si>
    <t>monako-bal-ve-beyaz-cam-metal-sarkit-avize</t>
  </si>
  <si>
    <t>https://cdn.shopify.com/s/files/1/0698/3086/9177/files/H1C6JRVERLM-030-1.jpg?v=1754490549</t>
  </si>
  <si>
    <t>H1C6KMKECS0-068</t>
  </si>
  <si>
    <t>bukres-6li-krom-paslanmaz-seffaf-cam-avize-68-cm</t>
  </si>
  <si>
    <t>Bükreş 6'lı Krom Paslanmaz Şeffaf Cam Avize 68 cm</t>
  </si>
  <si>
    <t>https://cdn.shopify.com/s/files/1/0698/3086/9177/files/bukres-alti-krom-paslanmaz-seffaf-cam-avize-68-cm-5479.jpg?v=1754490549</t>
  </si>
  <si>
    <t>H1C6KMKECS0-015</t>
  </si>
  <si>
    <t>bukres-tekli-krom-paslanmaz-seffaf-cam-avize-15-cm</t>
  </si>
  <si>
    <t>Bükreş Tekli Krom Paslanmaz Şeffaf Cam Avize 15 cm</t>
  </si>
  <si>
    <t>https://cdn.shopify.com/s/files/1/0698/3086/9177/files/H1C6KMKECS0-015.jpg?v=1754490550</t>
  </si>
  <si>
    <t>H1C6KRSECSR-114</t>
  </si>
  <si>
    <t>berlin-4lu-platin-paslanmaz-seffaf-cam-yemek-masa-ustu-avize</t>
  </si>
  <si>
    <t>Berlin 4'lü Platin Paslanmaz Yemek Masa Üstü Avize</t>
  </si>
  <si>
    <t>https://cdn.shopify.com/s/files/1/0698/3086/9177/files/berlin-4-lu-platin-paslanmaz-seffaf-cam-y-masasi-a-5506.jpg?v=1754490551</t>
  </si>
  <si>
    <t>H1C6KRSECSR-105</t>
  </si>
  <si>
    <t>berlin-8li-platin-paslanmaz-seffaf-cam-salon-avize</t>
  </si>
  <si>
    <t>Berlin 8'li Platin Paslanmaz Şeffaf Cam Salon Avize</t>
  </si>
  <si>
    <t>https://cdn.shopify.com/s/files/1/0698/3086/9177/files/berlin-8-li-platin-paslanmaz-seffaf-cam-salon-aviz-5505.jpg?v=1754490551</t>
  </si>
  <si>
    <t>H1C6KMKECS0-105</t>
  </si>
  <si>
    <t>bukres-5li-krom-paslanmaz-seffaf-cam-yemek-masa-ustu-avize</t>
  </si>
  <si>
    <t>Bükreş 5'li Krom Paslanmaz Yemek Masa Üstü Avize</t>
  </si>
  <si>
    <t>https://cdn.shopify.com/s/files/1/0698/3086/9177/files/H1C6KMKECS0-105.jpg?v=1754490552</t>
  </si>
  <si>
    <t>H1C6KMKECS0-080</t>
  </si>
  <si>
    <t>bukres-8li-krom-paslanmaz-seffaf-cam-avize-80-cm</t>
  </si>
  <si>
    <t>Bükreş 8'li Krom Paslanmaz Şeffaf Cam Avize 80 cm</t>
  </si>
  <si>
    <t>https://cdn.shopify.com/s/files/1/0698/3086/9177/files/H1C6KMKECS0-080_1_0481fef2-af1a-4e6f-9039-07ff12d395f7.jpg?v=1754490552</t>
  </si>
  <si>
    <t>H1C6JMKECS0-065</t>
  </si>
  <si>
    <t>uskup-6li-seffaf-kristal-krom-salon-avize</t>
  </si>
  <si>
    <t>Üsküp 6'lı Şeffaf Kristal Krom Salon Avize</t>
  </si>
  <si>
    <t>https://cdn.shopify.com/s/files/1/0698/3086/9177/files/H1C6JMKECS0-065-1.jpg?v=1754490553</t>
  </si>
  <si>
    <t>H1W6KMKECS0-020</t>
  </si>
  <si>
    <t>bukres-krom-paslanmaz-seffaf-cam-led-aplik</t>
  </si>
  <si>
    <t>Bükreş Krom Paslanmaz Şeffaf Cam LED Aplik</t>
  </si>
  <si>
    <t>https://cdn.shopify.com/s/files/1/0698/3086/9177/files/bukres-bes-krom-paslanmaz-seffaf-cam-aplik-4862.jpg?v=1754548894</t>
  </si>
  <si>
    <t>H1C6JMKECS0-135</t>
  </si>
  <si>
    <t>uskup-6li-seffaf-kristal-krom-yemek-masa-ustu-avize</t>
  </si>
  <si>
    <t>Üsküp 6'lı Şeffaf Kristal Krom Yemek Masa Üstü Avize</t>
  </si>
  <si>
    <t>https://cdn.shopify.com/s/files/1/0698/3086/9177/files/H1C6JMKECS0-135.jpg?v=1754490554</t>
  </si>
  <si>
    <t>H1F6JMKECS0-160</t>
  </si>
  <si>
    <t>uskup-4lu-seffaf-kristal-krom-lambader</t>
  </si>
  <si>
    <t>Üsküp 4'lü Şeffaf Kristal Krom Lambader</t>
  </si>
  <si>
    <t>https://cdn.shopify.com/s/files/1/0698/3086/9177/files/uskup-dortlu-seffaf-cam-krom-lambader-4798.jpg?v=1754557806</t>
  </si>
  <si>
    <t>H1W6JMKECS0-083</t>
  </si>
  <si>
    <t>uskup-seffaf-kristal-krom-uclu-led-aplik</t>
  </si>
  <si>
    <t>Üsküp Şeffaf Kristal Krom Üçlü LED Aplik</t>
  </si>
  <si>
    <t>https://cdn.shopify.com/s/files/1/0698/3086/9177/files/uskup-seffaf-cam-krom-uclu-aplik-4797.jpg?v=1754548895</t>
  </si>
  <si>
    <t>H1W6JMKECS0-058</t>
  </si>
  <si>
    <t>uskup-seffaf-kristal-krom-i̇kili-led-aplik</t>
  </si>
  <si>
    <t>Üsküp Şeffaf Kristal Krom İkili LED Aplik</t>
  </si>
  <si>
    <t>https://cdn.shopify.com/s/files/1/0698/3086/9177/files/uskup-seffaf-cam-krom-ikili-aplik-4792.jpg?v=1754548897</t>
  </si>
  <si>
    <t>H1W6JMNLCSP-082</t>
  </si>
  <si>
    <t>surinam-kristal-akrilik-nikel-i̇kili-led-aplik</t>
  </si>
  <si>
    <t>Surinam Kristal Akrilik Nikel İkili Led Aplik</t>
  </si>
  <si>
    <t>https://cdn.shopify.com/s/files/1/0698/3086/9177/files/surinam-kristal-pleksi-nikel-ikili-aplik-4793.jpg?v=1754548898</t>
  </si>
  <si>
    <t>H1C6CMGECS0-052</t>
  </si>
  <si>
    <t>luksemburg-21li-seffaf-cam-gold-aluminyum-avize</t>
  </si>
  <si>
    <t>Lüksemburg 21'li Şeffaf Cam Gold Alüminyum Avize</t>
  </si>
  <si>
    <t>https://cdn.shopify.com/s/files/1/0698/3086/9177/files/H1C6CMGECS0-052.jpg?v=1754490554</t>
  </si>
  <si>
    <t>H1W6JMKECS0-030</t>
  </si>
  <si>
    <t>uskup-seffaf-kristal-krom-tekli-led-aplik</t>
  </si>
  <si>
    <t>Üsküp Şeffaf Kristal Krom Tekli LED Aplik</t>
  </si>
  <si>
    <t>https://cdn.shopify.com/s/files/1/0698/3086/9177/files/uskup-seffaf-cam-krom-tekli-aplik-4791.jpg?v=1754548899</t>
  </si>
  <si>
    <t>H1F3CMGERB0-156</t>
  </si>
  <si>
    <t>doha-9lu-gold-lambader</t>
  </si>
  <si>
    <t>Doha 9'lu Gold Lambader</t>
  </si>
  <si>
    <t>https://cdn.shopify.com/s/files/1/0698/3086/9177/files/doha-9-lu-renk-lambader-4828.jpg?v=1754557807</t>
  </si>
  <si>
    <t>H1C3CMGERB0-150</t>
  </si>
  <si>
    <t>doha-9lu-gold-yemek-masa-ustu-avize</t>
  </si>
  <si>
    <t>Doha 9'lu Gold Yemek Masa Üstü Avize</t>
  </si>
  <si>
    <t>https://cdn.shopify.com/s/files/1/0698/3086/9177/files/H1C3CMGERB0-150.jpg?v=1754490555</t>
  </si>
  <si>
    <t>H1W3CMGERB0-030</t>
  </si>
  <si>
    <t>doha-3lu-gold-aplik</t>
  </si>
  <si>
    <t>Doha 3'lü Gold Aplik</t>
  </si>
  <si>
    <t>https://cdn.shopify.com/s/files/1/0698/3086/9177/files/doha-3-lu-gold-aplik-4827.jpg?v=1754548900</t>
  </si>
  <si>
    <t>H1C6CMGECS0-075</t>
  </si>
  <si>
    <t>luksemburg-20li-seffaf-cam-gold-aluminyum-avize</t>
  </si>
  <si>
    <t>Lüksemburg 20'li Şeffaf Cam Gold Alüminyum Avize</t>
  </si>
  <si>
    <t>https://cdn.shopify.com/s/files/1/0698/3086/9177/files/luksemburg-20-seffaf-cam-gold-aluminyum-avize-4864.jpg?v=1754490556</t>
  </si>
  <si>
    <t>H1C6CMGECS0-042</t>
  </si>
  <si>
    <t>luksemburg-12-12li-cam-gold-aluminyum-yemek-masa-ustu-avize</t>
  </si>
  <si>
    <t>Lüksemburg 12+12'li Cam Gold Alüminyum Yemek Masa Üstü Avize</t>
  </si>
  <si>
    <t>https://cdn.shopify.com/s/files/1/0698/3086/9177/files/H1C6CMGECS0-042.jpg?v=1754490557</t>
  </si>
  <si>
    <t>H1W6CMGECS0-022</t>
  </si>
  <si>
    <t>luksemburg-6-seffaf-cam-gold-aluminyum-led-aplik</t>
  </si>
  <si>
    <t>Lüksemburg 6 Şeffaf Cam Gold Alüminyum Led Aplik</t>
  </si>
  <si>
    <t>https://cdn.shopify.com/s/files/1/0698/3086/9177/files/luksemburg-6-seffaf-cam-gold-aluminyum-aplik-4865.jpg?v=1754548901</t>
  </si>
  <si>
    <t>H1W3CMGERB0-150</t>
  </si>
  <si>
    <t>doha-6li-gold-aplik</t>
  </si>
  <si>
    <t>Doha 6'Lı Gold Aplik</t>
  </si>
  <si>
    <t>https://cdn.shopify.com/s/files/1/0698/3086/9177/files/doha-6-li-gold-avize-4786.jpg?v=1754548902</t>
  </si>
  <si>
    <t>H1C3CMGERB0-060</t>
  </si>
  <si>
    <t>doha-15li-gold-avize</t>
  </si>
  <si>
    <t>Doha 15'li Gold Avize</t>
  </si>
  <si>
    <t>https://cdn.shopify.com/s/files/1/0698/3086/9177/files/H1C3CMGERB0-060.jpg?v=1754490557</t>
  </si>
  <si>
    <t>H1C3CMGERB0-080</t>
  </si>
  <si>
    <t>doha-20li-gold-avize</t>
  </si>
  <si>
    <t>Doha 20'li Gold Avize</t>
  </si>
  <si>
    <t>https://cdn.shopify.com/s/files/1/0698/3086/9177/files/H1C3CMGERB0-080_03a2c56c-360d-45a9-83fb-9609c78a3c4a.jpg?v=1754490558</t>
  </si>
  <si>
    <t>H1C3CMGERB0-100</t>
  </si>
  <si>
    <t>doha-40li-gold-avize</t>
  </si>
  <si>
    <t>Doha 40'lı Gold Avize</t>
  </si>
  <si>
    <t>https://cdn.shopify.com/s/files/1/0698/3086/9177/files/H1C3CMGERB0-100.jpg?v=1754490559</t>
  </si>
  <si>
    <t>H1F6JMGBCSY-138</t>
  </si>
  <si>
    <t>carina-kure-seffaf-akrilik-gold-lambader-33-cm</t>
  </si>
  <si>
    <t>Carina Küre Şeffaf Akrilik Gold Lambader 33 cm</t>
  </si>
  <si>
    <t>https://cdn.shopify.com/s/files/1/0698/3086/9177/files/H1F6JMGBCSY-138_03.jpg?v=1754557808</t>
  </si>
  <si>
    <t>H1T6JMGBCSY-023</t>
  </si>
  <si>
    <t>carina-kure-seffaf-akrilik-gold-masa-lambasi-23-cm</t>
  </si>
  <si>
    <t>Carina Küre Şeffaf Akrilik Gold Masa Lambası 23 cm</t>
  </si>
  <si>
    <t>https://cdn.shopify.com/s/files/1/0698/3086/9177/files/H1T6JMGBCSY-023_01.jpg?v=1752138104</t>
  </si>
  <si>
    <t>H1W6JMGBCSY-014</t>
  </si>
  <si>
    <t>carina-kure-seffaf-akrilik-gold-led-aplik-14-cm</t>
  </si>
  <si>
    <t>Carina Küre Şeffaf Akrilik Gold LED Aplik 14 cm</t>
  </si>
  <si>
    <t>https://cdn.shopify.com/s/files/1/0698/3086/9177/files/carina-kure-seffaf-akrilik-gold-aplik-14-cm-5900.jpg?v=1754548902</t>
  </si>
  <si>
    <t>H1W6JRSBCS0-060</t>
  </si>
  <si>
    <t>panama-alti-seffaf-akrilik-siyah-led-aplik</t>
  </si>
  <si>
    <t>Panama Altı Şeffaf Akrilik Siyah Led Aplik</t>
  </si>
  <si>
    <t>https://cdn.shopify.com/s/files/1/0698/3086/9177/files/panama-alti-seffaf-akrilik-siyah-aplik-5961.jpg?v=1754548904</t>
  </si>
  <si>
    <t>H1W6JMEWRS0-026</t>
  </si>
  <si>
    <t>tekfur-siyah-mermer-aplik-1</t>
  </si>
  <si>
    <t>Tekfur Siyah Mermer Aplik Küçük</t>
  </si>
  <si>
    <t>https://cdn.shopify.com/s/files/1/0698/3086/9177/files/tekfur-siyah-mermer-aplik-kucuk-4776.jpg?v=1754548905</t>
  </si>
  <si>
    <t>H1C7JMEERF0-024</t>
  </si>
  <si>
    <t>viyana-gozyasi-fume-cam-eskitme-sarkit-avize-2</t>
  </si>
  <si>
    <t>Viyana Gözyaşı Füme Cam Eskitme Sarkıt Avize 24 cm</t>
  </si>
  <si>
    <t>https://cdn.shopify.com/s/files/1/0698/3086/9177/files/H1C7JMEERF0-024-1.jpg?v=1752138110</t>
  </si>
  <si>
    <t>H1C7JMEERF0-020</t>
  </si>
  <si>
    <t>viyana-gozyasi-fume-cam-eskitme-sarkit-avize-1</t>
  </si>
  <si>
    <t>Viyana Gözyaşı Füme Cam Eskitme Sarkıt Avize 20 cm</t>
  </si>
  <si>
    <t>https://cdn.shopify.com/s/files/1/0698/3086/9177/files/viyana-gozyasi-fume-cam-eskitme-sarkit-20-cm-4769.jpg?v=1752138110</t>
  </si>
  <si>
    <t>H1C7JMEERF0-018</t>
  </si>
  <si>
    <t>viyana-gozyasi-fume-cam-eskitme-sarkit-avize</t>
  </si>
  <si>
    <t>Viyana Gözyaşı Füme Cam Eskitme Sarkıt Avize 18 cm</t>
  </si>
  <si>
    <t>https://cdn.shopify.com/s/files/1/0698/3086/9177/files/viyana-gozyasi-fume-cam-eskitme-sarkit-18-cm-4768.jpg?v=1754490559</t>
  </si>
  <si>
    <t>H1C7JMEERL0-024</t>
  </si>
  <si>
    <t>viyana-gozyasi-bal-cam-eskitme-sarkit-avize-2</t>
  </si>
  <si>
    <t>Viyana Gözyaşı Bal Cam Eskitme Sarkıt Avize 24 cm</t>
  </si>
  <si>
    <t>https://cdn.shopify.com/s/files/1/0698/3086/9177/files/viyana-gozyasi-bal-cam-eskitme-sarkit-avize-6522.jpg?v=1752138112</t>
  </si>
  <si>
    <t>H1C7JMEERL0-020</t>
  </si>
  <si>
    <t>viyana-gozyasi-bal-cam-eskitme-sarkit-avize-1</t>
  </si>
  <si>
    <t>Viyana Gözyaşı Bal Cam Eskitme Sarkıt Avize 20 cm</t>
  </si>
  <si>
    <t>https://cdn.shopify.com/s/files/1/0698/3086/9177/files/viyana-gozyasi-bal-cam-eskitme-sarkit-avize-6524.jpg?v=1752138112</t>
  </si>
  <si>
    <t>H1C7JMEERL0-018</t>
  </si>
  <si>
    <t>viyana-gozyasi-bal-cam-eskitme-sarkit-avize</t>
  </si>
  <si>
    <t>Viyana Gözyaşı Bal Cam Eskitme Sarkıt Avize 18 cm</t>
  </si>
  <si>
    <t>https://cdn.shopify.com/s/files/1/0698/3086/9177/files/viyana-gozyasi-bal-cam-eskitme-sarkit-18-cm-4765.jpg?v=1754490560</t>
  </si>
  <si>
    <t>H1C2JMEERL0-206</t>
  </si>
  <si>
    <t>galata-19lu-galeri-boslugu-uc-katli-avize</t>
  </si>
  <si>
    <t>Galata 19'lu Galeri Boşluğu Üç Katlı Avize</t>
  </si>
  <si>
    <t>https://cdn.shopify.com/s/files/1/0698/3086/9177/files/H1C2JMEERL0-206.jpg?v=1754490561</t>
  </si>
  <si>
    <t>H1W1JMGNRBR-036</t>
  </si>
  <si>
    <t>komor-porselen-gold-aplik</t>
  </si>
  <si>
    <t>Komor Porselen Gold Aplik</t>
  </si>
  <si>
    <t>https://cdn.shopify.com/s/files/1/0698/3086/9177/files/komor-aplik-4745.jpg?v=1754548905</t>
  </si>
  <si>
    <t>H1C6JMGBCSR-020</t>
  </si>
  <si>
    <t>ceneviz-tekli-akrilik-sarkit-avize</t>
  </si>
  <si>
    <t>Ceneviz Tekli Akrilik Sarkıt Avize</t>
  </si>
  <si>
    <t>https://cdn.shopify.com/s/files/1/0698/3086/9177/files/H1C6JMGBCSR-020.jpg?v=1754490562</t>
  </si>
  <si>
    <t>H1W6JMEWRS0-062</t>
  </si>
  <si>
    <t>tekfur-siyah-mermer-aplik</t>
  </si>
  <si>
    <t>Tekfur Siyah Mermer Aplik Büyük</t>
  </si>
  <si>
    <t>https://cdn.shopify.com/s/files/1/0698/3086/9177/files/tekfur-siyah-mermer-aplik-buyuk-4775.jpg?v=1752138119</t>
  </si>
  <si>
    <t>H1C6JMEWRB1-120</t>
  </si>
  <si>
    <t>tetus-tekli-mermer-sarkit-avize-120cm</t>
  </si>
  <si>
    <t>Tetus Tekli Mermer Sarkıt Avize 120 cm</t>
  </si>
  <si>
    <t>https://cdn.shopify.com/s/files/1/0698/3086/9177/files/H1C6JMEWRB1-120_2.jpg?v=1754490562</t>
  </si>
  <si>
    <t>H1C2YRBJRSC-030</t>
  </si>
  <si>
    <t>orbit-soft-touch-beyaz-silindir-sarkit-avize-1</t>
  </si>
  <si>
    <t>Orbit Soft Touch Beyaz Silindir Sarkıt Avize 25 cm</t>
  </si>
  <si>
    <t>https://cdn.shopify.com/s/files/1/0698/3086/9177/files/H1C2YRBJRSC-030_3.jpg?v=1754490563</t>
  </si>
  <si>
    <t>H1C2YRBJM3C-029</t>
  </si>
  <si>
    <t>star-soft-touch-beyaz-capraz-silindir-sarkit-avize-28cm</t>
  </si>
  <si>
    <t>Star Soft Touch Beyaz Çapraz Silindir Sarkıt Avize 28 cm</t>
  </si>
  <si>
    <t>https://cdn.shopify.com/s/files/1/0698/3086/9177/files/H1C2YRBJM3C-029.jpg?v=1754490564</t>
  </si>
  <si>
    <t>H1C2YRBJM3Y-030</t>
  </si>
  <si>
    <t>star-soft-touch-beyaz-capraz-sarkit-avize-30cm</t>
  </si>
  <si>
    <t>Star Soft Touch Beyaz Çapraz Sarkıt Avize 30 cm</t>
  </si>
  <si>
    <t>https://cdn.shopify.com/s/files/1/0698/3086/9177/files/H1C2YRBJM3Y-030_3.jpg?v=1754490564</t>
  </si>
  <si>
    <t>H1C2YRBJM3Y-050</t>
  </si>
  <si>
    <t>star-soft-touch-beyaz-capraz-kure-sarkit-avize-50cm</t>
  </si>
  <si>
    <t>Star Soft Touch Beyaz Çapraz Küre Sarkıt Avize 50 cm</t>
  </si>
  <si>
    <t>https://cdn.shopify.com/s/files/1/0698/3086/9177/files/H1C2YRBJM3Y-050_3.jpg?v=1754490565</t>
  </si>
  <si>
    <t>H1C2YRBJM3E-051</t>
  </si>
  <si>
    <t>star-soft-touch-beyaz-capraz-elips-sarkit-avize-50cm</t>
  </si>
  <si>
    <t>Star Soft Touch Beyaz Çapraz Elips Sarkıt Avize 50 cm</t>
  </si>
  <si>
    <t>https://cdn.shopify.com/s/files/1/0698/3086/9177/files/H1C2YRBJM3E-051_3.jpg?v=1754490566</t>
  </si>
  <si>
    <t>H1C2YRBJM3C-028</t>
  </si>
  <si>
    <t>orion-soft-touch-beyaz-silindir-sarkit-avize-28cm</t>
  </si>
  <si>
    <t>Orion Soft Touch Beyaz Silindir Sarkıt Avize 28 cm</t>
  </si>
  <si>
    <t>https://cdn.shopify.com/s/files/1/0698/3086/9177/files/orion-beyaz-polimer-silindir-sarkit-28cm-4732.jpg?v=1754490566</t>
  </si>
  <si>
    <t>H1C6YRBJRSP-174</t>
  </si>
  <si>
    <t>altair-soft-touch-beyaz-poligonal-sarkit-avize-190cm</t>
  </si>
  <si>
    <t>Altair Soft Touch Beyaz Poligonal Sarkıt Avize 190 cm</t>
  </si>
  <si>
    <t>https://cdn.shopify.com/s/files/1/0698/3086/9177/files/H1C6YRBJRSP-174.jpg?v=1754490567</t>
  </si>
  <si>
    <t>H1C6YRBJRSP-173</t>
  </si>
  <si>
    <t>altair-soft-touch-beyaz-poligonal-sarkit-avize-130cm</t>
  </si>
  <si>
    <t>Altair Soft Touch Beyaz Poligonal Sarkıt Avize 130 cm</t>
  </si>
  <si>
    <t>https://cdn.shopify.com/s/files/1/0698/3086/9177/files/H1C6YRBJRSP-173_3_69cd7d37-3510-4528-be2d-ea97a481ed07.jpg?v=1754490568</t>
  </si>
  <si>
    <t>H1C1YRBJRS0-105</t>
  </si>
  <si>
    <t>ceres-soft-touch-beyaz-sarkit-avize-20cm</t>
  </si>
  <si>
    <t>Ceres Soft Touch Beyaz Sarkıt Avize 20cm</t>
  </si>
  <si>
    <t>https://cdn.shopify.com/s/files/1/0698/3086/9177/files/H1C1YRBJRS0-105_3.jpg?v=1754490568</t>
  </si>
  <si>
    <t>H1C2YRBJRSC-034</t>
  </si>
  <si>
    <t>planet-soft-touch-beyaz-silindir-sarkit-avize-34cm</t>
  </si>
  <si>
    <t>Planet Soft Touch Beyaz Silindir Sarkıt Avize 34 cm</t>
  </si>
  <si>
    <t>https://cdn.shopify.com/s/files/1/0698/3086/9177/files/H1C2YRBJRSC-034_3.png?v=1754490569</t>
  </si>
  <si>
    <t>H1C2YRBJRSC-054</t>
  </si>
  <si>
    <t>planet-soft-touch-beyaz-silindir-sarkit-avize-54cm</t>
  </si>
  <si>
    <t>Planet Soft Touch Beyaz Silindir Sarkıt Avize 54 cm</t>
  </si>
  <si>
    <t>https://cdn.shopify.com/s/files/1/0698/3086/9177/files/planet-beyaz-polimer-silindir-sarkit-54cm-4727.jpg?v=1754490570</t>
  </si>
  <si>
    <t>H1C2YRBJRSC-068</t>
  </si>
  <si>
    <t>planet-soft-touch-beyaz-silindir-sarkit-avize-68cm</t>
  </si>
  <si>
    <t>Planet Soft Touch Beyaz Silindir Sarkıt Avize 68 cm</t>
  </si>
  <si>
    <t>https://cdn.shopify.com/s/files/1/0698/3086/9177/files/H1C2YRBJRSC-068_4.jpg?v=1754490570</t>
  </si>
  <si>
    <t>H1C2YRBLCS0-100</t>
  </si>
  <si>
    <t>epsilon-soft-touch-beyaz-seffaf-pleksi-sarkit-avize-100-cm</t>
  </si>
  <si>
    <t>Epsilon Soft Touch Beyaz Şeffaf Pleksi Sarkıt Avize 100 cm</t>
  </si>
  <si>
    <t>https://cdn.shopify.com/s/files/1/0698/3086/9177/files/H1C2YRBLCS0-100_3.jpg?v=1754490571</t>
  </si>
  <si>
    <t>H1C2YRBLCS0-080</t>
  </si>
  <si>
    <t>epsilon-soft-touch-beyaz-seffaf-pleksi-sarkit-avize-80-cm</t>
  </si>
  <si>
    <t>Epsilon Soft Touch Beyaz Şeffaf Pleksi Sarkıt Avize 80 cm</t>
  </si>
  <si>
    <t>https://cdn.shopify.com/s/files/1/0698/3086/9177/files/H1C2YRBLCS0-080_5.jpg?v=1754490572</t>
  </si>
  <si>
    <t>H1C2YRBJRSC-040</t>
  </si>
  <si>
    <t>orbit-soft-touch-beyaz-silindir-sarkit-avize</t>
  </si>
  <si>
    <t>Orbit Soft Touch Beyaz Silindir Sarkıt Avize 30 cm</t>
  </si>
  <si>
    <t>https://cdn.shopify.com/s/files/1/0698/3086/9177/files/H1C2YRBJRSC-040_3.jpg?v=1754490572</t>
  </si>
  <si>
    <t>H1C2YRBJM30-030</t>
  </si>
  <si>
    <t>orion-soft-touch-beyaz-sarkit-avize-30cm</t>
  </si>
  <si>
    <t>Orion Soft Touch Beyaz Sarkıt Avize 30 cm</t>
  </si>
  <si>
    <t>https://cdn.shopify.com/s/files/1/0698/3086/9177/files/orion-beyaz-polimer-sarkit-30cm-4722.jpg?v=1754490573</t>
  </si>
  <si>
    <t>H1C2YRBJM3Y-033</t>
  </si>
  <si>
    <t>orion-soft-touch-beyaz-kure-sarkit-avize-33cm</t>
  </si>
  <si>
    <t>Orion Soft Touch Beyaz Küre Sarkıt Avize 33 cm</t>
  </si>
  <si>
    <t>https://cdn.shopify.com/s/files/1/0698/3086/9177/files/H1C2YRBJM3Y-033_3.jpg?v=1754490574</t>
  </si>
  <si>
    <t>H1C2YRBJM3E-050</t>
  </si>
  <si>
    <t>orion-soft-touch-beyaz-elips-sarkit-avize-50cm</t>
  </si>
  <si>
    <t>Orion Soft Touch Beyaz Elips Sarkıt Avize 50 cm</t>
  </si>
  <si>
    <t>https://cdn.shopify.com/s/files/1/0698/3086/9177/files/H1C2YRBJM3E-050_3.jpg?v=1754490574</t>
  </si>
  <si>
    <t>H1C6YRBJRS0-100</t>
  </si>
  <si>
    <t>galaxy-soft-touch-beyaz-dalga-sarkit-avize-100-cm</t>
  </si>
  <si>
    <t>Galaxy Soft Touch Beyaz Dalga Sarkıt Avize 100 cm</t>
  </si>
  <si>
    <t>https://cdn.shopify.com/s/files/1/0698/3086/9177/files/H1C6YRBJRS0-100_3.jpg?v=1752138139</t>
  </si>
  <si>
    <t>H1C6YRBJRS0-080</t>
  </si>
  <si>
    <t>galaxy-soft-touch-beyaz-dalga-sarkit-avize-80-cm</t>
  </si>
  <si>
    <t>Galaxy Soft Touch Beyaz Dalga Sarkıt Avize 80 cm</t>
  </si>
  <si>
    <t>https://cdn.shopify.com/s/files/1/0698/3086/9177/files/H1C6YRBJRS0-080_3.jpg?v=1752138140</t>
  </si>
  <si>
    <t>H1C6YRBJRS0-060</t>
  </si>
  <si>
    <t>galaxy-soft-touch-beyaz-dalga-sarkit-avize-60-cm</t>
  </si>
  <si>
    <t>Galaxy Soft Touch Beyaz Dalga Sarkıt Avize 60 cm</t>
  </si>
  <si>
    <t>https://cdn.shopify.com/s/files/1/0698/3086/9177/files/H1C6YRBJRS0-060_3.jpg?v=1754490575</t>
  </si>
  <si>
    <t>H1C2YRBJRS0-060</t>
  </si>
  <si>
    <t>lunar-soft-touch-beyaz-sarkit-avize-1</t>
  </si>
  <si>
    <t>Lunar Soft Touch Beyaz Sarkıt Avize 60 cm</t>
  </si>
  <si>
    <t>https://cdn.shopify.com/s/files/1/0698/3086/9177/files/H1C2YRBJRS0-060_3.jpg?v=1752138142</t>
  </si>
  <si>
    <t>H1C2YRBJRS0-050</t>
  </si>
  <si>
    <t>lunar-soft-touch-beyaz-sarkit-avize</t>
  </si>
  <si>
    <t>Lunar Soft Touch Beyaz Sarkıt Avize 50 cm</t>
  </si>
  <si>
    <t>https://cdn.shopify.com/s/files/1/0698/3086/9177/files/H1C2YRBJRS0-050_3.jpg?v=1754490575</t>
  </si>
  <si>
    <t>H1C2YRBJRSY-050</t>
  </si>
  <si>
    <t>solar-soft-touch-beyaz-bogumlu-sarkit-avize-50x47cm</t>
  </si>
  <si>
    <t>Solar Soft Touch Beyaz Boğumlu Sarkıt Avize 50x47 cm</t>
  </si>
  <si>
    <t>https://cdn.shopify.com/s/files/1/0698/3086/9177/files/H1C2YRBJRSY-050_3.jpg?v=1754490576</t>
  </si>
  <si>
    <t>H1C2YRBJRSY-045</t>
  </si>
  <si>
    <t>solar-soft-touch-beyaz-bogumlu-sarkit-avize-45x65cm</t>
  </si>
  <si>
    <t>Solar Soft Touch Beyaz Boğumlu Sarkıt Avize 45x65 cm</t>
  </si>
  <si>
    <t>https://cdn.shopify.com/s/files/1/0698/3086/9177/files/H1C2YRBJRSY-045_3.jpg?v=1754490577</t>
  </si>
  <si>
    <t>H1C2YRBJRSY-040</t>
  </si>
  <si>
    <t>solar-soft-touch-avize-bogumlu-sarkit-avize-40x41cm</t>
  </si>
  <si>
    <t>Solar Soft Touch Beyaz Boğumlu Sarkıt Avize 40x41 cm</t>
  </si>
  <si>
    <t>https://cdn.shopify.com/s/files/1/0698/3086/9177/files/H1C2YRBJRSY-040_3.jpg?v=1754490577</t>
  </si>
  <si>
    <t>H1F2YRBJM30-105</t>
  </si>
  <si>
    <t>mimosa-soft-touch-beyaz-uc-ayakli-lambader-68cm</t>
  </si>
  <si>
    <t>Mimosa Soft Touch Beyaz Üç Ayaklı Lambader 68 Cm</t>
  </si>
  <si>
    <t>https://cdn.shopify.com/s/files/1/0698/3086/9177/files/H1F2YRBJM30-105_1.jpg?v=1754557809</t>
  </si>
  <si>
    <t>H1F2YRBJM3E-143</t>
  </si>
  <si>
    <t>mimosa-soft-touch-beyaz-elips-lambader-30cm</t>
  </si>
  <si>
    <t>Mimosa Soft Touch Beyaz Elips Lambader 30 cm</t>
  </si>
  <si>
    <t>https://cdn.shopify.com/s/files/1/0698/3086/9177/files/H1F2YRBJM3E-143.jpg?v=1754557809</t>
  </si>
  <si>
    <t>H1F6YRBJM30-130</t>
  </si>
  <si>
    <t>mimosa-soft-touch-beyaz-bogumlu-lambader-28cm</t>
  </si>
  <si>
    <t>Mimosa Soft Touch Beyaz Boğumlu Lambader 28Cm</t>
  </si>
  <si>
    <t>https://cdn.shopify.com/s/files/1/0698/3086/9177/files/H1F6YRBJM30-130.jpg?v=1754557810</t>
  </si>
  <si>
    <t>H1F6YRBJM30-160</t>
  </si>
  <si>
    <t>mimosa-soft-touch-beyaz-mantar-lambader-60cm</t>
  </si>
  <si>
    <t>Mimosa Soft Touch Beyaz Mantar Lambader 60 cm</t>
  </si>
  <si>
    <t>https://cdn.shopify.com/s/files/1/0698/3086/9177/files/H1F6YRBJM30-160.jpg?v=1754557811</t>
  </si>
  <si>
    <t>H1F2YRBJM30-117</t>
  </si>
  <si>
    <t>mimosa-soft-touch-beyaz-uc-ayakli-lambader-45cm</t>
  </si>
  <si>
    <t>Mimosa Soft Touch Beyaz Üç Ayaklı Lambader 45 cm</t>
  </si>
  <si>
    <t>https://cdn.shopify.com/s/files/1/0698/3086/9177/files/H1F2YRBJM30-117_1.jpg?v=1754557812</t>
  </si>
  <si>
    <t>H1F2YRBJM30-138</t>
  </si>
  <si>
    <t>mimosa-soft-touch-beyaz-lambader-30cm</t>
  </si>
  <si>
    <t>Mimosa Soft Touch Beyaz Lambader 30 cm</t>
  </si>
  <si>
    <t>https://cdn.shopify.com/s/files/1/0698/3086/9177/files/H1F2YRBJM30-138_3.jpg?v=1754557812</t>
  </si>
  <si>
    <t>H1T2YRBJM3Y-028</t>
  </si>
  <si>
    <t>nova-beyaz-soft-touch-masa-lambasi-28cm</t>
  </si>
  <si>
    <t>Nova Beyaz Soft Touch Masa Lambası 28 cm</t>
  </si>
  <si>
    <t>https://cdn.shopify.com/s/files/1/0698/3086/9177/files/H1T2YRBJM3Y-028_3.jpg?v=1752138150</t>
  </si>
  <si>
    <t>H1T2YRBJM3Y-030</t>
  </si>
  <si>
    <t>nova-beyaz-soft-touch-kure-masa-lambasi-30cm</t>
  </si>
  <si>
    <t>Nova Beyaz Soft Touch Küre Masa Lambası 30 cm</t>
  </si>
  <si>
    <t>https://cdn.shopify.com/s/files/1/0698/3086/9177/files/H1T2YRBJM3Y-030_3.jpg?v=1752138151</t>
  </si>
  <si>
    <t>H1T2YRBJM3P-030</t>
  </si>
  <si>
    <t>nova-beyaz-soft-touch-masa-lambasi-30cm</t>
  </si>
  <si>
    <t>Nova Beyaz Soft Touch Masa Lambası 30 cm</t>
  </si>
  <si>
    <t>https://cdn.shopify.com/s/files/1/0698/3086/9177/files/H1T2YRBJM3P-030_3.jpg?v=1752138152</t>
  </si>
  <si>
    <t>H1T2YRBJM3E-040</t>
  </si>
  <si>
    <t>nova-beyaz-soft-touch-masa-lambasi-40cm</t>
  </si>
  <si>
    <t>Nova Beyaz Soft Touch Masa Lambası 40 cm</t>
  </si>
  <si>
    <t>https://cdn.shopify.com/s/files/1/0698/3086/9177/files/H1T2YRBJM3E-040_3.jpg?v=1752138152</t>
  </si>
  <si>
    <t>H1T2YRBJRSC-030</t>
  </si>
  <si>
    <t>nova-beyaz-soft-touch-bogumlu-masa-lambasi-30cm</t>
  </si>
  <si>
    <t>Nova Beyaz Soft Touch Boğumlu Masa Lambası 30cm</t>
  </si>
  <si>
    <t>https://cdn.shopify.com/s/files/1/0698/3086/9177/files/H1T2YRBJRSC-030_3_f21335f8-5601-4982-b296-f0260a5629ef.jpg?v=1752138153</t>
  </si>
  <si>
    <t>morchella-sarjli-wenge-masa-lambasi</t>
  </si>
  <si>
    <t>Morchella Şarjlı Wenge Masa Lambası</t>
  </si>
  <si>
    <t>https://cdn.shopify.com/s/files/1/0698/3086/9177/files/morchella-sarjli-wenge-masa-lambasi-5212.jpg?v=1752138154</t>
  </si>
  <si>
    <t>morchella-sarjli-mavi-masa-lambasi</t>
  </si>
  <si>
    <t>Morchella Şarjlı Mavi Masa Lambası</t>
  </si>
  <si>
    <t>https://cdn.shopify.com/s/files/1/0698/3086/9177/files/morchella-sarjli-mavi-masa-lambasi-5200.jpg?v=1752138155</t>
  </si>
  <si>
    <t>morchella-sarjli-sari-masa-lambasi</t>
  </si>
  <si>
    <t>Morchella Şarjlı Sarı Masa Lambası</t>
  </si>
  <si>
    <t>https://cdn.shopify.com/s/files/1/0698/3086/9177/files/morchella-sarjli-sari-masa-lambasi-5187.jpg?v=1752138157</t>
  </si>
  <si>
    <t>morchella-sarjli-yesil-masa-lambasi</t>
  </si>
  <si>
    <t>Morchella Şarjlı Yeşil Masa Lambası</t>
  </si>
  <si>
    <t>https://cdn.shopify.com/s/files/1/0698/3086/9177/files/morchella-sarjli-yesil-masa-lambasi-5176.jpg?v=1752138158</t>
  </si>
  <si>
    <t>H1W6JRSWRBC-052</t>
  </si>
  <si>
    <t>orkos-beyaz-mermerli-led-aplik</t>
  </si>
  <si>
    <t>Orkos Beyaz Mermerli LED Aplik 52 cm</t>
  </si>
  <si>
    <t>https://cdn.shopify.com/s/files/1/0698/3086/9177/files/H1W6JRSWRBC-052ORKOSBEYAZMERMERLISIYAHAPLIK52cm.jpg?v=1754548906</t>
  </si>
  <si>
    <t>H1C6JMGBCSY-023</t>
  </si>
  <si>
    <t>carina-tekli-seffaf-akrilik-altin-sarkit-avize-20-cm</t>
  </si>
  <si>
    <t>Carina Tekli Şeffaf Akrilik Altın Sarkıt Avize 20 cm</t>
  </si>
  <si>
    <t>https://cdn.shopify.com/s/files/1/0698/3086/9177/files/H1C6JMGBCSY-023.jpg?v=1754490578</t>
  </si>
  <si>
    <t>H1C6JMEWRBD-080</t>
  </si>
  <si>
    <t>teta-beyaz-mermerli-eskitme-sarkit-avize-1</t>
  </si>
  <si>
    <t>Teta Beyaz Mermerli Eskitme Sarkıt Avize 80 cm</t>
  </si>
  <si>
    <t>https://cdn.shopify.com/s/files/1/0698/3086/9177/files/teta-beyaz-mermerli-eskitme-sarkit-80cm-4633.jpg?v=1754490579</t>
  </si>
  <si>
    <t>H1C6JMEWRBD-062</t>
  </si>
  <si>
    <t>teta-beyaz-mermerli-eskitme-sarkit-avize</t>
  </si>
  <si>
    <t>Teta Beyaz Mermerli Eskitme Sarkıt Avize 60 cm</t>
  </si>
  <si>
    <t>https://cdn.shopify.com/s/files/1/0698/3086/9177/files/teta-beyaz-mermerli-eskitme-sarkit-60cm-4636.jpg?v=1754490579</t>
  </si>
  <si>
    <t>H1C6JMEWRBR-130</t>
  </si>
  <si>
    <t>orkos-tekli-mermer-sarkit-avize</t>
  </si>
  <si>
    <t>Orkos Tekli Mermer Sarkıt Avize 130 cm</t>
  </si>
  <si>
    <t>https://cdn.shopify.com/s/files/1/0698/3086/9177/files/H1C6JMEWRBR-130_f2403e77-8937-4a49-8777-b9a6be241d93.jpg?v=1754490580</t>
  </si>
  <si>
    <t>T1W1JMKERL0-019</t>
  </si>
  <si>
    <t>mina-fume-cam-krom-aplik</t>
  </si>
  <si>
    <t>Mina Bal Cam Krom Aplik</t>
  </si>
  <si>
    <t>https://cdn.shopify.com/s/files/1/0698/3086/9177/files/mina-bal-cam-krom-aplik-2562.jpg?v=1754548907</t>
  </si>
  <si>
    <t>H1W2JRSECT0-032</t>
  </si>
  <si>
    <t>hudat-sivama-siyah-kollu-aplik-15cm</t>
  </si>
  <si>
    <t>Hudat Sıvama Siyah Kollu Aplik 15cm</t>
  </si>
  <si>
    <t>https://cdn.shopify.com/s/files/1/0698/3086/9177/files/hudat-sivama-siyah-kollu-aplik-15cm-2549.jpg?v=1754548907</t>
  </si>
  <si>
    <t>H1W6ARSJMER-018</t>
  </si>
  <si>
    <t>cark-disli-led-siyah-aplik-18-cm</t>
  </si>
  <si>
    <t>Çark Dişli LED Siyah Aplik 18 cm</t>
  </si>
  <si>
    <t>https://cdn.shopify.com/s/files/1/0698/3086/9177/files/cark-disli-led-siyah-aplik-18cm-3155.jpg?v=1754548908</t>
  </si>
  <si>
    <t>H1W6ARSJMER-032</t>
  </si>
  <si>
    <t>cark-disli-led-siyah-aplik-32-cm</t>
  </si>
  <si>
    <t>Çark Dişli LED Siyah Aplik 32 cm</t>
  </si>
  <si>
    <t>https://cdn.shopify.com/s/files/1/0698/3086/9177/files/cark-disli-led-siyah-aplik-32cm-3151.jpg?v=1752138168</t>
  </si>
  <si>
    <t>MJ-010 MASA</t>
  </si>
  <si>
    <t>karatay-25lik-masa-lambasi-siyah</t>
  </si>
  <si>
    <t>Karatay 25'lik Masa Lambası Siyah</t>
  </si>
  <si>
    <t>https://cdn.shopify.com/s/files/1/0698/3086/9177/files/IMG_6269.jpg?v=1752138169</t>
  </si>
  <si>
    <t>H1W3ECSJME0-018</t>
  </si>
  <si>
    <t>aspar-tek-akrilik-seffaf-eskitme-aplik</t>
  </si>
  <si>
    <t>Aspar Tek Akrilik Şeffaf Eskitme Aplik</t>
  </si>
  <si>
    <t>https://cdn.shopify.com/s/files/1/0698/3086/9177/files/aspar-tek-camli-eskitme-aplik-2529.jpg?v=1754548909</t>
  </si>
  <si>
    <t>T1L2231100-35</t>
  </si>
  <si>
    <t>karatay-35lik-camli-siyah-lambader</t>
  </si>
  <si>
    <t>Karatay 35'lik Camlı Siyah Lambader</t>
  </si>
  <si>
    <t>https://cdn.shopify.com/s/files/1/0698/3086/9177/files/T1L2231100-35-2.jpg?v=1754557813</t>
  </si>
  <si>
    <t>H1C6JMEECSC-042</t>
  </si>
  <si>
    <t>dubbo-cam-altin-led-sarkit-avize-2</t>
  </si>
  <si>
    <t>Dubbo İkili Cam Altın LED Sarkıt Avize</t>
  </si>
  <si>
    <t>https://cdn.shopify.com/s/files/1/0698/3086/9177/files/H1C6JMEECSC-042.jpg?v=1754490581</t>
  </si>
  <si>
    <t>F1C2MRBJRB0-025</t>
  </si>
  <si>
    <t>stone-beyaz-kaya-sarkit-avize-2</t>
  </si>
  <si>
    <t>Stone Beyaz Kaya Sarkıt Avize 25 cm</t>
  </si>
  <si>
    <t>https://cdn.shopify.com/s/files/1/0698/3086/9177/files/stone-beyaz-kaya-sarkit-25cm-2519.jpg?v=1754490582</t>
  </si>
  <si>
    <t>H1C3JRSERLZ-047</t>
  </si>
  <si>
    <t>ahtapot-12li-spiral-kollu-avize-1</t>
  </si>
  <si>
    <t>Ahtapot 12'li Spiral Kollu Avize</t>
  </si>
  <si>
    <t>https://cdn.shopify.com/s/files/1/0698/3086/9177/files/ahtapot-oniki-spiral-kollu-avize-2889.jpg?v=1754490582</t>
  </si>
  <si>
    <t>H1C3JMEERLZ-047</t>
  </si>
  <si>
    <t>ahtapot-12li-spiral-kollu-avize</t>
  </si>
  <si>
    <t>https://cdn.shopify.com/s/files/1/0698/3086/9177/files/ahtapot-oniki-spiral-kollu-eskitme-avize-2515.jpg?v=1754490583</t>
  </si>
  <si>
    <t>CK2G6C2M2E3H0GG</t>
  </si>
  <si>
    <t>erd-303-serit-filament-led-fume-cam-6w-2500k-e27</t>
  </si>
  <si>
    <t>Erd-303 Şerit Filament Led Füme Cam 6W 2500K E27</t>
  </si>
  <si>
    <t>https://cdn.shopify.com/s/files/1/0698/3086/9177/files/erd-303-serit-filament-led-fume-cam-6w-2500k-e27-5145.jpg?v=1752138173</t>
  </si>
  <si>
    <t>CK2G6C1M2E3J0GG</t>
  </si>
  <si>
    <t>erd-302-serit-filament-led-bal-cam-6w-2500k-e27</t>
  </si>
  <si>
    <t>Erd-302 Şerit Filament Led Bal Cam 6W 2500K E27</t>
  </si>
  <si>
    <t>https://cdn.shopify.com/s/files/1/0698/3086/9177/files/erd-302-serit-filament-led-bal-cam-6w-2500k-e27-5143.jpg?v=1752138173</t>
  </si>
  <si>
    <t>CK2G6C2M2E3H0GC</t>
  </si>
  <si>
    <t>erd-297-serit-filament-led-fume-cam-6w-2500k-e27</t>
  </si>
  <si>
    <t>Erd-297 Şerit Filament Led Füme Cam 6W 2500K E27</t>
  </si>
  <si>
    <t>https://cdn.shopify.com/s/files/1/0698/3086/9177/files/erd-297-serit-filament-led-fume-cam-6w-2500k-e27-5173.jpg?v=1754655806</t>
  </si>
  <si>
    <t>CK2G6C1M2E3J0GC</t>
  </si>
  <si>
    <t>erd-296-serit-filament-led-bal-cam-6w-2500k-e27</t>
  </si>
  <si>
    <t>Erd-296 Şerit Filament Led Bal Cam 6W 2500K E27</t>
  </si>
  <si>
    <t>https://cdn.shopify.com/s/files/1/0698/3086/9177/files/erd-296-serit-filament-led-bal-cam-6w-2500k-e27-5144.jpg?v=1752138174</t>
  </si>
  <si>
    <t>CK2G6C2M2E3H0GD</t>
  </si>
  <si>
    <t>erd-301-serit-filament-led-fume-cam-6w-2500k-e27</t>
  </si>
  <si>
    <t>Erd-301 Şerit Filament Led Füme Cam 6W 2500K E27</t>
  </si>
  <si>
    <t>https://cdn.shopify.com/s/files/1/0698/3086/9177/files/erd-301-serit-filament-led-fume-cam-6w-2500k-e27-5169.jpg?v=1754652566</t>
  </si>
  <si>
    <t>CK2G6C1M2E3J0GD</t>
  </si>
  <si>
    <t>erd-300-serit-filament-led-bal-cam-6w-2500k-e27</t>
  </si>
  <si>
    <t>Erd-300 Şerit Filament Led Bal Cam 6W 2500K E27</t>
  </si>
  <si>
    <t>https://cdn.shopify.com/s/files/1/0698/3086/9177/files/CK2G6C1M2E3J0GD.jpg?v=1754652518</t>
  </si>
  <si>
    <t>CK2G6C2M2E3H0GH</t>
  </si>
  <si>
    <t>erd-299-serit-filament-led-fume-cam-6w-2500k-e27</t>
  </si>
  <si>
    <t>Erd-299 Şerit Filament Led Füme Cam 6W 2500K E27</t>
  </si>
  <si>
    <t>https://cdn.shopify.com/s/files/1/0698/3086/9177/files/erd-299-serit-filament-led-fume-cam-6w-2500k-e27-4753.jpg?v=1752138176</t>
  </si>
  <si>
    <t>CK2G6C1M2E3J0GH</t>
  </si>
  <si>
    <t>erd-298-serit-filament-led-bal-cam-6w-2500k-e27</t>
  </si>
  <si>
    <t>Erd-298 Şerit Filament Led Bal Cam 6W 2500K E27</t>
  </si>
  <si>
    <t>https://cdn.shopify.com/s/files/1/0698/3086/9177/files/erd-298-serit-filament-led-bal-cam-6w-2500k-e27-4757.jpg?v=1752138177</t>
  </si>
  <si>
    <t>H1W6BRFJMGG-030</t>
  </si>
  <si>
    <t>kardal-akrilik-gold-led-aplik-30-cm</t>
  </si>
  <si>
    <t>Kardal Füme Akrilik LED Aplik 30 cm</t>
  </si>
  <si>
    <t>https://cdn.shopify.com/s/files/1/0698/3086/9177/files/kardal-fume-akrilik-gold-led-aplik-30cm-2479.jpg?v=1754548911</t>
  </si>
  <si>
    <t>H1C6BRFJMGG-070</t>
  </si>
  <si>
    <t>kardal-fume-akrilik-gold-led-sarkit-70-cm</t>
  </si>
  <si>
    <t>Kardal Füme Akrilik Gold LED Sarkıt 70 cm</t>
  </si>
  <si>
    <t>https://cdn.shopify.com/s/files/1/0698/3086/9177/files/H1C6BRFJMGG-070.jpg?v=1754490584</t>
  </si>
  <si>
    <t>H1C6BRFJMGG-050</t>
  </si>
  <si>
    <t>kardal-fume-akrilik-gold-led-sarkit-50-cm</t>
  </si>
  <si>
    <t>Kardal Füme Akrilik Gold LED Sarkıt 50 cm</t>
  </si>
  <si>
    <t>https://cdn.shopify.com/s/files/1/0698/3086/9177/files/H1C6BRFJMGG-050.jpg?v=1754490584</t>
  </si>
  <si>
    <t>H1C6BRFJMGG-030</t>
  </si>
  <si>
    <t>kardal-fume-akrilik-gold-led-sarkit-avize-30-cm</t>
  </si>
  <si>
    <t>Kardal Füme Akrilik Gold LED Sarkıt Avize 30 cm</t>
  </si>
  <si>
    <t>https://cdn.shopify.com/s/files/1/0698/3086/9177/files/H1C6BRFJMGG-030.jpg?v=1754490585</t>
  </si>
  <si>
    <t>H1C6BCSJMGG-070</t>
  </si>
  <si>
    <t>kardal-seffaf-akrilik-gold-led-sarkit-70-cm</t>
  </si>
  <si>
    <t>Kardal Şeffaf Akrilik Gold LED Sarkıt 70 cm</t>
  </si>
  <si>
    <t>https://cdn.shopify.com/s/files/1/0698/3086/9177/files/H1C6BCSJMGG-070.jpg?v=1754490585</t>
  </si>
  <si>
    <t>H1C6BCSJMGG-050</t>
  </si>
  <si>
    <t>kardal-seffaf-akrilik-gold-led-sarkit-50-cm</t>
  </si>
  <si>
    <t>Kardal Şeffaf Akrilik Gold LED Sarkıt 50 cm</t>
  </si>
  <si>
    <t>https://cdn.shopify.com/s/files/1/0698/3086/9177/files/H1C6BCSJMGG-050.jpg?v=1754490586</t>
  </si>
  <si>
    <t>H1C6BCSJMGG-030</t>
  </si>
  <si>
    <t>kardal-seffaf-akrilik-gold-led-sarkit-30-cm</t>
  </si>
  <si>
    <t>Kardal Şeffaf Akrilik Gold LED Sarkıt 30 cm</t>
  </si>
  <si>
    <t>https://cdn.shopify.com/s/files/1/0698/3086/9177/files/H1C6BCSJMGG-030.jpg?v=1754490587</t>
  </si>
  <si>
    <t>H1W6JRSERFF-017</t>
  </si>
  <si>
    <t>labranda-tekli-fume-camli-siyah-led-aplik-3</t>
  </si>
  <si>
    <t>Labranda Tekli Füme Camlı Siyah Led Aplik17 cm</t>
  </si>
  <si>
    <t>https://cdn.shopify.com/s/files/1/0698/3086/9177/files/labranda-tekli-fume-camli-siyah-led-aplik-17cm-1979.jpg?v=1752138188</t>
  </si>
  <si>
    <t>H1W6JRSERLF-017</t>
  </si>
  <si>
    <t>labranda-tekli-bal-camli-siyah-led-aplik-3</t>
  </si>
  <si>
    <t>Labranda Tekli Bal Camlı Siyah Led Aplik 17 cm</t>
  </si>
  <si>
    <t>https://cdn.shopify.com/s/files/1/0698/3086/9177/files/IMG_1075.jpg?v=1752138189</t>
  </si>
  <si>
    <t>H1W6JRSERLF-015</t>
  </si>
  <si>
    <t>labranda-tekli-bal-camli-siyah-led-aplik-2</t>
  </si>
  <si>
    <t>Labranda Tekli Bal Camlı Siyah Led Aplik 15 cm</t>
  </si>
  <si>
    <t>https://cdn.shopify.com/s/files/1/0698/3086/9177/files/labranda-tekli-bal-camli-siyah-led-aplik-15cm-1981.jpg?v=1752138191</t>
  </si>
  <si>
    <t>H1W6JRSERFF-015</t>
  </si>
  <si>
    <t>labranda-tekli-fume-camli-siyah-led-aplik-2</t>
  </si>
  <si>
    <t>Labranda Tekli Füme Camlı Siyah Led Aplik 15 cm</t>
  </si>
  <si>
    <t>https://cdn.shopify.com/s/files/1/0698/3086/9177/files/labranda-tekli-fume-camli-siyah-led-aplik-15cm-1982.jpg?v=1752138193</t>
  </si>
  <si>
    <t>H1W6JRSERFF-012</t>
  </si>
  <si>
    <t>labranda-tekli-fume-camli-siyah-led-aplik-1</t>
  </si>
  <si>
    <t>Labranda Tekli Füme Camlı Siyah Led Aplik 12 cm</t>
  </si>
  <si>
    <t>https://cdn.shopify.com/s/files/1/0698/3086/9177/files/labranda-tekli-fume-camli-siyah-led-aplik-12cm-1983.jpg?v=1752138195</t>
  </si>
  <si>
    <t>H1W6JRSERLF-012</t>
  </si>
  <si>
    <t>labranda-tekli-bal-camli-siyah-led-aplik-1</t>
  </si>
  <si>
    <t>Labranda Tekli Bal Camlı Siyah Led Aplik 12 cm</t>
  </si>
  <si>
    <t>https://cdn.shopify.com/s/files/1/0698/3086/9177/files/labranda-tekli-bal-camli-siyah-led-aplik-12cm-1984.jpg?v=1752138197</t>
  </si>
  <si>
    <t>H1W6JRSERLF-010</t>
  </si>
  <si>
    <t>labranda-tekli-bal-camli-siyah-led-aplik</t>
  </si>
  <si>
    <t>Labranda Tekli Bal Camlı Siyah Led Aplik 10 cm</t>
  </si>
  <si>
    <t>https://cdn.shopify.com/s/files/1/0698/3086/9177/files/IMG_1080.jpg?v=1754548912</t>
  </si>
  <si>
    <t>H1W6JRSERFF-010</t>
  </si>
  <si>
    <t>labranda-tekli-fume-camli-siyah-led-aplik</t>
  </si>
  <si>
    <t>Labranda Tekli Füme Camlı Siyah Led Aplik 10 cm</t>
  </si>
  <si>
    <t>https://cdn.shopify.com/s/files/1/0698/3086/9177/files/IMG_1112.jpg?v=1754548913</t>
  </si>
  <si>
    <t>H1F6JRVERL0-163</t>
  </si>
  <si>
    <t>labranda-6-bal-camli-kahverengi-led-lambader</t>
  </si>
  <si>
    <t>Labranda 6 Bal Camlı Kahverengi Led Lambader</t>
  </si>
  <si>
    <t>https://cdn.shopify.com/s/files/1/0698/3086/9177/files/H1F6JRVERL0-163.jpg?v=1754557814</t>
  </si>
  <si>
    <t>H1F6JRSERF0-163</t>
  </si>
  <si>
    <t>labranda-6-fume-camli-siyah-led-lambader</t>
  </si>
  <si>
    <t>Labranda 6 Füme Camlı Siyah Led Lambader</t>
  </si>
  <si>
    <t>https://cdn.shopify.com/s/files/1/0698/3086/9177/files/labranda-6-fume-camli-siyah-led-lambader-2481.jpg?v=1754557815</t>
  </si>
  <si>
    <t>H1C6VRVECS0-095</t>
  </si>
  <si>
    <t>labranda-7li-bal-camli-kahverengi-deri-kemerli-avize</t>
  </si>
  <si>
    <t>Labranda 7'li Bal Camlı Kahverengi Deri Kemerli Avize</t>
  </si>
  <si>
    <t>https://cdn.shopify.com/s/files/1/0698/3086/9177/files/H1C6VRVECS0-095_2.jpg?v=1754490587</t>
  </si>
  <si>
    <t>H1C6VRSECS0-095</t>
  </si>
  <si>
    <t>labranda-7li-fume-camli-siyah-deri-kemerli-avize</t>
  </si>
  <si>
    <t>Labranda 7'li Füme Camlı Siyah Deri Kemerli Avize</t>
  </si>
  <si>
    <t>https://cdn.shopify.com/s/files/1/0698/3086/9177/files/H1C6VRSECS0-095.jpg?v=1754490588</t>
  </si>
  <si>
    <t>H1W6JMEECB0-024</t>
  </si>
  <si>
    <t>pedesa-buzlu-cam-eskitme-led-aplik</t>
  </si>
  <si>
    <t>Pedesa Tekli Buzlu Cam Eskitme LED Aplik</t>
  </si>
  <si>
    <t>https://cdn.shopify.com/s/files/1/0698/3086/9177/files/H1W6JMEECB0-024-1.jpg?v=1754548915</t>
  </si>
  <si>
    <t>H1W2JMEECB0-042</t>
  </si>
  <si>
    <t>honaz-i̇ki-camli-eskitme-aplik</t>
  </si>
  <si>
    <t>Honaz İki Camlı Eskitme Aplik</t>
  </si>
  <si>
    <t>https://cdn.shopify.com/s/files/1/0698/3086/9177/files/honaz-iki-camli-eskitme-aplik-4437.jpg?v=1754548916</t>
  </si>
  <si>
    <t>H1W6JMEECB0-053</t>
  </si>
  <si>
    <t>vitale-tek-camli-eskitme-led-aplik</t>
  </si>
  <si>
    <t>Vitale Tek Camlı Eskitme Led Aplik</t>
  </si>
  <si>
    <t>https://cdn.shopify.com/s/files/1/0698/3086/9177/files/vitale-tek-camli-eskitme-led-aplik-1991.jpg?v=1754548917</t>
  </si>
  <si>
    <t>H1W3JMEECTY-032</t>
  </si>
  <si>
    <t>madra-opal-camli-eskitme-aplik-1</t>
  </si>
  <si>
    <t>Madra Opal Camlı Eskitme Aplik</t>
  </si>
  <si>
    <t>https://cdn.shopify.com/s/files/1/0698/3086/9177/files/madra-opal-camli-eskitme-aplik-4383.jpg?v=1754548918</t>
  </si>
  <si>
    <t>H1W3JMEECTY-012</t>
  </si>
  <si>
    <t>madra-opal-camli-eskitme-aplik</t>
  </si>
  <si>
    <t>Madra Tekli Opal Camlı Eskitme Aplik</t>
  </si>
  <si>
    <t>https://cdn.shopify.com/s/files/1/0698/3086/9177/files/madra-opal-camli-eskitme-aplik-4402.jpg?v=1754548919</t>
  </si>
  <si>
    <t>H1W2JMEECSC-068</t>
  </si>
  <si>
    <t>alfa-seffaf-camli-eskitme-led-aplik</t>
  </si>
  <si>
    <t>Alfa Şeffaf Camlı Eskitme Led Aplik</t>
  </si>
  <si>
    <t>https://cdn.shopify.com/s/files/1/0698/3086/9177/files/alfa-seffaf-camli-eskitme-led-aplik-4428.jpg?v=1754548920</t>
  </si>
  <si>
    <t>H1W3JMEECTY-030</t>
  </si>
  <si>
    <t>pamir-opal-cam-soft-eskitme-aplik-1</t>
  </si>
  <si>
    <t>Pamir 2'li Opal Cam Soft Eskitme Aplik</t>
  </si>
  <si>
    <t>https://cdn.shopify.com/s/files/1/0698/3086/9177/files/H1W3JMEECTY-030.jpg?v=1754548921</t>
  </si>
  <si>
    <t>H1W3JMEECTY-015</t>
  </si>
  <si>
    <t>pamir-opal-cam-soft-eskitme-aplik</t>
  </si>
  <si>
    <t>Pamir Tekli Opal Cam Soft Eskitme Aplik</t>
  </si>
  <si>
    <t>https://cdn.shopify.com/s/files/1/0698/3086/9177/files/H1W3JMEECTY-015.jpg?v=1754548922</t>
  </si>
  <si>
    <t>H1W6JMEWRBE-042</t>
  </si>
  <si>
    <t>termessos-beyaz-mermerli-eskitme-led-aplik</t>
  </si>
  <si>
    <t>Termessos Beyaz Mermerli Eskitme Led Aplik 17x42 cm</t>
  </si>
  <si>
    <t>https://cdn.shopify.com/s/files/1/0698/3086/9177/files/termessos-beyaz-mermerli-eskitme-aplilk-17x42cm-1998.jpg?v=1754548923</t>
  </si>
  <si>
    <t>H1C6JMEWRBD-121</t>
  </si>
  <si>
    <t>teta-beyaz-mermer-eskitme-sarkit-avize-2</t>
  </si>
  <si>
    <t>Teta Beyaz Mermer Eskitme Sarkıt Avize 25x120 cm</t>
  </si>
  <si>
    <t>https://cdn.shopify.com/s/files/1/0698/3086/9177/files/H1C6JMEWRBD-121.jpg?v=1754490589</t>
  </si>
  <si>
    <t>H1C6JMEWRBD-061</t>
  </si>
  <si>
    <t>teta-beyaz-mermer-eskitme-sarkit-avize-1</t>
  </si>
  <si>
    <t>Teta Beyaz Mermer Eskitme Sarkıt Avize 25x60 cm</t>
  </si>
  <si>
    <t>https://cdn.shopify.com/s/files/1/0698/3086/9177/files/H1C6JMEWRBD-061.jpg?v=1754490590</t>
  </si>
  <si>
    <t>H1C6JMEWRBD-041</t>
  </si>
  <si>
    <t>teta-beyaz-mermer-eskitme-sarkit-avize</t>
  </si>
  <si>
    <t>Teta Beyaz Mermer Eskitme Sarkıt Avize 25x40 cm</t>
  </si>
  <si>
    <t>https://cdn.shopify.com/s/files/1/0698/3086/9177/files/H1C6JMEWRBD-041.jpg?v=1754490591</t>
  </si>
  <si>
    <t>H1C6JMEWRBD-030</t>
  </si>
  <si>
    <t>gama-beyaz-mermer-eskitme-sarkit-avize-15x30-cm</t>
  </si>
  <si>
    <t>Gama Beyaz Mermer Eskitme Sarkıt Avize 15X30 cm</t>
  </si>
  <si>
    <t>https://cdn.shopify.com/s/files/1/0698/3086/9177/files/H1C6JMEWRBD-030.jpg?v=1754490592</t>
  </si>
  <si>
    <t>H1C6JMEWRBD-040</t>
  </si>
  <si>
    <t>gama-beyaz-mermer-eskitme-sarkit-avize-20x40-cm</t>
  </si>
  <si>
    <t>Gama Beyaz Mermer Eskitme Sarkıt Avize 20X40 cm</t>
  </si>
  <si>
    <t>https://cdn.shopify.com/s/files/1/0698/3086/9177/files/H1C6JMEWRBD-040.jpg?v=1754490592</t>
  </si>
  <si>
    <t>H1C6JMEWRBK-031</t>
  </si>
  <si>
    <t>gama-beyaz-mermer-eskitme-sarkit-avize-30x30-cm</t>
  </si>
  <si>
    <t>Gama Beyaz Mermer Eskitme Sarkıt Avize 30X30 cm</t>
  </si>
  <si>
    <t>https://cdn.shopify.com/s/files/1/0698/3086/9177/files/H1C6JMEWRBK-031.jpg?v=1754490593</t>
  </si>
  <si>
    <t>H1C6JMEWRBD-060</t>
  </si>
  <si>
    <t>gama-beyaz-mermer-eskitme-sarkit-avize-20x60-cm</t>
  </si>
  <si>
    <t>Gama Beyaz Mermer Eskitme Sarkıt Avize 20X60 cm</t>
  </si>
  <si>
    <t>https://cdn.shopify.com/s/files/1/0698/3086/9177/files/H1C6JMEWRBD-060.jpg?v=1754490594</t>
  </si>
  <si>
    <t>H1C6JMEWRBK-021</t>
  </si>
  <si>
    <t>gama-beyaz-mermer-eskitme-sarkit-avize-20x20-cm</t>
  </si>
  <si>
    <t>Gama Beyaz Mermer Eskitme Sarkıt Avize 20X20 cm</t>
  </si>
  <si>
    <t>https://cdn.shopify.com/s/files/1/0698/3086/9177/files/H1C6JMEWRBK-021.jpg?v=1754490594</t>
  </si>
  <si>
    <t>H1W6JMEWRBD-060</t>
  </si>
  <si>
    <t>polaris-beyaz-mermerli-eskitme-led-aplik-60cm</t>
  </si>
  <si>
    <t>Polaris Beyaz Mermerli Eskitme Led Aplik - 60 cm</t>
  </si>
  <si>
    <t>https://cdn.shopify.com/s/files/1/0698/3086/9177/files/polaris-beyaz-mermerli-eskitme-aplik-60cm-4242.jpg?v=1754548924</t>
  </si>
  <si>
    <t>H1W6JMEWRBE-038</t>
  </si>
  <si>
    <t>medusa-beyaz-mermerli-eskitme-led-aplik-1</t>
  </si>
  <si>
    <t>Medusa Beyaz Mermerli Eskitme Led Aplik 38 cm</t>
  </si>
  <si>
    <t>https://cdn.shopify.com/s/files/1/0698/3086/9177/files/medusa-beyaz-mermerli-eskitme-aplik-4529.jpg?v=1752138233</t>
  </si>
  <si>
    <t>H1W6JMEWRSE-038</t>
  </si>
  <si>
    <t>medusa-siyah-mermerli-eskitme-led-aplik-1</t>
  </si>
  <si>
    <t>Medusa Siyah Mermerli Eskitme Led Aplik 38 cm</t>
  </si>
  <si>
    <t>https://cdn.shopify.com/s/files/1/0698/3086/9177/files/medusa-siyah-mermerli-eskitme-aplik-4224.jpg?v=1752138235</t>
  </si>
  <si>
    <t>H1W6JMEWRSE-027</t>
  </si>
  <si>
    <t>medusa-siyah-mermerli-eskitme-led-aplik</t>
  </si>
  <si>
    <t>Medusa Siyah Mermerli Eskitme Led Aplik 27 cm</t>
  </si>
  <si>
    <t>https://cdn.shopify.com/s/files/1/0698/3086/9177/files/medusa-siyah-mermerli-eskitme-aplik-4215.jpg?v=1754548925</t>
  </si>
  <si>
    <t>H1W6JMEWRBE-027</t>
  </si>
  <si>
    <t>medusa-beyaz-mermerli-eskitme-led-aplik</t>
  </si>
  <si>
    <t>Medusa Beyaz Mermerli Eskitme Led Aplik 27 cm</t>
  </si>
  <si>
    <t>https://cdn.shopify.com/s/files/1/0698/3086/9177/files/medusa-beyaz-mermerli-eskitme-aplik-4519.jpg?v=1754548926</t>
  </si>
  <si>
    <t>H1W6JMEWRBP-093</t>
  </si>
  <si>
    <t>anvers-dokuz-beyaz-mermerli-eskitme-led-aplik</t>
  </si>
  <si>
    <t>Anvers Dokuz Beyaz Mermerli Eskitme Led Aplik</t>
  </si>
  <si>
    <t>https://cdn.shopify.com/s/files/1/0698/3086/9177/files/H1W6JMEWRBP-093_2.jpg?v=1754548927</t>
  </si>
  <si>
    <t>H1W6JMEWRBP-030</t>
  </si>
  <si>
    <t>anvers-tekli-beyaz-mermer-eskitme-led-aplik</t>
  </si>
  <si>
    <t>Anvers Tekli Beyaz Mermer Eskitme Led Aplik</t>
  </si>
  <si>
    <t>https://cdn.shopify.com/s/files/1/0698/3086/9177/files/H1W6JMEWRBP-030_1.jpg?v=1754548928</t>
  </si>
  <si>
    <t>H1W3JMEWRBY-016</t>
  </si>
  <si>
    <t>meissa-beyaz-mermer-eskitme-aplik-1</t>
  </si>
  <si>
    <t>Meissa Beyaz Mermer Eskitme Aplik 16 cm</t>
  </si>
  <si>
    <t>https://cdn.shopify.com/s/files/1/0698/3086/9177/files/meissa-beyaz-mermer-eskitme-aplik-16cm-2493.jpg?v=1752138258</t>
  </si>
  <si>
    <t>H1W3JMEWRBY-013</t>
  </si>
  <si>
    <t>meissa-beyaz-mermer-eskitme-aplik</t>
  </si>
  <si>
    <t>Meissa Beyaz Mermer Eskitme Aplik 13 cm</t>
  </si>
  <si>
    <t>https://cdn.shopify.com/s/files/1/0698/3086/9177/files/meissa-beyaz-mermer-eskitme-aplik-13cm-2477.jpg?v=1754548931</t>
  </si>
  <si>
    <t>H1W3JMEWRBC-055</t>
  </si>
  <si>
    <t>katun-i̇kili-beyaz-mermer-eskitme-aplik</t>
  </si>
  <si>
    <t>Katun İkili Beyaz Mermer Eskitme Aplik</t>
  </si>
  <si>
    <t>https://cdn.shopify.com/s/files/1/0698/3086/9177/files/katun-ikili-beyaz-mermer-eskitme-aplik-2494.jpg?v=1754548931</t>
  </si>
  <si>
    <t>H1C6JMEWRBY-024</t>
  </si>
  <si>
    <t>mintaka-beyaz-mermer-kure-eskitme-sarkit-avize</t>
  </si>
  <si>
    <t>Mintaka Beyaz Mermer Küre Eskitme Sarkıt Avize</t>
  </si>
  <si>
    <t>https://cdn.shopify.com/s/files/1/0698/3086/9177/files/H1C6JMEWRBY-024.jpg?v=1754490595</t>
  </si>
  <si>
    <t>H1W6JMEBRBB-058</t>
  </si>
  <si>
    <t>doradus-onlu-beyaz-akrilik-kure-eskitme-led-aplik</t>
  </si>
  <si>
    <t>Doradus Onlu Beyaz Akrilik Küre Eskitme Led Aplik</t>
  </si>
  <si>
    <t>https://cdn.shopify.com/s/files/1/0698/3086/9177/files/doradus-onlu-beyaz-akrilik-kure-eskitme-aplik-4350.jpg?v=1754548932</t>
  </si>
  <si>
    <t>H1W6KMEPRBP-038</t>
  </si>
  <si>
    <t>marsis-paslanmaz-eskitme-led-aplik-1</t>
  </si>
  <si>
    <t>Marsis Paslanmaz Eskitme Küçük LED Aplik</t>
  </si>
  <si>
    <t>https://cdn.shopify.com/s/files/1/0698/3086/9177/files/H1W6KMEPRBP-038-2.jpg?v=1754548933</t>
  </si>
  <si>
    <t>H1W6KMEPRBP-053</t>
  </si>
  <si>
    <t>marsis-paslanmaz-eskitme-led-aplik</t>
  </si>
  <si>
    <t>Marsis Paslanmaz Eskitme Büyük LED Aplik</t>
  </si>
  <si>
    <t>https://cdn.shopify.com/s/files/1/0698/3086/9177/files/H1W6KMEPRBP-053-1.jpg?v=1754548934</t>
  </si>
  <si>
    <t>H1C6KMEPRBP-070</t>
  </si>
  <si>
    <t>marsis-3-sirali-paslanmaz-eskitme-salon-led-avize</t>
  </si>
  <si>
    <t>Marsis 3 Sıralı Paslanmaz Eskitme Salon LED Avize</t>
  </si>
  <si>
    <t>https://cdn.shopify.com/s/files/1/0698/3086/9177/files/H1C6KMEPRBP-070.jpg?v=1754490596</t>
  </si>
  <si>
    <t>H1C6KMEPRBP-054</t>
  </si>
  <si>
    <t>marsis-2-sirali-paslanmaz-eskitme-salon-led-avize</t>
  </si>
  <si>
    <t>Marsis 2 Sıralı Paslanmaz Eskitme Salon LED Avize</t>
  </si>
  <si>
    <t>https://cdn.shopify.com/s/files/1/0698/3086/9177/files/H1C6KMEPRBP-054.jpg?v=1754490597</t>
  </si>
  <si>
    <t>H1W6JRSBCBY-105</t>
  </si>
  <si>
    <t>tomris-besli-seffaf-optik-akrilik-siyah-led-aplik</t>
  </si>
  <si>
    <t>Tomris Beşli Şeffaf Optik Akrilik Siyah Led Aplik</t>
  </si>
  <si>
    <t>https://cdn.shopify.com/s/files/1/0698/3086/9177/files/tomris-besli-seffaf-optik-akrilik-siyah-led-aplik-2013.jpg?v=1754548935</t>
  </si>
  <si>
    <t>H1W6JMPERFY-075</t>
  </si>
  <si>
    <t>tomris-fume-cam-platin-toplu-led-aplik-1</t>
  </si>
  <si>
    <t>Tomris Füme Cam Platin İki Toplu Led Aplik</t>
  </si>
  <si>
    <t>https://cdn.shopify.com/s/files/1/0698/3086/9177/files/tomris-fume-cam-platin-led-iki-toplu-aplik-2014.jpg?v=1754548935</t>
  </si>
  <si>
    <t>H1W6JMPERFY-050</t>
  </si>
  <si>
    <t>tomris-fume-cam-platin-toplu-led-aplik</t>
  </si>
  <si>
    <t>Tomris Füme Cam Platin Tek Toplu Led Aplik</t>
  </si>
  <si>
    <t>https://cdn.shopify.com/s/files/1/0698/3086/9177/files/tomris-fume-cam-platin-led-tek-toplu-aplik-2015.jpg?v=1754548936</t>
  </si>
  <si>
    <t>H1C6CRSBRFR-018</t>
  </si>
  <si>
    <t>bumin-fume-akrilik-siyah-aluminyum-led-sarkit-18-cm</t>
  </si>
  <si>
    <t>Bumin Füme Akrilik Siyah Alüminyum LED Sarkıt 18 cm</t>
  </si>
  <si>
    <t>https://cdn.shopify.com/s/files/1/0698/3086/9177/files/H1C6CRSBRFR-018.jpg?v=1754490597</t>
  </si>
  <si>
    <t>H1C6CMGBRLR-023</t>
  </si>
  <si>
    <t>bumin-bal-akrilik-altin-aluminyum-led-sarkit-23-cm</t>
  </si>
  <si>
    <t>Bumin Bal Akrilik Altın Alüminyum LED Sarkıt 23 cm</t>
  </si>
  <si>
    <t>https://cdn.shopify.com/s/files/1/0698/3086/9177/files/H1C6CMGBRLR-023.jpg?v=1752138273</t>
  </si>
  <si>
    <t>H1C6CMGBRLR-018</t>
  </si>
  <si>
    <t>bumin-bal-akrilik-altin-aluminyum-led-sarkit-18-cm</t>
  </si>
  <si>
    <t>Bumin Bal Akrilik Altın Alüminyum LED Sarkıt 18 cm</t>
  </si>
  <si>
    <t>https://cdn.shopify.com/s/files/1/0698/3086/9177/files/bumin-bal-akrilik-altin-aluminyum-led-sarkit-18cm-2020.jpg?v=1754490598</t>
  </si>
  <si>
    <t>H1C6CMGBCSR-018</t>
  </si>
  <si>
    <t>bumin-seffaf-akrilik-altin-aluminyum-led-sarkit-18-cm</t>
  </si>
  <si>
    <t>Bumin Şeffaf Akrilik Altın Alüminyum LED Sarkıt 18 cm</t>
  </si>
  <si>
    <t>https://cdn.shopify.com/s/files/1/0698/3086/9177/files/bumin-seffaf-akrilik-altin-aluminyum-led-sarkit-18-2021.jpg?v=1754490599</t>
  </si>
  <si>
    <t>H1C6CMGBCSR-023</t>
  </si>
  <si>
    <t>bumin-seffaf-akrilik-altin-aluminyum-led-sarkit-23-cm</t>
  </si>
  <si>
    <t>Bumin Şeffaf Akrilik Altın Alüminyum LED Sarkıt 23 cm</t>
  </si>
  <si>
    <t>https://cdn.shopify.com/s/files/1/0698/3086/9177/files/bumin-seffaf-akrilik-altin-aluminyum-led-sarkit-23-2022.jpg?v=1752138274</t>
  </si>
  <si>
    <t>H1W6JMEBCSC-062</t>
  </si>
  <si>
    <t>alabanda-seffaf-akrilik-eskitme-led-aplik-2</t>
  </si>
  <si>
    <t>Alabanda 3'lü Şeffaf Akrilik Eskitme Led Aplik</t>
  </si>
  <si>
    <t>https://cdn.shopify.com/s/files/1/0698/3086/9177/files/H1W6JMEBCSC-062.jpg?v=1754548937</t>
  </si>
  <si>
    <t>H1W6JMEBCSC-043</t>
  </si>
  <si>
    <t>alabanda-seffaf-akrilik-eskitme-led-aplik-1</t>
  </si>
  <si>
    <t>Alabanda 2'li Şeffaf Akrilik Eskitme Led Aplik</t>
  </si>
  <si>
    <t>https://cdn.shopify.com/s/files/1/0698/3086/9177/files/H1W6JMEBCSC-043.jpg?v=1754548938</t>
  </si>
  <si>
    <t>H1W6JMEBCSC-023</t>
  </si>
  <si>
    <t>alabanda-seffaf-akrilik-eskitme-led-aplik</t>
  </si>
  <si>
    <t>Alabanda Tekli  Şeffaf Akrilik Eskitme Led Aplik</t>
  </si>
  <si>
    <t>https://cdn.shopify.com/s/files/1/0698/3086/9177/files/H1W6JMEBCSC-023.jpg?v=1754548939</t>
  </si>
  <si>
    <t>H1W6JMEECS0-050</t>
  </si>
  <si>
    <t>mira-seffaf-cam-eskitme-led-aplik</t>
  </si>
  <si>
    <t>Mira Şeffaf Cam Eskitme Led Aplik</t>
  </si>
  <si>
    <t>https://cdn.shopify.com/s/files/1/0698/3086/9177/files/mira-seffaf-cam-eskitme-led-aplik-4319.jpg?v=1754548940</t>
  </si>
  <si>
    <t>H1C6JMGBCS0-060</t>
  </si>
  <si>
    <t>carina-tekli-basik-seffaf-akrilik-altin-sarkit-60-cm</t>
  </si>
  <si>
    <t>Carina Tekli Basık Şeffaf Akrilik Altın Sarkıt 60 cm</t>
  </si>
  <si>
    <t>https://cdn.shopify.com/s/files/1/0698/3086/9177/files/carina-tekli-basik-seffaf-akrilik-altin-sarkit-60c-2790.jpg?v=1752138288</t>
  </si>
  <si>
    <t>H1C6JMGBCS0-043</t>
  </si>
  <si>
    <t>carina-tekli-basik-seffaf-akrilik-altin-sarkit-40-cm</t>
  </si>
  <si>
    <t>Carina Tekli Basık Şeffaf Akrilik Altın Sarkıt 40 cm</t>
  </si>
  <si>
    <t>https://cdn.shopify.com/s/files/1/0698/3086/9177/files/carina-tekli-basik-seffaf-akrilik-altin-sarkit-40c-2787.jpg?v=1752138289</t>
  </si>
  <si>
    <t>H1C6JMGBCS0-033</t>
  </si>
  <si>
    <t>carina-tekli-basik-seffaf-akrilik-altin-sarkit-30-cm</t>
  </si>
  <si>
    <t>Carina Tekli Basık Şeffaf Akrilik Altın Sarkıt 30 cm</t>
  </si>
  <si>
    <t>https://cdn.shopify.com/s/files/1/0698/3086/9177/files/H1C6JMGBCS0-033.jpg?v=1754490600</t>
  </si>
  <si>
    <t>H1C6JMGBCSY-043</t>
  </si>
  <si>
    <t>carina-tekli-seffaf-akrilik-altin-sarkit-avize-40-cm</t>
  </si>
  <si>
    <t>Carina Tekli Şeffaf Akrilik Altın Sarkıt Avize 40 cm</t>
  </si>
  <si>
    <t>https://cdn.shopify.com/s/files/1/0698/3086/9177/files/carina-tekli-seffaf-akrilik-altin-sarkit-40cm-2784.jpg?v=1752138291</t>
  </si>
  <si>
    <t>H1C6JMGBCSY-033</t>
  </si>
  <si>
    <t>carina-tekli-seffaf-akrilik-altin-sarkit-avize-30-cm</t>
  </si>
  <si>
    <t>Carina Tekli Şeffaf Akrilik Altın Sarkıt Avize 30 cm</t>
  </si>
  <si>
    <t>https://cdn.shopify.com/s/files/1/0698/3086/9177/files/H1C6JMGBCSY-033.jpg?v=1754490600</t>
  </si>
  <si>
    <t>H1F6JMEECSM-120</t>
  </si>
  <si>
    <t>omega-2-seffaf-camli-eskitme-lambader</t>
  </si>
  <si>
    <t>Omega 2 Şeffaf Camlı Eskitme Lambader</t>
  </si>
  <si>
    <t>https://cdn.shopify.com/s/files/1/0698/3086/9177/files/omega-iki-seffaf-camli-eskitme-lambader-2035.jpg?v=1754557816</t>
  </si>
  <si>
    <t>H1C6JMEECS0-068</t>
  </si>
  <si>
    <t>omega-alti-seffaf-camli-eskitme-led-sarkit-avize</t>
  </si>
  <si>
    <t>Omega Altı Şeffaf Camlı Eskitme LED Sarkıt Avize</t>
  </si>
  <si>
    <t>https://cdn.shopify.com/s/files/1/0698/3086/9177/files/omega-alti-seffaf-camli-eskitme-sarkit-avize-2036.jpg?v=1754490601</t>
  </si>
  <si>
    <t>H1C6JMEECSD-120</t>
  </si>
  <si>
    <t>omega-on-seffaf-camli-eskitme-yemek-masa-ustu-avize</t>
  </si>
  <si>
    <t>Omega On Şeffaf Camlı Eskitme Yemek Masa Üstü Avize</t>
  </si>
  <si>
    <t>https://cdn.shopify.com/s/files/1/0698/3086/9177/files/omega-on-seffaf-camli-eskitme-yemek-masasi-avize-2037.jpg?v=1754490602</t>
  </si>
  <si>
    <t>H1S5JRSLCT0-125</t>
  </si>
  <si>
    <t>koza-besli-soft-siyah-aplik</t>
  </si>
  <si>
    <t>Koza Beşli Soft Siyah Aplik</t>
  </si>
  <si>
    <t>https://cdn.shopify.com/s/files/1/0698/3086/9177/files/koza-besli-siyah-aplik-4613.jpg?v=1752138295</t>
  </si>
  <si>
    <t>H1S5JMELCT0-125</t>
  </si>
  <si>
    <t>koza-besli-soft-eskitme-aplik</t>
  </si>
  <si>
    <t>Koza Beşli Soft Eskitme Aplik</t>
  </si>
  <si>
    <t>https://cdn.shopify.com/s/files/1/0698/3086/9177/files/koza-besli-eskitme-aplik-4611.jpg?v=1752138295</t>
  </si>
  <si>
    <t>H1W6ECTJRSC-014</t>
  </si>
  <si>
    <t>vesta-tekli-cam-eskitme-led-aplik-1</t>
  </si>
  <si>
    <t>Vesta Tekli Cam Siyah LED Aplik</t>
  </si>
  <si>
    <t>https://cdn.shopify.com/s/files/1/0698/3086/9177/files/vesta-tekli-cam-siyah-led-aplik-2039.jpg?v=1754548941</t>
  </si>
  <si>
    <t>H1W6ECTJRSC-025</t>
  </si>
  <si>
    <t>vesta-tekli-cam-eskitme-led-aplik</t>
  </si>
  <si>
    <t>Vesta 2'li Cam Siyah LED Aplik</t>
  </si>
  <si>
    <t>https://cdn.shopify.com/s/files/1/0698/3086/9177/files/vesta-ikili-cam-siyah-led-aplik-2040.jpg?v=1754548942</t>
  </si>
  <si>
    <t>H1W6ARSJMER-024</t>
  </si>
  <si>
    <t>cark-disli-led-siyah-aplik-24-cm</t>
  </si>
  <si>
    <t>Çark Dişli LED Siyah Aplik 24 cm</t>
  </si>
  <si>
    <t>https://cdn.shopify.com/s/files/1/0698/3086/9177/files/cark-disli-led-siyah-aplik-24cm-3147.jpg?v=1752138297</t>
  </si>
  <si>
    <t>F1C2AAWDRBR-080</t>
  </si>
  <si>
    <t>papirus-cift-katli-wenge-sarkit-avize</t>
  </si>
  <si>
    <t>Papirus Çift Katlı Wenge Sarkıt Avize</t>
  </si>
  <si>
    <t>https://cdn.shopify.com/s/files/1/0698/3086/9177/files/papirus-cift-katli-wenge-sarkit-2044.jpg?v=1752138297</t>
  </si>
  <si>
    <t>H1C2ERVJMER-050</t>
  </si>
  <si>
    <t>karatay-kahverengi-cam-sarkit-avize-50-cm</t>
  </si>
  <si>
    <t>Karatay Kahverengi Cam Sarkıt Avize 50 cm</t>
  </si>
  <si>
    <t>https://cdn.shopify.com/s/files/1/0698/3086/9177/files/karatay-kahverengi-cam-sarkit-50cm-2046.jpg?v=1752138298</t>
  </si>
  <si>
    <t>H1C2ERVJMER-035</t>
  </si>
  <si>
    <t>karatay-kahverengi-cam-sarkit-avize-35-cm</t>
  </si>
  <si>
    <t>Karatay Kahverengi Cam Sarkıt Avize 35 cm</t>
  </si>
  <si>
    <t>https://cdn.shopify.com/s/files/1/0698/3086/9177/files/karatay-kahverengi-cam-sarkit-35cm-2047.jpg?v=1752138298</t>
  </si>
  <si>
    <t>H1C2ERVJMER-025</t>
  </si>
  <si>
    <t>karatay-kahverengi-cam-sarkit-avize-25-cm</t>
  </si>
  <si>
    <t>Karatay Kahverengi Cam Sarkıt Avize 25 cm</t>
  </si>
  <si>
    <t>https://cdn.shopify.com/s/files/1/0698/3086/9177/files/H1C2ERVJMER-050_1_66e5b457-9bbf-4df3-9a2d-322da6d64614.jpg?v=1754490603</t>
  </si>
  <si>
    <t>200-CAM-KAHVE</t>
  </si>
  <si>
    <t>batur-di̇sli̇-kahverengi̇-cam-20-cm</t>
  </si>
  <si>
    <t>Batur Kahverengi Sarkıt 20 cm</t>
  </si>
  <si>
    <t>https://cdn.shopify.com/s/files/1/0698/3086/9177/files/200-CAM-KAHVE_6.jpg?v=1754490603</t>
  </si>
  <si>
    <t>150-CAM-KAHVE</t>
  </si>
  <si>
    <t>batur-di̇sli̇-kahverengi̇-cam-15-cm</t>
  </si>
  <si>
    <t>Batur Kahverengi Sarkıt 15 cm</t>
  </si>
  <si>
    <t>https://cdn.shopify.com/s/files/1/0698/3086/9177/files/150-CAM-KAHVE_1_b6c85c2b-5ad7-49b7-8ec8-905f6150231a.jpg?v=1754490605</t>
  </si>
  <si>
    <t>H1W1JMKWRB0-062</t>
  </si>
  <si>
    <t>ardic-eskitme-buyuk-aplik-3</t>
  </si>
  <si>
    <t>Ardıç Krom Büyük Aplik</t>
  </si>
  <si>
    <t>https://cdn.shopify.com/s/files/1/0698/3086/9177/files/ardic-krom-aplik-buyuk-2049.jpg?v=1752138299</t>
  </si>
  <si>
    <t>H1W1JMKWRB0-032</t>
  </si>
  <si>
    <t>ardic-siyah-kucuk-aplik-1</t>
  </si>
  <si>
    <t>Ardıç Krom Küçük Aplik</t>
  </si>
  <si>
    <t>https://cdn.shopify.com/s/files/1/0698/3086/9177/files/ardic-krom-aplik-kucuk-2051.jpg?v=1754548943</t>
  </si>
  <si>
    <t>H1C6JRSLCSL-057</t>
  </si>
  <si>
    <t>madrid-tekli-mesale-led-sarkit-avize-1</t>
  </si>
  <si>
    <t>Madrid Tekli Siyah Meşale LED Sarkıt Avize</t>
  </si>
  <si>
    <t>https://cdn.shopify.com/s/files/1/0698/3086/9177/files/madrid-mesale-tekli-siyah-sarkit-2053.jpg?v=1754490606</t>
  </si>
  <si>
    <t>H1C6JMKLCSL-057</t>
  </si>
  <si>
    <t>madrid-tekli-mesale-led-sarkit-avize</t>
  </si>
  <si>
    <t>Madrid Tekli Krom Meşale LED Sarkıt Avize</t>
  </si>
  <si>
    <t>https://cdn.shopify.com/s/files/1/0698/3086/9177/files/madrid-mesale-tekli-krom-sarkit-2055.jpg?v=1754490607</t>
  </si>
  <si>
    <t>H1C6JMEWRBK-040</t>
  </si>
  <si>
    <t>duha-kare-eskitme-mermer-led-sarkit-avize-40-cm</t>
  </si>
  <si>
    <t>Duha Kare Eskitme Mermer LED Sarkıt Avize 40 cm</t>
  </si>
  <si>
    <t>https://cdn.shopify.com/s/files/1/0698/3086/9177/files/duha-eskitme-kare-mermer-sarkit-40cm-3649.jpg?v=1752138301</t>
  </si>
  <si>
    <t>H1C6JMEWRBK-030</t>
  </si>
  <si>
    <t>duha-kare-eskitme-mermer-led-sarkit-avize-30-cm</t>
  </si>
  <si>
    <t>Duha Kare Eskitme Mermer LED Sarkıt Avize 30 cm</t>
  </si>
  <si>
    <t>https://cdn.shopify.com/s/files/1/0698/3086/9177/files/duha-eskitme-kare-mermer-sarkit-30cm-3648.jpg?v=1752138302</t>
  </si>
  <si>
    <t>H1C6JMEWRBK-025</t>
  </si>
  <si>
    <t>duha-kare-eskitme-mermer-led-sarkit-avize-25-cm</t>
  </si>
  <si>
    <t>Duha Kare Eskitme Mermer LED Sarkıt Avize 25 cm</t>
  </si>
  <si>
    <t>https://cdn.shopify.com/s/files/1/0698/3086/9177/files/duha-eskitme-kare-mermer-sarkit-25cm-3647.jpg?v=1752138303</t>
  </si>
  <si>
    <t>H1C2JRVDRB0-020</t>
  </si>
  <si>
    <t>zada-tekli-beton-sarkit-avize</t>
  </si>
  <si>
    <t>Zada Tekli Beyaz Beton E27 Sarkıt Avize</t>
  </si>
  <si>
    <t>https://cdn.shopify.com/s/files/1/0698/3086/9177/files/zada-tekli-beton-e27-sarkit-4476.jpg?v=1754575558</t>
  </si>
  <si>
    <t>H1C5JRVDRS0-035</t>
  </si>
  <si>
    <t>kovak-tekli-siyah-beton-sarkit-avize</t>
  </si>
  <si>
    <t>Kovak Tekli Siyah Beton GU10 Sarkıt Avize</t>
  </si>
  <si>
    <t>https://cdn.shopify.com/s/files/1/0698/3086/9177/files/kovak-tekli-siyah-beton-gu10-sarkit-4508.jpg?v=1754575506</t>
  </si>
  <si>
    <t>H1C6DRBJME0-030</t>
  </si>
  <si>
    <t>salik-beton-led-sarkit-avize-1</t>
  </si>
  <si>
    <t>Şalık Eskitme Beyaz Beton LED Sarkıt Avize 30 cm</t>
  </si>
  <si>
    <t>https://cdn.shopify.com/s/files/1/0698/3086/9177/files/salik-eskitme-beyaz-beton-led-sarkit-30cm-3581.jpg?v=1752138306</t>
  </si>
  <si>
    <t>H1C6DRSJME0-030</t>
  </si>
  <si>
    <t>salik-beton-led-sarkit-avize</t>
  </si>
  <si>
    <t>Şalık Eskitme Siyah Beton LED Sarkıt Avize 30 cm</t>
  </si>
  <si>
    <t>https://cdn.shopify.com/s/files/1/0698/3086/9177/files/salik-eskitme-siyah-beton-led-sarkit-30cm-2070.jpg?v=1752138306</t>
  </si>
  <si>
    <t>H1C6WRSJME0-040</t>
  </si>
  <si>
    <t>hera-mermer-sarkit-avize-40-cm</t>
  </si>
  <si>
    <t>Hera Siyah Mermer Sarkıt Avize 40 cm</t>
  </si>
  <si>
    <t>https://cdn.shopify.com/s/files/1/0698/3086/9177/files/H1C6WRSJME0-040.jpg?v=1752138307</t>
  </si>
  <si>
    <t>H1C6JMEWRB0-011</t>
  </si>
  <si>
    <t>apollon-eskitme-mermer-led-sarkit-avize</t>
  </si>
  <si>
    <t>Apollon Eskitme Mermer LED Sarkıt Avize 11 cm</t>
  </si>
  <si>
    <t>https://cdn.shopify.com/s/files/1/0698/3086/9177/files/apollon-eskitme-led-mermer-sarkit-11cm-3906.jpg?v=1754490608</t>
  </si>
  <si>
    <t>H1C6JMEWRB0-021</t>
  </si>
  <si>
    <t>apollon-eskitme-led-mermer-sarkit-21-cm</t>
  </si>
  <si>
    <t>Apollon Eskitme LED Mermer Sarkıt 21 cm</t>
  </si>
  <si>
    <t>https://cdn.shopify.com/s/files/1/0698/3086/9177/files/apollon-eskitme-led-mermer-sarkit-21cm-3900.jpg?v=1754490609</t>
  </si>
  <si>
    <t>H1W6JME0000-072</t>
  </si>
  <si>
    <t>athena-eskitme-led-aplik</t>
  </si>
  <si>
    <t>Athena Eskitme Led Aplik 72 cm</t>
  </si>
  <si>
    <t>https://cdn.shopify.com/s/files/1/0698/3086/9177/files/athena-eskitme-led-aplik-72cm-2949.jpg?v=1754548944</t>
  </si>
  <si>
    <t>H1C6JRSJMP0-013</t>
  </si>
  <si>
    <t>mayon-led-sarkit-avize-1</t>
  </si>
  <si>
    <t>Mayon Platin LED Sarkıt Avize</t>
  </si>
  <si>
    <t>https://cdn.shopify.com/s/files/1/0698/3086/9177/files/H1C6JRSJMP0-013_1.jpg?v=1754490610</t>
  </si>
  <si>
    <t>H1C6JRSJMG0-015</t>
  </si>
  <si>
    <t>uranus-led-sarkit-avize-1</t>
  </si>
  <si>
    <t>Uranus Altin LED Sarkıt Avize</t>
  </si>
  <si>
    <t>https://cdn.shopify.com/s/files/1/0698/3086/9177/files/H1C6JRSJMG0-015.jpg?v=1754490611</t>
  </si>
  <si>
    <t>H1C6JRSJMP0-015</t>
  </si>
  <si>
    <t>uranus-led-sarkit-avize</t>
  </si>
  <si>
    <t>Uranus Platin LED Sarkıt Avize</t>
  </si>
  <si>
    <t>https://cdn.shopify.com/s/files/1/0698/3086/9177/files/H1C6JRSJMP0-015.jpg?v=1754490612</t>
  </si>
  <si>
    <t>H1C6JMGECS0-035</t>
  </si>
  <si>
    <t>ulgen-tekli-platin-seffaf-cam-led-sarkit-avize</t>
  </si>
  <si>
    <t>Ulgen Tekli Platin Şeffaf Cam LED Sarkıt Avize 35 cm</t>
  </si>
  <si>
    <t>https://cdn.shopify.com/s/files/1/0698/3086/9177/files/ulgen-tekli-altin-platin-sarkit-35cm-3984.jpg?v=1754490614</t>
  </si>
  <si>
    <t>https://cdn.shopify.com/s/files/1/0698/3086/9177/files/H1C2JMEECB0-035.jpg?v=1754490615</t>
  </si>
  <si>
    <t>H1C2JMEECB0-022</t>
  </si>
  <si>
    <t>harry-buzlu-cam-eskitme-sarkit-avize-22-cm</t>
  </si>
  <si>
    <t>Harry Buzlu Cam Eskitme Sarkıt Avize 22 cm</t>
  </si>
  <si>
    <t>https://cdn.shopify.com/s/files/1/0698/3086/9177/files/H1C2JMEECB0-022.jpg?v=1754490616</t>
  </si>
  <si>
    <t>H1C6JRBECS0-036</t>
  </si>
  <si>
    <t>barlas-tekli-beyaz-cam-led-sarkit-avize</t>
  </si>
  <si>
    <t>Barlas Tekli Beyaz Cam LED Sarkıt Avize</t>
  </si>
  <si>
    <t>https://cdn.shopify.com/s/files/1/0698/3086/9177/files/barlas-tekli-sarkit-4013.jpg?v=1754490617</t>
  </si>
  <si>
    <t>H1W6JRBECS0-036</t>
  </si>
  <si>
    <t>balamir-beyaz-tekli-led-aplik</t>
  </si>
  <si>
    <t>Balamir Beyaz Tekli LED Aplik</t>
  </si>
  <si>
    <t>https://cdn.shopify.com/s/files/1/0698/3086/9177/files/balamir-tekli-aplik-4208.jpg?v=1754548944</t>
  </si>
  <si>
    <t>H1W6JMPECS0-036</t>
  </si>
  <si>
    <t>balamir-platin-tekli-led-aplik</t>
  </si>
  <si>
    <t>Balamir Platin Tekli LED Aplik</t>
  </si>
  <si>
    <t>https://cdn.shopify.com/s/files/1/0698/3086/9177/files/balamir-tekli-aplik-4177.jpg?v=1754548945</t>
  </si>
  <si>
    <t>H1C6JRSBCSY-060</t>
  </si>
  <si>
    <t>semruk-kure-tekli-akrilik-led-sarkit-avize-3</t>
  </si>
  <si>
    <t>Semruk Küre Tekli Akrilik LED Sarkıt Avize 60 cm</t>
  </si>
  <si>
    <t>https://cdn.shopify.com/s/files/1/0698/3086/9177/files/semruk-tekli-akrilik-kure-sarkit-3720.jpg?v=1752138316</t>
  </si>
  <si>
    <t>H1C6JRSBCSY-050</t>
  </si>
  <si>
    <t>semruk-kure-tekli-akrilik-led-sarkit-avize-2</t>
  </si>
  <si>
    <t>Semruk Küre Tekli Akrilik LED Sarkıt Avize 50 cm</t>
  </si>
  <si>
    <t>https://cdn.shopify.com/s/files/1/0698/3086/9177/files/semruk-tekli-akrilik-kure-sarkit-3717.jpg?v=1752138317</t>
  </si>
  <si>
    <t>H1C6JRSBCSY-040</t>
  </si>
  <si>
    <t>semruk-kure-tekli-akrilik-led-sarkit-avize-1</t>
  </si>
  <si>
    <t>Semruk Küre Tekli Akrilik LED Sarkıt Avize 40 cm</t>
  </si>
  <si>
    <t>https://cdn.shopify.com/s/files/1/0698/3086/9177/files/semruk-tekli-akrilik-kure-sarkit-3714.jpg?v=1752138317</t>
  </si>
  <si>
    <t>H1C6JRSBCSY-030</t>
  </si>
  <si>
    <t>semruk-kure-tekli-akrilik-led-sarkit-avize</t>
  </si>
  <si>
    <t>Semruk Küre Tekli Akrilik LED Sarkıt Avize 30 cm</t>
  </si>
  <si>
    <t>https://cdn.shopify.com/s/files/1/0698/3086/9177/files/semruk-tekli-akrilik-kure-sarkit-3711.jpg?v=1752138318</t>
  </si>
  <si>
    <t>H1C6JMEECSB-020</t>
  </si>
  <si>
    <t>togo-tekli-simit-eskitme-seffaf-cam-led-sarkit-avize</t>
  </si>
  <si>
    <t>Togo Tekli Simit Eskitme Şeffaf Cam LED Sarkıt Avize 20 cm</t>
  </si>
  <si>
    <t>https://cdn.shopify.com/s/files/1/0698/3086/9177/files/togo-tekli-simit-sarkit-20cm-3833.jpg?v=1752138319</t>
  </si>
  <si>
    <t>H1C6JMEERFP-030</t>
  </si>
  <si>
    <t>viyana-goktasi-fume-eskitme-cam-led-sarkit-avize</t>
  </si>
  <si>
    <t>Viyana Göktaşı Füme Eskitme Cam LED Sarkıt Avize 30 cm</t>
  </si>
  <si>
    <t>https://cdn.shopify.com/s/files/1/0698/3086/9177/files/H1C6JMEERFP-030_1.jpg?v=1752138320</t>
  </si>
  <si>
    <t>H1C6JMEERLP-030</t>
  </si>
  <si>
    <t>viyana-goktasi-bal-eskitme-cam-led-sarkit-avize</t>
  </si>
  <si>
    <t>Viyana Göktaşı Bal Eskitme Cam LED Sarkıt Avize 30 cm</t>
  </si>
  <si>
    <t>https://cdn.shopify.com/s/files/1/0698/3086/9177/files/H1C6JMEERLP-030.jpg?v=1752138320</t>
  </si>
  <si>
    <t>H1C6JMEERFF-035</t>
  </si>
  <si>
    <t>viyana-kubbe-fume-eskitme-cam-led-sarkit-avize</t>
  </si>
  <si>
    <t>Viyana Kubbe Füme Eskitme Cam LED Sarkıt Avize 35 cm</t>
  </si>
  <si>
    <t>https://cdn.shopify.com/s/files/1/0698/3086/9177/files/H1C6JMEERFF-035_6946a719-973c-4898-8dfa-6d3430afa919.jpg?v=1754490619</t>
  </si>
  <si>
    <t>H1C6JMEERLF-035</t>
  </si>
  <si>
    <t>viyana-kubbe-bal-eskitme-cam-sarkit-avize-1</t>
  </si>
  <si>
    <t>Viyana Kubbe Bal Eskitme Cam Sarkıt Avize 35 cm</t>
  </si>
  <si>
    <t>https://cdn.shopify.com/s/files/1/0698/3086/9177/files/H1C6JMEERLF-035.jpg?v=1752138321</t>
  </si>
  <si>
    <t>H1C6JMEERLF-030</t>
  </si>
  <si>
    <t>viyana-kubbe-bal-eskitme-cam-sarkit-avize</t>
  </si>
  <si>
    <t>Viyana Kubbe Bal Eskitme Cam Sarkıt Avize 30 cm</t>
  </si>
  <si>
    <t>https://cdn.shopify.com/s/files/1/0698/3086/9177/files/H1C6JMEERLF-030.jpg?v=1754490621</t>
  </si>
  <si>
    <t>250-CAM-FUME</t>
  </si>
  <si>
    <t>batur-di̇sli̇-fume-cam-25-cm</t>
  </si>
  <si>
    <t>Batur Füme Sarkıt 25 cm</t>
  </si>
  <si>
    <t>https://cdn.shopify.com/s/files/1/0698/3086/9177/files/250-CAM-BAL.jpg?v=1754490622</t>
  </si>
  <si>
    <t>250-CAM-BAL</t>
  </si>
  <si>
    <t>batur-di̇sli̇-bal-cam-25-cm</t>
  </si>
  <si>
    <t>Batur Bal Sarkıt 25 cm</t>
  </si>
  <si>
    <t>https://cdn.shopify.com/s/files/1/0698/3086/9177/files/250-CAM-BAL_3_5c564f20-9db9-4956-a7d6-7623763805da.jpg?v=1754490623</t>
  </si>
  <si>
    <t>200-CAM-FUME</t>
  </si>
  <si>
    <t>batur-di̇sli̇-fume-cam-20-cm</t>
  </si>
  <si>
    <t>Batur Füme Sarkıt 20 cm</t>
  </si>
  <si>
    <t>https://cdn.shopify.com/s/files/1/0698/3086/9177/files/200-CAM-FUME_4.jpg?v=1754490625</t>
  </si>
  <si>
    <t>200-CAM-BAL</t>
  </si>
  <si>
    <t>batur-di̇sli̇-bal-cam-20-cm</t>
  </si>
  <si>
    <t>Batur Bal Sarkıt 20 cm</t>
  </si>
  <si>
    <t>https://cdn.shopify.com/s/files/1/0698/3086/9177/files/200-CAM-BAL_3.jpg?v=1754490626</t>
  </si>
  <si>
    <t>150-CAM-SEFFAF</t>
  </si>
  <si>
    <t>batur-di̇sli̇-seffaf-cam-15-cm</t>
  </si>
  <si>
    <t>Batur Şeffaf Sarkıt 15cm</t>
  </si>
  <si>
    <t>https://cdn.shopify.com/s/files/1/0698/3086/9177/files/150-CAM-SEFFAF_1.jpg?v=1754490627</t>
  </si>
  <si>
    <t>150-CAM-FUME</t>
  </si>
  <si>
    <t>batur-di̇sli̇-fume-cam-15-cm</t>
  </si>
  <si>
    <t>Batur Füme Sarkıt 15 cm</t>
  </si>
  <si>
    <t>https://cdn.shopify.com/s/files/1/0698/3086/9177/files/150-CAM-FUME_1_f08ff418-dc50-45f3-80e3-424c26f922ae.jpg?v=1754490628</t>
  </si>
  <si>
    <t>150-CAM-BAL</t>
  </si>
  <si>
    <t>batur-di̇sli̇-bal-cam-15-cm</t>
  </si>
  <si>
    <t>Batur Bal Sarkıt 15 cm</t>
  </si>
  <si>
    <t>https://cdn.shopify.com/s/files/1/0698/3086/9177/files/150-CAM-BAL_1.jpg?v=1754490630</t>
  </si>
  <si>
    <t>H1C2JM3ECT0-030</t>
  </si>
  <si>
    <t>berde-pirinc-mat-krom-sarkit-30-cm</t>
  </si>
  <si>
    <t>Berde Pirinç Mat Krom Sarkıt 30 cm</t>
  </si>
  <si>
    <t>https://cdn.shopify.com/s/files/1/0698/3086/9177/files/berde-pirinc-mat-krom-sarkit-30cm-1821.jpg?v=1752138323</t>
  </si>
  <si>
    <t>H1C2JRSECT0-030</t>
  </si>
  <si>
    <t>berde-pirinc-siyah-sarkit-30-cm</t>
  </si>
  <si>
    <t>Berde Pirinç Siyah Sarkıt 30 cm</t>
  </si>
  <si>
    <t>https://cdn.shopify.com/s/files/1/0698/3086/9177/files/berde-pirinc-siyah-sarkit-30cm-1820.jpg?v=1752138323</t>
  </si>
  <si>
    <t>H1C2JRSECT0-025</t>
  </si>
  <si>
    <t>berde-pirinc-siyah-sarkit-25-cm</t>
  </si>
  <si>
    <t>Berde Pirinç Siyah Sarkıt 25 cm</t>
  </si>
  <si>
    <t>https://cdn.shopify.com/s/files/1/0698/3086/9177/files/berde-pirinc-siyah-sarkit-25cm-1819.jpg?v=1754490631</t>
  </si>
  <si>
    <t>H1C2JM3ECT0-025</t>
  </si>
  <si>
    <t>berde-pirinc-mat-krom-sarkit-25-cm</t>
  </si>
  <si>
    <t>Berde Pirinç Mat Krom Sarkıt 25 cm</t>
  </si>
  <si>
    <t>https://cdn.shopify.com/s/files/1/0698/3086/9177/files/berde-pirinc-mat-krom-sarkit-25cm-1818.jpg?v=1754490632</t>
  </si>
  <si>
    <t>H1S5JRSLCT0-017</t>
  </si>
  <si>
    <t>koza-tekli-siyah-aplik</t>
  </si>
  <si>
    <t>Koza Tekli Siyah Aplik</t>
  </si>
  <si>
    <t>https://cdn.shopify.com/s/files/1/0698/3086/9177/files/koza-tekli-siyah-aplik-6381.jpg?v=1752138324</t>
  </si>
  <si>
    <t>F1W5AA1JBRH-099</t>
  </si>
  <si>
    <t>niagara-ahsap-beyaz-aplik-3</t>
  </si>
  <si>
    <t>Niagara 4'lü Ahşap Beyaz Aplik</t>
  </si>
  <si>
    <t>https://cdn.shopify.com/s/files/1/0698/3086/9177/files/niagara-dortlu-ahsap-beyaz-aplik-3043.jpg?v=1752138325</t>
  </si>
  <si>
    <t>F1W5AA1JBRH-074</t>
  </si>
  <si>
    <t>niagara-ahsap-beyaz-aplik-2</t>
  </si>
  <si>
    <t>Niagara 3'lü Ahşap Beyaz Aplik</t>
  </si>
  <si>
    <t>https://cdn.shopify.com/s/files/1/0698/3086/9177/files/niagara-uclu-ahsap-beyaz-aplik-3037.jpg?v=1752138326</t>
  </si>
  <si>
    <t>F1W5AA1JBRH-049</t>
  </si>
  <si>
    <t>niagara-ahsap-beyaz-aplik-1</t>
  </si>
  <si>
    <t>Niagara 2'li Ahşap Beyaz Aplik</t>
  </si>
  <si>
    <t>https://cdn.shopify.com/s/files/1/0698/3086/9177/files/niagara-ikili-ahsap-beyaz-aplik-3029.jpg?v=1752138327</t>
  </si>
  <si>
    <t>F1W5AA1JSRH-099</t>
  </si>
  <si>
    <t>niagara-ahsap-siyah-aplik-3</t>
  </si>
  <si>
    <t>Niagara 4'lü Ahşap Siyah Aplik</t>
  </si>
  <si>
    <t>https://cdn.shopify.com/s/files/1/0698/3086/9177/files/niagara-dortlu-ahsap-siyah-aplik-3067.jpg?v=1752138327</t>
  </si>
  <si>
    <t>F1W5AA1JSRH-074</t>
  </si>
  <si>
    <t>niagara-ahsap-siyah-aplik-2</t>
  </si>
  <si>
    <t>Niagara 3'lü Ahşap Siyah Aplik</t>
  </si>
  <si>
    <t>https://cdn.shopify.com/s/files/1/0698/3086/9177/files/niagara-uclu-ahsap-siyah-aplik-3060.jpg?v=1752138328</t>
  </si>
  <si>
    <t>H1S5JRSLCT0-050</t>
  </si>
  <si>
    <t>koza-2li-siyah-aplik</t>
  </si>
  <si>
    <t>Koza 2'li Siyah Aplik</t>
  </si>
  <si>
    <t>https://cdn.shopify.com/s/files/1/0698/3086/9177/files/koza-ikili-aplik-3376.jpg?v=1752138329</t>
  </si>
  <si>
    <t>F1W5AA1JSRH-049</t>
  </si>
  <si>
    <t>niagara-ahsap-siyah-aplik-ikili</t>
  </si>
  <si>
    <t>Niagara 2'li Ahşap Siyah Aplik</t>
  </si>
  <si>
    <t>https://cdn.shopify.com/s/files/1/0698/3086/9177/files/niagara-ikili-ahsap-siyah-aplik-3053.jpg?v=1752138330</t>
  </si>
  <si>
    <t>F1W5AA1JEMH-099</t>
  </si>
  <si>
    <t>niagara-ahsap-eskitme-aplik-3</t>
  </si>
  <si>
    <t>Niagara 4'lü Ahşap Eskitme Aplik</t>
  </si>
  <si>
    <t>https://cdn.shopify.com/s/files/1/0698/3086/9177/files/niagara-dortlu-ahsap-eskitme-aplik-2160.jpg?v=1752138330</t>
  </si>
  <si>
    <t>F1W5AA1JEMH-074</t>
  </si>
  <si>
    <t>niagara-ahsap-eskitme-aplik-2</t>
  </si>
  <si>
    <t>Niagara 3'lü Ahşap Eskitme Aplik</t>
  </si>
  <si>
    <t>https://cdn.shopify.com/s/files/1/0698/3086/9177/files/niagara-uclu-ahsap-eskitme-aplik-2161.jpg?v=1752138331</t>
  </si>
  <si>
    <t>F1W5AA1JEMH-049</t>
  </si>
  <si>
    <t>niagara-ahsap-eskitme-aplik-1</t>
  </si>
  <si>
    <t>Niagara 2'li Ahşap Eskitme Aplik</t>
  </si>
  <si>
    <t>https://cdn.shopify.com/s/files/1/0698/3086/9177/files/niagara-ikili-ahsap-eskitme-aplik-3006.jpg?v=1752138332</t>
  </si>
  <si>
    <t>F1W5AAWJBRH-099</t>
  </si>
  <si>
    <t>victoria-ahsap-beyaz-aplik-3</t>
  </si>
  <si>
    <t>Victoria Dörtlü Ahşap Beyaz Aplik</t>
  </si>
  <si>
    <t>https://cdn.shopify.com/s/files/1/0698/3086/9177/files/victoria-dortlu-ahsap-beyaz-aplik-2164.jpg?v=1752138333</t>
  </si>
  <si>
    <t>F1W5AAWJBRH-074</t>
  </si>
  <si>
    <t>victoria-ahsap-beyaz-aplik-2</t>
  </si>
  <si>
    <t>Victoria Üçlü Ahşap Beyaz Aplik</t>
  </si>
  <si>
    <t>https://cdn.shopify.com/s/files/1/0698/3086/9177/files/victoria-uclu-ahsap-beyaz-aplik-2167.jpg?v=1752138334</t>
  </si>
  <si>
    <t>F1W5AAWJBRH-049</t>
  </si>
  <si>
    <t>victoria-ahsap-beyaz-aplik-1</t>
  </si>
  <si>
    <t>Victoria İkili Ahşap Beyaz Aplik</t>
  </si>
  <si>
    <t>https://cdn.shopify.com/s/files/1/0698/3086/9177/files/victoria-ikili-ahsap-beyaz-aplik-2168.jpg?v=1752138335</t>
  </si>
  <si>
    <t>F1W5AAWJSRH-099</t>
  </si>
  <si>
    <t>victoria-ahsap-siyah-aplik-3</t>
  </si>
  <si>
    <t>Victoria Dörtlü Ahşap Siyah Aplik</t>
  </si>
  <si>
    <t>https://cdn.shopify.com/s/files/1/0698/3086/9177/files/victoria-dortlu-ahsap-siyah-aplik-2937.jpg?v=1752138336</t>
  </si>
  <si>
    <t>H1S5JMRLCT0-074</t>
  </si>
  <si>
    <t>koza-uclu-eskitme-aplik</t>
  </si>
  <si>
    <t>Koza Üçlü Eskitme Aplik</t>
  </si>
  <si>
    <t>https://cdn.shopify.com/s/files/1/0698/3086/9177/files/H1S5JMRLCT0-074.jpg?v=1754038329</t>
  </si>
  <si>
    <t>F1W5AAWJSRH-074</t>
  </si>
  <si>
    <t>victoria-ahsap-siyah-aplik-2</t>
  </si>
  <si>
    <t>Victoria Üçlü Ahşap Siyah Aplik</t>
  </si>
  <si>
    <t>https://cdn.shopify.com/s/files/1/0698/3086/9177/files/victoria-uclu-ahsap-siyah-aplik-2928.jpg?v=1752138337</t>
  </si>
  <si>
    <t>F1W5AAWJSRH-049</t>
  </si>
  <si>
    <t>victoria-ahsap-siyah-aplik-1</t>
  </si>
  <si>
    <t>Victoria İkili Ahşap Siyah Aplik</t>
  </si>
  <si>
    <t>https://cdn.shopify.com/s/files/1/0698/3086/9177/files/victoria-ikili-ahsap-siyah-aplik-2919.jpg?v=1752138338</t>
  </si>
  <si>
    <t>F1W5AAWJEMH-099</t>
  </si>
  <si>
    <t>victoria-ahsap-eskitme-aplik-2</t>
  </si>
  <si>
    <t>Victoria Dörtlü Ahşap Eskitme Aplik</t>
  </si>
  <si>
    <t>https://cdn.shopify.com/s/files/1/0698/3086/9177/files/victoria-dortlu-ahsap-eskitme-aplik-2912.jpg?v=1752138339</t>
  </si>
  <si>
    <t>F1W5AAWJEMH-074</t>
  </si>
  <si>
    <t>victoria-ahsap-eskitme-aplik-1</t>
  </si>
  <si>
    <t>Victoria Üçlü Ahşap Eskitme Aplik</t>
  </si>
  <si>
    <t>https://cdn.shopify.com/s/files/1/0698/3086/9177/files/victoria-uclu-ahsap-eskitme-aplik-2903.jpg?v=1752138340</t>
  </si>
  <si>
    <t>F1W5AAJJBRH-099</t>
  </si>
  <si>
    <t>angel-dortlu-ahsap-beyaz-aplik</t>
  </si>
  <si>
    <t>Angel Dörtlü Ahşap Beyaz Aplik</t>
  </si>
  <si>
    <t>https://cdn.shopify.com/s/files/1/0698/3086/9177/files/angel-dortlu-ahsap-beyaz-aplik-3115.jpg?v=1752138340</t>
  </si>
  <si>
    <t>F1W5AAJJBRH-074</t>
  </si>
  <si>
    <t>angel-uclu-ahsap-beyaz-aplik</t>
  </si>
  <si>
    <t>Angel Üçlü Ahşap Beyaz Aplik</t>
  </si>
  <si>
    <t>https://cdn.shopify.com/s/files/1/0698/3086/9177/files/angel-uclu-ahsap-beyaz-aplik-3109.jpg?v=1752138341</t>
  </si>
  <si>
    <t>F1W5AAJJBRH-049</t>
  </si>
  <si>
    <t>angel-i̇kili-ahsap-beyaz-aplik</t>
  </si>
  <si>
    <t>Angel İkili Ahşap Beyaz Aplik</t>
  </si>
  <si>
    <t>https://cdn.shopify.com/s/files/1/0698/3086/9177/files/angel-ikili-ahsap-beyaz-aplik-3103.jpg?v=1752138342</t>
  </si>
  <si>
    <t>F1W5AAJJSRH-099</t>
  </si>
  <si>
    <t>angel-dortlu-ahsap-siyah-aplik</t>
  </si>
  <si>
    <t>Angel Dörtlü Ahşap Siyah Aplik</t>
  </si>
  <si>
    <t>https://cdn.shopify.com/s/files/1/0698/3086/9177/files/angel-dortlu-ahsap-siyah-aplik-3142.jpg?v=1752138343</t>
  </si>
  <si>
    <t>F1W5AAJJSRH-074</t>
  </si>
  <si>
    <t>angel-uclu-ahsap-siyah-aplik</t>
  </si>
  <si>
    <t>Angel Üçlü Ahşap Siyah Aplik</t>
  </si>
  <si>
    <t>https://cdn.shopify.com/s/files/1/0698/3086/9177/files/angel-uclu-ahsap-siyah-aplik-3132.jpg?v=1752138344</t>
  </si>
  <si>
    <t>F1W5AAJJSRH-049</t>
  </si>
  <si>
    <t>angel-i̇kili-ahsap-siyah-aplik</t>
  </si>
  <si>
    <t>Angel İkili Ahşap Siyah Aplik</t>
  </si>
  <si>
    <t>https://cdn.shopify.com/s/files/1/0698/3086/9177/files/angel-ikili-ahsap-siyah-aplik-3125.jpg?v=1752138345</t>
  </si>
  <si>
    <t>F1W5AAJJEMH-099</t>
  </si>
  <si>
    <t>angel-dortlu-ahsap-eskitme-aplik</t>
  </si>
  <si>
    <t>Angel Dörtlü Ahşap Eskitme Aplik</t>
  </si>
  <si>
    <t>https://cdn.shopify.com/s/files/1/0698/3086/9177/files/angel-dortlu-ahsap-eskitme-aplik-3094.jpg?v=1752138345</t>
  </si>
  <si>
    <t>F1W5AAJJEMH-074</t>
  </si>
  <si>
    <t>angel-uclu-ahsap-eskitme-aplik</t>
  </si>
  <si>
    <t>Angel Üçlü Ahşap Eskitme Aplik</t>
  </si>
  <si>
    <t>https://cdn.shopify.com/s/files/1/0698/3086/9177/files/angel-uclu-ahsap-eskitme-aplik-3084.jpg?v=1752138346</t>
  </si>
  <si>
    <t>F1W5AAJJEMH-049</t>
  </si>
  <si>
    <t>angel-i̇kili-ahsap-eskitme-aplik</t>
  </si>
  <si>
    <t>Angel İkili Ahşap Eskitme Aplik</t>
  </si>
  <si>
    <t>https://cdn.shopify.com/s/files/1/0698/3086/9177/files/angel-ikili-ahsap-eskitme-aplik-3077.jpg?v=1752138349</t>
  </si>
  <si>
    <t>F1C5DRK000L-015</t>
  </si>
  <si>
    <t>toppu-beton-sarkit-avize-2</t>
  </si>
  <si>
    <t>Toppu Beton Kırmızı Sarkıt Avize</t>
  </si>
  <si>
    <t>https://cdn.shopify.com/s/files/1/0698/3086/9177/files/F1C5DRK000L-015.jpg?v=1754659421</t>
  </si>
  <si>
    <t>H1S5JMRLCT0-100</t>
  </si>
  <si>
    <t>koza-4lu-eskitme-aplik</t>
  </si>
  <si>
    <t>Koza 4'lü Eskitme Aplik</t>
  </si>
  <si>
    <t>https://cdn.shopify.com/s/files/1/0698/3086/9177/files/H1S5JMRLCT0-100.jpg?v=1754038410</t>
  </si>
  <si>
    <t>F1C5DRK000A-015</t>
  </si>
  <si>
    <t>toppu-beton-acili-sarkit-avize-3</t>
  </si>
  <si>
    <t>Toppu Beton Kırmızı Açılı Sarkıt Avize</t>
  </si>
  <si>
    <t>https://cdn.shopify.com/s/files/1/0698/3086/9177/files/F1C5DRK000A-015.jpg?v=1754659464</t>
  </si>
  <si>
    <t>F1C2DRK000L-019</t>
  </si>
  <si>
    <t>pot-beton-sarkit-avize-2</t>
  </si>
  <si>
    <t>Pot Beton Kırmızı Sarkıt</t>
  </si>
  <si>
    <t>https://cdn.shopify.com/s/files/1/0698/3086/9177/files/F1C2DRK000L-019.jpg?v=1754659567</t>
  </si>
  <si>
    <t>F1C5DRK000U-023</t>
  </si>
  <si>
    <t>cone-beton-kirmizi-sarkit-avize</t>
  </si>
  <si>
    <t>Cone Beton Kırmızı Sarkıt Avize</t>
  </si>
  <si>
    <t>https://cdn.shopify.com/s/files/1/0698/3086/9177/files/cone-beton-kirmizi-sarkit-2212.jpg?v=1752138354</t>
  </si>
  <si>
    <t>F1C2MRBJRB0-055</t>
  </si>
  <si>
    <t>stone-beyaz-kaya-sarkit-avize-1</t>
  </si>
  <si>
    <t>Stone Beyaz Kaya Sarkıt Avize 55 cm</t>
  </si>
  <si>
    <t>https://cdn.shopify.com/s/files/1/0698/3086/9177/files/stone-beyaz-kaya-sarkit-55cm-1758.jpg?v=1752138355</t>
  </si>
  <si>
    <t>F1C2MRBJRB0-045</t>
  </si>
  <si>
    <t>stone-beyaz-kaya-sarkit-avize</t>
  </si>
  <si>
    <t>Stone Beyaz Kaya Sarkıt Avize 45 cm</t>
  </si>
  <si>
    <t>https://cdn.shopify.com/s/files/1/0698/3086/9177/files/stone-beyaz-kaya-sarkit-45cm-1757.jpg?v=1752138355</t>
  </si>
  <si>
    <t>F1C2MRGJRS0-055</t>
  </si>
  <si>
    <t>stone-gri-kaya-sarkit-avize-2</t>
  </si>
  <si>
    <t>Stone Gri Kaya Sarkıt Avize 55 cm</t>
  </si>
  <si>
    <t>https://cdn.shopify.com/s/files/1/0698/3086/9177/files/stone-gri-kaya-sarkit-55cm-1756.jpg?v=1752138356</t>
  </si>
  <si>
    <t>F1C2MRGJRS0-045</t>
  </si>
  <si>
    <t>stone-gri-kaya-sarkit-avize-1</t>
  </si>
  <si>
    <t>Stone Gri Kaya Sarkıt Avize 45 cm</t>
  </si>
  <si>
    <t>https://cdn.shopify.com/s/files/1/0698/3086/9177/files/stone-gri-kaya-sarkit-45cm-1755.jpg?v=1752138357</t>
  </si>
  <si>
    <t>F1C2MRGJRS0-025</t>
  </si>
  <si>
    <t>stone-gri-kaya-sarkit-avize</t>
  </si>
  <si>
    <t>Stone Gri Kaya Sarkıt Avize 25 cm</t>
  </si>
  <si>
    <t>https://cdn.shopify.com/s/files/1/0698/3086/9177/files/stone-gri-kaya-sarkit-25cm-1754.jpg?v=1754490633</t>
  </si>
  <si>
    <t>F1C5DRGAAWL-018</t>
  </si>
  <si>
    <t>tochi-large-ahsap-beton-sarkit-1</t>
  </si>
  <si>
    <t>Tochi Large Ahsap Beton GU10 Sarkıt</t>
  </si>
  <si>
    <t>https://cdn.shopify.com/s/files/1/0698/3086/9177/files/tochi-large-ahsap-beton-sarkit-4036.jpg?v=1752138358</t>
  </si>
  <si>
    <t>F1C5DRV000A-015</t>
  </si>
  <si>
    <t>toppu-beton-acili-sarkit-avize-2</t>
  </si>
  <si>
    <t>Toppu Beton Kahverengi Açılı Sarkıt Avize</t>
  </si>
  <si>
    <t>https://cdn.shopify.com/s/files/1/0698/3086/9177/files/toppu-beton-kahverengi-acili-sarkit-2634.jpg?v=1752138359</t>
  </si>
  <si>
    <t>F1C5DRG000A-015</t>
  </si>
  <si>
    <t>toppu-beton-acili-sarkit-avize-1</t>
  </si>
  <si>
    <t>Toppu Beton Gri Açılı Sarkıt Avize</t>
  </si>
  <si>
    <t>https://cdn.shopify.com/s/files/1/0698/3086/9177/files/toppu-beton-gri-acili-sarkit-2225.jpg?v=1752138360</t>
  </si>
  <si>
    <t>F1C5DRB000A-015</t>
  </si>
  <si>
    <t>toppu-beton-acili-sarkit-avize</t>
  </si>
  <si>
    <t>Toppu Beton Beyaz Açılı Sarkıt Avize</t>
  </si>
  <si>
    <t>https://cdn.shopify.com/s/files/1/0698/3086/9177/files/toppu-beton-beyaz-acili-sarkit-2226.jpg?v=1752138361</t>
  </si>
  <si>
    <t>https://cdn.shopify.com/s/files/1/0698/3086/9177/files/dakar-eskitme-sarkit-25cm-2829.jpg?v=1754490633</t>
  </si>
  <si>
    <t>H1W3JMEECT0-060</t>
  </si>
  <si>
    <t>celsus-soft-i̇ki-camli-u-model-eskitme-aplik</t>
  </si>
  <si>
    <t>Celsus Soft İki Camlı U Model Eskitme Aplik</t>
  </si>
  <si>
    <t>https://cdn.shopify.com/s/files/1/0698/3086/9177/files/celsus-soft-iki-camli-u-model-eskitme-aplik-6374.jpg?v=1754548947</t>
  </si>
  <si>
    <t>H1C6JMEWRBB-030</t>
  </si>
  <si>
    <t>gamba-eskitme-beyaz-mermer-led-sarkit-avize-30-cm</t>
  </si>
  <si>
    <t>Gamba Eskitme Beyaz Mermer LED Sarkıt Avize 30 cm</t>
  </si>
  <si>
    <t>https://cdn.shopify.com/s/files/1/0698/3086/9177/files/H1C6JMEWRBB-030_6.jpg?v=1754490634</t>
  </si>
  <si>
    <t>H1C6JMEWRBB-025</t>
  </si>
  <si>
    <t>gamba-eskitme-beyaz-mermer-led-sarkit-avize-25-cm</t>
  </si>
  <si>
    <t>Gamba Eskitme Beyaz Mermer LED Sarkıt Avize 25 cm</t>
  </si>
  <si>
    <t>https://cdn.shopify.com/s/files/1/0698/3086/9177/files/H1C6JMEWRBB-025_8.jpg?v=1754490635</t>
  </si>
  <si>
    <t>H1C6JMEWRB0-030</t>
  </si>
  <si>
    <t>mumbai-mermer-eskitme-sarkit-avize-1</t>
  </si>
  <si>
    <t>Mumbai Mermer Eskitme Sarkıt Avize 30 cm</t>
  </si>
  <si>
    <t>https://cdn.shopify.com/s/files/1/0698/3086/9177/files/H1C6JMEWRB0-030_6.jpg?v=1754490637</t>
  </si>
  <si>
    <t>H1C6JMEWRBR-040</t>
  </si>
  <si>
    <t>delhi-mermer-eskitme-led-sarkit-avize-40-cm</t>
  </si>
  <si>
    <t>Delhi Mermer Eskitme LED Sarkıt Avize 40 cm</t>
  </si>
  <si>
    <t>https://cdn.shopify.com/s/files/1/0698/3086/9177/files/H1C6JMEWRBR-040_5.jpg?v=1752217564</t>
  </si>
  <si>
    <t>H1C6JMEWRBR-030</t>
  </si>
  <si>
    <t>delhi-mermer-eskitme-led-sarkit-avize-30-cm</t>
  </si>
  <si>
    <t>Delhi Mermer Eskitme LED Sarkıt Avize 30 cm</t>
  </si>
  <si>
    <t>https://cdn.shopify.com/s/files/1/0698/3086/9177/files/H1C6JMEWRBR-030_3.jpg?v=1752217612</t>
  </si>
  <si>
    <t>H1C6JMEECSC-062</t>
  </si>
  <si>
    <t>dubbo-cam-altin-led-sarkit-avize-1</t>
  </si>
  <si>
    <t>Dubbo Üçlü Cam Altın LED Sarkıt Avize</t>
  </si>
  <si>
    <t>https://cdn.shopify.com/s/files/1/0698/3086/9177/files/H1C6JMEECSC-062_4.jpg?v=1754490638</t>
  </si>
  <si>
    <t>H1C6JMEBCSR-048</t>
  </si>
  <si>
    <t>hakone-eskitme-altin-led-sarkit-avize-48-cm</t>
  </si>
  <si>
    <t>Hakone Eskitme Altın LED Sarkıt Avize 48 cm</t>
  </si>
  <si>
    <t>https://cdn.shopify.com/s/files/1/0698/3086/9177/files/hakone-altin-sarkit-48cm-2743.jpg?v=1752138374</t>
  </si>
  <si>
    <t>H1C6JMEBCSR-038</t>
  </si>
  <si>
    <t>hakone-eskitme-altin-led-sarkit-avize-38-cm</t>
  </si>
  <si>
    <t>Hakone Eskitme Altın LED Sarkıt Avize 38 cm</t>
  </si>
  <si>
    <t>https://cdn.shopify.com/s/files/1/0698/3086/9177/files/hakone-altin-sarkit-38cm-2737.jpg?v=1752138375</t>
  </si>
  <si>
    <t>H1W3JRSECT0-017</t>
  </si>
  <si>
    <t>osaka-soft-eskitme-aplik-1</t>
  </si>
  <si>
    <t>Osaka Soft Siyah Aplik</t>
  </si>
  <si>
    <t>https://cdn.shopify.com/s/files/1/0698/3086/9177/files/osaka-siyah-aplik-2261.jpg?v=1754548949</t>
  </si>
  <si>
    <t>F1C2DRGAAWL-018</t>
  </si>
  <si>
    <t>tochi-large-ahsap-beton-sarkit</t>
  </si>
  <si>
    <t>Tochi Large Ahsap Beton E27 Sarkıt</t>
  </si>
  <si>
    <t>https://cdn.shopify.com/s/files/1/0698/3086/9177/files/tochi-large-ahsap-beton-e27-sarkit-4031.jpg?v=1752138377</t>
  </si>
  <si>
    <t>F1C2DRGAAWL-013</t>
  </si>
  <si>
    <t>tochi-mini-wenge-ahsap-beton-sarkit-1</t>
  </si>
  <si>
    <t>Tochi Mini Wenge Ahsap Beton E27 Sarkıt</t>
  </si>
  <si>
    <t>https://cdn.shopify.com/s/files/1/0698/3086/9177/files/tochi-mini-wenge-ahsap-beton-e27-sarkit-2270.jpg?v=1752138378</t>
  </si>
  <si>
    <t>H1W6WRBJMER-020</t>
  </si>
  <si>
    <t>aspendos-tekli-mermer-eskitme-led-aplik-20-cm</t>
  </si>
  <si>
    <t>Aspendos Tekli Mermer Eskitme LED Aplik 20 cm</t>
  </si>
  <si>
    <t>https://cdn.shopify.com/s/files/1/0698/3086/9177/files/aspendos-tekli-mermer-eskitme-aplik-3384.png?v=1754548950</t>
  </si>
  <si>
    <t>F1C3DRGAAWL-028</t>
  </si>
  <si>
    <t>tochi-mini-wenge-ahsap-beton-sarkit</t>
  </si>
  <si>
    <t>Tochi Mini Wenge Ahsap Beton G9 Sarkıt</t>
  </si>
  <si>
    <t>https://cdn.shopify.com/s/files/1/0698/3086/9177/files/tochi-mini-wenge-ahsap-beton-g9-sarkit-2271.jpg?v=1752138380</t>
  </si>
  <si>
    <t>F1C2DRV000L-019</t>
  </si>
  <si>
    <t>pot-beton-sarkit-avize-1</t>
  </si>
  <si>
    <t>Pot Beton Kahverengi Sarkıt</t>
  </si>
  <si>
    <t>https://cdn.shopify.com/s/files/1/0698/3086/9177/files/pot-beton-kahverengi-sarkit-2272.jpg?v=1752138381</t>
  </si>
  <si>
    <t>F1C2DRG000L-019</t>
  </si>
  <si>
    <t>pot-beton-sarkit-avize</t>
  </si>
  <si>
    <t>Pot Beton Gri Sarkıt</t>
  </si>
  <si>
    <t>https://cdn.shopify.com/s/files/1/0698/3086/9177/files/pot-beton-sarkit-4017.jpg?v=1752138382</t>
  </si>
  <si>
    <t>F1C5DRV000L-015</t>
  </si>
  <si>
    <t>toppu-beton-sarkit-avize-1</t>
  </si>
  <si>
    <t>Toppu Beton Kahverengi Sarkıt Avize</t>
  </si>
  <si>
    <t>https://cdn.shopify.com/s/files/1/0698/3086/9177/files/toppu-beton-kahverengi-sarkit-4630.jpg?v=1752138383</t>
  </si>
  <si>
    <t>F1C5DRG000L-015</t>
  </si>
  <si>
    <t>toppu-beton-sarkit-avize</t>
  </si>
  <si>
    <t>Toppu Beton Gri Sarkıt Avize</t>
  </si>
  <si>
    <t>https://cdn.shopify.com/s/files/1/0698/3086/9177/files/toppu-beton-gri-sarkit-4623.jpg?v=1752138384</t>
  </si>
  <si>
    <t>F1W3DRGAAWS-015</t>
  </si>
  <si>
    <t>tochi-mini-ahsap-beton-g9-sabit-aplik</t>
  </si>
  <si>
    <t>Tochi Mini Ahşap Beton G9 Sabit Aplik</t>
  </si>
  <si>
    <t>https://cdn.shopify.com/s/files/1/0698/3086/9177/files/tochi-mini-ahsap-beton-g9-aplik-2278.jpg?v=1752138385</t>
  </si>
  <si>
    <t>F1C2DRGAAWL-060</t>
  </si>
  <si>
    <t>tochi-big-ahsap-beton-sarkit-1</t>
  </si>
  <si>
    <t>Tochi Big Ahsap Beton E27 Sarkıt</t>
  </si>
  <si>
    <t>https://cdn.shopify.com/s/files/1/0698/3086/9177/files/tochi-big-ahsap-beton-e27-sarkit-3729.jpg?v=1752138385</t>
  </si>
  <si>
    <t>F1W2DRGAAWL-044</t>
  </si>
  <si>
    <t>tochi-ahsap-beton-aplik-1</t>
  </si>
  <si>
    <t>Tochi Ahşap Beton E27 Aplik</t>
  </si>
  <si>
    <t>https://cdn.shopify.com/s/files/1/0698/3086/9177/files/tochi-ahsap-beton-e27-wall-lamp-2943.jpg?v=1754548951</t>
  </si>
  <si>
    <t>F1T1AAMJRSR-030</t>
  </si>
  <si>
    <t>tochi-mush-ahsap-beton-masa-lambasi</t>
  </si>
  <si>
    <t>Tochi Mush Ahşap Siyah Masa Lambası</t>
  </si>
  <si>
    <t>https://cdn.shopify.com/s/files/1/0698/3086/9177/files/F1T1AAMJRSR-030_c3bc328b-cbf5-4ad1-995c-f3ea88b1d3a9.jpg?v=1752138391</t>
  </si>
  <si>
    <t>F1C6DRGAAWL-180</t>
  </si>
  <si>
    <t>tochi-linear-ahsap-beton-sarkit-avize-1</t>
  </si>
  <si>
    <t>Tochi Linear Ahşap Beton Sarkıt 180 cm</t>
  </si>
  <si>
    <t>https://cdn.shopify.com/s/files/1/0698/3086/9177/files/tochi-linear-ahsap-beton-sarkit-180cm-4027.jpg?v=1752138392</t>
  </si>
  <si>
    <t>F1C6DRGAAWL-150</t>
  </si>
  <si>
    <t>tochi-linear-ahsap-beton-sarkit-avize</t>
  </si>
  <si>
    <t>Tochi Linear Ahşap Beton Sarkıt Avize 150 cm</t>
  </si>
  <si>
    <t>https://cdn.shopify.com/s/files/1/0698/3086/9177/files/tochi-linear-ahsap-beton-sarkit-150cm-4023.jpg?v=1752138393</t>
  </si>
  <si>
    <t>F1C5DRGAAWL-060</t>
  </si>
  <si>
    <t>tochi-big-ahsap-beton-sarkit</t>
  </si>
  <si>
    <t>Tochi Big Ahsap Beton GU10 Sarkıt</t>
  </si>
  <si>
    <t>https://cdn.shopify.com/s/files/1/0698/3086/9177/files/F1C2DRGAAWL-060_ef0934d7-13b5-40e2-bc21-3305d42a69f6.jpg?v=1754659820</t>
  </si>
  <si>
    <t>F1C2DRGAAWL-019</t>
  </si>
  <si>
    <t>tochi-long-wenge-ahsap-beton-sarkit-1</t>
  </si>
  <si>
    <t>Tochi Long Wenge Ahsap Beton E27 Sarkıt</t>
  </si>
  <si>
    <t>https://cdn.shopify.com/s/files/1/0698/3086/9177/files/tochi-long-wenge-ahsap-beton-e27-sarkit-4039.jpg?v=1752138394</t>
  </si>
  <si>
    <t>F1C3DRGAAWL-019</t>
  </si>
  <si>
    <t>tochi-long-wenge-ahsap-beton-sarkit</t>
  </si>
  <si>
    <t>Tochi Long Wenge Ahsap Beton G9 Sarkıt</t>
  </si>
  <si>
    <t>https://cdn.shopify.com/s/files/1/0698/3086/9177/files/F1C3DRGAAWL-019.jpg?v=1754578369</t>
  </si>
  <si>
    <t>F1W3DRGAAWL-044</t>
  </si>
  <si>
    <t>tochi-ahsap-beton-aplik</t>
  </si>
  <si>
    <t>Tochi Ahşap Beton G9 Aplik</t>
  </si>
  <si>
    <t>https://cdn.shopify.com/s/files/1/0698/3086/9177/files/tochi-ahsap-beton-g9-wall-lamp-2946.jpg?v=1754548951</t>
  </si>
  <si>
    <t>F1C5DRV000U-023</t>
  </si>
  <si>
    <t>cone-beton-kahverengi-sarkit-avize</t>
  </si>
  <si>
    <t>Cone Beton Kahverengi Sarkıt Avize</t>
  </si>
  <si>
    <t>https://cdn.shopify.com/s/files/1/0698/3086/9177/files/F1C5DRV000U-023.jpg?v=1754633824</t>
  </si>
  <si>
    <t>F1C5DRG000U-023</t>
  </si>
  <si>
    <t>cone-beton-gri-sarkit-avize</t>
  </si>
  <si>
    <t>Cone Beton Gri Sarkıt Avize</t>
  </si>
  <si>
    <t>https://cdn.shopify.com/s/files/1/0698/3086/9177/files/cone-beton-gri-sarkit-3340.jpg?v=1752138402</t>
  </si>
  <si>
    <t>H1W1JRSWRB0-062</t>
  </si>
  <si>
    <t>ardic-eskitme-buyuk-aplik-2</t>
  </si>
  <si>
    <t>Ardıç Siyah Büyük Aplik</t>
  </si>
  <si>
    <t>https://cdn.shopify.com/s/files/1/0698/3086/9177/files/ardic-siyah-aplik-buyuk-2291.jpg?v=1754548952</t>
  </si>
  <si>
    <t>H1W1JMBWRB0-062</t>
  </si>
  <si>
    <t>ardic-eskitme-buyuk-aplik-1</t>
  </si>
  <si>
    <t>Ardıç Bakır Büyük Aplik</t>
  </si>
  <si>
    <t>https://cdn.shopify.com/s/files/1/0698/3086/9177/files/ardic-bakir-aplik-buyuk-2296.jpg?v=1752138404</t>
  </si>
  <si>
    <t>H1C6JMEBCSR-070</t>
  </si>
  <si>
    <t>sofya-akrilik-eskitme-seffaf-cam-led-sarkit-avize-100cm-1</t>
  </si>
  <si>
    <t>Sofya Akrilik Eskitme Şeffaf Cam LED Sarkıt Avize 70 cm</t>
  </si>
  <si>
    <t>https://cdn.shopify.com/s/files/1/0698/3086/9177/files/H1C6JMEBCSR-070.jpg?v=1754490639</t>
  </si>
  <si>
    <t>H1C6JMEBCSR-060</t>
  </si>
  <si>
    <t>sofya-akrilik-eskitme-seffaf-cam-led-sarkit-avize-100cm</t>
  </si>
  <si>
    <t>Sofya Akrilik Eskitme Şeffaf Cam LED Sarkıt Avize 60 cm</t>
  </si>
  <si>
    <t>https://cdn.shopify.com/s/files/1/0698/3086/9177/files/H1C6JMEBCSR-060.jpg?v=1754490640</t>
  </si>
  <si>
    <t>H1C6JMEBCSR-053</t>
  </si>
  <si>
    <t>sofya-akrilik-seffaf-eskitme-cam-led-sarkit-avize-1</t>
  </si>
  <si>
    <t>Sofya Akrilik Şeffaf Eskitme Cam LED Sarkıt Avize 28 cm</t>
  </si>
  <si>
    <t>https://cdn.shopify.com/s/files/1/0698/3086/9177/files/H1C6JMEBCSR-053.jpg?v=1754490641</t>
  </si>
  <si>
    <t>H1C6JMEBCSR-072</t>
  </si>
  <si>
    <t>sofya-akrilik-seffaf-eskitme-cam-led-sarkit-avize</t>
  </si>
  <si>
    <t>Sofya Akrilik Şeffaf Eskitme Cam LED Sarkıt Avize 49 cm</t>
  </si>
  <si>
    <t>https://cdn.shopify.com/s/files/1/0698/3086/9177/files/H1C6JMEBCSR-072.jpg?v=1754490641</t>
  </si>
  <si>
    <t>H1C6JMEERFR-020</t>
  </si>
  <si>
    <t>viyana-eskitme-cam-led-sarkit-avize-20cm</t>
  </si>
  <si>
    <t>Viyana Füme Cam LED Sarkıt Avize 20 cm</t>
  </si>
  <si>
    <t>https://cdn.shopify.com/s/files/1/0698/3086/9177/files/H1C6JMEERFR-020.jpg?v=1754490642</t>
  </si>
  <si>
    <t>H1C6JMEERFR-018</t>
  </si>
  <si>
    <t>viyana-fume-eskitme-cam-sarkit-avize-18cm</t>
  </si>
  <si>
    <t>Viyana Füme Eskitme Cam Sarkıt Avize 18cm</t>
  </si>
  <si>
    <t>https://cdn.shopify.com/s/files/1/0698/3086/9177/files/viyana-fume-cam-sarkit-18cm-2320.jpg?v=1754490643</t>
  </si>
  <si>
    <t>H1C6JMEERFR-031</t>
  </si>
  <si>
    <t>viyana-eskitme-cam-led-sarkit-avize-31cm</t>
  </si>
  <si>
    <t>Viyana Füme Ufo Cam Sarkıt Avize 31 cm</t>
  </si>
  <si>
    <t>https://cdn.shopify.com/s/files/1/0698/3086/9177/files/viyana-fume-ufo-cam-sarkit-31cm-2323.jpg?v=1754490644</t>
  </si>
  <si>
    <t>H1C6JMEERFR-030</t>
  </si>
  <si>
    <t>viyana-fume-eskitme-cam-led-sarkit-avize-30cm</t>
  </si>
  <si>
    <t>Viyana Füme Eskitme Cam LED Sarkıt Avize 30 cm</t>
  </si>
  <si>
    <t>https://cdn.shopify.com/s/files/1/0698/3086/9177/files/viyana-fume-cam-sarkit-30cm-2324.jpg?v=1754490645</t>
  </si>
  <si>
    <t>H1C6JMGJRSU-021</t>
  </si>
  <si>
    <t>odessa-ucgen-led-sarkit-avize</t>
  </si>
  <si>
    <t>Odessa Üçgen LED Sarkıt Avize</t>
  </si>
  <si>
    <t>https://cdn.shopify.com/s/files/1/0698/3086/9177/files/H1C6JMGJRSU-021.jpg?v=1754490645</t>
  </si>
  <si>
    <t>H1W6JRSLCTL-070</t>
  </si>
  <si>
    <t>assos-siyah-led-aplik-70-cm</t>
  </si>
  <si>
    <t>Assos Siyah Led Aplik 70 cm</t>
  </si>
  <si>
    <t>https://cdn.shopify.com/s/files/1/0698/3086/9177/files/H1W6JRSLCTL-070_4.jpg?v=1752138413</t>
  </si>
  <si>
    <t>H1W1JRSECS0-042</t>
  </si>
  <si>
    <t>marsilya-i̇kili-eskitme-siyah-aplik</t>
  </si>
  <si>
    <t>Marsilya İkili Siyah Aplik</t>
  </si>
  <si>
    <t>https://cdn.shopify.com/s/files/1/0698/3086/9177/files/H1W1JRSECS0-042_7bb2b0ca-fa6c-40ae-a8a7-3bea51849910.jpg?v=1754548955</t>
  </si>
  <si>
    <t>H1W3JMEECT0-084</t>
  </si>
  <si>
    <t>lahey-soft-eskitme-aplik</t>
  </si>
  <si>
    <t>Lahey Soft Üçlü Eskitme Aplik</t>
  </si>
  <si>
    <t>https://cdn.shopify.com/s/files/1/0698/3086/9177/files/lahey-uclu-eskitme-aplik-2334.jpg?v=1754548957</t>
  </si>
  <si>
    <t>H1C6JMEWRB0-050</t>
  </si>
  <si>
    <t>lion-eskitme-mermer-led-sarkit-avize-1</t>
  </si>
  <si>
    <t>Lion Eskitme Mermer LED Sarkıt Avize 50 cm</t>
  </si>
  <si>
    <t>https://cdn.shopify.com/s/files/1/0698/3086/9177/files/lion-mermer-eskitme-sarkit-50cm-3602.png?v=1752138418</t>
  </si>
  <si>
    <t>H1C6JMEWRB0-040</t>
  </si>
  <si>
    <t>lion-eskitme-mermer-led-sarkit-avize</t>
  </si>
  <si>
    <t>Lion Eskitme Mermer LED Sarkıt Avize 40 cm</t>
  </si>
  <si>
    <t>https://cdn.shopify.com/s/files/1/0698/3086/9177/files/H1C6JMEWRB0-040_1.jpg?v=1754490646</t>
  </si>
  <si>
    <t>H1C6JMEECS0-022</t>
  </si>
  <si>
    <t>broome-tekli-seffaf-eskitme-cam-led-sarkit-avize-22-cm</t>
  </si>
  <si>
    <t>Broome Tekli Şeffaf Eskitme Cam LED Sarkıt Avize 22 cm</t>
  </si>
  <si>
    <t>https://cdn.shopify.com/s/files/1/0698/3086/9177/files/broome-tekli-seffaf-cam-sarkit-22cm-3680.jpg?v=1752138420</t>
  </si>
  <si>
    <t>H1C6JMEERL0-022</t>
  </si>
  <si>
    <t>broome-tekli-bal-eskitme-cam-led-sarkit-avize-22-cm</t>
  </si>
  <si>
    <t>Broome Tekli Eskitme Bal Cam LED Sarkıt Avize 22 cm</t>
  </si>
  <si>
    <t>https://cdn.shopify.com/s/files/1/0698/3086/9177/files/broome-tekli-bal-cam-sarkit-22cm-2342.jpg?v=1752138420</t>
  </si>
  <si>
    <t>H1C6JMEERF0-022</t>
  </si>
  <si>
    <t>broome-tekli-fume-eskitme-cam-led-sarkit-avize-22-cm</t>
  </si>
  <si>
    <t>Broome Tekli Füme Eskitme Cam LED Sarkıt Avize 22 cm</t>
  </si>
  <si>
    <t>https://cdn.shopify.com/s/files/1/0698/3086/9177/files/broome-tekli-fume-cam-sarkit-22cm-2345.jpg?v=1752138421</t>
  </si>
  <si>
    <t>H1C6JMEECS0-030</t>
  </si>
  <si>
    <t>hobart-tekli-eskitme-seffaf-cam-led-sarkit-avize-30-cm</t>
  </si>
  <si>
    <t>Hobart Tekli Şeffaf Cam LED Sarkıt Avize 30 cm</t>
  </si>
  <si>
    <t>https://cdn.shopify.com/s/files/1/0698/3086/9177/files/hobart-tekli-seffaf-cam-sarkit-30cm-3698.jpg?v=1752138422</t>
  </si>
  <si>
    <t>H1C6JMEERL0-030</t>
  </si>
  <si>
    <t>hobart-tekli-eskitme-bal-cam-led-sarkit-avize-30-cm</t>
  </si>
  <si>
    <t>Hobart Tekli Bal Cam LED Sarkıt Avize 30 cm</t>
  </si>
  <si>
    <t>https://cdn.shopify.com/s/files/1/0698/3086/9177/files/hobart-tekli-bal-cam-sarkit-30cm-3686.jpg?v=1752138423</t>
  </si>
  <si>
    <t>H1C6JMEERF0-030</t>
  </si>
  <si>
    <t>hobart-tekli-eskitme-fume-cam-led-sarkit-avize-30-cm</t>
  </si>
  <si>
    <t>Hobart Tekli Füme Cam LED Sarkıt Avize 30 cm</t>
  </si>
  <si>
    <t>https://cdn.shopify.com/s/files/1/0698/3086/9177/files/hobart-tekli-fume-cam-sarkit-30cm-3692.jpg?v=1752138424</t>
  </si>
  <si>
    <t>H1C6JMEECS0-026</t>
  </si>
  <si>
    <t>hobart-tekli-eskitme-seffaf-cam-led-sarkit-avize-25-cm</t>
  </si>
  <si>
    <t>Hobart Tekli Şeffaf Cam LED Sarkıt Avize 25 cm</t>
  </si>
  <si>
    <t>https://cdn.shopify.com/s/files/1/0698/3086/9177/files/hobart-tekli-seffaf-cam-sarkit-25cm-3696.jpg?v=1752138425</t>
  </si>
  <si>
    <t>H1C6JMEERL0-025</t>
  </si>
  <si>
    <t>hobart-tekli-eskitme-bal-cam-led-sarkit-avize-25-cm</t>
  </si>
  <si>
    <t>Hobart Tekli Bal Cam LED Sarkıt Avize 25 cm</t>
  </si>
  <si>
    <t>https://cdn.shopify.com/s/files/1/0698/3086/9177/files/hobart-tekli-bal-cam-sarkit-25cm-3683.jpg?v=1752138426</t>
  </si>
  <si>
    <t>H1C6JMEERF0-025</t>
  </si>
  <si>
    <t>hobart-tekli-eskitme-fume-cam-led-sarkit-avize-25-cm</t>
  </si>
  <si>
    <t>Hobart Tekli Füme Cam LED Sarkıt Avize 25 cm</t>
  </si>
  <si>
    <t>https://cdn.shopify.com/s/files/1/0698/3086/9177/files/hobart-tekli-fume-cam-sarkit-25cm-3689.jpg?v=1752138427</t>
  </si>
  <si>
    <t>H1C6JMEECSR-040</t>
  </si>
  <si>
    <t>burkina-eskitme-seffaf-cam-led-sarkit-avize-40-cm</t>
  </si>
  <si>
    <t>Burkina Eskitme Şeffaf Cam LED Sarkıt Avize 40 cm</t>
  </si>
  <si>
    <t>https://cdn.shopify.com/s/files/1/0698/3086/9177/files/burkina-sarkit-3614.jpg?v=1752138428</t>
  </si>
  <si>
    <t>H1C6JMEECSR-030</t>
  </si>
  <si>
    <t>burkina-eskitme-seffaf-cam-led-sarkit-avize-30-cm</t>
  </si>
  <si>
    <t>Burkina Eskitme Şeffaf Cam LED Sarkıt Avize 30 cm</t>
  </si>
  <si>
    <t>https://cdn.shopify.com/s/files/1/0698/3086/9177/files/burkina-sarkit-30cm-3607.jpg?v=1752138429</t>
  </si>
  <si>
    <t>H1C6JMEECS0-032</t>
  </si>
  <si>
    <t>ruanda-seffaf-sarkit-avize-32-cm</t>
  </si>
  <si>
    <t>Ruanda Şeffaf Sarkıt Avize 32 cm</t>
  </si>
  <si>
    <t>https://cdn.shopify.com/s/files/1/0698/3086/9177/files/H1C6JMEECS0-032.jpg?v=1754490647</t>
  </si>
  <si>
    <t>H1T1JMGNRBR-070</t>
  </si>
  <si>
    <t>mozambik-gold-masa-lambasi-70-cm</t>
  </si>
  <si>
    <t>Mozambik Gold Masa Lambası 70 cm</t>
  </si>
  <si>
    <t>https://cdn.shopify.com/s/files/1/0698/3086/9177/files/mozambik-masa-lambasi-2496.jpg?v=1752138431</t>
  </si>
  <si>
    <t>H1W6JMELCTL-050</t>
  </si>
  <si>
    <t>assos-eskitme-led-aplik-50-cm</t>
  </si>
  <si>
    <t>Assos Eskitme LED Aplik 50 cm</t>
  </si>
  <si>
    <t>https://cdn.shopify.com/s/files/1/0698/3086/9177/files/H1W6JMELCTL-050.jpg?v=1754548958</t>
  </si>
  <si>
    <t>H1W1JMGNRBR-057</t>
  </si>
  <si>
    <t>mozambik-aplik-57-cm</t>
  </si>
  <si>
    <t>Mozambik Aplik 57 cm</t>
  </si>
  <si>
    <t>https://cdn.shopify.com/s/files/1/0698/3086/9177/files/mozambik-aplik-2361.jpg?v=1754548959</t>
  </si>
  <si>
    <t>H1F1JMGNRBR-165</t>
  </si>
  <si>
    <t>komor-yaprakli-gold-modern-lambader-165-cm</t>
  </si>
  <si>
    <t>Komor Yapraklı Gold Modern Lambader 165 cm</t>
  </si>
  <si>
    <t>https://cdn.shopify.com/s/files/1/0698/3086/9177/files/komor-lambader-2363.jpg?v=1754557817</t>
  </si>
  <si>
    <t>H1C1JMGNRBR-065</t>
  </si>
  <si>
    <t>komor-gold-salon-avize-65-cm</t>
  </si>
  <si>
    <t>Komor Gold Salon Avize 65 cm</t>
  </si>
  <si>
    <t>https://cdn.shopify.com/s/files/1/0698/3086/9177/files/komor-salon-avize-2366.jpg?v=1754490648</t>
  </si>
  <si>
    <t>H1W6JMELCTL-080</t>
  </si>
  <si>
    <t>akra-eskitme-led-aplik-80-cm</t>
  </si>
  <si>
    <t>Akra Eskitme Led Aplik 80 cm</t>
  </si>
  <si>
    <t>https://cdn.shopify.com/s/files/1/0698/3086/9177/files/akra-led-aplik-80cm-2374.jpg?v=1752138436</t>
  </si>
  <si>
    <t>H1W6JMELCTL-060</t>
  </si>
  <si>
    <t>akra-eskitme-led-aplik-60-cm</t>
  </si>
  <si>
    <t>Akra Eskitme Led Aplik 60 cm</t>
  </si>
  <si>
    <t>https://cdn.shopify.com/s/files/1/0698/3086/9177/files/akra-led-aplik-60cm-2473.jpg?v=1754548960</t>
  </si>
  <si>
    <t>H1W3JRSECTD-063</t>
  </si>
  <si>
    <t>afrodit-soft-i̇kili-eskitme-aplik-63-cm</t>
  </si>
  <si>
    <t>Afrodit Soft 2'li Siyah Aplik 63 cm</t>
  </si>
  <si>
    <t>https://cdn.shopify.com/s/files/1/0698/3086/9177/files/afrodit-ikili-siyah-aplik-4606.jpg?v=1754548961</t>
  </si>
  <si>
    <t>H1W3JRSECTD-026</t>
  </si>
  <si>
    <t>afrodit-soft-tekli-siyah-aplik-26-cm</t>
  </si>
  <si>
    <t>Afrodit Soft Tekli Siyah Aplik 26 cm</t>
  </si>
  <si>
    <t>https://cdn.shopify.com/s/files/1/0698/3086/9177/files/afrodit-tekli-aplik-4609.jpg?v=1754548962</t>
  </si>
  <si>
    <t>H1W6JMEWRBR-035</t>
  </si>
  <si>
    <t>kampala-eskitme-mermer-led-aplik-35-cm</t>
  </si>
  <si>
    <t>Kampala Eskitme Mermer LED Aplik 35 cm</t>
  </si>
  <si>
    <t>https://cdn.shopify.com/s/files/1/0698/3086/9177/files/kampala-mermer-aplik-35cm-3544.jpg?v=1752138443</t>
  </si>
  <si>
    <t>H1W6JMEWRBR-030</t>
  </si>
  <si>
    <t>kampala-eskitme-mermer-led-aplik-30-cm</t>
  </si>
  <si>
    <t>Kampala Eskitme Mermer LED Aplik 30 cm</t>
  </si>
  <si>
    <t>https://cdn.shopify.com/s/files/1/0698/3086/9177/files/kampala-mermer-aplik-30cm-3539.jpg?v=1752138444</t>
  </si>
  <si>
    <t>H1C6JMGECS0-040</t>
  </si>
  <si>
    <t>nairobi-tekli-kristal-gold-sarkit-avize-40-cm</t>
  </si>
  <si>
    <t>Nairobi Tekli Kristal Gold Sarkıt Avize 40 cm</t>
  </si>
  <si>
    <t>https://cdn.shopify.com/s/files/1/0698/3086/9177/files/H1C6JMGECS0-040_3.jpg?v=1754490649</t>
  </si>
  <si>
    <t>H1C6JMEECS0-040</t>
  </si>
  <si>
    <t>nairobi-tekli-kristal-eskitme-sarkit-avize-40cm</t>
  </si>
  <si>
    <t>Nairobi Tekli Kristal Eskitme Sarkıt Avize 40 cm</t>
  </si>
  <si>
    <t>https://cdn.shopify.com/s/files/1/0698/3086/9177/files/H1C6JMEECS0-040_1.jpg?v=1754490650</t>
  </si>
  <si>
    <t>H1C6JMGECTR-030</t>
  </si>
  <si>
    <t>apple-opal-cam-led-sarkit-avize-30-cm</t>
  </si>
  <si>
    <t>Apple Opal Cam LED Sarkıt Avize 30 cm</t>
  </si>
  <si>
    <t>https://cdn.shopify.com/s/files/1/0698/3086/9177/files/H1C6JMGECTR-021_dfcc9278-ad59-4b44-8d9f-444cb70e5de5.jpg?v=1752216617</t>
  </si>
  <si>
    <t>H1C6JMGECTR-024</t>
  </si>
  <si>
    <t>apple-opal-cam-led-sarkit-avize-25-cm</t>
  </si>
  <si>
    <t>Apple Opal Cam LED Sarkıt Avize 25 cm</t>
  </si>
  <si>
    <t>https://cdn.shopify.com/s/files/1/0698/3086/9177/files/H1C6JMGECTR-021_093e2a6c-3cd4-4e49-861f-dc7de4c195de.jpg?v=1752216575</t>
  </si>
  <si>
    <t>H1W1JMBWRB0-032</t>
  </si>
  <si>
    <t>ardic-bakir-kucuk-aplik</t>
  </si>
  <si>
    <t>Ardıç Bakır Küçük Aplik</t>
  </si>
  <si>
    <t>https://cdn.shopify.com/s/files/1/0698/3086/9177/files/ardic-bakir-aplik-kucuk-2381.jpg?v=1754548962</t>
  </si>
  <si>
    <t>H1W6WRBJMER-040</t>
  </si>
  <si>
    <t>aspendos-tekli-mermer-eskitme-led-aplik-40-cm</t>
  </si>
  <si>
    <t>Aspendos Tekli Mermer Eskitme LED Aplik 40 cm</t>
  </si>
  <si>
    <t>https://cdn.shopify.com/s/files/1/0698/3086/9177/files/aspendos-tekli-mermer-eskitme-aplik-40cm-2777.jpg?v=1752138452</t>
  </si>
  <si>
    <t>H1W6WRBJMER-030</t>
  </si>
  <si>
    <t>aspendos-tekli-mermer-eskitme-led-aplik-30-cm</t>
  </si>
  <si>
    <t>Aspendos Tekli Mermer Eskitme LED Aplik 30 cm</t>
  </si>
  <si>
    <t>https://cdn.shopify.com/s/files/1/0698/3086/9177/files/aspendos-tekli-mermer-eskitme-aplik-30cm-2772.jpg?v=1752138455</t>
  </si>
  <si>
    <t>H1W6WRBJMER-025</t>
  </si>
  <si>
    <t>aspendos-tekli-mermer-eskitme-led-aplik-25-cm</t>
  </si>
  <si>
    <t>Aspendos Tekli Mermer Eskitme LED Aplik 25 cm</t>
  </si>
  <si>
    <t>https://cdn.shopify.com/s/files/1/0698/3086/9177/files/aspendos-tekli-mermer-eskitme-aplik-25cm-2768.jpg?v=1752138458</t>
  </si>
  <si>
    <t>H1W6JRSLCTL-050</t>
  </si>
  <si>
    <t>assos-siyah-led-aplik-50-cm</t>
  </si>
  <si>
    <t>Assos Siyah LED Aplik 50 cm</t>
  </si>
  <si>
    <t>https://cdn.shopify.com/s/files/1/0698/3086/9177/files/H1W6JRSLCTL-050.jpg?v=1754548963</t>
  </si>
  <si>
    <t>H1W2JMK0000-047</t>
  </si>
  <si>
    <t>brubeck-mat-krom-aplik</t>
  </si>
  <si>
    <t>Brubeck Mat Krom Aplik</t>
  </si>
  <si>
    <t>https://cdn.shopify.com/s/files/1/0698/3086/9177/files/brubeck-mat-krom-aplik-1592.jpg?v=1754548966</t>
  </si>
  <si>
    <t>H1W3JM3ECT0-060</t>
  </si>
  <si>
    <t>celsus-soft-i̇ki-camli-u-model-mat-krom-aplik</t>
  </si>
  <si>
    <t>Celsus Soft İki Camlı U Model Mat Krom Aplik</t>
  </si>
  <si>
    <t>https://cdn.shopify.com/s/files/1/0698/3086/9177/files/H1W3JM3ECT0-060.jpg?v=1752138462</t>
  </si>
  <si>
    <t>H1W3JMKECT0-060</t>
  </si>
  <si>
    <t>celsus-soft-i̇ki-camli-u-model-krom-aplik</t>
  </si>
  <si>
    <t>Celsus Soft İki Camlı U Model Krom Aplik</t>
  </si>
  <si>
    <t>https://cdn.shopify.com/s/files/1/0698/3086/9177/files/H1W3JMKECT0-060.jpg?v=1754548967</t>
  </si>
  <si>
    <t>H1W3JMKECT0-063</t>
  </si>
  <si>
    <t>likya-soft-uc-camli-krom-aplik</t>
  </si>
  <si>
    <t>Likya Soft Üç Camlı Krom Aplik</t>
  </si>
  <si>
    <t>https://cdn.shopify.com/s/files/1/0698/3086/9177/files/H1W3JMKECT0-063.jpg?v=1754548968</t>
  </si>
  <si>
    <t>H1W3JMKWRB0-050</t>
  </si>
  <si>
    <t>hristos-parlak-krom-mermer-aplik-50-cm</t>
  </si>
  <si>
    <t>Hristos Parlak Krom Mermer Aplik 50 cm</t>
  </si>
  <si>
    <t>https://cdn.shopify.com/s/files/1/0698/3086/9177/files/H1W3JMKWRB0-050_5_57ba70cc-828b-488b-8091-08af38849675.jpg?v=1754548969</t>
  </si>
  <si>
    <t>H1W3JM3WRB0-050</t>
  </si>
  <si>
    <t>hristos-mat-krom-mermer-aplik-50-cm</t>
  </si>
  <si>
    <t>Hristos Mat Krom Mermer Aplik 50 cm</t>
  </si>
  <si>
    <t>https://cdn.shopify.com/s/files/1/0698/3086/9177/files/H1W3JMKWRB0-050_2.jpg?v=1754548970</t>
  </si>
  <si>
    <t>H1W3JRSWRB0-050</t>
  </si>
  <si>
    <t>hristos-siyah-mermer-aplik-50-cm</t>
  </si>
  <si>
    <t>Hristos Siyah Mermer Aplik 50 cm</t>
  </si>
  <si>
    <t>https://cdn.shopify.com/s/files/1/0698/3086/9177/files/H1W3JRSWRB0-050-2.jpg?v=1754548971</t>
  </si>
  <si>
    <t>H1W2JRSECS0-040</t>
  </si>
  <si>
    <t>sumela-siyah-cam-aplik-40-cm</t>
  </si>
  <si>
    <t>Sümela Siyah Cam Aplik 40 cm</t>
  </si>
  <si>
    <t>https://cdn.shopify.com/s/files/1/0698/3086/9177/files/IMG_0920.jpg?v=1754548972</t>
  </si>
  <si>
    <t>H1S5CME000T-120</t>
  </si>
  <si>
    <t>selina-eskitme-tirtikli-spot-4x12-cm</t>
  </si>
  <si>
    <t>Selina Eskitme Tırtıklı Spot 4x12 cm</t>
  </si>
  <si>
    <t>https://cdn.shopify.com/s/files/1/0698/3086/9177/files/selina-eskitme-tirtikli-spot-40x120-cm-3554.jpg?v=1752138471</t>
  </si>
  <si>
    <t>H1S5CME000L-120</t>
  </si>
  <si>
    <t>selina-eskitme-duz-spot-4x12cm</t>
  </si>
  <si>
    <t>Selina Eskitme Düz Spot 4x12cm</t>
  </si>
  <si>
    <t>https://cdn.shopify.com/s/files/1/0698/3086/9177/files/H1S5CME000L-120_c0fcd477-c50b-46d3-856d-f9aab4f6d48d.jpg?v=1754054563</t>
  </si>
  <si>
    <t>H1S5CRS000T-120</t>
  </si>
  <si>
    <t>selina-siyah-tirtikli-spot-4x12-cm</t>
  </si>
  <si>
    <t>Selina Siyah Tırtıklı Spot 4x12 cm</t>
  </si>
  <si>
    <t>https://cdn.shopify.com/s/files/1/0698/3086/9177/files/selina-siyah-tirtikli-spot-40x120-cm-3550.jpg?v=1752138472</t>
  </si>
  <si>
    <t>H1S5CRS000L-120</t>
  </si>
  <si>
    <t>selina-siyah-duz-spot-4x12-cm</t>
  </si>
  <si>
    <t>Selina Siyah Düz Spot 4x12 cm</t>
  </si>
  <si>
    <t>https://cdn.shopify.com/s/files/1/0698/3086/9177/files/H1S5CRS000L-120.jpg?v=1754054618</t>
  </si>
  <si>
    <t>H1S5CME000T-210</t>
  </si>
  <si>
    <t>eva-eskitme-tirtikli-spot-6x21-cm</t>
  </si>
  <si>
    <t>Eva Eskitme Tırtıklı Spot 6x21 cm</t>
  </si>
  <si>
    <t>https://cdn.shopify.com/s/files/1/0698/3086/9177/files/H1S5CME000T-210.jpg?v=1754054672</t>
  </si>
  <si>
    <t>H1S5CME000L-210</t>
  </si>
  <si>
    <t>eva-eskitme-duz-spot-6x21-cm</t>
  </si>
  <si>
    <t>Eva Eskitme Düz Spot 6x21 cm</t>
  </si>
  <si>
    <t>https://cdn.shopify.com/s/files/1/0698/3086/9177/files/H1S5CME000L-210.jpg?v=1754054736</t>
  </si>
  <si>
    <t>H1S5CRS000T-210</t>
  </si>
  <si>
    <t>eva-siyah-tirtikli-spot-6x21-cm</t>
  </si>
  <si>
    <t>Eva Siyah Tırtıklı Spot 6x21 cm</t>
  </si>
  <si>
    <t>https://cdn.shopify.com/s/files/1/0698/3086/9177/files/H1S5CRS000T-210_0fc6c275-a263-4657-afbd-d46da8e96f77.jpg?v=1754054788</t>
  </si>
  <si>
    <t>H1S5CRS000L-210</t>
  </si>
  <si>
    <t>eva-siyah-duz-spot-6x21-cm</t>
  </si>
  <si>
    <t>Eva Siyah Düz Spot 6x21 cm</t>
  </si>
  <si>
    <t>https://cdn.shopify.com/s/files/1/0698/3086/9177/files/H1S5CRS000L-210.jpg?v=1754054865</t>
  </si>
  <si>
    <t>H1S5CRB000T-210</t>
  </si>
  <si>
    <t>eva-beyaz-tirtikli-spot-6x21-cm</t>
  </si>
  <si>
    <t>Eva Beyaz Tırtıklı Spot 6x21 cm</t>
  </si>
  <si>
    <t>https://cdn.shopify.com/s/files/1/0698/3086/9177/files/H1S5CRB000T-210.jpg?v=1754055195</t>
  </si>
  <si>
    <t>H1S5CRB000L-210</t>
  </si>
  <si>
    <t>eva-beyaz-duz-spot-6x21-cm</t>
  </si>
  <si>
    <t>Eva Beyaz Düz Spot 6x21 cm</t>
  </si>
  <si>
    <t>https://cdn.shopify.com/s/files/1/0698/3086/9177/files/eva-beyaz-duz-spot-60x210-cm-4691.jpg?v=1752138476</t>
  </si>
  <si>
    <t>H1S5CME000T-140</t>
  </si>
  <si>
    <t>mia-eskitme-tirtikli-spot-6x14-cm</t>
  </si>
  <si>
    <t>Mia Eskitme Tırtıklı Spot 6x14 cm</t>
  </si>
  <si>
    <t>https://cdn.shopify.com/s/files/1/0698/3086/9177/files/mia-eskitme-tirtikli-spot-60x140-cm-4682.jpg?v=1752138477</t>
  </si>
  <si>
    <t>H1S5CME000L-140</t>
  </si>
  <si>
    <t>mia-eskitme-duz-spot-6x14-cm</t>
  </si>
  <si>
    <t>Mia Eskitme Düz Spot 6x14 cm</t>
  </si>
  <si>
    <t>https://cdn.shopify.com/s/files/1/0698/3086/9177/files/mia-eskitme-duz-spot-60x140-cm-4695.jpg?v=1752138478</t>
  </si>
  <si>
    <t>H1S5CRS000T-140</t>
  </si>
  <si>
    <t>mia-siyah-tirtikli-spot-6x14-cm</t>
  </si>
  <si>
    <t>Mia Siyah Tırtıklı Spot 6x14 cm</t>
  </si>
  <si>
    <t>https://cdn.shopify.com/s/files/1/0698/3086/9177/files/mia-siyah-tirtikli-spot-60x140-cm-4678.jpg?v=1752138479</t>
  </si>
  <si>
    <t>H1S5CRS000L-140</t>
  </si>
  <si>
    <t>mia-siyah-duz-spot-6x14-cm</t>
  </si>
  <si>
    <t>Mia Siyah Düz Spot 6x14 cm</t>
  </si>
  <si>
    <t>https://cdn.shopify.com/s/files/1/0698/3086/9177/files/mia-siyah-duz-spot-60x140-cm-4686.jpg?v=1752138479</t>
  </si>
  <si>
    <t>H1S5CRB000T-140</t>
  </si>
  <si>
    <t>mia-beyaz-tirtikli-spot-6x14-cm</t>
  </si>
  <si>
    <t>Mia Beyaz Tırtıklı Spot 6x14 cm</t>
  </si>
  <si>
    <t>https://cdn.shopify.com/s/files/1/0698/3086/9177/files/mia-beyaz-tirtikli-spot-60x140-cm-4673.jpg?v=1752138480</t>
  </si>
  <si>
    <t>H1S5CME000T-090</t>
  </si>
  <si>
    <t>bella-eskitme-tirtikli-spot-6x9-cm</t>
  </si>
  <si>
    <t>Bella Eskitme Tırtıklı Spot 6x9 cm</t>
  </si>
  <si>
    <t>https://cdn.shopify.com/s/files/1/0698/3086/9177/files/bella-eskitme-tirtikli-spot-60x90-cm-4659.jpg?v=1752138481</t>
  </si>
  <si>
    <t>H1S5CME000L-090</t>
  </si>
  <si>
    <t>bella-eskitme-duz-spot-6x9-cm</t>
  </si>
  <si>
    <t>Bella Eskitme Düz Spot 6x9 cm</t>
  </si>
  <si>
    <t>https://cdn.shopify.com/s/files/1/0698/3086/9177/files/bella-eskitme-duz-spot-60x90-cm-4668.jpg?v=1752138482</t>
  </si>
  <si>
    <t>H1S5CRS000T-090</t>
  </si>
  <si>
    <t>bella-siyah-tirtikli-spot-6x9-cm</t>
  </si>
  <si>
    <t>Bella Siyah Tırtıklı Spot 6x9 cm</t>
  </si>
  <si>
    <t>https://cdn.shopify.com/s/files/1/0698/3086/9177/files/bella-siyah-tirtikli-spot-60x90-cm-4654.jpg?v=1752138483</t>
  </si>
  <si>
    <t>H1S5CRS000L-090</t>
  </si>
  <si>
    <t>bella-siyah-duz-spot-6x9-cm</t>
  </si>
  <si>
    <t>Bella Siyah Düz Spot 6x9 cm</t>
  </si>
  <si>
    <t>https://cdn.shopify.com/s/files/1/0698/3086/9177/files/bella-siyah-duz-spot-60x90-cm-4663.jpg?v=1752138484</t>
  </si>
  <si>
    <t>H1S5CRB000T-090</t>
  </si>
  <si>
    <t>bella-beyaz-tirtikli-spot-6x9-cm</t>
  </si>
  <si>
    <t>Bella Beyaz Tırtıklı Spot 6x9 cm</t>
  </si>
  <si>
    <t>https://cdn.shopify.com/s/files/1/0698/3086/9177/files/bella-beyaz-tirtikli-spot-60x90-cm-4649.jpg?v=1752138484</t>
  </si>
  <si>
    <t>H1W6BCSJMG0-012</t>
  </si>
  <si>
    <t>butterlfy-akrilik-gold-kelebek-aplik</t>
  </si>
  <si>
    <t>Butterlfy Akrilik Gold Kelebek Aplik</t>
  </si>
  <si>
    <t>https://cdn.shopify.com/s/files/1/0698/3086/9177/files/butterlfy-akrilik-kelebek-aplik-gold-2414.jpg?v=1754548973</t>
  </si>
  <si>
    <t>H1W6JMEWRB0-062</t>
  </si>
  <si>
    <t>tekfur-beyaz-mermer-aplik-50-cm</t>
  </si>
  <si>
    <t>Tekfur Beyaz Mermer Aplik Büyük</t>
  </si>
  <si>
    <t>https://cdn.shopify.com/s/files/1/0698/3086/9177/files/tekfur-mermer-aplik-4296.jpg?v=1752138486</t>
  </si>
  <si>
    <t>H1W6JMEWRY0-062</t>
  </si>
  <si>
    <t>tekfur-yesil-mermer-aplik-50-cm</t>
  </si>
  <si>
    <t>Tekfur Yeşil Mermer Aplik Büyük</t>
  </si>
  <si>
    <t>https://cdn.shopify.com/s/files/1/0698/3086/9177/files/tekfur-yesil-mermer-aplik-buyuk-3232.jpg?v=1752138487</t>
  </si>
  <si>
    <t>H1W6JMEWRB0-026</t>
  </si>
  <si>
    <t>tekfur-beyaz-mermer-aplik</t>
  </si>
  <si>
    <t>Tekfur Beyaz Mermer Aplik Küçük</t>
  </si>
  <si>
    <t>https://cdn.shopify.com/s/files/1/0698/3086/9177/files/tekfur-mermer-aplik-4287.jpg?v=1754548974</t>
  </si>
  <si>
    <t>H1T6JMEBRLR-049</t>
  </si>
  <si>
    <t>alaca-tekli-akrilik-masa-lambasi</t>
  </si>
  <si>
    <t>Alaca Tekli Akrilik Masa Lambası</t>
  </si>
  <si>
    <t>https://cdn.shopify.com/s/files/1/0698/3086/9177/files/1_771fa8b0-d635-470e-85b5-fc72babf1ce1.jpg?v=1752138489</t>
  </si>
  <si>
    <t>H1S5JRSLCT0-100</t>
  </si>
  <si>
    <t>koza-4lu-siyah-aplik</t>
  </si>
  <si>
    <t>Koza 4'lü Siyah Aplik</t>
  </si>
  <si>
    <t>https://cdn.shopify.com/s/files/1/0698/3086/9177/files/koza-dortlu-siyah-aplik-4647.jpg?v=1752138491</t>
  </si>
  <si>
    <t>H1S5JRSLCT0-074</t>
  </si>
  <si>
    <t>koza-uclu-siyah-aplik</t>
  </si>
  <si>
    <t>Koza Üçlü Siyah Aplik</t>
  </si>
  <si>
    <t>https://cdn.shopify.com/s/files/1/0698/3086/9177/files/koza-uclu-siyah-aplik-4645.jpg?v=1752138492</t>
  </si>
  <si>
    <t>H1S5JMRLCT0-050</t>
  </si>
  <si>
    <t>koza-eskitme-aplik-2li</t>
  </si>
  <si>
    <t>Koza Eskitme Aplik 2'li</t>
  </si>
  <si>
    <t>https://cdn.shopify.com/s/files/1/0698/3086/9177/files/H1S5JMRLCT0-050KOZAIKILIESKITMEAPLIK_2.jpg?v=1754038235</t>
  </si>
  <si>
    <t>H1S5JMELCT0-017</t>
  </si>
  <si>
    <t>koza-tekli-eskitme-aplik</t>
  </si>
  <si>
    <t>Koza Tekli Eskitme Aplik</t>
  </si>
  <si>
    <t>https://cdn.shopify.com/s/files/1/0698/3086/9177/files/H1S5JMELCT0-017_5.jpg?v=1754038169</t>
  </si>
  <si>
    <t>H1W6LRGJRS0-050</t>
  </si>
  <si>
    <t>goreme-led-aplik-50-cm</t>
  </si>
  <si>
    <t>Göreme LED Aplik 50 cm</t>
  </si>
  <si>
    <t>https://cdn.shopify.com/s/files/1/0698/3086/9177/files/goreme-aplik-50cm-3371.png?v=1754548975</t>
  </si>
  <si>
    <t>H1W6JMG000R-035</t>
  </si>
  <si>
    <t>anavarza-gold-led-aplik-4lu</t>
  </si>
  <si>
    <t>Anavarza Gold Led Aplik 4'lü</t>
  </si>
  <si>
    <t>https://cdn.shopify.com/s/files/1/0698/3086/9177/files/anavarza-dortlu-altin-aplik-2423.jpg?v=1754548976</t>
  </si>
  <si>
    <t>H1W3JMEWRB0-050</t>
  </si>
  <si>
    <t>hristos-eskitme-mermer-aplik</t>
  </si>
  <si>
    <t>Hristos Eskitme Mermer Aplik</t>
  </si>
  <si>
    <t>https://cdn.shopify.com/s/files/1/0698/3086/9177/files/hristos-eskitme-mermer-aplik-6366.jpg?v=1754548977</t>
  </si>
  <si>
    <t>H1W2JM10000-047</t>
  </si>
  <si>
    <t>brubeck-eskitme-aplik</t>
  </si>
  <si>
    <t>Brubeck Eskitme Aplik</t>
  </si>
  <si>
    <t>https://cdn.shopify.com/s/files/1/0698/3086/9177/files/brubeck-eskitme-aplik-2425.jpg?v=1754548978</t>
  </si>
  <si>
    <t>H1W6JMEWRBR-025</t>
  </si>
  <si>
    <t>kampala-eskitme-mermer-led-aplik-25-cm</t>
  </si>
  <si>
    <t>Kampala Eskitme Mermer LED Aplik 25 cm</t>
  </si>
  <si>
    <t>https://cdn.shopify.com/s/files/1/0698/3086/9177/files/kampala-mermer-aplik-25cm-3534.jpg?v=1754548979</t>
  </si>
  <si>
    <t>CK2G1C2M2C230</t>
  </si>
  <si>
    <t>fume-4w-2200k-boynuz-kucuk-e27-led-ampul-erd-243</t>
  </si>
  <si>
    <t>Füme 4W 2200K Boynuz Küçük E27 LED Ampul Erd-243</t>
  </si>
  <si>
    <t>https://cdn.shopify.com/s/files/1/0698/3086/9177/files/erd-243-fume-4w-2200k-boynuz-kucuk-e27-led-ampul-2430.jpg?v=1752138501</t>
  </si>
  <si>
    <t>CK2G1C2M2E240</t>
  </si>
  <si>
    <t>fume-6w-2200k-boynuz-buyuk-e27-led-ampul-erd-242</t>
  </si>
  <si>
    <t>Füme 6W 2200K Boynuz Büyük E27 LED Ampul Erd-242</t>
  </si>
  <si>
    <t>https://cdn.shopify.com/s/files/1/0698/3086/9177/files/erd-242-fume-6w-2200k-boynuz-buyuk-e27-led-ampul-2431.jpg?v=1752138501</t>
  </si>
  <si>
    <t>H1W6JMKLCTL-070</t>
  </si>
  <si>
    <t>assos-krom-led-aplik-70-cm</t>
  </si>
  <si>
    <t>Assos Krom LED Aplik 70 cm</t>
  </si>
  <si>
    <t>https://cdn.shopify.com/s/files/1/0698/3086/9177/files/11_fd0c9384-0e78-441f-af0c-3ee6b3f01572.jpg?v=1752138502</t>
  </si>
  <si>
    <t>CK2G1C1M2C2F0</t>
  </si>
  <si>
    <t>kaya-bal-led-ampul-4w-2200k-e27-erd-21</t>
  </si>
  <si>
    <t>Kaya Bal LED Ampul 4W 2200K E27 Erd-21</t>
  </si>
  <si>
    <t>https://cdn.shopify.com/s/files/1/0698/3086/9177/files/kaya-bal-led-ampul-4w-2200k-e27-erd-21-6365.jpg?v=1752138503</t>
  </si>
  <si>
    <t>CK2G1C2M2C2F0</t>
  </si>
  <si>
    <t>kaya-fume-led-ampul-4w-2200k-e27-erd-22</t>
  </si>
  <si>
    <t>Kaya Füme LED Ampul 4W 2200K E27 Erd-22</t>
  </si>
  <si>
    <t>https://cdn.shopify.com/s/files/1/0698/3086/9177/files/kaya-fume-led-ampul-4w-2200k-e27-erd-22-6364.jpg?v=1752138504</t>
  </si>
  <si>
    <t>CK2G1C1M2G2L0</t>
  </si>
  <si>
    <t>bal-led-ampul-8w-2200k-e27-erd-70</t>
  </si>
  <si>
    <t>Bal LED Ampul 8W 2200K E27 Erd-70</t>
  </si>
  <si>
    <t>https://cdn.shopify.com/s/files/1/0698/3086/9177/files/bal-led-ampul-8w-2200k-e27-erd-70-6362.jpg?v=1752138504</t>
  </si>
  <si>
    <t>H1W6JMKLCTL-050</t>
  </si>
  <si>
    <t>assos-krom-led-aplik-50-cm</t>
  </si>
  <si>
    <t>Assos Krom LED Aplik 50 cm</t>
  </si>
  <si>
    <t>https://cdn.shopify.com/s/files/1/0698/3086/9177/files/6_cef061b8-d5a6-41e5-ba86-673cf0d23904.jpg?v=1754548980</t>
  </si>
  <si>
    <t>H1W2JM3ECT0-042</t>
  </si>
  <si>
    <t>capella-mat-krom-aplik</t>
  </si>
  <si>
    <t>Capella Mat Krom Aplik</t>
  </si>
  <si>
    <t>https://cdn.shopify.com/s/files/1/0698/3086/9177/files/capella-mat-krom-aplik-2801.jpg?v=1754548981</t>
  </si>
  <si>
    <t>T1C2JMK000L-009</t>
  </si>
  <si>
    <t>arvika-dekoratif-krom-duy</t>
  </si>
  <si>
    <t>Arvika Dekoratif Krom Duy</t>
  </si>
  <si>
    <t>https://cdn.shopify.com/s/files/1/0698/3086/9177/files/arvika-dekoratif-krom-duy-1398.jpg?v=1752138506</t>
  </si>
  <si>
    <t>H1W6JMELCTL-100</t>
  </si>
  <si>
    <t>assos-eskitme-led-aplik-100-cm</t>
  </si>
  <si>
    <t>Assos Eskitme LED Aplik 100 cm</t>
  </si>
  <si>
    <t>https://cdn.shopify.com/s/files/1/0698/3086/9177/files/H1W6JMELCTL-100.jpg?v=1752138507</t>
  </si>
  <si>
    <t>H1W6JMELCTL-070</t>
  </si>
  <si>
    <t>assos-eskitme-led-aplik-70-cm</t>
  </si>
  <si>
    <t>Assos Eskitme LED Aplik 70 cm</t>
  </si>
  <si>
    <t>https://cdn.shopify.com/s/files/1/0698/3086/9177/files/H1W6JMELCTL-070.jpg?v=1752138508</t>
  </si>
  <si>
    <t>H1C6WRBJMER-040</t>
  </si>
  <si>
    <t>aspendos-tekli-eskitme-mermer-led-sarkit-avize-40-cm</t>
  </si>
  <si>
    <t>Aspendos Tekli Eskitme Mermer LED Sarkıt Avize 40 cm</t>
  </si>
  <si>
    <t>https://cdn.shopify.com/s/files/1/0698/3086/9177/files/aspendos-tekli-mermer-eskitme-sarkit-40cm-2442.jpg?v=1752138508</t>
  </si>
  <si>
    <t>H1W5WRSJME0-027</t>
  </si>
  <si>
    <t>erciyes-siyah-eskitme-mermer-aplik</t>
  </si>
  <si>
    <t>Erciyes Siyah Eskitme Mermer Aplik</t>
  </si>
  <si>
    <t>https://cdn.shopify.com/s/files/1/0698/3086/9177/files/erciyes-siyah-mermer-aplik-1366.jpg?v=1754548983</t>
  </si>
  <si>
    <t>T1C2JME000T-010</t>
  </si>
  <si>
    <t>avesta-dekoratif-eskitme-duy</t>
  </si>
  <si>
    <t>Avesta Dekoratif Eskitme Duy</t>
  </si>
  <si>
    <t>https://cdn.shopify.com/s/files/1/0698/3086/9177/files/avesta-dekoratif-eskitme-duy-1364.jpg?v=1752138511</t>
  </si>
  <si>
    <t>H1W3JME000R-030</t>
  </si>
  <si>
    <t>salyan-dovmeli-eskitme-aplik-30cm</t>
  </si>
  <si>
    <t>Salyan Dövmeli Eskitme Aplik 30 cm</t>
  </si>
  <si>
    <t>https://cdn.shopify.com/s/files/1/0698/3086/9177/files/H1W3JME000R-030_4.jpg?v=1754548983</t>
  </si>
  <si>
    <t>T1C2ERFJMER-050</t>
  </si>
  <si>
    <t>karatay-fume-cam-sarkit-avize-50-cm</t>
  </si>
  <si>
    <t>Karatay Füme Cam Sarkıt Avize 50 cm</t>
  </si>
  <si>
    <t>https://cdn.shopify.com/s/files/1/0698/3086/9177/files/karatay-cam-sarkit-3674.jpg?v=1752138513</t>
  </si>
  <si>
    <t>T1C2ERLJMER-050</t>
  </si>
  <si>
    <t>karatay-bal-cam-sarkit-avize-50-cm</t>
  </si>
  <si>
    <t>Karatay Bal Cam Sarkıt Avize 50 cm</t>
  </si>
  <si>
    <t>https://cdn.shopify.com/s/files/1/0698/3086/9177/files/karatay-cam-sarkit-3675.jpg?v=1752138514</t>
  </si>
  <si>
    <t>H1C6WRBJMER-030</t>
  </si>
  <si>
    <t>aspendos-tekli-eskitme-mermer-led-sarkit-avize-30-cm</t>
  </si>
  <si>
    <t>Aspendos Tekli Eskitme Mermer LED Sarkıt Avize 30 cm</t>
  </si>
  <si>
    <t>https://cdn.shopify.com/s/files/1/0698/3086/9177/files/aspendos-tekli-mermer-eskitme-sarkit-2849.jpg?v=1752138514</t>
  </si>
  <si>
    <t>H1C6WRBJMER-025</t>
  </si>
  <si>
    <t>aspendos-tekli-eskitme-mermer-led-sarkit-avize-25-cm</t>
  </si>
  <si>
    <t>Aspendos Tekli Eskitme Mermer LED Sarkıt Avize 25 cm</t>
  </si>
  <si>
    <t>https://cdn.shopify.com/s/files/1/0698/3086/9177/files/aspendos-tekli-mermer-eskitme-sarkit-2848.jpg?v=1752138515</t>
  </si>
  <si>
    <t>H1W2JMEECS0-060</t>
  </si>
  <si>
    <t>sumela-eskitme-cam-aplik-60-cm</t>
  </si>
  <si>
    <t>Sümela Eskitme Cam Aplik 60 cm</t>
  </si>
  <si>
    <t>https://cdn.shopify.com/s/files/1/0698/3086/9177/files/H1W2JMEECS0-060.jpg?v=1754548985</t>
  </si>
  <si>
    <t>H1C2JMEECT0-030</t>
  </si>
  <si>
    <t>berde-soft-pirinc-eskitme-aplik-30-cm</t>
  </si>
  <si>
    <t>Berde Soft Pirinç Eskitme Sarkıt 30 cm</t>
  </si>
  <si>
    <t>https://cdn.shopify.com/s/files/1/0698/3086/9177/files/berde-pirinc-eskitme-sarkit-30cm-2449.jpg?v=1752138517</t>
  </si>
  <si>
    <t>H1C2JMEECT0-025</t>
  </si>
  <si>
    <t>berde-soft-pirinc-eskitme-aplik-25-cm</t>
  </si>
  <si>
    <t>Berde Soft Pirinç Eskitme Sarkıt 25 cm</t>
  </si>
  <si>
    <t>https://cdn.shopify.com/s/files/1/0698/3086/9177/files/H1C2JMEECT0-025.jpg?v=1754490651</t>
  </si>
  <si>
    <t>H1W6JMEWRBR-020</t>
  </si>
  <si>
    <t>kampala-eskitme-mermer-led-aplik-20-cm</t>
  </si>
  <si>
    <t>Kampala Eskitme Mermer LED Aplik 20 cm</t>
  </si>
  <si>
    <t>https://cdn.shopify.com/s/files/1/0698/3086/9177/files/kampala-eskitme-mermer-led-aplik-20-cm-6363.jpg?v=1752138520</t>
  </si>
  <si>
    <t>T1C2JME000L-009</t>
  </si>
  <si>
    <t>arvika-dekoratif-eskitme-duy</t>
  </si>
  <si>
    <t>Arvika Dekoratif Eskitme Duy</t>
  </si>
  <si>
    <t>https://cdn.shopify.com/s/files/1/0698/3086/9177/files/arvika-dekoratif-eskitme-duy-1305.jpg?v=1752138522</t>
  </si>
  <si>
    <t>H1C2ERFJMER-035</t>
  </si>
  <si>
    <t>karatay-fume-cam-sarkit-avize-35-cm</t>
  </si>
  <si>
    <t>Karatay Füme Cam Sarkıt Avize 35 cm</t>
  </si>
  <si>
    <t>https://cdn.shopify.com/s/files/1/0698/3086/9177/files/karatay-cam-sarkit-3676.jpg?v=1752138523</t>
  </si>
  <si>
    <t>H1C2ERLJMER-035</t>
  </si>
  <si>
    <t>karatay-bal-cam-sarkit-avize-35-cm</t>
  </si>
  <si>
    <t>Karatay Bal Cam Sarkıt Avize 35 cm</t>
  </si>
  <si>
    <t>https://cdn.shopify.com/s/files/1/0698/3086/9177/files/karatay-cam-sarkit-3677.jpg?v=1752138523</t>
  </si>
  <si>
    <t>H1C2ERFJMER-025</t>
  </si>
  <si>
    <t>karatay-fume-cam-sarkit-avize-25-cm</t>
  </si>
  <si>
    <t>Karatay Füme Cam Sarkıt Avize 25 cm</t>
  </si>
  <si>
    <t>https://cdn.shopify.com/s/files/1/0698/3086/9177/files/karatay-fume-cam-sarkit-25cm-2459.jpg?v=1754490652</t>
  </si>
  <si>
    <t>H1S5CMB000T-120</t>
  </si>
  <si>
    <t>selina-bakir-tirtikli-spot-4x12-cm</t>
  </si>
  <si>
    <t>Selina Bakır Tırtıklı Spot 4x12 cm</t>
  </si>
  <si>
    <t>https://cdn.shopify.com/s/files/1/0698/3086/9177/files/selina-tirtikli-spot-40x120-cm-3558.jpg?v=1752138524</t>
  </si>
  <si>
    <t>H1C6JMEWRBR-080</t>
  </si>
  <si>
    <t>ekho-eskitme-mermer-salon-sarkit-avize-80-cm</t>
  </si>
  <si>
    <t>Ekho Eskitme Mermer Salon Sarkıt Avize 80 cm</t>
  </si>
  <si>
    <t>https://cdn.shopify.com/s/files/1/0698/3086/9177/files/H1C6JMEWRBR-080_3.jpg?v=1754490653</t>
  </si>
  <si>
    <t>portobello-3-renkli-wenge-sarjli-dokunmatik-ahsap-masa-lambasi</t>
  </si>
  <si>
    <t>Portobello Wenge Şarjlı Dokunmatik Ahşap Masa Lambası</t>
  </si>
  <si>
    <t>https://cdn.shopify.com/s/files/1/0698/3086/9177/files/F1T6AAWAA1R-035-12.jpg?v=1752138526</t>
  </si>
  <si>
    <t>H1F6JMEERLR-167</t>
  </si>
  <si>
    <t>viyana-bal-cam-lambader</t>
  </si>
  <si>
    <t>Viyana Bal Cam Lambader</t>
  </si>
  <si>
    <t>https://cdn.shopify.com/s/files/1/0698/3086/9177/files/viyana-bal-cam-lambader-1225.jpg?v=1754557817</t>
  </si>
  <si>
    <t>H1C6WRBJME0-040</t>
  </si>
  <si>
    <t>hera-beyaz-mermer-sarkit-avize-40-cm</t>
  </si>
  <si>
    <t>Hera Beyaz Mermer Sarkıt Avize 40 cm</t>
  </si>
  <si>
    <t>https://cdn.shopify.com/s/files/1/0698/3086/9177/files/hera-eskitme-mermer-led-sarkit-1224.jpg?v=1754490654</t>
  </si>
  <si>
    <t>H1W6JMEWRBR-048</t>
  </si>
  <si>
    <t>efes-eskitme-mermer-led-aplik</t>
  </si>
  <si>
    <t>Efes Eskitme Mermer LED Aplik</t>
  </si>
  <si>
    <t>https://cdn.shopify.com/s/files/1/0698/3086/9177/files/H1W6JMEWRBR-048.jpg?v=1754548987</t>
  </si>
  <si>
    <t>CK2G1C2I2D2Y1</t>
  </si>
  <si>
    <t>fume-5w-2200k-istanbul-e27-led-ampul-erd-1453-2</t>
  </si>
  <si>
    <t>Füme 5W 2200K İstanbul E27 LED Ampul Erd-1453/2</t>
  </si>
  <si>
    <t>https://cdn.shopify.com/s/files/1/0698/3086/9177/files/heka-smart-home-sarkit-avize-istanbul-figurlu-fume-cam-1220.jpg?v=1752138534</t>
  </si>
  <si>
    <t>F1C2AAWDRBR-048</t>
  </si>
  <si>
    <t>papirus-orta-boy-wenge-sarkit-avize</t>
  </si>
  <si>
    <t>Papirus Orta Boy Wenge Sarkıt Avize</t>
  </si>
  <si>
    <t>https://cdn.shopify.com/s/files/1/0698/3086/9177/files/papirus-orta-boy-wenge-sarkit-1218.jpg?v=1752138535</t>
  </si>
  <si>
    <t>F1W5AA1JSRH-007</t>
  </si>
  <si>
    <t>niagara-ahsap-siyah-aplik</t>
  </si>
  <si>
    <t>Niagara Tekli Ahşap Siyah Aplik</t>
  </si>
  <si>
    <t>https://cdn.shopify.com/s/files/1/0698/3086/9177/files/niagara-ahsap-siyah-aplik-1203.jpg?v=1754047113</t>
  </si>
  <si>
    <t>F1W5AAJJSRH-007</t>
  </si>
  <si>
    <t>angel-tekli-ahsap-siyah-aplik</t>
  </si>
  <si>
    <t>Angel Tekli Ahşap Siyah Aplik</t>
  </si>
  <si>
    <t>https://cdn.shopify.com/s/files/1/0698/3086/9177/files/angel-ahsap-siyah-aplik-1194.jpg?v=1754053273</t>
  </si>
  <si>
    <t>F1W5AAWJSRH-007</t>
  </si>
  <si>
    <t>victoria-ahsap-siyah-aplik</t>
  </si>
  <si>
    <t>Victoria Tekli Ahşap Siyah Aplik</t>
  </si>
  <si>
    <t>https://cdn.shopify.com/s/files/1/0698/3086/9177/files/victoria-ahsap-siyah-aplik-1185.jpg?v=1754054090</t>
  </si>
  <si>
    <t>F1W5AA1JBRH-007</t>
  </si>
  <si>
    <t>niagara-ahsap-beyaz-aplik</t>
  </si>
  <si>
    <t>Niagara Tekli Ahşap Beyaz Aplik</t>
  </si>
  <si>
    <t>https://cdn.shopify.com/s/files/1/0698/3086/9177/files/niagara-ahsap-beyaz-aplik-1168.jpg?v=1754047080</t>
  </si>
  <si>
    <t>F1W5AAJJBRH-007</t>
  </si>
  <si>
    <t>angel-tekli-ahsap-beyaz-aplik</t>
  </si>
  <si>
    <t>Angel Tekli Ahşap Beyaz Aplik</t>
  </si>
  <si>
    <t>https://cdn.shopify.com/s/files/1/0698/3086/9177/files/angel-ahsap-beyaz-aplik-1159.jpg?v=1754053247</t>
  </si>
  <si>
    <t>F1W5AAWJBRH-007</t>
  </si>
  <si>
    <t>victoria-ahsap-beyaz-aplik</t>
  </si>
  <si>
    <t>Victoria Tekli Ahşap Beyaz Aplik</t>
  </si>
  <si>
    <t>https://cdn.shopify.com/s/files/1/0698/3086/9177/files/victoria-ahsap-beyaz-aplik-1150.jpg?v=1754053163</t>
  </si>
  <si>
    <t>F1W5AA1JEMH-007</t>
  </si>
  <si>
    <t>niagara-ahsap-eskitme-aplik</t>
  </si>
  <si>
    <t>Niagara Tekli Ahşap Eskitme Aplik</t>
  </si>
  <si>
    <t>https://cdn.shopify.com/s/files/1/0698/3086/9177/files/niagara-ahsap-eskitme-aplik-1141.jpg?v=1754047032</t>
  </si>
  <si>
    <t>F1W5AAJJEMH-007</t>
  </si>
  <si>
    <t>angel-tekli-ahsap-eskitme-aplik</t>
  </si>
  <si>
    <t>Angel Tekli Ahşap Eskitme Aplik</t>
  </si>
  <si>
    <t>https://cdn.shopify.com/s/files/1/0698/3086/9177/files/angel-ahsap-eskitme-aplik-1121.jpg?v=1754053108</t>
  </si>
  <si>
    <t>F1W5AAWJEMH-007</t>
  </si>
  <si>
    <t>victoria-ahsap-eskitme-aplik</t>
  </si>
  <si>
    <t>Victoria Tekli Ahşap Eskitme Aplik</t>
  </si>
  <si>
    <t>https://cdn.shopify.com/s/files/1/0698/3086/9177/files/victoria-ahsap-eskitme-aplik-1112.jpg?v=1754053137</t>
  </si>
  <si>
    <t>F1C5DRBAAW0-030</t>
  </si>
  <si>
    <t>bono-wenge-beyaz-ahsap-beton-sarkit-avize</t>
  </si>
  <si>
    <t>Bono Wenge Beyaz Ahşap Beton GU10 Sarkıt Avize</t>
  </si>
  <si>
    <t>https://cdn.shopify.com/s/files/1/0698/3086/9177/files/bono-wenge-ahsap-beton-beyaz-sarkit-1102.jpg?v=1754490654</t>
  </si>
  <si>
    <t>F1C5DRGAAW0-030</t>
  </si>
  <si>
    <t>bono-wenge-gri-ahsap-beton-sarkit-avize</t>
  </si>
  <si>
    <t>Bono Wenge Gri Ahşap Beton GU10 Sarkıt Avize</t>
  </si>
  <si>
    <t>https://cdn.shopify.com/s/files/1/0698/3086/9177/files/bono-wenge-ahsap-beton-gri-sarkit-1099.jpg?v=1754490655</t>
  </si>
  <si>
    <t>H1W4JMG000P-070</t>
  </si>
  <si>
    <t>hatila-altin-led-aplik</t>
  </si>
  <si>
    <t>Hatila Altın LED Aplik</t>
  </si>
  <si>
    <t>https://cdn.shopify.com/s/files/1/0698/3086/9177/files/hatila-led-aplik-4360.jpg?v=1754548988</t>
  </si>
  <si>
    <t>H1C3ECSJMEY-045</t>
  </si>
  <si>
    <t>aspar-9lu-eskitme-cam-salon-avize</t>
  </si>
  <si>
    <t>Aspar 9'lu Eskitme Cam Salon Avize</t>
  </si>
  <si>
    <t>https://cdn.shopify.com/s/files/1/0698/3086/9177/files/aspar-9-camli-eskitme-salon-avize-1069.jpg?v=1754490656</t>
  </si>
  <si>
    <t>H1C3ECSJMEY-050</t>
  </si>
  <si>
    <t>aspar-12li-eskitme-cam-salon-avize</t>
  </si>
  <si>
    <t>Aspar 12'li Eskitme Cam Salon Avize</t>
  </si>
  <si>
    <t>https://cdn.shopify.com/s/files/1/0698/3086/9177/files/aspar-12-camli-eskitme-salon-avize-1067.jpg?v=1754490657</t>
  </si>
  <si>
    <t>H1C3ECSJMED-100</t>
  </si>
  <si>
    <t>aspar-8li-eskitme-cam-yemek-masa-ustu-avize</t>
  </si>
  <si>
    <t>Aspar 8'li Eskitme Cam Yemek Masa Üstü Avize</t>
  </si>
  <si>
    <t>https://cdn.shopify.com/s/files/1/0698/3086/9177/files/aspar-8-camli-eskitme-yemek-masasi-avize-1065.jpg?v=1754490657</t>
  </si>
  <si>
    <t>H1C6JMEWRBU-090</t>
  </si>
  <si>
    <t>orkos-5li-mermer-sarkit-avize-90-cm</t>
  </si>
  <si>
    <t>Orkos 5'li Mermer Sarkıt Avize 90 cm</t>
  </si>
  <si>
    <t>https://cdn.shopify.com/s/files/1/0698/3086/9177/files/orkos-besli-mermer-sarkit-1053.jpg?v=1754490658</t>
  </si>
  <si>
    <t>H1C6JMEWRBU-060</t>
  </si>
  <si>
    <t>orkos-3lu-mermer-sarkit-avize-60-cm</t>
  </si>
  <si>
    <t>Orkos 3'lü Mermer Sarkıt Avize 60 cm</t>
  </si>
  <si>
    <t>https://cdn.shopify.com/s/files/1/0698/3086/9177/files/H1C6JMEWRBU-060.jpg?v=1754490659</t>
  </si>
  <si>
    <t>H1C6JMEWRBR-100</t>
  </si>
  <si>
    <t>orkos-mermer-sarkit-avize-100-cm</t>
  </si>
  <si>
    <t>Orkos Mermer Sarkıt Avize 100 cm</t>
  </si>
  <si>
    <t>https://cdn.shopify.com/s/files/1/0698/3086/9177/files/H1C6JMEWRBR-100_ebbdaee7-9ebe-413b-995b-73f18dbbc6e4.jpg?v=1754490660</t>
  </si>
  <si>
    <t>H1C3JMEWRBC-060</t>
  </si>
  <si>
    <t>hermes-beyaz-mermer-led-sarkit-avize</t>
  </si>
  <si>
    <t>Hermes Beyaz Mermer LED Sarkıt Avize</t>
  </si>
  <si>
    <t>https://cdn.shopify.com/s/files/1/0698/3086/9177/files/hermes-beyaz-mermer-led-sarkit-1045.jpg?v=1754490661</t>
  </si>
  <si>
    <t>H1C5JRVDRB0-035</t>
  </si>
  <si>
    <t>kovak-tekli-beyaz-beton-sarkit-avize</t>
  </si>
  <si>
    <t>Kovak Tekli Beyaz Beton GU10 Sarkıt Avize</t>
  </si>
  <si>
    <t>https://cdn.shopify.com/s/files/1/0698/3086/9177/files/kovak-tekli-beton-led-sarkit-4491.jpg?v=1754575437</t>
  </si>
  <si>
    <t>H1C2JRVDRS0-020</t>
  </si>
  <si>
    <t>zada-tekli-siyah-beton-sarkit-avize</t>
  </si>
  <si>
    <t>Zada Tekli Siyah Beton E27 Sarkıt Avize</t>
  </si>
  <si>
    <t>https://cdn.shopify.com/s/files/1/0698/3086/9177/files/zada-tekli-beton-led-sarkit-4470.jpg?v=1754575336</t>
  </si>
  <si>
    <t>H1C6DRBJME0-025</t>
  </si>
  <si>
    <t>salik-eskitme-beyaz-beton-led-sarkit-25-cm</t>
  </si>
  <si>
    <t>Şalık Eskitme Beyaz Beton LED Sarkıt 25 cm</t>
  </si>
  <si>
    <t>https://cdn.shopify.com/s/files/1/0698/3086/9177/files/salik-eskitme-beyaz-beton-led-sarkit-1034.jpg?v=1752138558</t>
  </si>
  <si>
    <t>H1C6DRSJME0-025</t>
  </si>
  <si>
    <t>salik-eskitme-siyah-beton-led-sarkit-25-cm</t>
  </si>
  <si>
    <t>Şalık Eskitme Siyah Beton LED Sarkıt 25 cm</t>
  </si>
  <si>
    <t>https://cdn.shopify.com/s/files/1/0698/3086/9177/files/salik-eskitme-siyah-beton-led-sarkit-1031.jpg?v=1752138559</t>
  </si>
  <si>
    <t>H1W6JME0000-052</t>
  </si>
  <si>
    <t>athena-eskitme-led-aplik-52-cm</t>
  </si>
  <si>
    <t>Athena Eskitme Led Aplik 52 cm</t>
  </si>
  <si>
    <t>https://cdn.shopify.com/s/files/1/0698/3086/9177/files/athena-eskitme-led-aplik-1021.jpg?v=1752138562</t>
  </si>
  <si>
    <t>H1C6JRSJRB0-015</t>
  </si>
  <si>
    <t>uranus-beyaz-led-sarkit-avize</t>
  </si>
  <si>
    <t>Uranus Beyaz LED Sarkıt Avize</t>
  </si>
  <si>
    <t>https://cdn.shopify.com/s/files/1/0698/3086/9177/files/uranus-led-sarkit-2584.jpg?v=1754490662</t>
  </si>
  <si>
    <t>H1C6JMGBRRR-050</t>
  </si>
  <si>
    <t>asena-6li-salon-akrilik-led-sarkit-avize</t>
  </si>
  <si>
    <t>Asena 6'lı Salon Akrilik LED Sarkıt Avize</t>
  </si>
  <si>
    <t>https://cdn.shopify.com/s/files/1/0698/3086/9177/files/asena-6-li-salon-akrilik-led-sarkit-avize-1001.jpg?v=1754490662</t>
  </si>
  <si>
    <t>H1C6JMGBRRR-117</t>
  </si>
  <si>
    <t>asena-5li-akrilik-yemek-masa-ustu-led-sarkit-avize</t>
  </si>
  <si>
    <t>Asena 5'li Akrilik Yemek Masa Üstü LED Sarkıt Avize</t>
  </si>
  <si>
    <t>https://cdn.shopify.com/s/files/1/0698/3086/9177/files/asena-5-li-yemek-masasi-akrilik-led-aplik-998.jpg?v=1754490663</t>
  </si>
  <si>
    <t>H1C6JMEECSR-050</t>
  </si>
  <si>
    <t>mergen-7li-eskitme-salon-sarkit-avize</t>
  </si>
  <si>
    <t>Mergen 7'Li Eskitme Salon Sarkıt Avize</t>
  </si>
  <si>
    <t>https://cdn.shopify.com/s/files/1/0698/3086/9177/files/H1C6JMEECSR-050.jpg?v=1754490664</t>
  </si>
  <si>
    <t>H1C6JMEECSD-100</t>
  </si>
  <si>
    <t>mergen-7li-eskitme-yemek-masa-ustu-sarkit-avize</t>
  </si>
  <si>
    <t>Mergen 7'li Eskitme Yemek Masa Üstü Sarkıt Avize</t>
  </si>
  <si>
    <t>https://cdn.shopify.com/s/files/1/0698/3086/9177/files/mergen-7-li-eskitme-yemek-masasi-sarkit-988.jpg?v=1754490664</t>
  </si>
  <si>
    <t>H1C6JMEWRBR-062</t>
  </si>
  <si>
    <t>rabat-3lu-mermer-eskitme-plafonyer-avize</t>
  </si>
  <si>
    <t>Rabat 3'lü Mermer Eskitme Plafonyer Avize</t>
  </si>
  <si>
    <t>https://cdn.shopify.com/s/files/1/0698/3086/9177/files/rabat-uclu-mermer-eskitme-plafonyer-986.jpg?v=1754490665</t>
  </si>
  <si>
    <t>H1C6VRSERF0-120</t>
  </si>
  <si>
    <t>kinsasa-siyah-deri-dort-fume-cam-plafonyer</t>
  </si>
  <si>
    <t>Kinşasa Siyah Deri Dört Füme Cam Plafonyer</t>
  </si>
  <si>
    <t>https://cdn.shopify.com/s/files/1/0698/3086/9177/files/kinsasa-siyah-deri-dort-fume-cam-plafonyer-5121.jpg?v=1754490666</t>
  </si>
  <si>
    <t>H1C6JMEWRBR-065</t>
  </si>
  <si>
    <t>rabat-2li-mermer-eskitme-plafonyer-avize</t>
  </si>
  <si>
    <t>Rabat 2'li Mermer Eskitme Plafonyer Avize</t>
  </si>
  <si>
    <t>https://cdn.shopify.com/s/files/1/0698/3086/9177/files/rabat-ikili-mermer-eskitme-plafonyer-984.jpg?v=1754490668</t>
  </si>
  <si>
    <t>H1C6JMEECSC-022</t>
  </si>
  <si>
    <t>dubbo-cam-altin-led-sarkit-avize</t>
  </si>
  <si>
    <t>Dubbo Tekli Cam Altın LED Sarkıt Avize</t>
  </si>
  <si>
    <t>https://cdn.shopify.com/s/files/1/0698/3086/9177/files/H1C6JMEECSC-022.jpg?v=1754490669</t>
  </si>
  <si>
    <t>H1C6JMEBCSR-028</t>
  </si>
  <si>
    <t>hakone-eskitme-altin-led-sarkit-avize-28-cm</t>
  </si>
  <si>
    <t>Hakone Eskitme Altın LED Sarkıt Avize 28 cm</t>
  </si>
  <si>
    <t>https://cdn.shopify.com/s/files/1/0698/3086/9177/files/hakone-altin-sarkit-973.jpg?v=1754490670</t>
  </si>
  <si>
    <t>H1C6JMEWRBR-025</t>
  </si>
  <si>
    <t>delhi-mermer-eskitme-led-sarkit-avize-25-cm</t>
  </si>
  <si>
    <t>Delhi Mermer Eskitme LED Sarkıt Avize 25 cm</t>
  </si>
  <si>
    <t>https://cdn.shopify.com/s/files/1/0698/3086/9177/files/H1C6JMEWRBR-025.jpg?v=1754490671</t>
  </si>
  <si>
    <t>https://cdn.shopify.com/s/files/1/0698/3086/9177/files/dakar-eskitme-sarkit-954.jpg?v=1754490672</t>
  </si>
  <si>
    <t>H1W6JMEECT0-055</t>
  </si>
  <si>
    <t>toronto-soft-eskitme-led-aplik</t>
  </si>
  <si>
    <t>Toronto Soft Eskitme LED Aplik</t>
  </si>
  <si>
    <t>https://cdn.shopify.com/s/files/1/0698/3086/9177/files/toronto-eskitme-aplik-4538.jpg?v=1754548989</t>
  </si>
  <si>
    <t>H1W2JMEJRS0-030</t>
  </si>
  <si>
    <t>nara-eskitme-siyah-aplik</t>
  </si>
  <si>
    <t>Nara Eskitme Siyah Aplik</t>
  </si>
  <si>
    <t>https://cdn.shopify.com/s/files/1/0698/3086/9177/files/nara-siyah-aplik-4594.jpg?v=1754548991</t>
  </si>
  <si>
    <t>H1W2JMEECT0-028</t>
  </si>
  <si>
    <t>gize-soft-eskitme-cam-aplik</t>
  </si>
  <si>
    <t>Gize Soft Eskitme Cam Aplik</t>
  </si>
  <si>
    <t>https://cdn.shopify.com/s/files/1/0698/3086/9177/files/gize-aplik-4590.jpg?v=1754548992</t>
  </si>
  <si>
    <t>H1W3JMEECT0-017</t>
  </si>
  <si>
    <t>osaka-soft-eskitme-aplik</t>
  </si>
  <si>
    <t>Osaka Soft Eskitme Aplik</t>
  </si>
  <si>
    <t>https://cdn.shopify.com/s/files/1/0698/3086/9177/files/osaka-aplik-4572.jpg?v=1754548993</t>
  </si>
  <si>
    <t>H1W1ERLJMEC-085</t>
  </si>
  <si>
    <t>aras-tekli-bal-cam-eskitme-aplik</t>
  </si>
  <si>
    <t>Aras Tekli Bal Cam Eskitme Aplik</t>
  </si>
  <si>
    <t>https://cdn.shopify.com/s/files/1/0698/3086/9177/files/aras-tekli-bal-cam-eskitme-aplik-4455.jpg?v=1754548994</t>
  </si>
  <si>
    <t>H1W3ERVECTY-026</t>
  </si>
  <si>
    <t>flora-kahverengi-seramik-opal-cam-aplik-26-cm</t>
  </si>
  <si>
    <t>Flora Kahverengi Seramik Opal Cam Aplik 26 cm</t>
  </si>
  <si>
    <t>https://cdn.shopify.com/s/files/1/0698/3086/9177/files/flora-kahverengi-cam-aplik-4419.jpg?v=1754548995</t>
  </si>
  <si>
    <t>F1C2AAWDRBR-060</t>
  </si>
  <si>
    <t>papirus-buyuk-wenge-sarkit-avize</t>
  </si>
  <si>
    <t>Papirus Büyük Wenge Sarkıt Avize</t>
  </si>
  <si>
    <t>https://cdn.shopify.com/s/files/1/0698/3086/9177/files/papirus-buyuk-wenge-sarkit-930.jpg?v=1752138577</t>
  </si>
  <si>
    <t>H1W3ECTJMEC-025</t>
  </si>
  <si>
    <t>vesta-2li-cam-eskitme-led-aplik</t>
  </si>
  <si>
    <t>Vesta 2'li Cam Eskitme LED Aplik</t>
  </si>
  <si>
    <t>https://cdn.shopify.com/s/files/1/0698/3086/9177/files/H1W3ECTJMEC-025-5.jpg?v=1754548996</t>
  </si>
  <si>
    <t>H1W3ECTJMEC-013</t>
  </si>
  <si>
    <t>vesta-cam-eskitme-led-aplik</t>
  </si>
  <si>
    <t>Vesta Tekli Cam Eskitme LED Aplik</t>
  </si>
  <si>
    <t>https://cdn.shopify.com/s/files/1/0698/3086/9177/files/vesta-cam-eskitme-led-aplik-6806.jpg?v=1754548997</t>
  </si>
  <si>
    <t>H1T6JMKERF0-063</t>
  </si>
  <si>
    <t>hobart-3lu-fume-camli-krom-masa-lambasi</t>
  </si>
  <si>
    <t>Hobart 3'lü Füme Camlı Krom Masa Lambası</t>
  </si>
  <si>
    <t>https://cdn.shopify.com/s/files/1/0698/3086/9177/files/H1T6JMKERF0-063Hobart3_luFumeCamliKromMasaLambasi-3_681016e2-27b8-41d9-9d85-0467457a77d9.jpg?v=1752213414</t>
  </si>
  <si>
    <t>H1F6JMKERF0-182</t>
  </si>
  <si>
    <t>hobart-6li-fume-camli-krom-lambader</t>
  </si>
  <si>
    <t>Hobart 6'lı Füme Camlı Krom Lambader</t>
  </si>
  <si>
    <t>https://cdn.shopify.com/s/files/1/0698/3086/9177/files/H1F6JMKERF0-182Hobart6_liFumeCamliKromLambader-2.jpg?v=1754557819</t>
  </si>
  <si>
    <t>H1C6JMEECS0-018</t>
  </si>
  <si>
    <t>broome-tekli-eskitme-seffaf-cam-led-sarkit-avize-16-cm</t>
  </si>
  <si>
    <t>Broome Tekli Eskitme Şeffaf Cam LED Sarkıt Avize 16 cm</t>
  </si>
  <si>
    <t>https://cdn.shopify.com/s/files/1/0698/3086/9177/files/broome-tekli-eskitme-seffaf-cam-led-sarkit-avize-16-cm-6802.jpg?v=1754490672</t>
  </si>
  <si>
    <t>H1C6JMEERF0-018</t>
  </si>
  <si>
    <t>broome-tekli-eskitme-fume-cam-led-sarkit-avize-16-cm</t>
  </si>
  <si>
    <t>Broome Tekli Eskitme Füme Cam LED Sarkıt Avize 16 cm</t>
  </si>
  <si>
    <t>https://cdn.shopify.com/s/files/1/0698/3086/9177/files/broome-tekli-eskitme-fume-cam-led-sarkit-avize-16-cm-6801.jpg?v=1754490673</t>
  </si>
  <si>
    <t>H1C6JMEERL0-018</t>
  </si>
  <si>
    <t>broome-tekli-eskitme-bal-cam-led-sarkit-avize-16-cm</t>
  </si>
  <si>
    <t>Broome Tekli Eskitme Bal Cam LED Sarkıt Avize 16 cm</t>
  </si>
  <si>
    <t>https://cdn.shopify.com/s/files/1/0698/3086/9177/files/broome-tekli-eskitme-bal-cam-led-sarkit-avize-16-cm-6800.jpg?v=1754490674</t>
  </si>
  <si>
    <t>H1C6JMEECS0-021</t>
  </si>
  <si>
    <t>hobart-tekli-eskitme-seffaf-cam-led-sarkit-avize-20-cm</t>
  </si>
  <si>
    <t>Hobart Tekli Şeffaf Cam LED Sarkıt Avize 20 cm</t>
  </si>
  <si>
    <t>https://cdn.shopify.com/s/files/1/0698/3086/9177/files/hobart-tekli-eskitme-seffaf-cam-led-sarkit-avize-20-cm-6798.jpg?v=1754490674</t>
  </si>
  <si>
    <t>H1C6JMEERF0-020</t>
  </si>
  <si>
    <t>hobart-tekli-eskitme-fume-cam-led-sarkit-avize-20-cm</t>
  </si>
  <si>
    <t>Hobart Tekli Füme Cam LED Sarkıt Avize 20 cm</t>
  </si>
  <si>
    <t>https://cdn.shopify.com/s/files/1/0698/3086/9177/files/hobart-tekli-eskitme-fume-cam-led-sarkit-avize-20-cm-6797.jpg?v=1754490675</t>
  </si>
  <si>
    <t>H1C6JMEERL0-020</t>
  </si>
  <si>
    <t>hobart-tekli-eskitme-bal-cam-led-sarkit-avize-20-cm</t>
  </si>
  <si>
    <t>Hobart Tekli Bal Cam LED Sarkıt Avize 20 cm</t>
  </si>
  <si>
    <t>https://cdn.shopify.com/s/files/1/0698/3086/9177/files/hobart-tekli-eskitme-bal-cam-led-sarkit-avize-20-cm-6796.jpg?v=1754490676</t>
  </si>
  <si>
    <t>H1C3JMEECS0-028</t>
  </si>
  <si>
    <t>benin-eskitme-cam-sarkit-avize</t>
  </si>
  <si>
    <t>Benin Eskitme Şeffaf Cam Sarkıt Avize</t>
  </si>
  <si>
    <t>https://cdn.shopify.com/s/files/1/0698/3086/9177/files/H1C3JMEECS0-028.jpg?v=1754490676</t>
  </si>
  <si>
    <t>H1F6JMGECTR-030</t>
  </si>
  <si>
    <t>apple-opal-cam-lambader-30-cm</t>
  </si>
  <si>
    <t>Apple Opal Cam Lambader 30 cm</t>
  </si>
  <si>
    <t>https://cdn.shopify.com/s/files/1/0698/3086/9177/files/apple-opal-cam-lambader-878.jpg?v=1754557820</t>
  </si>
  <si>
    <t>H1T6JMGECTR-025</t>
  </si>
  <si>
    <t>apple-opal-cam-masa-lambasi-25-cm</t>
  </si>
  <si>
    <t>Apple Opal Cam Masa Lambası 25 cm</t>
  </si>
  <si>
    <t>https://cdn.shopify.com/s/files/1/0698/3086/9177/files/apple-opal-cam-masa-lambasi-873.jpg?v=1752138592</t>
  </si>
  <si>
    <t>H1C6JMGECTR-021</t>
  </si>
  <si>
    <t>apple-opal-cam-led-sarkit-avize-20-cm</t>
  </si>
  <si>
    <t>Apple Opal Cam LED Sarkıt Avize 20 cm</t>
  </si>
  <si>
    <t>https://cdn.shopify.com/s/files/1/0698/3086/9177/files/H1C6JMGECTR-021.jpg?v=1754490677</t>
  </si>
  <si>
    <t>H1C6JMP0000-050</t>
  </si>
  <si>
    <t>yose-tekli-platin-led-sarkit-avize-50-cm</t>
  </si>
  <si>
    <t>Yose Tekli Platin LED Sarkıt Avize 50 cm</t>
  </si>
  <si>
    <t>https://cdn.shopify.com/s/files/1/0698/3086/9177/files/H1C6JMP0000-050.jpg?v=1754490679</t>
  </si>
  <si>
    <t>H1C6JMGECS0-036</t>
  </si>
  <si>
    <t>barlas-tekli-altin-cam-led-sarkit-avize</t>
  </si>
  <si>
    <t>Barlas Tekli Altın Cam LED Sarkıt Avize</t>
  </si>
  <si>
    <t>https://cdn.shopify.com/s/files/1/0698/3086/9177/files/barlas-tekli-altin-cam-led-sarkit-avize-6777.jpg?v=1754490679</t>
  </si>
  <si>
    <t>H1W6JMGECS0-036</t>
  </si>
  <si>
    <t>balamir-altin-tekli-led-aplik</t>
  </si>
  <si>
    <t>Balamir Altın Tekli LED Aplik</t>
  </si>
  <si>
    <t>https://cdn.shopify.com/s/files/1/0698/3086/9177/files/balamir-altin-tekli-led-aplik-6478.jpg?v=1754548998</t>
  </si>
  <si>
    <t>H1C6JRSJMGU-021</t>
  </si>
  <si>
    <t>odessa-altin-ucgen-led-sarkit-avize</t>
  </si>
  <si>
    <t>Odessa Altın Üçgen LED Sarkıt Avize</t>
  </si>
  <si>
    <t>https://cdn.shopify.com/s/files/1/0698/3086/9177/files/odessa-altin-ucgen-led-sarkit-avize-6473.jpg?v=1754490680</t>
  </si>
  <si>
    <t>H1C6JMGECS0-030</t>
  </si>
  <si>
    <t>ulgen-tekli-platin-seffaf-cam-led-sarkit-avize-30-cm</t>
  </si>
  <si>
    <t>Ulgen Tekli Platin Şeffaf Cam LED Sarkıt Avize 30 cm</t>
  </si>
  <si>
    <t>https://cdn.shopify.com/s/files/1/0698/3086/9177/files/ulgen-tekli-sarkit-3979.jpg?v=1754490681</t>
  </si>
  <si>
    <t>H1C5JMEBCS0-100</t>
  </si>
  <si>
    <t>cibuti-akrilik-eskitme-seffaf-yemek-masa-ustu-avize</t>
  </si>
  <si>
    <t>Cibuti Akrilik Eskitme Şeffaf Yemek Masa Üstü Avize</t>
  </si>
  <si>
    <t>https://cdn.shopify.com/s/files/1/0698/3086/9177/files/cibuti-akrilik-yemek-masasi-avize-834.jpg?v=1754490682</t>
  </si>
  <si>
    <t>H1C6JMEECS0-020</t>
  </si>
  <si>
    <t>ruanda-seffaf-sarkit-avize-20-cm</t>
  </si>
  <si>
    <t>Ruanda Şeffaf Sarkıt Avize 20 cm</t>
  </si>
  <si>
    <t>https://cdn.shopify.com/s/files/1/0698/3086/9177/files/H1C6JMEECS0-020.jpg?v=1754490682</t>
  </si>
  <si>
    <t>H1W6JMEWRB0-064</t>
  </si>
  <si>
    <t>anvers-7li-mermer-eskitme-aplik</t>
  </si>
  <si>
    <t>Anvers 7'li Mermer Eskitme Aplik</t>
  </si>
  <si>
    <t>https://cdn.shopify.com/s/files/1/0698/3086/9177/files/anvers-yedi-mermerli-eskitme-aplik-4260.jpg?v=1754548998</t>
  </si>
  <si>
    <t>H1W6JMEWRB0-046</t>
  </si>
  <si>
    <t>anvers-5li-mermer-eskitme-led-aplik</t>
  </si>
  <si>
    <t>Anvers 5'li Mermer Eskitme LED Aplik</t>
  </si>
  <si>
    <t>https://cdn.shopify.com/s/files/1/0698/3086/9177/files/H1W6JMEWRB0-046-1.jpg?v=1754549000</t>
  </si>
  <si>
    <t>H1W1JMEECS0-042</t>
  </si>
  <si>
    <t>marsilya-i̇kili-eskitme-aplik</t>
  </si>
  <si>
    <t>Marsilya İkili Eskitme Aplik</t>
  </si>
  <si>
    <t>https://cdn.shopify.com/s/files/1/0698/3086/9177/files/H1W1JGES0-042-2.jpg?v=1754549001</t>
  </si>
  <si>
    <t>H1C6JMEECSB-015</t>
  </si>
  <si>
    <t>togo-tekli-simit-eskitme-seffaf-cam-led-sarkit-avize-15-cm</t>
  </si>
  <si>
    <t>Togo Tekli Simit Eskitme Şeffaf Cam LED Sarkıt Avize 15 cm</t>
  </si>
  <si>
    <t>https://cdn.shopify.com/s/files/1/0698/3086/9177/files/togo-tekli-simit-eskitme-seffaf-cam-led-sarkit-avize-15-cm-6471.jpg?v=1754490683</t>
  </si>
  <si>
    <t>H1C6JMEECSU-020</t>
  </si>
  <si>
    <t>togo-tekli-ucgen-eskitme-seffaf-cam-led-sarkit-avize-20-cm</t>
  </si>
  <si>
    <t>Togo Tekli Üçgen Eskitme Şeffaf Cam LED Sarkıt Avize 20 cm</t>
  </si>
  <si>
    <t>https://cdn.shopify.com/s/files/1/0698/3086/9177/files/togo-tekli-ucgen-sarkit-20-cm-3842.jpg?v=1754490683</t>
  </si>
  <si>
    <t>H1T6JMEWRBR-065</t>
  </si>
  <si>
    <t>kampala-mermer-masa-lambasi</t>
  </si>
  <si>
    <t>Kampala Mermer Masa Lambası</t>
  </si>
  <si>
    <t>https://cdn.shopify.com/s/files/1/0698/3086/9177/files/H1T6JMEWRBR-065_1.jpg?v=1752138608</t>
  </si>
  <si>
    <t>kampala-mermer-lambader</t>
  </si>
  <si>
    <t>Kampala Mermer Lambader</t>
  </si>
  <si>
    <t>https://cdn.shopify.com/s/files/1/0698/3086/9177/files/H1F6JMEWRBR-185_1.jpg?v=1754557821</t>
  </si>
  <si>
    <t>H1C6JMEERFP-020</t>
  </si>
  <si>
    <t>viyana-goktasi-fume-eskitme-cam-led-sarkit-avize-20-cm</t>
  </si>
  <si>
    <t>Viyana Göktaşı Füme Eskitme Cam LED Sarkıt Avize 20 cm</t>
  </si>
  <si>
    <t>https://cdn.shopify.com/s/files/1/0698/3086/9177/files/viyana-goktasi-fume-eskitme-cam-led-sarkit-avize-20-cm-6463.jpg?v=1752138610</t>
  </si>
  <si>
    <t>H1C6JMELCSL-057</t>
  </si>
  <si>
    <t>madrid-tekli-eskitme-mesale-led-sarkit-avize</t>
  </si>
  <si>
    <t>Madrid Tekli Eskitme Meşale LED Sarkıt Avize</t>
  </si>
  <si>
    <t>https://cdn.shopify.com/s/files/1/0698/3086/9177/files/madrid-tekli-eskitme-mesale-led-sarkit-avize-6455.jpg?v=1754490684</t>
  </si>
  <si>
    <t>H1C6JRSBCSY-020</t>
  </si>
  <si>
    <t>semruk-kure-tekli-akrilik-led-sarkit-avize-20-cm</t>
  </si>
  <si>
    <t>Semruk Küre Tekli Akrilik LED Sarkıt Avize 20 cm</t>
  </si>
  <si>
    <t>https://cdn.shopify.com/s/files/1/0698/3086/9177/files/H1C6JRSBCSY-020.jpg?v=1754490685</t>
  </si>
  <si>
    <t>H1W1JMEWRB0-062</t>
  </si>
  <si>
    <t>ardic-eskitme-buyuk-aplik</t>
  </si>
  <si>
    <t>Ardıç Eskitme Büyük Aplik</t>
  </si>
  <si>
    <t>https://cdn.shopify.com/s/files/1/0698/3086/9177/files/ardic-aplik-buyuk-772.jpg?v=1752138613</t>
  </si>
  <si>
    <t>H1W1JMEWRB0-032</t>
  </si>
  <si>
    <t>ardic-eskitme-kucuk-aplik</t>
  </si>
  <si>
    <t>Ardıç Eskitme Küçük Aplik</t>
  </si>
  <si>
    <t>https://cdn.shopify.com/s/files/1/0698/3086/9177/files/ardic-eskitme-kucuk-aplik-6454.jpg?v=1754549002</t>
  </si>
  <si>
    <t>H1W3JMEECTD-026</t>
  </si>
  <si>
    <t>afrodit-soft-eskitme-aplik-26-cm</t>
  </si>
  <si>
    <t>Afrodit Soft Eskitme Aplik 26 cm</t>
  </si>
  <si>
    <t>https://cdn.shopify.com/s/files/1/0698/3086/9177/files/afrodit-tekli-aplik-765.jpg?v=1754549003</t>
  </si>
  <si>
    <t>H1W6LRGJRS0-030</t>
  </si>
  <si>
    <t>goreme-led-aplik-30-cm</t>
  </si>
  <si>
    <t>Göreme LED Aplik 30 cm</t>
  </si>
  <si>
    <t>https://cdn.shopify.com/s/files/1/0698/3086/9177/files/goreme-aplik-2567.jpg?v=1754549003</t>
  </si>
  <si>
    <t>H1W3JMEWRBK-012</t>
  </si>
  <si>
    <t>doris-beyaz-kup-eskitme-mermer-led-aplik</t>
  </si>
  <si>
    <t>Doris Beyaz Küp Eskitme Mermer LED Aplik</t>
  </si>
  <si>
    <t>https://cdn.shopify.com/s/files/1/0698/3086/9177/files/doris-beyaz-kup-mermer-led-aplik-4373.jpg?v=1754549004</t>
  </si>
  <si>
    <t>H1W1JMEWRBC-048</t>
  </si>
  <si>
    <t>arkas-2li-beyaz-eskitme-mermer-aplik-48-cm</t>
  </si>
  <si>
    <t>Arkas 2'li Beyaz Eskitme Mermer Aplik 48 cm</t>
  </si>
  <si>
    <t>https://cdn.shopify.com/s/files/1/0698/3086/9177/files/arkas-2-li-beyaz-eskitme-mermer-aplik-48-cm-6448.jpg?v=1754549005</t>
  </si>
  <si>
    <t>H1W1JMEWRBC-030</t>
  </si>
  <si>
    <t>arkas-beyaz-eskitme-mermer-aplik-30-cm</t>
  </si>
  <si>
    <t>Arkas Beyaz Eskitme Mermer Aplik 30 cm</t>
  </si>
  <si>
    <t>https://cdn.shopify.com/s/files/1/0698/3086/9177/files/arkas-beyaz-eskitme-mermer-aplik-30-cm-6442.jpg?v=1754549006</t>
  </si>
  <si>
    <t>H1C6JMEWRBR-120</t>
  </si>
  <si>
    <t>ekho-eskitme-mermer-yemek-masa-ustu-led-sarkit-avize-120-cm</t>
  </si>
  <si>
    <t>Ekho Eskitme Mermer Yemek Masa Üstü Sarkıt Avize 120 cm</t>
  </si>
  <si>
    <t>https://cdn.shopify.com/s/files/1/0698/3086/9177/files/ekho-eskitme-mermer-yemek-masa-ustu-led-sarkit-avize-120-cm-6433.jpg?v=1754490686</t>
  </si>
  <si>
    <t>H1W6JMEWRBD-037</t>
  </si>
  <si>
    <t>ekho-eskitme-mermer-led-aplik</t>
  </si>
  <si>
    <t>Ekho Eskitme Mermer LED Aplik</t>
  </si>
  <si>
    <t>https://cdn.shopify.com/s/files/1/0698/3086/9177/files/ekho-mermer-aplik-4244.jpg?v=1754549007</t>
  </si>
  <si>
    <t>H1C6JMEWRBD-100</t>
  </si>
  <si>
    <t>efes-eskitme-yemek-masa-ustu-salon-led-avize</t>
  </si>
  <si>
    <t>Efes Eskitme Yemek Masa Üstü Salon LED Avize</t>
  </si>
  <si>
    <t>https://cdn.shopify.com/s/files/1/0698/3086/9177/files/efes-salon-avize-dikdortgen-724.jpg?v=1754490687</t>
  </si>
  <si>
    <t>H1F6JMEWRB0-161</t>
  </si>
  <si>
    <t>efes-helezon-mermer-eskitme-lambader</t>
  </si>
  <si>
    <t>Efes Helezon Mermer Eskitme Lambader</t>
  </si>
  <si>
    <t>https://cdn.shopify.com/s/files/1/0698/3086/9177/files/efes-helezon-mermer-eskitme-lambader-716.jpg?v=1754557822</t>
  </si>
  <si>
    <t>H1C6JMEWRBK-020</t>
  </si>
  <si>
    <t>duha-kare-eskitme-mermer-led-sarkit-avize-20-cm</t>
  </si>
  <si>
    <t>Duha Kare Eskitme Mermer LED Sarkıt Avize 20 cm</t>
  </si>
  <si>
    <t>https://cdn.shopify.com/s/files/1/0698/3086/9177/files/duha-eskitme-kare-mermer-sarkit-713.jpg?v=1754490688</t>
  </si>
  <si>
    <t>H1C6JMEWRBB-020</t>
  </si>
  <si>
    <t>gamba-eskitme-beyaz-mermer-led-sarkit-avize-20-cm</t>
  </si>
  <si>
    <t>Gamba Eskitme Beyaz Mermer LED Sarkıt Avize 20 cm</t>
  </si>
  <si>
    <t>https://cdn.shopify.com/s/files/1/0698/3086/9177/files/H1C6JMEWRBB-020.jpg?v=1754490690</t>
  </si>
  <si>
    <t>H1W3JMEECS0-032</t>
  </si>
  <si>
    <t>ottava-2li-seffaf-eskitme-aplik</t>
  </si>
  <si>
    <t>Ottava 2'li Şeffaf Eskitme Aplik</t>
  </si>
  <si>
    <t>https://cdn.shopify.com/s/files/1/0698/3086/9177/files/ottava-2-li-seffaf-eskitme-aplik-6416.jpg?v=1754549008</t>
  </si>
  <si>
    <t>H1W3JMKECS0-032</t>
  </si>
  <si>
    <t>ottava-2li-seffaf-krom-aplik</t>
  </si>
  <si>
    <t>Ottava 2'li Şeffaf Krom Aplik</t>
  </si>
  <si>
    <t>https://cdn.shopify.com/s/files/1/0698/3086/9177/files/ottava-2-li-seffaf-krom-aplik-6406.jpg?v=1754549009</t>
  </si>
  <si>
    <t>F1C2AAMDRBR-080</t>
  </si>
  <si>
    <t>papirus-cift-katli-mese-sarkit-avize</t>
  </si>
  <si>
    <t>Papirus Çift Katlı Meşe Sarkıt Avize</t>
  </si>
  <si>
    <t>https://cdn.shopify.com/s/files/1/0698/3086/9177/files/papirus-cift-katli-mese-sarkit-avize-6403.jpg?v=1752138632</t>
  </si>
  <si>
    <t>F1C2AAMDRBR-060</t>
  </si>
  <si>
    <t>papirus-buyuk-mese-sarkit-avize</t>
  </si>
  <si>
    <t>Papirus Büyük Meşe Sarkıt Avize</t>
  </si>
  <si>
    <t>https://cdn.shopify.com/s/files/1/0698/3086/9177/files/papirus-buyuk-mese-sarkit-avize-6400.jpg?v=1752138633</t>
  </si>
  <si>
    <t>H1W3JMEECTD-063</t>
  </si>
  <si>
    <t>afrodit-soft-eskitme-2li-aplik-63-cm</t>
  </si>
  <si>
    <t>Afrodit Soft 2'li Eskitme Aplik 63 cm</t>
  </si>
  <si>
    <t>https://cdn.shopify.com/s/files/1/0698/3086/9177/files/afrodit-soft-eskitme-2-li-aplik-63-cm-6397.jpg?v=1754549010</t>
  </si>
  <si>
    <t>CK2G1C2M2E2Z0</t>
  </si>
  <si>
    <t>fume-6w-2200k-aski-tipi-e27-led-ampul-erd-228</t>
  </si>
  <si>
    <t>Füme 6W 2200K Askı Tipi E27 LED Ampul Erd-228</t>
  </si>
  <si>
    <t>https://cdn.shopify.com/s/files/1/0698/3086/9177/files/fume-6w-2200k-aski-tipi-e27-led-ampul-erd-228-6394.jpg?v=1752138634</t>
  </si>
  <si>
    <t>H1C1JRSJMG0-072</t>
  </si>
  <si>
    <t>fiona-13lu-siyah-altin-dekoratif-salon-avize</t>
  </si>
  <si>
    <t>Fiona 13'lü Siyah Altın Dekoratif Salon Avize</t>
  </si>
  <si>
    <t>https://cdn.shopify.com/s/files/1/0698/3086/9177/files/fiona-13-lu-siyah-altin-dekoratif-salon-avize-6393.jpg?v=1754490692</t>
  </si>
  <si>
    <t>H1C2ERLJMER-025</t>
  </si>
  <si>
    <t>karatay-bal-cam-sarkit-avize-25-cm</t>
  </si>
  <si>
    <t>Karatay Bal Cam Sarkıt Avize 25 cm</t>
  </si>
  <si>
    <t>https://cdn.shopify.com/s/files/1/0698/3086/9177/files/karatay-cam-sarkit-642.jpg?v=1754490693</t>
  </si>
  <si>
    <t>H1C2JMEERFR-055</t>
  </si>
  <si>
    <t>galata-6li-eskitme-cam-salon-avize</t>
  </si>
  <si>
    <t>Galata 6'lı Eskitme Cam Salon Avize</t>
  </si>
  <si>
    <t>https://cdn.shopify.com/s/files/1/0698/3086/9177/files/galata-salon-avizesi-6-li-620.png?v=1754490694</t>
  </si>
  <si>
    <t>H1T6JMEWRB0-058</t>
  </si>
  <si>
    <t>efes-mermer-eskitme-masa-lambasi</t>
  </si>
  <si>
    <t>Efes Mermer Eskitme Masa Lambası</t>
  </si>
  <si>
    <t>https://cdn.shopify.com/s/files/1/0698/3086/9177/files/H1T6JMEWRB0-058.jpg?v=1752138640</t>
  </si>
  <si>
    <t>H1W3JMEECT0-061</t>
  </si>
  <si>
    <t>pontus-4lu-kanca-eskitme-aplik</t>
  </si>
  <si>
    <t>Pontus 4'lü Kanca Eskitme Aplik</t>
  </si>
  <si>
    <t>https://cdn.shopify.com/s/files/1/0698/3086/9177/files/pontus-4-lu-kanca-eskitme-aplik-6387.jpg?v=1754549012</t>
  </si>
  <si>
    <t>H1W3JMEECT0-090</t>
  </si>
  <si>
    <t>pontus-6li-kanca-eskitme-aplik</t>
  </si>
  <si>
    <t>Pontus 6'lı Kanca Eskitme Aplik</t>
  </si>
  <si>
    <t>https://cdn.shopify.com/s/files/1/0698/3086/9177/files/pontus-6-li-eskitme-kanca-aplik-578.jpg?v=1754549012</t>
  </si>
  <si>
    <t>H1W2JMEECTR-020</t>
  </si>
  <si>
    <t>berde-soft-pirinc-eskitme-aplik-20-cm</t>
  </si>
  <si>
    <t>Berde Soft Pirinç Eskitme Aplik 20 cm</t>
  </si>
  <si>
    <t>https://cdn.shopify.com/s/files/1/0698/3086/9177/files/berde-pirinc-aplik-565.jpg?v=1754549013</t>
  </si>
  <si>
    <t>H1C1JRSJMG0-105</t>
  </si>
  <si>
    <t>fiona-17li-siyah-altin-dekoratif-yemek-masa-ustu-avize</t>
  </si>
  <si>
    <t>Fiona 17'li Siyah Altın Dekoratif Yemek Masa Üstü Avize</t>
  </si>
  <si>
    <t>https://cdn.shopify.com/s/files/1/0698/3086/9177/files/fiona-17-li-siyah-altin-dekoratif-yemek-masa-ustu-avize-6383.jpg?v=1754490694</t>
  </si>
  <si>
    <t>H1C6VRVERL0-136</t>
  </si>
  <si>
    <t>kinsasa-kahverengi-deri-bes-bal-cam-plafonyer</t>
  </si>
  <si>
    <t>Kinşasa Kahverengi Deri Beş Bal Cam Plafonyer</t>
  </si>
  <si>
    <t>https://cdn.shopify.com/s/files/1/0698/3086/9177/files/H1C6VRVERL0-136.jpg?v=1754490695</t>
  </si>
  <si>
    <t>AVFVJM20005-105</t>
  </si>
  <si>
    <t>terranova-kapakli-vazo-105cm</t>
  </si>
  <si>
    <t>TERRANOVA KAPAKLI VAZO 105CM</t>
  </si>
  <si>
    <t>AVFVJM20005-117</t>
  </si>
  <si>
    <t>terranova-kapakli-vazo-117cm</t>
  </si>
  <si>
    <t>TERRANOVA KAPAKLI VAZO 117CM</t>
  </si>
  <si>
    <t>AVFVECKJME5-099</t>
  </si>
  <si>
    <t>terranova-golge-kapakli-vazo-99cm</t>
  </si>
  <si>
    <t>TERRANOVA GÖLGE KAPAKLI VAZO 99CM</t>
  </si>
  <si>
    <t>AVFVECKJME5-124</t>
  </si>
  <si>
    <t>terranova-golge-kapakli-vazo-124cm</t>
  </si>
  <si>
    <t>TERRANOVA GÖLGE KAPAKLI VAZO 124CM</t>
  </si>
  <si>
    <t>AVFVERV0005-066</t>
  </si>
  <si>
    <t>ombre-kahverengi-uzun-vazo-66cm</t>
  </si>
  <si>
    <t>OMBRE KAHVERENGİ UZUN VAZO 66CM</t>
  </si>
  <si>
    <t>AVFVERV0005-031</t>
  </si>
  <si>
    <t>ombre-kahverengi-yuvarlak-vazo-31cm</t>
  </si>
  <si>
    <t>OMBRE KAHVERENGİ YUVARLAK VAZO 31CM</t>
  </si>
  <si>
    <t>AVFVJMG0005-031</t>
  </si>
  <si>
    <t>gradia-metal-gold-uzun-vazo-34cm</t>
  </si>
  <si>
    <t>GRADIA METAL GOLD UZUN VAZO 34CM</t>
  </si>
  <si>
    <t>AVFVJRG0005-024</t>
  </si>
  <si>
    <t>gradia-metal-gri-uzun-vazo-24cm</t>
  </si>
  <si>
    <t>GRADIA METAL GRİ UZUN VAZO 24CM</t>
  </si>
  <si>
    <t>ADFVHBJ0008-033</t>
  </si>
  <si>
    <t>van-gogh-kitap-kutu</t>
  </si>
  <si>
    <t>VAN GOGH KİTAP KUTU</t>
  </si>
  <si>
    <t>ADFVHBJ0008-022</t>
  </si>
  <si>
    <t>loftis-modern-home-kitap-kutu</t>
  </si>
  <si>
    <t>LOFTİS MODERN HOME KİTAP KUTU</t>
  </si>
  <si>
    <t>ADFVHBJ0009-033</t>
  </si>
  <si>
    <t>lumora-gustav-klimt-kitap-kutu</t>
  </si>
  <si>
    <t>LUMORA GUSTAV KLİMT KİTAP KUTU</t>
  </si>
  <si>
    <t>ADFVHBJ0008-030</t>
  </si>
  <si>
    <t>aurora-claude-monet-kitap-kutu</t>
  </si>
  <si>
    <t>AURORA CLAUDE MONET KİTAP KUTU</t>
  </si>
  <si>
    <t>ADFVHBJ0006-030</t>
  </si>
  <si>
    <t>plancia-nterior-design-kitap</t>
  </si>
  <si>
    <t>PLANCİA INTERİOR DESİGN KİTAP</t>
  </si>
  <si>
    <t>ADFVMRS000B-080</t>
  </si>
  <si>
    <t>branch-yaprak-dali-yesil-yapay-cicek</t>
  </si>
  <si>
    <t>BRANCH YAPRAK DALI YEŞİL YAPAY ÇİÇEK</t>
  </si>
  <si>
    <t>ADFVMRS000B-025</t>
  </si>
  <si>
    <t>pea-sari-kahverengi-bezelye-cicegi</t>
  </si>
  <si>
    <t>PEA SARI KAHVERENGİ BEZELYE ÇİÇEĞİ</t>
  </si>
  <si>
    <t>ADFVMRS000B-100</t>
  </si>
  <si>
    <t>cherry-mor-kiraz-cicegi</t>
  </si>
  <si>
    <t>CHERRY MOR KİRAZ ÇİÇEĞİ</t>
  </si>
  <si>
    <t>ADFVMRS000T-076</t>
  </si>
  <si>
    <t>pea-mor-bezelye-cicegi</t>
  </si>
  <si>
    <t>PEA MOR BEZELYE ÇİÇEĞİ</t>
  </si>
  <si>
    <t>ADFVMRS000T-025</t>
  </si>
  <si>
    <t>pea-antik-yesil-bezelye-cicegi</t>
  </si>
  <si>
    <t>PEA ANTİK YEŞİL BEZELYE ÇİÇEĞİ</t>
  </si>
  <si>
    <t>ATYYYREJRS0-060</t>
  </si>
  <si>
    <t>luma-tablo-60x80-cm</t>
  </si>
  <si>
    <t>Luma Tablo 60X80 cm</t>
  </si>
  <si>
    <t>ATYZYREJRS0-060</t>
  </si>
  <si>
    <t>vera-tablo-60x80-cm</t>
  </si>
  <si>
    <t>Vera Tablo 60x80 cm</t>
  </si>
  <si>
    <t>ATYTYREJRS0-060</t>
  </si>
  <si>
    <t>vita-tablo-60x80-cm</t>
  </si>
  <si>
    <t>Vita Tablo 60x80 cm</t>
  </si>
  <si>
    <t>ATYNYREJRS0-060</t>
  </si>
  <si>
    <t>nora-tablo-60x80-cm</t>
  </si>
  <si>
    <t>Nora Tablo 60X80 cm</t>
  </si>
  <si>
    <t>H1C6WRBVRVC-190</t>
  </si>
  <si>
    <t>venus-deri-askili-mermer-led-sarkit-avize-190-cm</t>
  </si>
  <si>
    <t>Venüs Deri Askılı Mermer LED Sarkıt Avize 190 cm</t>
  </si>
  <si>
    <t>H1W6JMEWRBP-060</t>
  </si>
  <si>
    <t>ubuntu-eskitme-mermer-aplik</t>
  </si>
  <si>
    <t>Ubuntu Eskitme Mermer Aplik</t>
  </si>
  <si>
    <t>ADYHKM3KRG0-180</t>
  </si>
  <si>
    <t>dekoratif-chopper-motor</t>
  </si>
  <si>
    <t>Dekoratif Chopper Motor</t>
  </si>
  <si>
    <t>H1C6JMEELB0-040</t>
  </si>
  <si>
    <t>pietro-tekli-seffaf-bal-cam-sarkit-40-cm</t>
  </si>
  <si>
    <t>Pietro Tekli Şeffaf-Bal Cam Sarkıt 40 cm</t>
  </si>
  <si>
    <t>https://hekastore.com/products/pietro-tekli-seffaf-bal-cam-sarkit-40-cm</t>
  </si>
  <si>
    <t>H1C6JMEEFB0-040</t>
  </si>
  <si>
    <t>pietro-tekli-seffaf-fume-cam-sarkit-40-cm</t>
  </si>
  <si>
    <t>Pietro Tekli Şeffaf-Füme Cam Sarkıt 40 cm</t>
  </si>
  <si>
    <t>https://hekastore.com/products/pietro-tekli-seffaf-fume-cam-sarkit-40-cm</t>
  </si>
  <si>
    <t>H1C6JMEESB0-040</t>
  </si>
  <si>
    <t>pietro-tekli-seffaf-beyaz-cam-sarkit-40-cm</t>
  </si>
  <si>
    <t>Pietro Tekli Şeffaf-Beyaz Cam Sarkıt 40 cm</t>
  </si>
  <si>
    <t>https://hekastore.com/products/pietro-tekli-seffaf-beyaz-cam-sarkit-40-cm</t>
  </si>
  <si>
    <t>H1C6XBJERFO-044</t>
  </si>
  <si>
    <t>siena-tekli-fume-cam-sarkit-44-cm-1</t>
  </si>
  <si>
    <t>Siena Tekli Füme Cam Sarkıt 44 cm</t>
  </si>
  <si>
    <t>https://hekastore.com/products/siena-tekli-fume-cam-sarkit-44-cm-1</t>
  </si>
  <si>
    <t>H1C6XBJERF0-062</t>
  </si>
  <si>
    <t>si%CC%87ena-i%CC%87ki%CC%87li%CC%87-fume-cam-sarkit-62cm</t>
  </si>
  <si>
    <t>Siena İkili Füme Cam Sarkıt 62 cm</t>
  </si>
  <si>
    <t>https://hekastore.com/products/si%CC%87ena-i%CC%87ki%CC%87li%CC%87-fume-cam-sarkit-62cm</t>
  </si>
  <si>
    <t>H1C6XBJERF0-050</t>
  </si>
  <si>
    <t>siena-tekli-fume-cam-sarkit-50-cm</t>
  </si>
  <si>
    <t>Siena Tekli Füme Cam Sarkıt 50 cm</t>
  </si>
  <si>
    <t>https://hekastore.com/products/siena-tekli-fume-cam-sarkit-50-cm</t>
  </si>
  <si>
    <t>H1C6XBJERFY-044</t>
  </si>
  <si>
    <t>siena-tekli-fume-cam-sarkit-44-cm-2</t>
  </si>
  <si>
    <t>https://hekastore.com/products/siena-tekli-fume-cam-sarkit-44-cm-2</t>
  </si>
  <si>
    <t>H1C6XMEERLY-044</t>
  </si>
  <si>
    <t>siena-tekli-bal-cam-sarkit-44-cm-2</t>
  </si>
  <si>
    <t>Siena Tekli Bal Cam Sarkıt 44 cm</t>
  </si>
  <si>
    <t>https://hekastore.com/products/siena-tekli-bal-cam-sarkit-44-cm-2</t>
  </si>
  <si>
    <t>H1C6XMEERL0-062</t>
  </si>
  <si>
    <t>siena-i%CC%87kili-bal-cam-sarkit-62-cm</t>
  </si>
  <si>
    <t>Siena İkili Bal Cam Sarkıt 62 cm</t>
  </si>
  <si>
    <t>https://hekastore.com/products/siena-i%CC%87kili-bal-cam-sarkit-62-cm</t>
  </si>
  <si>
    <t>H1C6XMEERL0-050</t>
  </si>
  <si>
    <t>siena-tekli-bal-cam-sarkit-50-cm</t>
  </si>
  <si>
    <t>Siena Tekli Bal Cam Sarkıt 50 cm</t>
  </si>
  <si>
    <t>https://hekastore.com/products/siena-tekli-bal-cam-sarkit-50-cm</t>
  </si>
  <si>
    <t>H1C6XMEERLO-044</t>
  </si>
  <si>
    <t>siena-tekli-bal-cam-sarkit-44-cm-1</t>
  </si>
  <si>
    <t>https://hekastore.com/products/siena-tekli-bal-cam-sarkit-44-cm-1</t>
  </si>
  <si>
    <t>H1C6XMEECOC-035</t>
  </si>
  <si>
    <t>tera-tekli-opal-cam-sarkit-35-cm</t>
  </si>
  <si>
    <t>Tera Tekli Opal Cam Sarkıt 35 cm</t>
  </si>
  <si>
    <t>https://hekastore.com/products/tera-tekli-opal-cam-sarkit-35-cm</t>
  </si>
  <si>
    <t>https://hekastore.com/products/gine-mermer-toplu-eskitme-salon-avize-85-cm</t>
  </si>
  <si>
    <t>ADFEERSECTT-028</t>
  </si>
  <si>
    <t>morocco-samdan-28-cm</t>
  </si>
  <si>
    <t>Morocco Şamdan 28 cm</t>
  </si>
  <si>
    <t>https://hekastore.com/collections/mobilya-aksesuar/products/morocco-samdan-28-cm</t>
  </si>
  <si>
    <t>AVFHEMY0003-015</t>
  </si>
  <si>
    <t>bologna-cimen-sekerlik</t>
  </si>
  <si>
    <t>Bologna Çimen Şekerlik</t>
  </si>
  <si>
    <t>https://hekastore.com/collections/mobilya-aksesuar/products/bologna-cimen-sekerlik</t>
  </si>
  <si>
    <t>ADFEERV0000-165</t>
  </si>
  <si>
    <t>cam-kahve-boncuk-165-cm</t>
  </si>
  <si>
    <t>Cam Kahve Boncuk 165 cm</t>
  </si>
  <si>
    <t>https://hekastore.com/collections/mobilya-aksesuar/products/cam-kahve-boncuk-165-cm</t>
  </si>
  <si>
    <t>ADFEXBJ0000-011</t>
  </si>
  <si>
    <t>traverten-disk-hasir-set</t>
  </si>
  <si>
    <t>Traverten Disk Hasır Set</t>
  </si>
  <si>
    <t>https://hekastore.com/collections/mobilya-aksesuar/products/traverten-di%CC%87sk-hasir-set</t>
  </si>
  <si>
    <t>AVFHERL0005-025</t>
  </si>
  <si>
    <t>bologna-karamel-kapakli-vazo</t>
  </si>
  <si>
    <t>Bologna Karamel Kapaklı Vazo</t>
  </si>
  <si>
    <t>https://hekastore.com/collections/mobilya-aksesuar/products/bologna-karamel-kapakli-vazo</t>
  </si>
  <si>
    <t>AVFHEMY0005-025</t>
  </si>
  <si>
    <t>bologna-cimen-kapakli-vazo</t>
  </si>
  <si>
    <t>Bologna Çimen Kapaklı Vazo</t>
  </si>
  <si>
    <t>https://hekastore.com/collections/mobilya-aksesuar/products/bologna-cimen-kapakli-vazo</t>
  </si>
  <si>
    <t>H1C6JRSERF1-038</t>
  </si>
  <si>
    <t>onda-tekli-fume-cam-sarkit</t>
  </si>
  <si>
    <t>Onda Tekli Füme Cam Sarkıt</t>
  </si>
  <si>
    <t>H1C6JMEERL1-038</t>
  </si>
  <si>
    <t>onda-tekli-bal-cam-sarkit</t>
  </si>
  <si>
    <t>Onda Tekli Bal Cam Sarkıt</t>
  </si>
  <si>
    <t>H1C6JMEWRFU-075</t>
  </si>
  <si>
    <t>orkos-uclu-mermer-sarkit-75-cm</t>
  </si>
  <si>
    <t>Orkos Üçlü Mermer Sarkıt 75 cm</t>
  </si>
  <si>
    <t>H1W6JRSJMER-017</t>
  </si>
  <si>
    <t>vero-siyah-eskitme-led-aplik-17cm</t>
  </si>
  <si>
    <t>Vero Siyah Eskitme Led Aplik 17 cm</t>
  </si>
  <si>
    <t>https://hekastore.com/products/vero-siyah-eskitme-led-aplik-17cm?_pos=1&amp;_sid=e59bb48ed&amp;_ss=r</t>
  </si>
  <si>
    <t>H1W6JRSJMER-020</t>
  </si>
  <si>
    <t>vero-siyah-eskitme-led-aplik-20-cm</t>
  </si>
  <si>
    <t>Vero Siyah Eskitme Led Aplik 20 cm</t>
  </si>
  <si>
    <t>https://hekastore.com/products/vero-siyah-eskitme-led-aplik-20-cm?_pos=1&amp;_sid=73be6a675&amp;_ss=r</t>
  </si>
  <si>
    <t>H1W6JRSJMER-023</t>
  </si>
  <si>
    <t>vero-siyah-eskitme-led-aplik-23-cm</t>
  </si>
  <si>
    <t>Vero Siyah Eskitme Led Aplik 23 cm</t>
  </si>
  <si>
    <t>https://hekastore.com/products/vero-siyah-eskitme-led-aplik-23-cm?_pos=3&amp;_sid=73be6a675&amp;_ss=r</t>
  </si>
  <si>
    <t>NGJ16004</t>
  </si>
  <si>
    <t>ngj16004-beton-abajur-12</t>
  </si>
  <si>
    <t>*NGJ16004* BETON ABAJUR *12*</t>
  </si>
  <si>
    <t>NGJ16003</t>
  </si>
  <si>
    <t>ngj16003-beton-abajur-12</t>
  </si>
  <si>
    <t>*NGJ16003* BETON ABAJUR *12*</t>
  </si>
  <si>
    <t>NGJ16002</t>
  </si>
  <si>
    <t>ngj16002-beton-abajur-6</t>
  </si>
  <si>
    <t>*NGJ16002* BETON ABAJUR *6*</t>
  </si>
  <si>
    <t>NGJ16001</t>
  </si>
  <si>
    <t>ngj16001-beton-abajur-4</t>
  </si>
  <si>
    <t>*NGJ16001* BETON ABAJUR *4*</t>
  </si>
  <si>
    <t>MAFIURBJRG8-120</t>
  </si>
  <si>
    <t>perun-calacatta-desenli-seramik-masa</t>
  </si>
  <si>
    <t>Perun Calacatta Desenli Seramik Masa</t>
  </si>
  <si>
    <t>H1W6JME000M-038</t>
  </si>
  <si>
    <t>esvati̇ni̇-i̇ki̇li̇-eski̇tme-apli̇k</t>
  </si>
  <si>
    <t>ESVATİNİ İKİLİ ESKİTME APLİK</t>
  </si>
  <si>
    <t>H1W6ERFJRS0-055</t>
  </si>
  <si>
    <t>gambi̇a-uc-fume-camli-apli̇k</t>
  </si>
  <si>
    <t>GAMBİA ÜÇ FÜME CAMLI APLİK</t>
  </si>
  <si>
    <t>H1C6ERFJRS0-036</t>
  </si>
  <si>
    <t>gambi̇a-tekli̇-fume-cam-sarkit-large</t>
  </si>
  <si>
    <t>GAMBİA TEKLİ FÜME CAM SARKIT - LARGE</t>
  </si>
  <si>
    <t>H1C6ERFJRS0-030</t>
  </si>
  <si>
    <t>gambi̇a-tekli̇-fume-cam-sarkit-medium</t>
  </si>
  <si>
    <t>GAMBİA TEKLİ FÜME CAM SARKIT - MEDIUM</t>
  </si>
  <si>
    <t>H1C6ERFJRS0-026</t>
  </si>
  <si>
    <t>gambi̇a-tekli̇-fume-cam-sarkit-small</t>
  </si>
  <si>
    <t>GAMBİA TEKLİ FÜME CAM SARKIT - SMALL</t>
  </si>
  <si>
    <t>H1T6ERFJRS0-038</t>
  </si>
  <si>
    <t>gambi̇a-fume-cam-masa-lambasi-large</t>
  </si>
  <si>
    <t>GAMBİA FÜME CAM MASA LAMBASI - LARGE</t>
  </si>
  <si>
    <t>H1T6ERFJRS0-033</t>
  </si>
  <si>
    <t>gambi̇a-fume-cam-masa-lambasi-medium</t>
  </si>
  <si>
    <t>GAMBİA FÜME CAM MASA LAMBASI - MEDIUM</t>
  </si>
  <si>
    <t>H1T6ERFJRS0-028</t>
  </si>
  <si>
    <t>gambi̇a-fume-cam-masa-lambasi-small</t>
  </si>
  <si>
    <t>GAMBİA FÜME CAM MASA LAMBASI - SMALL</t>
  </si>
  <si>
    <t>H1W6ERFJRS0-036</t>
  </si>
  <si>
    <t>gambi̇a-fume-cam-apli̇k-large</t>
  </si>
  <si>
    <t>GAMBİA FÜME CAM APLİK - LARGE</t>
  </si>
  <si>
    <t>H1W6ERFJRS0-030</t>
  </si>
  <si>
    <t>gambi̇a-fume-cam-apli̇k-medium</t>
  </si>
  <si>
    <t>GAMBİA FÜME CAM APLİK - MEDIUM</t>
  </si>
  <si>
    <t>H1W6ERFJRS0-026</t>
  </si>
  <si>
    <t>gambi̇a-fume-cam-apli̇k-small</t>
  </si>
  <si>
    <t>GAMBİA FÜME CAM APLİK - SMALL</t>
  </si>
  <si>
    <t>H1W6JMEVRV0-042</t>
  </si>
  <si>
    <t>lome-kahverengi̇-deri̇-eski̇tme-apli̇k</t>
  </si>
  <si>
    <t>LOME KAHVERENGİ DERİ ESKİTME APLİK</t>
  </si>
  <si>
    <t>H1C6JRSERFC-017</t>
  </si>
  <si>
    <t>ruby-tekli̇-fume-cam-si̇li̇ndi̇r-sarkit</t>
  </si>
  <si>
    <t>RUBY TEKLİ FÜME CAM SİLİNDİR SARKIT</t>
  </si>
  <si>
    <t>H1C6JRSERFY-020</t>
  </si>
  <si>
    <t>ruby-tekli̇-fume-cam-kure-sarkit-small</t>
  </si>
  <si>
    <t>RUBY TEKLİ FÜME CAM KÜRE SARKIT - SMALL</t>
  </si>
  <si>
    <t>H1T6KMEWRF0-040</t>
  </si>
  <si>
    <t>mi̇racle-eski̇tme-mermer-masa-lambasi</t>
  </si>
  <si>
    <t>MİRACLE ESKİTME MERMER MASA LAMBASI</t>
  </si>
  <si>
    <t>H1W6KMEWRF0-080</t>
  </si>
  <si>
    <t>mi̇racle-eski̇tme-mermer-apli̇k</t>
  </si>
  <si>
    <t>MİRACLE ESKİTME MERMER APLİK</t>
  </si>
  <si>
    <t>H1C6KMEWRF0-172</t>
  </si>
  <si>
    <t>mi̇racle-eski̇tme-mermer-di̇kdortgen-avi̇ze</t>
  </si>
  <si>
    <t>MİRACLE ESKİTME MERMER DİKDÖRTGEN AVİZE</t>
  </si>
  <si>
    <t>H1C6RMEWRFV-117</t>
  </si>
  <si>
    <t>albatre-tekli̇-pi̇ri̇nc-mermer-sarkit-medium</t>
  </si>
  <si>
    <t>ALBATRE TEKLİ PİRİNÇ MERMER SARKIT - MEDIUM</t>
  </si>
  <si>
    <t>H1C6RMEWRFV-060</t>
  </si>
  <si>
    <t>albatre-tekli̇-pi̇ri̇nc-mermer-sarkit-small</t>
  </si>
  <si>
    <t>ALBATRE TEKLİ PİRİNÇ MERMER SARKIT - SMALL</t>
  </si>
  <si>
    <t>H1W6RMEWRFV-049</t>
  </si>
  <si>
    <t>albatre-pi̇ri̇nc-mermer-apli̇k-medium</t>
  </si>
  <si>
    <t>ALBATRE PİRİNÇ MERMER APLİK - MEDIUM</t>
  </si>
  <si>
    <t>H1W6RMEWRFV-038</t>
  </si>
  <si>
    <t>albatre-pi̇ri̇nc-mermer-apli̇k-small</t>
  </si>
  <si>
    <t>ALBATRE PİRİNÇ MERMER APLİK - SMALL</t>
  </si>
  <si>
    <t>H1C6JRSERFY-025</t>
  </si>
  <si>
    <t>ruby-tekli̇-fume-cam-kure-sarkit-medium</t>
  </si>
  <si>
    <t>RUBY TEKLİ FÜME CAM KÜRE SARKIT - MEDIUM</t>
  </si>
  <si>
    <t>H1C6JRSERF0-024</t>
  </si>
  <si>
    <t>modi̇na-tekli̇-fume-cam-sarkit-medium</t>
  </si>
  <si>
    <t>MODİNA TEKLİ FÜME CAM SARKIT - MEDIUM</t>
  </si>
  <si>
    <t>H1C6JRSERF0-020</t>
  </si>
  <si>
    <t>modi̇na-tekli̇-fume-cam-sarkit-small</t>
  </si>
  <si>
    <t>MODİNA TEKLİ FÜME CAM SARKIT - SMALL</t>
  </si>
  <si>
    <t>H1C6JRSERF0-028</t>
  </si>
  <si>
    <t>modi̇na-tekli̇-fume-cam-sarkit-large</t>
  </si>
  <si>
    <t>MODİNA TEKLİ FÜME CAM SARKIT - LARGE</t>
  </si>
  <si>
    <t>H1C6ERY0001-074</t>
  </si>
  <si>
    <t>perla-tekli̇-yesi̇l-cam-sarkit-medium</t>
  </si>
  <si>
    <t>PERLA TEKLİ YEŞİL CAM SARKIT - MEDIUM</t>
  </si>
  <si>
    <t>H1C6ERM0001-074</t>
  </si>
  <si>
    <t>perla-tekli̇-mavi̇-cam-sarkit-medium</t>
  </si>
  <si>
    <t>PERLA TEKLİ MAVİ CAM SARKIT - MEDIUM</t>
  </si>
  <si>
    <t>H1C6ERF0001-074</t>
  </si>
  <si>
    <t>perla-tekli̇-fume-cam-sarkit-medium</t>
  </si>
  <si>
    <t>PERLA TEKLİ FÜME CAM SARKIT - MEDIUM</t>
  </si>
  <si>
    <t>H1C6ERT0001-074</t>
  </si>
  <si>
    <t>perla-tekli̇-turuncu-cam-sarkit-medium</t>
  </si>
  <si>
    <t>PERLA TEKLİ TURUNCU CAM SARKIT - MEDIUM</t>
  </si>
  <si>
    <t>H1C6ERB0001-074</t>
  </si>
  <si>
    <t>perla-tekli̇-beyaz-cam-sarkit-medium</t>
  </si>
  <si>
    <t>PERLA TEKLİ BEYAZ CAM SARKIT - MEDIUM</t>
  </si>
  <si>
    <t>H1C6ERY0001-035</t>
  </si>
  <si>
    <t>perla-tekli̇-yesi̇l-cam-sarkit-small</t>
  </si>
  <si>
    <t>PERLA TEKLİ YEŞİL CAM SARKIT - SMALL</t>
  </si>
  <si>
    <t>H1C6ERM0001-035</t>
  </si>
  <si>
    <t>perla-tekli̇-mavi̇-cam-sarkit-small</t>
  </si>
  <si>
    <t>PERLA TEKLİ MAVİ CAM SARKIT - SMALL</t>
  </si>
  <si>
    <t>H1C6ERF0001-035</t>
  </si>
  <si>
    <t>perla-tekli̇-fume-cam-sarkit-small</t>
  </si>
  <si>
    <t>PERLA TEKLİ FÜME CAM SARKIT - SMALL</t>
  </si>
  <si>
    <t>H1C6ERT0001-035</t>
  </si>
  <si>
    <t>perla-tekli̇-turuncu-cam-sarkit-small</t>
  </si>
  <si>
    <t>PERLA TEKLİ TURUNCU CAM SARKIT - SMALL</t>
  </si>
  <si>
    <t>H1C6ERB0001-035</t>
  </si>
  <si>
    <t>perla-tekli̇-beyaz-cam-sarkit-small</t>
  </si>
  <si>
    <t>PERLA TEKLİ BEYAZ CAM SARKIT - SMALL</t>
  </si>
  <si>
    <t>H1P6ERY000S-035</t>
  </si>
  <si>
    <t>perla-yesi̇l-cam-plafonyer-small</t>
  </si>
  <si>
    <t>PERLA YEŞİL CAM PLAFONYER - SMALL</t>
  </si>
  <si>
    <t>H1P6ERM000S-035</t>
  </si>
  <si>
    <t>perla-mavi̇-cam-plafonyer-small</t>
  </si>
  <si>
    <t>PERLA MAVİ CAM PLAFONYER - SMALL</t>
  </si>
  <si>
    <t>H1P6ERF000S-035</t>
  </si>
  <si>
    <t>perla-fume-cam-plafonyer-small</t>
  </si>
  <si>
    <t>PERLA FÜME CAM PLAFONYER - SMALL</t>
  </si>
  <si>
    <t>H1P6ERT000S-035</t>
  </si>
  <si>
    <t>perla-turuncu-cam-plafonyer-small</t>
  </si>
  <si>
    <t>PERLA TURUNCU CAM PLAFONYER - SMALL</t>
  </si>
  <si>
    <t>H1P6ERB000S-035</t>
  </si>
  <si>
    <t>perla-beyaz-cam-plafonyer-small</t>
  </si>
  <si>
    <t>PERLA BEYAZ CAM PLAFONYER - SMALL</t>
  </si>
  <si>
    <t>H1W3JMEECDS-039</t>
  </si>
  <si>
    <t>bonelli̇-dokulu-cam-apli̇k</t>
  </si>
  <si>
    <t>BONELLİ DOKULU CAM APLİK</t>
  </si>
  <si>
    <t>H1F3JMEECD0-163</t>
  </si>
  <si>
    <t>bonelli̇-dokulu-cam-lambader</t>
  </si>
  <si>
    <t>BONELLİ DOKULU CAM LAMBADER</t>
  </si>
  <si>
    <t>H1C3JMEECDE-120</t>
  </si>
  <si>
    <t>bonelli̇-dokulu-cam-di̇kdortgen-avi̇ze</t>
  </si>
  <si>
    <t>BONELLİ DOKULU CAM DİKDÖRTGEN AVİZE</t>
  </si>
  <si>
    <t>H1C3JMEECD0-130</t>
  </si>
  <si>
    <t>bonelli̇-uc-katli-dokulu-cam-sarkit</t>
  </si>
  <si>
    <t>BONELLİ ÜÇ KATLI DOKULU CAM SARKIT</t>
  </si>
  <si>
    <t>H1C3JMEECD0-072</t>
  </si>
  <si>
    <t>bonelli̇-tekli̇-dokulu-cam-sarkit</t>
  </si>
  <si>
    <t>BONELLİ TEKLİ DOKULU CAM SARKIT</t>
  </si>
  <si>
    <t>H1C6JMPWRFD-157</t>
  </si>
  <si>
    <t>ponte-plati̇n-di̇kdortgen-mermer-avi̇ze-medium</t>
  </si>
  <si>
    <t>PONTE PLATİN DİKDÖRTGEN MERMER AVİZE - MEDIUM</t>
  </si>
  <si>
    <t>H1C6JMPWRFD-127</t>
  </si>
  <si>
    <t>ponte-plati̇n-di̇kdortgen-mermer-avi̇ze-small</t>
  </si>
  <si>
    <t>PONTE PLATİN DİKDÖRTGEN MERMER AVİZE - SMALL</t>
  </si>
  <si>
    <t>H1F6WRSJME0-165</t>
  </si>
  <si>
    <t>hugger-eski̇tme-mermer-lambader</t>
  </si>
  <si>
    <t>HUGGER ESKİTME MERMER LAMBADER</t>
  </si>
  <si>
    <t>H1C6WRFJMER-080</t>
  </si>
  <si>
    <t>hugger-eski̇tme-mermer-yuvarlak-avi̇ze</t>
  </si>
  <si>
    <t>HUGGER ESKİTME MERMER YUVARLAK AVİZE</t>
  </si>
  <si>
    <t>H1C6WRFJMEV-150</t>
  </si>
  <si>
    <t>hugger-eski̇tme-mermer-di̇kdortgen-avi̇ze</t>
  </si>
  <si>
    <t>HUGGER ESKİTME MERMER DİKDÖRTGEN AVİZE</t>
  </si>
  <si>
    <t>H1C6WRFJMEU-040</t>
  </si>
  <si>
    <t>aron-tekli̇-mermer-sarkit-small</t>
  </si>
  <si>
    <t>ARON TEKLİ MERMER SARKIT - SMALL</t>
  </si>
  <si>
    <t>H1C6WRFJMEU-050</t>
  </si>
  <si>
    <t>aron-tekli̇-mermer-sarkit-medium</t>
  </si>
  <si>
    <t>ARON TEKLİ MERMER SARKIT - MEDIUM</t>
  </si>
  <si>
    <t>H1C6WRFJMEU-060</t>
  </si>
  <si>
    <t>aron-tekli̇-mermer-sarkit-large</t>
  </si>
  <si>
    <t>ARON TEKLİ MERMER SARKIT - LARGE</t>
  </si>
  <si>
    <t>H1W6VRVWRF1-042</t>
  </si>
  <si>
    <t>nomi̇-eski̇tme-mermer-apli̇k</t>
  </si>
  <si>
    <t>NOMİ ESKİTME MERMER APLİK</t>
  </si>
  <si>
    <t>H1C6VRVWRF1-042</t>
  </si>
  <si>
    <t>nomi̇-tekli̇-eski̇tme-mermer-sarkit</t>
  </si>
  <si>
    <t>NOMİ TEKLİ ESKİTME MERMER SARKIT</t>
  </si>
  <si>
    <t>H1W6JMEWRF0-069</t>
  </si>
  <si>
    <t>lucca-eski̇tme-mermer-apli̇k</t>
  </si>
  <si>
    <t>LUCCA ESKİTME MERMER APLİK</t>
  </si>
  <si>
    <t>H1C6JMEWRF0-130</t>
  </si>
  <si>
    <t>lucca-eski̇tme-mermer-yuvarlak-avi̇ze</t>
  </si>
  <si>
    <t>LUCCA ESKİTME MERMER YUVARLAK AVİZE</t>
  </si>
  <si>
    <t>H1C6JMEWRFV-130</t>
  </si>
  <si>
    <t>lucca-eski̇tme-mermer-di̇kdortgen-avi̇ze</t>
  </si>
  <si>
    <t>LUCCA ESKİTME MERMER DİKDÖRTGEN AVİZE</t>
  </si>
  <si>
    <t>H1W6JMELRBH-062</t>
  </si>
  <si>
    <t>arne-eski̇tme-led-apli̇k-large</t>
  </si>
  <si>
    <t>ARNE ESKİTME LED APLİK - LARGE</t>
  </si>
  <si>
    <t>H1W6JMELRBH-052</t>
  </si>
  <si>
    <t>arne-eski̇tme-led-apli̇k-medium</t>
  </si>
  <si>
    <t>ARNE ESKİTME LED APLİK - MEDIUM</t>
  </si>
  <si>
    <t>H1W6JMELRBH-037</t>
  </si>
  <si>
    <t>arne-eski̇tme-led-apli̇k-small</t>
  </si>
  <si>
    <t>ARNE ESKİTME LED APLİK - SMALL</t>
  </si>
  <si>
    <t>H1W6JME000H-062</t>
  </si>
  <si>
    <t>nate-eski̇tme-led-apli̇k-large</t>
  </si>
  <si>
    <t>NATE ESKİTME LED APLİK - LARGE</t>
  </si>
  <si>
    <t>H1W6JME000H-052</t>
  </si>
  <si>
    <t>nate-eski̇tme-led-apli̇k-medium</t>
  </si>
  <si>
    <t>NATE ESKİTME LED APLİK - MEDIUM</t>
  </si>
  <si>
    <t>H1W6JME000H-037</t>
  </si>
  <si>
    <t>nate-eski̇tme-led-apli̇k-small</t>
  </si>
  <si>
    <t>NATE ESKİTME LED APLİK - SMALL</t>
  </si>
  <si>
    <t>H1W6JMELRBH-048</t>
  </si>
  <si>
    <t>carte-eski̇tme-led-apli̇k-medium</t>
  </si>
  <si>
    <t>CARTE ESKİTME LED APLİK - MEDIUM</t>
  </si>
  <si>
    <t>H1W6JMELRBH-038</t>
  </si>
  <si>
    <t>carte-eski̇tme-led-apli̇k-small</t>
  </si>
  <si>
    <t>CARTE ESKİTME LED APLİK - SMALL</t>
  </si>
  <si>
    <t>H1W6KRVWRFM-033</t>
  </si>
  <si>
    <t>enzo-i̇ki̇li̇-paslanmaz-mermer-apli̇k</t>
  </si>
  <si>
    <t>ENZO İKİLİ PASLANMAZ MERMER APLİK</t>
  </si>
  <si>
    <t>H1W6KRVWRF1-014</t>
  </si>
  <si>
    <t>enzo-tekli̇-paslanmaz-mermer-apli̇k</t>
  </si>
  <si>
    <t>ENZO TEKLİ PASLANMAZ MERMER APLİK</t>
  </si>
  <si>
    <t>H1C6KRVWRF0-130</t>
  </si>
  <si>
    <t>enzo-paslanmaz-mermer-dort-katli-yuvarlak-avi̇ze</t>
  </si>
  <si>
    <t>ENZO PASLANMAZ MERMER DÖRT KATLI YUVARLAK AVİZE</t>
  </si>
  <si>
    <t>H1C6KRVWRFR-081</t>
  </si>
  <si>
    <t>enzo-paslanmaz-mermer-yuvarlak-avi̇ze-medium</t>
  </si>
  <si>
    <t>ENZO PASLANMAZ MERMER YUVARLAK AVİZE - MEDIUM</t>
  </si>
  <si>
    <t>H1C6KRVWRFR-065</t>
  </si>
  <si>
    <t>enzo-paslanmaz-mermer-yuvarlak-avi̇ze-small</t>
  </si>
  <si>
    <t>ENZO PASLANMAZ MERMER YUVARLAK AVİZE - SMALL</t>
  </si>
  <si>
    <t>H1C6KRVWRFD-120</t>
  </si>
  <si>
    <t>enzo-paslanmaz-mermer-di̇kdortgen-avi̇ze</t>
  </si>
  <si>
    <t>ENZO PASLANMAZ MERMER DİKDÖRTGEN AVİZE</t>
  </si>
  <si>
    <t>H1C6KRVWRF1-014</t>
  </si>
  <si>
    <t>enzo-tekli̇-paslanmaz-mermer-sarkit</t>
  </si>
  <si>
    <t>ENZO TEKLİ PASLANMAZ MERMER SARKIT</t>
  </si>
  <si>
    <t>H1C6JMEECO0-035</t>
  </si>
  <si>
    <t>oyster-tekli̇-opal-cam-sarkit-small</t>
  </si>
  <si>
    <t>OYSTER TEKLİ OPAL CAM SARKIT - SMALL</t>
  </si>
  <si>
    <t>H1C6JMEECO0-045</t>
  </si>
  <si>
    <t>oyster-tekli̇-opal-cam-sarkit-medium</t>
  </si>
  <si>
    <t>OYSTER TEKLİ OPAL CAM SARKIT - MEDIUM</t>
  </si>
  <si>
    <t>H1C6JMPERL0-038</t>
  </si>
  <si>
    <t>novella-tekli̇-bal-cam-sarkit-small</t>
  </si>
  <si>
    <t>NOVELLA TEKLİ BAL CAM SARKIT - SMALL</t>
  </si>
  <si>
    <t>H1C6JMPERF0-038</t>
  </si>
  <si>
    <t>novella-tekli̇-fume-cam-sarkit-small</t>
  </si>
  <si>
    <t>NOVELLA TEKLİ FÜME CAM SARKIT - SMALL</t>
  </si>
  <si>
    <t>H1W6JMEBCO0-030</t>
  </si>
  <si>
    <t>artea-opal-akri̇li̇k-apli̇k-small</t>
  </si>
  <si>
    <t>ARTEA OPAL AKRİLİK APLİK - SMALL</t>
  </si>
  <si>
    <t>H1W6JMEBCO0-040</t>
  </si>
  <si>
    <t>artea-opal-akri̇li̇k-apli̇k-medium</t>
  </si>
  <si>
    <t>ARTEA OPAL AKRİLİK APLİK - MEDIUM</t>
  </si>
  <si>
    <t>H1P6JMEBCO0-040</t>
  </si>
  <si>
    <t>artea-opal-akri̇li̇k-plafonyer-small</t>
  </si>
  <si>
    <t>ARTEA OPAL AKRİLİK PLAFONYER - SMALL</t>
  </si>
  <si>
    <t>H1P6JMEBCO0-050</t>
  </si>
  <si>
    <t>artea-opal-akri̇li̇k-plafonyer-medium</t>
  </si>
  <si>
    <t>ARTEA OPAL AKRİLİK PLAFONYER - MEDIUM</t>
  </si>
  <si>
    <t>H1C6JMEBCO0-030</t>
  </si>
  <si>
    <t>artea-tekli̇-opal-akri̇li̇k-sarkit-small</t>
  </si>
  <si>
    <t>ARTEA TEKLİ OPAL AKRİLİK SARKIT - SMALL</t>
  </si>
  <si>
    <t>H1C6JMEBCO0-040</t>
  </si>
  <si>
    <t>artea-tekli̇-opal-akri̇li̇k-sarkit-medium</t>
  </si>
  <si>
    <t>ARTEA TEKLİ OPAL AKRİLİK SARKIT - MEDIUM</t>
  </si>
  <si>
    <t>H1C6JMEBCO0-050</t>
  </si>
  <si>
    <t>artea-tekli̇-opal-akri̇li̇k-sarkit-large</t>
  </si>
  <si>
    <t>ARTEA TEKLİ OPAL AKRİLİK SARKIT - LARGE</t>
  </si>
  <si>
    <t>H1C6JMPECO0-020</t>
  </si>
  <si>
    <t>lanci̇a-tekli̇-opal-cam-avi̇ze</t>
  </si>
  <si>
    <t>LANCİA TEKLİ OPAL CAM AVİZE</t>
  </si>
  <si>
    <t>H1C6CANBRB0-069</t>
  </si>
  <si>
    <t>stella-ni̇kel-alumi̇nyum-yuvarlak-avi̇ze-small</t>
  </si>
  <si>
    <t>STELLA NİKEL ALÜMİNYUM YUVARLAK AVİZE - SMALL</t>
  </si>
  <si>
    <t>H1C6CANBRBK-084</t>
  </si>
  <si>
    <t>stella-ni̇kel-alumi̇nyum-yuvarlak-avi̇ze-medium</t>
  </si>
  <si>
    <t>STELLA NİKEL ALÜMİNYUM YUVARLAK AVİZE - MEDIUM</t>
  </si>
  <si>
    <t>H1C6CANBRBD-129</t>
  </si>
  <si>
    <t>stella-ni̇kel-alumi̇nyum-di̇kdortgen-avi̇ze</t>
  </si>
  <si>
    <t>STELLA NİKEL ALÜMİNYUM DİKDÖRTGEN AVİZE</t>
  </si>
  <si>
    <t>H1P6CANBRBR-040</t>
  </si>
  <si>
    <t>petra-ni̇kel-alumi̇nyum-plafonyer-small</t>
  </si>
  <si>
    <t>PETRA NİKEL ALÜMİNYUM PLAFONYER - SMALL</t>
  </si>
  <si>
    <t>H1P6CANBRBR-050</t>
  </si>
  <si>
    <t>petra-ni̇kel-alumi̇nyum-plafonyer-medium</t>
  </si>
  <si>
    <t>PETRA NİKEL ALÜMİNYUM PLAFONYER - MEDIUM</t>
  </si>
  <si>
    <t>H1P6CANBRBR-060</t>
  </si>
  <si>
    <t>petra-ni̇kel-alumi̇nyum-plafonyer-large</t>
  </si>
  <si>
    <t>PETRA NİKEL ALÜMİNYUM PLAFONYER - LARGE</t>
  </si>
  <si>
    <t>H1C6KMPERT0-035</t>
  </si>
  <si>
    <t>ari̇etta-tekli̇-turuncu-cam-sarkit-medium</t>
  </si>
  <si>
    <t>ARİETTA TEKLİ TURUNCU CAM SARKIT - MEDIUM</t>
  </si>
  <si>
    <t>H1C6KMPERV0-035</t>
  </si>
  <si>
    <t>ari̇etta-tekli̇-kahverengi̇-cam-sarkit-medium</t>
  </si>
  <si>
    <t>ARİETTA TEKLİ KAHVERENGİ CAM SARKIT - MEDIUM</t>
  </si>
  <si>
    <t>H1C6KMPERF0-035</t>
  </si>
  <si>
    <t>ari̇etta-tekli̇-fume-cam-sarkit-medium</t>
  </si>
  <si>
    <t>ARİETTA TEKLİ FÜME CAM SARKIT - MEDIUM</t>
  </si>
  <si>
    <t>H1C6KMPERY0-035</t>
  </si>
  <si>
    <t>ari̇etta-tekli̇-yesi̇l-cam-sarkit-medium</t>
  </si>
  <si>
    <t>ARİETTA TEKLİ YEŞİL CAM SARKIT - MEDIUM</t>
  </si>
  <si>
    <t>H1C6KMPERT0-020</t>
  </si>
  <si>
    <t>ari̇etta-tekli̇-turuncu-cam-sarkit-small</t>
  </si>
  <si>
    <t>ARİETTA TEKLİ TURUNCU CAM SARKIT - SMALL</t>
  </si>
  <si>
    <t>H1W3KMKECSV-100</t>
  </si>
  <si>
    <t>lucetta-kri̇stal-krom-apli̇k-medium</t>
  </si>
  <si>
    <t>LUCETTA KRİSTAL KROM APLİK - MEDIUM</t>
  </si>
  <si>
    <t>H1W3KMKECSV-051</t>
  </si>
  <si>
    <t>lucetta-kri̇stal-krom-apli̇k-small</t>
  </si>
  <si>
    <t>LUCETTA KRİSTAL KROM APLİK - SMALL</t>
  </si>
  <si>
    <t>H1C6KMPERV0-020</t>
  </si>
  <si>
    <t>ari̇etta-tekli̇-kahverengi̇-cam-sarkit-small</t>
  </si>
  <si>
    <t>ARİETTA TEKLİ KAHVERENGİ CAM SARKIT - SMALL</t>
  </si>
  <si>
    <t>H1C6KMPERF0-020</t>
  </si>
  <si>
    <t>ari̇etta-tekli̇-fume-cam-sarkit-small</t>
  </si>
  <si>
    <t>ARİETTA TEKLİ FÜME CAM SARKIT - SMALL</t>
  </si>
  <si>
    <t>H1C6KMPERY0-020</t>
  </si>
  <si>
    <t>ari̇etta-tekli̇-yesi̇l-cam-sarkit-small</t>
  </si>
  <si>
    <t>ARİETTA TEKLİ YEŞİL CAM SARKIT - SMALL</t>
  </si>
  <si>
    <t>H1F6KMPERF0-184</t>
  </si>
  <si>
    <t>ari̇etta-fume-cam-lambader</t>
  </si>
  <si>
    <t>ARİETTA FÜME CAM LAMBADER</t>
  </si>
  <si>
    <t>H1T6KMPERF0-060</t>
  </si>
  <si>
    <t>ari̇etta-fume-cam-masa-lambasi-medium</t>
  </si>
  <si>
    <t>ARİETTA FÜME CAM MASA LAMBASI - MEDIUM</t>
  </si>
  <si>
    <t>H1T6KMPERF0-035</t>
  </si>
  <si>
    <t>ari̇etta-fume-cam-masa-lambasi-small</t>
  </si>
  <si>
    <t>ARİETTA FÜME CAM MASA LAMBASI - SMALL</t>
  </si>
  <si>
    <t>H1C6JMEWRF0-070</t>
  </si>
  <si>
    <t>gabon-mermer-eski̇tme-yuvarlak-avi̇ze</t>
  </si>
  <si>
    <t>GABON MERMER ESKİTME YUVARLAK AVİZE</t>
  </si>
  <si>
    <t>H1W6JMEECB0-011</t>
  </si>
  <si>
    <t>rolo-cam-eski̇tme-apli̇k</t>
  </si>
  <si>
    <t>ROLO CAM ESKİTME APLİK</t>
  </si>
  <si>
    <t>H1W3JMEECBD-060</t>
  </si>
  <si>
    <t>lumi̇-cam-eski̇tme-apli̇k-medium</t>
  </si>
  <si>
    <t>LUMİ CAM ESKİTME APLİK - MEDIUM</t>
  </si>
  <si>
    <t>H1W3JMEECBD-040</t>
  </si>
  <si>
    <t>lumi̇-cam-eski̇tme-apli̇k-small</t>
  </si>
  <si>
    <t>LUMİ CAM ESKİTME APLİK - SMALL</t>
  </si>
  <si>
    <t>H1C6ERLJRS0-070</t>
  </si>
  <si>
    <t>gambi̇a-bal-cam-yuvarlak-avi̇ze</t>
  </si>
  <si>
    <t>GAMBİA BAL CAM YUVARLAK AVİZE</t>
  </si>
  <si>
    <t>H1C6ERLJRS0-125</t>
  </si>
  <si>
    <t>gambi̇a-bal-cam-di̇kdortgen-avi̇ze</t>
  </si>
  <si>
    <t>GAMBİA BAL CAM DİKDÖRTGEN AVİZE</t>
  </si>
  <si>
    <t>AAHHKMKECS0-085</t>
  </si>
  <si>
    <t>lucetta-kri̇stal-krom-masa</t>
  </si>
  <si>
    <t>LUCETTA KRİSTAL KROM MASA</t>
  </si>
  <si>
    <t>H1C1KMKECSV-130</t>
  </si>
  <si>
    <t>lucetta-kri̇stal-krom-di̇kdortgen-avi̇ze</t>
  </si>
  <si>
    <t>LUCETTA KRİSTAL KROM DİKDÖRTGEN AVİZE</t>
  </si>
  <si>
    <t>H1C1KMKECSV-085</t>
  </si>
  <si>
    <t>lucetta-kri̇stal-krom-yuvarlak-avi̇ze</t>
  </si>
  <si>
    <t>LUCETTA KRİSTAL KROM YUVARLAK AVİZE</t>
  </si>
  <si>
    <t>H1F1KMKECSV-160</t>
  </si>
  <si>
    <t>lucetta-kri̇stal-krom-lambader</t>
  </si>
  <si>
    <t>LUCETTA KRİSTAL KROM LAMBADER</t>
  </si>
  <si>
    <t>H1T1KMKECSV-060</t>
  </si>
  <si>
    <t>lucetta-kri̇stal-krom-masa-lambasi</t>
  </si>
  <si>
    <t>LUCETTA KRİSTAL KROM MASA LAMBASI</t>
  </si>
  <si>
    <t>H1C1KMEECSV-130</t>
  </si>
  <si>
    <t>lucetta-kri̇stal-eski̇tme-di̇kdortgen-avi̇ze</t>
  </si>
  <si>
    <t>LUCETTA KRİSTAL ESKİTME DİKDÖRTGEN AVİZE</t>
  </si>
  <si>
    <t>H1C1KMEECSV-085</t>
  </si>
  <si>
    <t>lucetta-kri̇stal-eski̇tme-yuvarlak-avi̇ze</t>
  </si>
  <si>
    <t>LUCETTA KRİSTAL ESKİTME YUVARLAK AVİZE</t>
  </si>
  <si>
    <t>H1W3KMEECSV-100</t>
  </si>
  <si>
    <t>lucetta-kri̇stal-eski̇tme-apli̇k-medium</t>
  </si>
  <si>
    <t>LUCETTA KRİSTAL ESKİTME APLİK - MEDIUM</t>
  </si>
  <si>
    <t>H1W3KMEECSV-051</t>
  </si>
  <si>
    <t>lucetta-kri̇stal-eski̇tme-apli̇k-small</t>
  </si>
  <si>
    <t>LUCETTA KRİSTAL ESKİTME APLİK - SMALL</t>
  </si>
  <si>
    <t>H1F1KMEECSV-160</t>
  </si>
  <si>
    <t>lucetta-kri̇stal-eski̇tme-lambader</t>
  </si>
  <si>
    <t>LUCETTA KRİSTAL ESKİTME LAMBADER</t>
  </si>
  <si>
    <t>H1T1KMEECSV-060</t>
  </si>
  <si>
    <t>lucetta-kri̇stal-eski̇tme-masa-lambasi</t>
  </si>
  <si>
    <t>LUCETTA KRİSTAL ESKİTME MASA LAMBASI</t>
  </si>
  <si>
    <t>H1S6CRS000Z-012</t>
  </si>
  <si>
    <t>teresa-mat-siyah-tirtikli-spot-12-cm</t>
  </si>
  <si>
    <t>Teresa Mat Siyah Tırtıklı Spot 12 cm</t>
  </si>
  <si>
    <t>H1S6CME000Z-012</t>
  </si>
  <si>
    <t>teresa-eskitme-tirtikli-spot-12-cm</t>
  </si>
  <si>
    <t>Teresa Eskitme Tırtıklı Spot 12 cm</t>
  </si>
  <si>
    <t>H1W6VRVJMEH-050</t>
  </si>
  <si>
    <t>sambro-kahverengi-deri-aplik</t>
  </si>
  <si>
    <t>Sambro Kahverengi Deri Aplik</t>
  </si>
  <si>
    <t>H1S6CRS000H-017</t>
  </si>
  <si>
    <t>rigo-mat-siyah-duz-spot-7x17-cm</t>
  </si>
  <si>
    <t>Rigo Mat Siyah Düz Spot 7X17 cm</t>
  </si>
  <si>
    <t>H1S6CRS000Z-009</t>
  </si>
  <si>
    <t>darell-mat-siyah-duz-spot-8x8-cm</t>
  </si>
  <si>
    <t>Darell Mat Siyah Düz Spot 8X8 cm</t>
  </si>
  <si>
    <t>H1S6CME000P-010</t>
  </si>
  <si>
    <t>fedora-eskitme-duz-spot-10x10-cm</t>
  </si>
  <si>
    <t>Fedora Eskitme Düz Spot 10X10 cm</t>
  </si>
  <si>
    <t>H1S6CRS000P-010</t>
  </si>
  <si>
    <t>fedora-mat-si̇yah-duz-spot-10x10-cm</t>
  </si>
  <si>
    <t>Fedora Mat Siyah Düz Spot 10X10 cm</t>
  </si>
  <si>
    <t>H1S6CME000H-017</t>
  </si>
  <si>
    <t>ri̇go-eski̇tme-duz-spot-7x17-cm</t>
  </si>
  <si>
    <t>Rigo Eskitme Düz Spot 7X17 cm</t>
  </si>
  <si>
    <t>H1S6CME000Z-009</t>
  </si>
  <si>
    <t>darell-eskitme-duz-spot-8x8-cm</t>
  </si>
  <si>
    <t>Darell Eskitme Düz Spot 8X8 cm</t>
  </si>
  <si>
    <t>H1S6CRS000Z-016</t>
  </si>
  <si>
    <t>avveni̇-mat-si̇yah-duz-spot-6x16-cm</t>
  </si>
  <si>
    <t>Avveni Mat Siyah Düz Spot 6X16 cm</t>
  </si>
  <si>
    <t>H1S6CME000Z-016</t>
  </si>
  <si>
    <t>avveni-eskitme-duz-spot-6x16-cm</t>
  </si>
  <si>
    <t>Avveni Eskitme Düz Spot 6X16 cm</t>
  </si>
  <si>
    <t>H1W6CME000E-061</t>
  </si>
  <si>
    <t>collesi̇um-eski̇tme-apli̇k-medium</t>
  </si>
  <si>
    <t>COLLESİUM ESKİTME APLİK - MEDIUM</t>
  </si>
  <si>
    <t>H1W6CMP000E-044</t>
  </si>
  <si>
    <t>collesi̇um-plati̇n-apli̇k-small</t>
  </si>
  <si>
    <t>COLLESİUM PLATİN APLİK - SMALL</t>
  </si>
  <si>
    <t>H1W6CME000E-044</t>
  </si>
  <si>
    <t>collesi̇um-eski̇tme-apli̇k-small</t>
  </si>
  <si>
    <t>COLLESİUM ESKİTME APLİK - SMALL</t>
  </si>
  <si>
    <t>H1W6CMP000E-061</t>
  </si>
  <si>
    <t>collesi̇um-plati̇n-apli̇k-medium</t>
  </si>
  <si>
    <t>COLLESİUM PLATİN APLİK- MEDIUM</t>
  </si>
  <si>
    <t>H1F6JMEWRF0-160</t>
  </si>
  <si>
    <t>teta-mermer-eski̇tme-lambader</t>
  </si>
  <si>
    <t>TETA MERMER PLATİN LAMBADER</t>
  </si>
  <si>
    <t>H1T6JMEWRF0-042</t>
  </si>
  <si>
    <t>teta-mermer-eski̇tme-masa-lambasi</t>
  </si>
  <si>
    <t>TETA MERMER PLATİN MASA LAMBASI</t>
  </si>
  <si>
    <t>H1C6JMEERY1-050</t>
  </si>
  <si>
    <t>skyli̇ne-tekli̇-yesi̇l-cam-sarkit-large</t>
  </si>
  <si>
    <t>SKYLİNE TEKLİ YEŞİL CAM SARKIT - LARGE</t>
  </si>
  <si>
    <t>H1C6JMEERT1-050</t>
  </si>
  <si>
    <t>skyli̇ne-tekli̇-turuncu-cam-sarkit-large</t>
  </si>
  <si>
    <t>SKYLİNE TEKLİ TURUNCU CAM SARKIT - LARGE</t>
  </si>
  <si>
    <t>H1C6JMEERP1-050</t>
  </si>
  <si>
    <t>skyli̇ne-tekli̇-pembe-cam-sarkit-large</t>
  </si>
  <si>
    <t>SKYLİNE TEKLİ PEMBE CAM SARKIT - LARGE</t>
  </si>
  <si>
    <t>H1C6JMEERL1-050</t>
  </si>
  <si>
    <t>skyli̇ne-tekli̇-bal-cam-sarkit-large</t>
  </si>
  <si>
    <t>SKYLİNE TEKLİ BAL CAM SARKIT - LARGE</t>
  </si>
  <si>
    <t>H1C6JMEERF1-050</t>
  </si>
  <si>
    <t>skyli̇ne-tekli̇-fume-cam-sarkit-large</t>
  </si>
  <si>
    <t>SKYLİNE TEKLİ FÜME CAM SARKIT - LARGE</t>
  </si>
  <si>
    <t>H1C6JMEERM1-050</t>
  </si>
  <si>
    <t>skyli̇ne-tekli̇-mavi̇-cam-sarkit-large</t>
  </si>
  <si>
    <t>SKYLİNE TEKLİ MAVİ CAM SARKIT - LARGE</t>
  </si>
  <si>
    <t>H1C6JMEECS1-050</t>
  </si>
  <si>
    <t>skyli̇ne-tekli̇-seffaf-cam-sarkit-large</t>
  </si>
  <si>
    <t>SKYLİNE TEKLİ ŞEFFAF CAM SARKIT - LARGE</t>
  </si>
  <si>
    <t>H1W6JMEERP1-030</t>
  </si>
  <si>
    <t>skyli̇ne-pembe-cam-apli̇k</t>
  </si>
  <si>
    <t>SKYLİNE PEMBE CAM APLİK</t>
  </si>
  <si>
    <t>H1W6JMEECS1-030</t>
  </si>
  <si>
    <t>skyli̇ne-seffaf-cam-apli̇k</t>
  </si>
  <si>
    <t>SKYLİNE ŞEFFAF CAM APLİK</t>
  </si>
  <si>
    <t>H1W6JMEERF1-030</t>
  </si>
  <si>
    <t>skyli̇ne-fume-cam-apli̇k</t>
  </si>
  <si>
    <t>SKYLİNE FÜME CAM APLİK</t>
  </si>
  <si>
    <t>H1W6JMEERL1-030</t>
  </si>
  <si>
    <t>skyli̇ne-bal-cam-apli̇k</t>
  </si>
  <si>
    <t>SKYLİNE BAL CAM APLİK</t>
  </si>
  <si>
    <t>H1W6JMEERM1-030</t>
  </si>
  <si>
    <t>skyli̇ne-mavi̇-cam-apli̇k</t>
  </si>
  <si>
    <t>SKYLİNE MAVİ CAM APLİK</t>
  </si>
  <si>
    <t>H1W6JMEERY1-030</t>
  </si>
  <si>
    <t>skyli̇ne-yesi̇l-cam-apli̇k</t>
  </si>
  <si>
    <t>SKYLİNE YEŞİL CAM APLİK</t>
  </si>
  <si>
    <t>H1W6JMEERT1-030</t>
  </si>
  <si>
    <t>skyli̇ne-turuncu-cam-apli̇k</t>
  </si>
  <si>
    <t>SKYLİNE TURUNCU CAM APLİK</t>
  </si>
  <si>
    <t>H1T6JMEECS1-030</t>
  </si>
  <si>
    <t>skyli̇ne-seffaf-cam-masa-lambasi</t>
  </si>
  <si>
    <t>SKYLİNE ŞEFFAF CAM MASA LAMBASI</t>
  </si>
  <si>
    <t>H1T6JMEERL1-030</t>
  </si>
  <si>
    <t>skyli̇ne-bal-cam-masa-lambasi</t>
  </si>
  <si>
    <t>SKYLİNE BAL CAM MASA LAMBASI</t>
  </si>
  <si>
    <t>H1F6JMEECS0-030</t>
  </si>
  <si>
    <t>skyli̇ne-seffaf-cam-lambader</t>
  </si>
  <si>
    <t>SKYLİNE ŞEFFAF CAM LAMBADER</t>
  </si>
  <si>
    <t>H1F6JMEERL0-030</t>
  </si>
  <si>
    <t>skyli̇ne-bal-cam-lambader</t>
  </si>
  <si>
    <t>SKYLİNE BAL CAM LAMBADER</t>
  </si>
  <si>
    <t>H1C6JMEERL1-030</t>
  </si>
  <si>
    <t>skyli̇ne-tekli̇-bal-cam-sarkit-small</t>
  </si>
  <si>
    <t>SKYLİNE TEKLİ BAL CAM SARKIT - SMALL</t>
  </si>
  <si>
    <t>H1C6JMEERY1-030</t>
  </si>
  <si>
    <t>skyli̇ne-tekli̇-yesi̇l-cam-sarkit-small</t>
  </si>
  <si>
    <t>SKYLİNE TEKLİ YEŞİL CAM SARKIT - SMALL</t>
  </si>
  <si>
    <t>H1C6JMEERT1-030</t>
  </si>
  <si>
    <t>skyli̇ne-tekli̇-turuncu-cam-sarkit-small</t>
  </si>
  <si>
    <t>SKYLİNE TEKLİ TURUNCU CAM SARKIT - SMALL</t>
  </si>
  <si>
    <t>H1C6JMEERF1-030</t>
  </si>
  <si>
    <t>skyli̇ne-tekli̇-fume-cam-sarkit-small</t>
  </si>
  <si>
    <t>SKYLİNE TEKLİ FÜME CAM SARKIT - SMALL</t>
  </si>
  <si>
    <t>H1C6JMEECS1-030</t>
  </si>
  <si>
    <t>skyli̇ne-tekli̇-seffaf-cam-sarkit-small</t>
  </si>
  <si>
    <t>SKYLİNE TEKLİ ŞEFFAF CAM SARKIT - SMALL</t>
  </si>
  <si>
    <t>H1C6JMEERP1-030</t>
  </si>
  <si>
    <t>skyli̇ne-tekli̇-pembe-cam-sarkit-small</t>
  </si>
  <si>
    <t>SKYLİNE TEKLİ PEMBE CAM SARKIT - SMALL</t>
  </si>
  <si>
    <t>H1C6JMEERM1-030</t>
  </si>
  <si>
    <t>skyli̇ne-tekli̇-mavi̇-cam-sarkit-small</t>
  </si>
  <si>
    <t>SKYLİNE TEKLİ MAVİ CAM SARKIT - SMALL</t>
  </si>
  <si>
    <t>H1C6JMEERF1-040</t>
  </si>
  <si>
    <t>skyli̇ne-tekli̇-fume-cam-sarkit-medium</t>
  </si>
  <si>
    <t>SKYLİNE TEKLİ FÜME CAM SARKIT - MEDIUM</t>
  </si>
  <si>
    <t>H1C6JMEERY1-040</t>
  </si>
  <si>
    <t>skyli̇ne-tekli̇-yesi̇l-cam-sarkit-medium</t>
  </si>
  <si>
    <t>SKYLİNE TEKLİ YEŞİL CAM SARKIT - MEDIUM</t>
  </si>
  <si>
    <t>H1C6JMEECS1-040</t>
  </si>
  <si>
    <t>skyli̇ne-tekli̇-seffaf-cam-sarkit-medium</t>
  </si>
  <si>
    <t>SKYLİNE TEKLİ ŞEFFAF CAM SARKIT - MEDIUM</t>
  </si>
  <si>
    <t>H1C6JMEERL1-040</t>
  </si>
  <si>
    <t>skyli̇ne-tekli̇-bal-cam-sarkit-medium</t>
  </si>
  <si>
    <t>SKYLİNE TEKLİ BAL CAM SARKIT - MEDIUM</t>
  </si>
  <si>
    <t>H1C6JMEERM1-040</t>
  </si>
  <si>
    <t>skyli̇ne-tekli̇-mavi̇-cam-sarkit-medium</t>
  </si>
  <si>
    <t>SKYLİNE TEKLİ MAVİ CAM SARKIT - MEDIUM</t>
  </si>
  <si>
    <t>H1C6JMEERP1-040</t>
  </si>
  <si>
    <t>skyli̇ne-tekli̇-pembe-cam-sarkit-medium</t>
  </si>
  <si>
    <t>SKYLİNE TEKLİ PEMBE CAM SARKIT - MEDIUM</t>
  </si>
  <si>
    <t>H1C6JMEERT1-040</t>
  </si>
  <si>
    <t>H1C2JMEERB1-037</t>
  </si>
  <si>
    <t>H1C2JMEERV1-030</t>
  </si>
  <si>
    <t>H1C2JMEERY1-030</t>
  </si>
  <si>
    <t>H1W6JMPWRBE-042</t>
  </si>
  <si>
    <t>ADY0CRSARG0-165</t>
  </si>
  <si>
    <t>H1W6JMEECB0-040</t>
  </si>
  <si>
    <t>H1C6JMEECB0-040</t>
  </si>
  <si>
    <t>H1C2JMEERB1-030</t>
  </si>
  <si>
    <t>H1W2JMEERV1-024</t>
  </si>
  <si>
    <t>H1C2JMEERV1-037</t>
  </si>
  <si>
    <t>H1C2JMEERY1-037</t>
  </si>
  <si>
    <t>H1W2JMEERB1-024</t>
  </si>
  <si>
    <t>H1W2JMEERY1-024</t>
  </si>
  <si>
    <t>CASTEL TEKLİ BEYAZ SATİNA CAM SARKIT - SMALL</t>
  </si>
  <si>
    <t>CASTEL KAHVERENGİ SATİNA CAM APLİK</t>
  </si>
  <si>
    <t>CASTEL TEKLİ KAHVERENGİ SATİNA CAM SARKIT - MEDIUM</t>
  </si>
  <si>
    <t>CASTEL TEKLİ YEŞİL SATİNA CAM SARKIT - MEDIUM</t>
  </si>
  <si>
    <t>CASTEL TEKLİ YEŞİL SATİNA CAM SARKIT - SMALL</t>
  </si>
  <si>
    <t>CASTEL TEKLİ BEYAZ SATİNA CAM SARKIT - MEDIUM</t>
  </si>
  <si>
    <t>CASTEL BEYAZ SATİNA CAM APLİK</t>
  </si>
  <si>
    <t>CASTEL TEKLİ KAHVERENGİ SATİNA CAM SARKIT - SMALL</t>
  </si>
  <si>
    <t>CASTEL YEŞİL SATİNA CAM APLİK</t>
  </si>
  <si>
    <t>castel-yesi̇l-sati̇na-cam-apli̇k</t>
  </si>
  <si>
    <t>castel-beyaz-sati̇na-cam-apli̇k</t>
  </si>
  <si>
    <t>castel-kahverengi̇-sati̇na-cam-apli̇k</t>
  </si>
  <si>
    <t>castel-tekli̇-beyaz-sati̇na-cam-sarkit-medium</t>
  </si>
  <si>
    <t>castel-tekli̇-beyaz-sati̇na-cam-sarkit-small</t>
  </si>
  <si>
    <t>castel-tekli̇-yesi̇l-sati̇na-cam-sarkit-small</t>
  </si>
  <si>
    <t>castel-tekli̇-kahverengi̇-sati̇na-cam-sarkit-medium</t>
  </si>
  <si>
    <t>castel-tekli̇-kahverengi̇-sati̇na-cam-sarkit-small</t>
  </si>
  <si>
    <t>castel-tekli̇-yesi̇l-sati̇na-cam-sarkit-medium</t>
  </si>
  <si>
    <t>TERMESSOS BEYAZ MERMERLİ PLATİN APLİK 17x42cm</t>
  </si>
  <si>
    <t>siyah-gri-gramofon-muzik-calar</t>
  </si>
  <si>
    <t>SİYAH-GRİ GRAMOFON -  MÜZİK ÇALAR</t>
  </si>
  <si>
    <t>ZAMBİYA BEYAZ BUZLU CAM ESKİTME APLİK 40cm</t>
  </si>
  <si>
    <t>ZAMBİYA BEYAZ BUZLU CAM ESKİTME DİKEY SARKIT 40cm</t>
  </si>
  <si>
    <t>zambiya-beyaz-buzlu-cam-eskitme-aplik-40-cm</t>
  </si>
  <si>
    <t>zambiya-beyaz-buzlu-cam-eskitme-dikey-sarkit-40-cm</t>
  </si>
  <si>
    <t>Bu Sayfa QR kod PNG'sinin indirilip doğru klasöre atılıp atılmadığını kontrol etmeye yarayan sayfadır.                                                                                                             Aşama 1: E sütununda bulunan qr kodlardan herhangi birine tıklayın.                                                                 Aşama 2: Giriş &gt; Bul ve Seç &gt; Özel Git kısmından Solda bulunan "Nesne Seç" seçeneğini işaretleyerek sayfada bulunan tüm QR kod görsellerinin seçimini sağlayınız ve Delete tuşu ile sayfadaki tüm görselleri temizleyin.                                                                                                                                                        Aşama 3: Veri çekilmeyen boş olan tüm satırları silin                                                                                           Aşama 4: Geliştirici &gt; Makrolar sekmesi altında "QRkodEkle" isimli makroyu çalıştırın. Eğer göseli gelmeyen QR kod var ise QR kodu C sutünündaki  isimle ilgili klasöre ekleyin</t>
  </si>
  <si>
    <t>QR İmage Check Kullanımı</t>
  </si>
  <si>
    <t>ADT</t>
  </si>
  <si>
    <t>Web URL*</t>
  </si>
  <si>
    <t>QR Name*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</si>
</sst>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charset val="162"/>
      <scheme val="minor"/>
    </font>
    <font>
      <sz val="10"/>
      <color theme="1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0"/>
      <name val="Arial"/>
      <family val="2"/>
      <charset val="1"/>
    </font>
    <font>
      <sz val="72"/>
      <name val="Arial"/>
      <family val="2"/>
      <charset val="1"/>
    </font>
    <font>
      <sz val="72"/>
      <color rgb="FFFF0000"/>
      <name val="Arial"/>
      <family val="2"/>
      <charset val="1"/>
    </font>
    <font>
      <b/>
      <sz val="10"/>
      <name val="Arial"/>
      <family val="2"/>
      <charset val="162"/>
    </font>
    <font>
      <u/>
      <sz val="10"/>
      <color theme="10"/>
      <name val="Arial"/>
      <family val="2"/>
      <charset val="1"/>
    </font>
    <font>
      <sz val="9"/>
      <color rgb="FF000000"/>
      <name val="Arial"/>
      <family val="2"/>
      <charset val="162"/>
    </font>
    <font>
      <sz val="10"/>
      <name val="Arial"/>
      <family val="2"/>
      <charset val="162"/>
    </font>
    <font>
      <sz val="8"/>
      <name val="Aptos Narrow"/>
      <family val="2"/>
      <charset val="162"/>
      <scheme val="minor"/>
    </font>
    <font>
      <b/>
      <sz val="10"/>
      <color rgb="FFFF0000"/>
      <name val="Arial"/>
      <family val="2"/>
      <charset val="162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0" fontId="7" fillId="0" borderId="0" applyNumberFormat="0" applyFill="0" applyBorder="0" applyAlignment="0" applyProtection="0"/>
    <xf numFmtId="0" fontId="12" fillId="0" borderId="0"/>
  </cellStyleXfs>
  <cellXfs count="16">
    <xf numFmtId="0" fontId="0" fillId="0" borderId="0" xfId="0"/>
    <xf numFmtId="0" fontId="4" fillId="0" borderId="0" xfId="2" applyFont="1"/>
    <xf numFmtId="0" fontId="3" fillId="0" borderId="0" xfId="2"/>
    <xf numFmtId="0" fontId="5" fillId="0" borderId="0" xfId="2" applyFont="1"/>
    <xf numFmtId="0" fontId="4" fillId="0" borderId="0" xfId="2" applyFont="1" applyAlignment="1">
      <alignment horizontal="center"/>
    </xf>
    <xf numFmtId="0" fontId="6" fillId="0" borderId="0" xfId="2" applyFont="1"/>
    <xf numFmtId="0" fontId="6" fillId="0" borderId="0" xfId="2" applyFont="1" applyAlignment="1">
      <alignment horizontal="center" vertical="center"/>
    </xf>
    <xf numFmtId="0" fontId="1" fillId="0" borderId="0" xfId="2" applyFont="1"/>
    <xf numFmtId="0" fontId="7" fillId="0" borderId="0" xfId="3"/>
    <xf numFmtId="0" fontId="8" fillId="0" borderId="0" xfId="2" applyFont="1"/>
    <xf numFmtId="0" fontId="9" fillId="0" borderId="1" xfId="2" applyFont="1" applyBorder="1" applyAlignment="1">
      <alignment wrapText="1"/>
    </xf>
    <xf numFmtId="0" fontId="0" fillId="0" borderId="2" xfId="0" applyBorder="1" applyAlignment="1">
      <alignment horizontal="left" vertical="center"/>
    </xf>
    <xf numFmtId="0" fontId="2" fillId="0" borderId="0" xfId="1"/>
    <xf numFmtId="0" fontId="12" fillId="0" borderId="0" xfId="4"/>
    <xf numFmtId="0" fontId="11" fillId="0" borderId="0" xfId="2" applyFont="1" applyAlignment="1">
      <alignment horizontal="center" vertical="center"/>
    </xf>
    <xf numFmtId="0" fontId="3" fillId="0" borderId="0" xfId="2" applyAlignment="1">
      <alignment horizontal="left" vertical="top" wrapText="1" indent="1"/>
    </xf>
  </cellXfs>
  <cellStyles count="5">
    <cellStyle name="Köprü" xfId="1" builtinId="8"/>
    <cellStyle name="Köprü 2" xfId="3" xr:uid="{8C31EFC4-F0EE-46FA-9B1A-D1A54517DB69}"/>
    <cellStyle name="Normal" xfId="0" builtinId="0"/>
    <cellStyle name="Normal 2" xfId="2" xr:uid="{1C733C6F-895D-4681-8244-3F62D6797E57}"/>
    <cellStyle name="Normal 3" xfId="4" xr:uid="{F5301CF6-94B2-4DC2-B7FC-599C34D244F4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file:///Z:\HEKA\000_HEKATasar&#305;mlar\009_&#220;retim%20Tasar&#305;mlar&#305;\QR%20KOD%20BARKOD\QRCODES\teta-beyaz-mermer-eskitme-aplik.png" TargetMode="External"/><Relationship Id="rId18" Type="http://schemas.openxmlformats.org/officeDocument/2006/relationships/image" Target="file:///Z:\HEKA\000_HEKATasar&#305;mlar\009_&#220;retim%20Tasar&#305;mlar&#305;\QR%20KOD%20BARKOD\QRCODES\hartum-mermer-eskitme-lambader.png" TargetMode="External"/><Relationship Id="rId26" Type="http://schemas.openxmlformats.org/officeDocument/2006/relationships/image" Target="file:///Z:\HEKA\000_HEKATasar&#305;mlar\009_&#220;retim%20Tasar&#305;mlar&#305;\QR%20KOD%20BARKOD\QRCODES\siyah-gri-gramofon-muzik-calar.png" TargetMode="External"/><Relationship Id="rId39" Type="http://schemas.openxmlformats.org/officeDocument/2006/relationships/image" Target="file:///Z:\HEKA\000_HEKATasar&#305;mlar\009_&#220;retim%20Tasar&#305;mlar&#305;\QR%20KOD%20BARKOD\QRCODES\odense-kabarcikli-basik-bal-cam-eskitme-led-aplik.png" TargetMode="External"/><Relationship Id="rId21" Type="http://schemas.openxmlformats.org/officeDocument/2006/relationships/image" Target="file:///Z:\HEKA\000_HEKATasar&#305;mlar\009_&#220;retim%20Tasar&#305;mlar&#305;\QR%20KOD%20BARKOD\QRCODES\bern-platin-paslanmaz-akrilik-plafonyer-60-cm.png" TargetMode="External"/><Relationship Id="rId34" Type="http://schemas.openxmlformats.org/officeDocument/2006/relationships/image" Target="file:///Z:\HEKA\000_HEKATasar&#305;mlar\009_&#220;retim%20Tasar&#305;mlar&#305;\QR%20KOD%20BARKOD\QRCODES\delhi-mermer-eskitme-led-sarkit-avize-40-cm.png" TargetMode="External"/><Relationship Id="rId42" Type="http://schemas.openxmlformats.org/officeDocument/2006/relationships/image" Target="file:///Z:\HEKA\000_HEKATasar&#305;mlar\009_&#220;retim%20Tasar&#305;mlar&#305;\QR%20KOD%20BARKOD\QRCODES\viyana-eskitme-bal-cam-sarkit-avize-18-cm.png" TargetMode="External"/><Relationship Id="rId7" Type="http://schemas.openxmlformats.org/officeDocument/2006/relationships/image" Target="file:///Z:\HEKA\000_HEKATasar&#305;mlar\009_&#220;retim%20Tasar&#305;mlar&#305;\QR%20KOD%20BARKOD\QRCODES\hartum-mermer-eskitme-aplik.png" TargetMode="External"/><Relationship Id="rId2" Type="http://schemas.openxmlformats.org/officeDocument/2006/relationships/image" Target="file:///Z:\HEKA\000_HEKATasar&#305;mlar\009_&#220;retim%20Tasar&#305;mlar&#305;\QR%20KOD%20BARKOD\QRCODES\vero-siyah-eskitme-led-aplik-20-cm.png" TargetMode="External"/><Relationship Id="rId16" Type="http://schemas.openxmlformats.org/officeDocument/2006/relationships/image" Target="file:///Z:\HEKA\000_HEKATasar&#305;mlar\009_&#220;retim%20Tasar&#305;mlar&#305;\QR%20KOD%20BARKOD\QRCODES\esvatini-eskitme-aplik.png" TargetMode="External"/><Relationship Id="rId20" Type="http://schemas.openxmlformats.org/officeDocument/2006/relationships/image" Target="file:///Z:\HEKA\000_HEKATasar&#305;mlar\009_&#220;retim%20Tasar&#305;mlar&#305;\QR%20KOD%20BARKOD\QRCODES\kinsasa-kahverengi-deri-bes-bal-cam-plafonyer.png" TargetMode="External"/><Relationship Id="rId29" Type="http://schemas.openxmlformats.org/officeDocument/2006/relationships/image" Target="file:///Z:\HEKA\000_HEKATasar&#305;mlar\009_&#220;retim%20Tasar&#305;mlar&#305;\QR%20KOD%20BARKOD\QRCODES\nablus-seffaf-cam-cubuklu-eskitme-sarkit-1.png" TargetMode="External"/><Relationship Id="rId41" Type="http://schemas.openxmlformats.org/officeDocument/2006/relationships/image" Target="file:///Z:\HEKA\000_HEKATasar&#305;mlar\009_&#220;retim%20Tasar&#305;mlar&#305;\QR%20KOD%20BARKOD\QRCODES\alabanda-seffaf-akrilik-eskitme-led-aplik.png" TargetMode="External"/><Relationship Id="rId1" Type="http://schemas.openxmlformats.org/officeDocument/2006/relationships/image" Target="file:///Z:\HEKA\000_HEKATasar&#305;mlar\009_&#220;retim%20Tasar&#305;mlar&#305;\QR%20KOD%20BARKOD\QRCODES\vero-siyah-eskitme-led-aplik-23-cm.png" TargetMode="External"/><Relationship Id="rId6" Type="http://schemas.openxmlformats.org/officeDocument/2006/relationships/image" Target="file:///Z:\HEKA\000_HEKATasar&#305;mlar\009_&#220;retim%20Tasar&#305;mlar&#305;\QR%20KOD%20BARKOD\QRCODES\rabat-2li-mermer-eskitme-plafonyer-avize.png" TargetMode="External"/><Relationship Id="rId11" Type="http://schemas.openxmlformats.org/officeDocument/2006/relationships/image" Target="file:///Z:\HEKA\000_HEKATasar&#305;mlar\009_&#220;retim%20Tasar&#305;mlar&#305;\QR%20KOD%20BARKOD\QRCODES\albina-mermer-eskitme-dikey-sarkit-64-cm.png" TargetMode="External"/><Relationship Id="rId24" Type="http://schemas.openxmlformats.org/officeDocument/2006/relationships/image" Target="file:///Z:\HEKA\000_HEKATasar&#305;mlar\009_&#220;retim%20Tasar&#305;mlar&#305;\QR%20KOD%20BARKOD\QRCODES\marsis-paslanmaz-gri-lambader.png" TargetMode="External"/><Relationship Id="rId32" Type="http://schemas.openxmlformats.org/officeDocument/2006/relationships/image" Target="file:///Z:\HEKA\000_HEKATasar&#305;mlar\009_&#220;retim%20Tasar&#305;mlar&#305;\QR%20KOD%20BARKOD\QRCODES\nablus-seffaf-cam-cubuklu-eskitme-aplik-1.png" TargetMode="External"/><Relationship Id="rId37" Type="http://schemas.openxmlformats.org/officeDocument/2006/relationships/image" Target="file:///Z:\HEKA\000_HEKATasar&#305;mlar\009_&#220;retim%20Tasar&#305;mlar&#305;\QR%20KOD%20BARKOD\QRCODES\lome-kahverengi-deri-eskitme-yemek-masasi-avize.png" TargetMode="External"/><Relationship Id="rId40" Type="http://schemas.openxmlformats.org/officeDocument/2006/relationships/image" Target="file:///Z:\HEKA\000_HEKATasar&#305;mlar\009_&#220;retim%20Tasar&#305;mlar&#305;\QR%20KOD%20BARKOD\QRCODES\tetus-tekli-mermer-sarkit-avize-120cm.png" TargetMode="External"/><Relationship Id="rId5" Type="http://schemas.openxmlformats.org/officeDocument/2006/relationships/image" Target="file:///Z:\HEKA\000_HEKATasar&#305;mlar\009_&#220;retim%20Tasar&#305;mlar&#305;\QR%20KOD%20BARKOD\QRCODES\rabat-3lu-mermer-eskitme-plafonyer-avize.png" TargetMode="External"/><Relationship Id="rId15" Type="http://schemas.openxmlformats.org/officeDocument/2006/relationships/image" Target="file:///Z:\HEKA\000_HEKATasar&#305;mlar\009_&#220;retim%20Tasar&#305;mlar&#305;\QR%20KOD%20BARKOD\QRCODES\alberta-mermer-eskitme-aplik.png" TargetMode="External"/><Relationship Id="rId23" Type="http://schemas.openxmlformats.org/officeDocument/2006/relationships/image" Target="file:///Z:\HEKA\000_HEKATasar&#305;mlar\009_&#220;retim%20Tasar&#305;mlar&#305;\QR%20KOD%20BARKOD\QRCODES\madrid-eskitme-mesale-led-aplik.png" TargetMode="External"/><Relationship Id="rId28" Type="http://schemas.openxmlformats.org/officeDocument/2006/relationships/image" Target="file:///Z:\HEKA\000_HEKATasar&#305;mlar\009_&#220;retim%20Tasar&#305;mlar&#305;\QR%20KOD%20BARKOD\QRCODES\tome-eskitme-uclu-mermer-aplik.png" TargetMode="External"/><Relationship Id="rId36" Type="http://schemas.openxmlformats.org/officeDocument/2006/relationships/image" Target="file:///Z:\HEKA\000_HEKATasar&#305;mlar\009_&#220;retim%20Tasar&#305;mlar&#305;\QR%20KOD%20BARKOD\QRCODES\delhi-mermer-eskitme-led-sarkit-avize-25-cm.png" TargetMode="External"/><Relationship Id="rId10" Type="http://schemas.openxmlformats.org/officeDocument/2006/relationships/image" Target="file:///Z:\HEKA\000_HEKATasar&#305;mlar\009_&#220;retim%20Tasar&#305;mlar&#305;\QR%20KOD%20BARKOD\QRCODES\hartum-mermer-eskitme-avize-130cm.png" TargetMode="External"/><Relationship Id="rId19" Type="http://schemas.openxmlformats.org/officeDocument/2006/relationships/image" Target="file:///Z:\HEKA\000_HEKATasar&#305;mlar\009_&#220;retim%20Tasar&#305;mlar&#305;\QR%20KOD%20BARKOD\QRCODES\kinsasa-siyah-deri-dort-fume-cam-plafonyer.png" TargetMode="External"/><Relationship Id="rId31" Type="http://schemas.openxmlformats.org/officeDocument/2006/relationships/image" Target="file:///Z:\HEKA\000_HEKATasar&#305;mlar\009_&#220;retim%20Tasar&#305;mlar&#305;\QR%20KOD%20BARKOD\QRCODES\orkos-tekli-mermer-sarkit-avize.png" TargetMode="External"/><Relationship Id="rId4" Type="http://schemas.openxmlformats.org/officeDocument/2006/relationships/image" Target="file:///Z:\HEKA\000_HEKATasar&#305;mlar\009_&#220;retim%20Tasar&#305;mlar&#305;\QR%20KOD%20BARKOD\QRCODES\orkos-uclu-mermer-sarkit-75-cm.png" TargetMode="External"/><Relationship Id="rId9" Type="http://schemas.openxmlformats.org/officeDocument/2006/relationships/image" Target="file:///Z:\HEKA\000_HEKATasar&#305;mlar\009_&#220;retim%20Tasar&#305;mlar&#305;\QR%20KOD%20BARKOD\QRCODES\hartum-mermer-eskitme-salon-avize-80cm.png" TargetMode="External"/><Relationship Id="rId14" Type="http://schemas.openxmlformats.org/officeDocument/2006/relationships/image" Target="file:///Z:\HEKA\000_HEKATasar&#305;mlar\009_&#220;retim%20Tasar&#305;mlar&#305;\QR%20KOD%20BARKOD\QRCODES\odense-kabarcikli-basik-fume-cam-krom-led-aplik.png" TargetMode="External"/><Relationship Id="rId22" Type="http://schemas.openxmlformats.org/officeDocument/2006/relationships/image" Target="file:///Z:\HEKA\000_HEKATasar&#305;mlar\009_&#220;retim%20Tasar&#305;mlar&#305;\QR%20KOD%20BARKOD\QRCODES\bern-platin-paslanmaz-akrilik-plafonyer-40-cm-1.png" TargetMode="External"/><Relationship Id="rId27" Type="http://schemas.openxmlformats.org/officeDocument/2006/relationships/image" Target="file:///Z:\HEKA\000_HEKATasar&#305;mlar\009_&#220;retim%20Tasar&#305;mlar&#305;\QR%20KOD%20BARKOD\QRCODES\bender-mermer-platini-aplik.png" TargetMode="External"/><Relationship Id="rId30" Type="http://schemas.openxmlformats.org/officeDocument/2006/relationships/image" Target="file:///Z:\HEKA\000_HEKATasar&#305;mlar\009_&#220;retim%20Tasar&#305;mlar&#305;\QR%20KOD%20BARKOD\QRCODES\orkos-beyaz-mermerli-led-aplik.png" TargetMode="External"/><Relationship Id="rId35" Type="http://schemas.openxmlformats.org/officeDocument/2006/relationships/image" Target="file:///Z:\HEKA\000_HEKATasar&#305;mlar\009_&#220;retim%20Tasar&#305;mlar&#305;\QR%20KOD%20BARKOD\QRCODES\delhi-mermer-eskitme-led-sarkit-avize-30-cm.png" TargetMode="External"/><Relationship Id="rId43" Type="http://schemas.openxmlformats.org/officeDocument/2006/relationships/image" Target="file:///Z:\HEKA\000_HEKATasar&#305;mlar\009_&#220;retim%20Tasar&#305;mlar&#305;\QR%20KOD%20BARKOD\QRCODES\gine-mermer-toplu-eskitme-yemek-masasi-avize-120-cm.png" TargetMode="External"/><Relationship Id="rId8" Type="http://schemas.openxmlformats.org/officeDocument/2006/relationships/image" Target="file:///Z:\HEKA\000_HEKATasar&#305;mlar\009_&#220;retim%20Tasar&#305;mlar&#305;\QR%20KOD%20BARKOD\QRCODES\bantu-eskitme-ikili-mermer-sarkit.png" TargetMode="External"/><Relationship Id="rId3" Type="http://schemas.openxmlformats.org/officeDocument/2006/relationships/image" Target="file:///Z:\HEKA\000_HEKATasar&#305;mlar\009_&#220;retim%20Tasar&#305;mlar&#305;\QR%20KOD%20BARKOD\QRCODES\vero-siyah-eskitme-led-aplik-17cm.png" TargetMode="External"/><Relationship Id="rId12" Type="http://schemas.openxmlformats.org/officeDocument/2006/relationships/image" Target="file:///Z:\HEKA\000_HEKATasar&#305;mlar\009_&#220;retim%20Tasar&#305;mlar&#305;\QR%20KOD%20BARKOD\QRCODES\albina-mermer-eskitme-dikey-sarkit-45-cm.png" TargetMode="External"/><Relationship Id="rId17" Type="http://schemas.openxmlformats.org/officeDocument/2006/relationships/image" Target="file:///Z:\HEKA\000_HEKATasar&#305;mlar\009_&#220;retim%20Tasar&#305;mlar&#305;\QR%20KOD%20BARKOD\QRCODES\ekho-mermer-platin-aplik.png" TargetMode="External"/><Relationship Id="rId25" Type="http://schemas.openxmlformats.org/officeDocument/2006/relationships/image" Target="file:///Z:\HEKA\000_HEKATasar&#305;mlar\009_&#220;retim%20Tasar&#305;mlar&#305;\QR%20KOD%20BARKOD\QRCODES\termessos-beyaz-mermerli-eskitme-led-aplik.png" TargetMode="External"/><Relationship Id="rId33" Type="http://schemas.openxmlformats.org/officeDocument/2006/relationships/image" Target="file:///Z:\HEKA\000_HEKATasar&#305;mlar\009_&#220;retim%20Tasar&#305;mlar&#305;\QR%20KOD%20BARKOD\QRCODES\nablus-seffaf-cam-cubuklu-eskitme-salon-avize-60cm.png" TargetMode="External"/><Relationship Id="rId38" Type="http://schemas.openxmlformats.org/officeDocument/2006/relationships/image" Target="file:///Z:\HEKA\000_HEKATasar&#305;mlar\009_&#220;retim%20Tasar&#305;mlar&#305;\QR%20KOD%20BARKOD\QRCODES\meissa-beyaz-mermer-eskitme-aplik-1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9168765</xdr:colOff>
      <xdr:row>0</xdr:row>
      <xdr:rowOff>0</xdr:rowOff>
    </xdr:from>
    <xdr:to>
      <xdr:col>5</xdr:col>
      <xdr:colOff>216918</xdr:colOff>
      <xdr:row>0</xdr:row>
      <xdr:rowOff>889000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11DDFFB9-1CD4-148E-8793-66A53B2C7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617315" y="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</xdr:row>
      <xdr:rowOff>7620</xdr:rowOff>
    </xdr:from>
    <xdr:to>
      <xdr:col>5</xdr:col>
      <xdr:colOff>216918</xdr:colOff>
      <xdr:row>1</xdr:row>
      <xdr:rowOff>896620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25324520-025D-50DD-239C-0166A6C35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6617315" y="101727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2</xdr:row>
      <xdr:rowOff>11430</xdr:rowOff>
    </xdr:from>
    <xdr:to>
      <xdr:col>5</xdr:col>
      <xdr:colOff>216918</xdr:colOff>
      <xdr:row>2</xdr:row>
      <xdr:rowOff>900430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65476B1B-531D-C315-AEA1-4D3930C67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617315" y="203073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3</xdr:row>
      <xdr:rowOff>19050</xdr:rowOff>
    </xdr:from>
    <xdr:to>
      <xdr:col>5</xdr:col>
      <xdr:colOff>216918</xdr:colOff>
      <xdr:row>3</xdr:row>
      <xdr:rowOff>908050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6D5D886F-B190-0AB2-CF9F-4973D6912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617315" y="304800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6</xdr:row>
      <xdr:rowOff>15240</xdr:rowOff>
    </xdr:from>
    <xdr:to>
      <xdr:col>5</xdr:col>
      <xdr:colOff>216918</xdr:colOff>
      <xdr:row>6</xdr:row>
      <xdr:rowOff>904240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C783291A-44C0-C45E-190F-285DC1A97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6617315" y="607314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7</xdr:row>
      <xdr:rowOff>20955</xdr:rowOff>
    </xdr:from>
    <xdr:to>
      <xdr:col>5</xdr:col>
      <xdr:colOff>216918</xdr:colOff>
      <xdr:row>7</xdr:row>
      <xdr:rowOff>909955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E3D6E884-65B9-310F-0217-9B9DDF6D7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6617315" y="7088505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20</xdr:row>
      <xdr:rowOff>76200</xdr:rowOff>
    </xdr:from>
    <xdr:to>
      <xdr:col>5</xdr:col>
      <xdr:colOff>216918</xdr:colOff>
      <xdr:row>20</xdr:row>
      <xdr:rowOff>965200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28631243-EE51-C4F2-CA34-7F1FFD7C7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6617315" y="2026920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21</xdr:row>
      <xdr:rowOff>83821</xdr:rowOff>
    </xdr:from>
    <xdr:to>
      <xdr:col>5</xdr:col>
      <xdr:colOff>216918</xdr:colOff>
      <xdr:row>21</xdr:row>
      <xdr:rowOff>972821</xdr:rowOff>
    </xdr:to>
    <xdr:pic>
      <xdr:nvPicPr>
        <xdr:cNvPr id="17" name="Resim 16">
          <a:extLst>
            <a:ext uri="{FF2B5EF4-FFF2-40B4-BE49-F238E27FC236}">
              <a16:creationId xmlns:a16="http://schemas.microsoft.com/office/drawing/2014/main" id="{D6490ADA-1C44-E695-6F35-72ABDAFDB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6617315" y="21286471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22</xdr:row>
      <xdr:rowOff>87630</xdr:rowOff>
    </xdr:from>
    <xdr:to>
      <xdr:col>5</xdr:col>
      <xdr:colOff>216918</xdr:colOff>
      <xdr:row>22</xdr:row>
      <xdr:rowOff>976630</xdr:rowOff>
    </xdr:to>
    <xdr:pic>
      <xdr:nvPicPr>
        <xdr:cNvPr id="19" name="Resim 18">
          <a:extLst>
            <a:ext uri="{FF2B5EF4-FFF2-40B4-BE49-F238E27FC236}">
              <a16:creationId xmlns:a16="http://schemas.microsoft.com/office/drawing/2014/main" id="{A525FBD8-6658-3E01-240A-94EBFCF0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6617315" y="2229993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23</xdr:row>
      <xdr:rowOff>95250</xdr:rowOff>
    </xdr:from>
    <xdr:to>
      <xdr:col>5</xdr:col>
      <xdr:colOff>216918</xdr:colOff>
      <xdr:row>23</xdr:row>
      <xdr:rowOff>984250</xdr:rowOff>
    </xdr:to>
    <xdr:pic>
      <xdr:nvPicPr>
        <xdr:cNvPr id="21" name="Resim 20">
          <a:extLst>
            <a:ext uri="{FF2B5EF4-FFF2-40B4-BE49-F238E27FC236}">
              <a16:creationId xmlns:a16="http://schemas.microsoft.com/office/drawing/2014/main" id="{0E9D9C60-B12A-2033-3C60-944753B8B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6617315" y="2331720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48</xdr:row>
      <xdr:rowOff>179069</xdr:rowOff>
    </xdr:from>
    <xdr:to>
      <xdr:col>5</xdr:col>
      <xdr:colOff>216918</xdr:colOff>
      <xdr:row>49</xdr:row>
      <xdr:rowOff>58419</xdr:rowOff>
    </xdr:to>
    <xdr:pic>
      <xdr:nvPicPr>
        <xdr:cNvPr id="23" name="Resim 22">
          <a:extLst>
            <a:ext uri="{FF2B5EF4-FFF2-40B4-BE49-F238E27FC236}">
              <a16:creationId xmlns:a16="http://schemas.microsoft.com/office/drawing/2014/main" id="{B3270F37-42E0-B6AB-9807-E03A2CA8D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617315" y="48642269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49</xdr:row>
      <xdr:rowOff>182879</xdr:rowOff>
    </xdr:from>
    <xdr:to>
      <xdr:col>5</xdr:col>
      <xdr:colOff>216918</xdr:colOff>
      <xdr:row>50</xdr:row>
      <xdr:rowOff>62229</xdr:rowOff>
    </xdr:to>
    <xdr:pic>
      <xdr:nvPicPr>
        <xdr:cNvPr id="25" name="Resim 24">
          <a:extLst>
            <a:ext uri="{FF2B5EF4-FFF2-40B4-BE49-F238E27FC236}">
              <a16:creationId xmlns:a16="http://schemas.microsoft.com/office/drawing/2014/main" id="{25A757B7-8D8A-97A2-6232-DD7B3B599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6617315" y="49655729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69</xdr:row>
      <xdr:rowOff>262892</xdr:rowOff>
    </xdr:from>
    <xdr:to>
      <xdr:col>5</xdr:col>
      <xdr:colOff>216918</xdr:colOff>
      <xdr:row>70</xdr:row>
      <xdr:rowOff>142242</xdr:rowOff>
    </xdr:to>
    <xdr:pic>
      <xdr:nvPicPr>
        <xdr:cNvPr id="27" name="Resim 26">
          <a:extLst>
            <a:ext uri="{FF2B5EF4-FFF2-40B4-BE49-F238E27FC236}">
              <a16:creationId xmlns:a16="http://schemas.microsoft.com/office/drawing/2014/main" id="{4DC4F578-B2B8-DB20-CACA-5B2356B56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6617315" y="69928742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78</xdr:row>
      <xdr:rowOff>293369</xdr:rowOff>
    </xdr:from>
    <xdr:to>
      <xdr:col>5</xdr:col>
      <xdr:colOff>215835</xdr:colOff>
      <xdr:row>79</xdr:row>
      <xdr:rowOff>172719</xdr:rowOff>
    </xdr:to>
    <xdr:pic>
      <xdr:nvPicPr>
        <xdr:cNvPr id="29" name="Resim 28">
          <a:extLst>
            <a:ext uri="{FF2B5EF4-FFF2-40B4-BE49-F238E27FC236}">
              <a16:creationId xmlns:a16="http://schemas.microsoft.com/office/drawing/2014/main" id="{035D57B8-58B7-3B80-8A26-AE2DF42AF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6617315" y="79046069"/>
          <a:ext cx="886395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79</xdr:row>
      <xdr:rowOff>300992</xdr:rowOff>
    </xdr:from>
    <xdr:to>
      <xdr:col>5</xdr:col>
      <xdr:colOff>216918</xdr:colOff>
      <xdr:row>80</xdr:row>
      <xdr:rowOff>180342</xdr:rowOff>
    </xdr:to>
    <xdr:pic>
      <xdr:nvPicPr>
        <xdr:cNvPr id="31" name="Resim 30">
          <a:extLst>
            <a:ext uri="{FF2B5EF4-FFF2-40B4-BE49-F238E27FC236}">
              <a16:creationId xmlns:a16="http://schemas.microsoft.com/office/drawing/2014/main" id="{F749A62B-D0C6-B2A4-086B-71DD5D892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6617315" y="80063342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80</xdr:row>
      <xdr:rowOff>304800</xdr:rowOff>
    </xdr:from>
    <xdr:to>
      <xdr:col>5</xdr:col>
      <xdr:colOff>216918</xdr:colOff>
      <xdr:row>81</xdr:row>
      <xdr:rowOff>184150</xdr:rowOff>
    </xdr:to>
    <xdr:pic>
      <xdr:nvPicPr>
        <xdr:cNvPr id="33" name="Resim 32">
          <a:extLst>
            <a:ext uri="{FF2B5EF4-FFF2-40B4-BE49-F238E27FC236}">
              <a16:creationId xmlns:a16="http://schemas.microsoft.com/office/drawing/2014/main" id="{EAE8D0BC-542B-323B-8A4D-0F9E66F0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6617315" y="8107680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83</xdr:row>
      <xdr:rowOff>321944</xdr:rowOff>
    </xdr:from>
    <xdr:to>
      <xdr:col>5</xdr:col>
      <xdr:colOff>218005</xdr:colOff>
      <xdr:row>84</xdr:row>
      <xdr:rowOff>201294</xdr:rowOff>
    </xdr:to>
    <xdr:pic>
      <xdr:nvPicPr>
        <xdr:cNvPr id="35" name="Resim 34">
          <a:extLst>
            <a:ext uri="{FF2B5EF4-FFF2-40B4-BE49-F238E27FC236}">
              <a16:creationId xmlns:a16="http://schemas.microsoft.com/office/drawing/2014/main" id="{EC9C3D7E-69BE-FB63-4EC5-2FF9674DD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6617315" y="84122894"/>
          <a:ext cx="888565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84</xdr:row>
      <xdr:rowOff>320042</xdr:rowOff>
    </xdr:from>
    <xdr:to>
      <xdr:col>5</xdr:col>
      <xdr:colOff>216918</xdr:colOff>
      <xdr:row>85</xdr:row>
      <xdr:rowOff>199392</xdr:rowOff>
    </xdr:to>
    <xdr:pic>
      <xdr:nvPicPr>
        <xdr:cNvPr id="37" name="Resim 36">
          <a:extLst>
            <a:ext uri="{FF2B5EF4-FFF2-40B4-BE49-F238E27FC236}">
              <a16:creationId xmlns:a16="http://schemas.microsoft.com/office/drawing/2014/main" id="{FBF5EECE-3423-75C6-1485-47F08BE58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6617315" y="85130642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87</xdr:row>
      <xdr:rowOff>325756</xdr:rowOff>
    </xdr:from>
    <xdr:to>
      <xdr:col>5</xdr:col>
      <xdr:colOff>215835</xdr:colOff>
      <xdr:row>88</xdr:row>
      <xdr:rowOff>205106</xdr:rowOff>
    </xdr:to>
    <xdr:pic>
      <xdr:nvPicPr>
        <xdr:cNvPr id="39" name="Resim 38">
          <a:extLst>
            <a:ext uri="{FF2B5EF4-FFF2-40B4-BE49-F238E27FC236}">
              <a16:creationId xmlns:a16="http://schemas.microsoft.com/office/drawing/2014/main" id="{54568AEC-B540-CB09-521C-D52006032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6617315" y="88165306"/>
          <a:ext cx="886395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88</xdr:row>
      <xdr:rowOff>331469</xdr:rowOff>
    </xdr:from>
    <xdr:to>
      <xdr:col>5</xdr:col>
      <xdr:colOff>215835</xdr:colOff>
      <xdr:row>89</xdr:row>
      <xdr:rowOff>210819</xdr:rowOff>
    </xdr:to>
    <xdr:pic>
      <xdr:nvPicPr>
        <xdr:cNvPr id="41" name="Resim 40">
          <a:extLst>
            <a:ext uri="{FF2B5EF4-FFF2-40B4-BE49-F238E27FC236}">
              <a16:creationId xmlns:a16="http://schemas.microsoft.com/office/drawing/2014/main" id="{CE9643AD-E97C-6F02-C894-5512300B5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6617315" y="89180669"/>
          <a:ext cx="886395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89</xdr:row>
      <xdr:rowOff>339092</xdr:rowOff>
    </xdr:from>
    <xdr:to>
      <xdr:col>5</xdr:col>
      <xdr:colOff>216918</xdr:colOff>
      <xdr:row>90</xdr:row>
      <xdr:rowOff>218442</xdr:rowOff>
    </xdr:to>
    <xdr:pic>
      <xdr:nvPicPr>
        <xdr:cNvPr id="43" name="Resim 42">
          <a:extLst>
            <a:ext uri="{FF2B5EF4-FFF2-40B4-BE49-F238E27FC236}">
              <a16:creationId xmlns:a16="http://schemas.microsoft.com/office/drawing/2014/main" id="{F64F5A9E-3C97-E18F-FD73-0C0762465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6617315" y="90197942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90</xdr:row>
      <xdr:rowOff>342900</xdr:rowOff>
    </xdr:from>
    <xdr:to>
      <xdr:col>5</xdr:col>
      <xdr:colOff>216918</xdr:colOff>
      <xdr:row>91</xdr:row>
      <xdr:rowOff>222250</xdr:rowOff>
    </xdr:to>
    <xdr:pic>
      <xdr:nvPicPr>
        <xdr:cNvPr id="45" name="Resim 44">
          <a:extLst>
            <a:ext uri="{FF2B5EF4-FFF2-40B4-BE49-F238E27FC236}">
              <a16:creationId xmlns:a16="http://schemas.microsoft.com/office/drawing/2014/main" id="{B4B7023B-DA3C-3069-F217-DF587AFE1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6617315" y="9121140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92</xdr:row>
      <xdr:rowOff>354331</xdr:rowOff>
    </xdr:from>
    <xdr:to>
      <xdr:col>5</xdr:col>
      <xdr:colOff>218005</xdr:colOff>
      <xdr:row>93</xdr:row>
      <xdr:rowOff>233681</xdr:rowOff>
    </xdr:to>
    <xdr:pic>
      <xdr:nvPicPr>
        <xdr:cNvPr id="47" name="Resim 46">
          <a:extLst>
            <a:ext uri="{FF2B5EF4-FFF2-40B4-BE49-F238E27FC236}">
              <a16:creationId xmlns:a16="http://schemas.microsoft.com/office/drawing/2014/main" id="{A09F860A-B410-E04D-3D4B-5FD50AFD4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6617315" y="93242131"/>
          <a:ext cx="888565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93</xdr:row>
      <xdr:rowOff>360044</xdr:rowOff>
    </xdr:from>
    <xdr:to>
      <xdr:col>5</xdr:col>
      <xdr:colOff>218005</xdr:colOff>
      <xdr:row>94</xdr:row>
      <xdr:rowOff>239394</xdr:rowOff>
    </xdr:to>
    <xdr:pic>
      <xdr:nvPicPr>
        <xdr:cNvPr id="49" name="Resim 48">
          <a:extLst>
            <a:ext uri="{FF2B5EF4-FFF2-40B4-BE49-F238E27FC236}">
              <a16:creationId xmlns:a16="http://schemas.microsoft.com/office/drawing/2014/main" id="{605FD286-B522-1506-814D-B65978E62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6617315" y="94257494"/>
          <a:ext cx="888565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94</xdr:row>
      <xdr:rowOff>358142</xdr:rowOff>
    </xdr:from>
    <xdr:to>
      <xdr:col>5</xdr:col>
      <xdr:colOff>216918</xdr:colOff>
      <xdr:row>95</xdr:row>
      <xdr:rowOff>237492</xdr:rowOff>
    </xdr:to>
    <xdr:pic>
      <xdr:nvPicPr>
        <xdr:cNvPr id="51" name="Resim 50">
          <a:extLst>
            <a:ext uri="{FF2B5EF4-FFF2-40B4-BE49-F238E27FC236}">
              <a16:creationId xmlns:a16="http://schemas.microsoft.com/office/drawing/2014/main" id="{CE344FFF-46CF-D1A3-640C-97C7BF1CB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6617315" y="95265242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95</xdr:row>
      <xdr:rowOff>361950</xdr:rowOff>
    </xdr:from>
    <xdr:to>
      <xdr:col>5</xdr:col>
      <xdr:colOff>216918</xdr:colOff>
      <xdr:row>96</xdr:row>
      <xdr:rowOff>241300</xdr:rowOff>
    </xdr:to>
    <xdr:pic>
      <xdr:nvPicPr>
        <xdr:cNvPr id="53" name="Resim 52">
          <a:extLst>
            <a:ext uri="{FF2B5EF4-FFF2-40B4-BE49-F238E27FC236}">
              <a16:creationId xmlns:a16="http://schemas.microsoft.com/office/drawing/2014/main" id="{B193197F-4F7A-8F89-B7F5-872DABC41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6617315" y="9627870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96</xdr:row>
      <xdr:rowOff>365758</xdr:rowOff>
    </xdr:from>
    <xdr:to>
      <xdr:col>5</xdr:col>
      <xdr:colOff>216918</xdr:colOff>
      <xdr:row>97</xdr:row>
      <xdr:rowOff>245108</xdr:rowOff>
    </xdr:to>
    <xdr:pic>
      <xdr:nvPicPr>
        <xdr:cNvPr id="55" name="Resim 54">
          <a:extLst>
            <a:ext uri="{FF2B5EF4-FFF2-40B4-BE49-F238E27FC236}">
              <a16:creationId xmlns:a16="http://schemas.microsoft.com/office/drawing/2014/main" id="{29E4D804-22FD-CEE8-9EE7-471638D3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16617315" y="97292158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97</xdr:row>
      <xdr:rowOff>363856</xdr:rowOff>
    </xdr:from>
    <xdr:to>
      <xdr:col>5</xdr:col>
      <xdr:colOff>215835</xdr:colOff>
      <xdr:row>98</xdr:row>
      <xdr:rowOff>243206</xdr:rowOff>
    </xdr:to>
    <xdr:pic>
      <xdr:nvPicPr>
        <xdr:cNvPr id="57" name="Resim 56">
          <a:extLst>
            <a:ext uri="{FF2B5EF4-FFF2-40B4-BE49-F238E27FC236}">
              <a16:creationId xmlns:a16="http://schemas.microsoft.com/office/drawing/2014/main" id="{6D98CD66-CCB1-B4F2-BD88-18A2978E4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6617315" y="98299906"/>
          <a:ext cx="886395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98</xdr:row>
      <xdr:rowOff>369569</xdr:rowOff>
    </xdr:from>
    <xdr:to>
      <xdr:col>5</xdr:col>
      <xdr:colOff>215835</xdr:colOff>
      <xdr:row>99</xdr:row>
      <xdr:rowOff>248919</xdr:rowOff>
    </xdr:to>
    <xdr:pic>
      <xdr:nvPicPr>
        <xdr:cNvPr id="59" name="Resim 58">
          <a:extLst>
            <a:ext uri="{FF2B5EF4-FFF2-40B4-BE49-F238E27FC236}">
              <a16:creationId xmlns:a16="http://schemas.microsoft.com/office/drawing/2014/main" id="{4AF33C37-CD9B-3EFA-6171-2F7C834E5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16617315" y="99315269"/>
          <a:ext cx="886395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102</xdr:row>
      <xdr:rowOff>392431</xdr:rowOff>
    </xdr:from>
    <xdr:to>
      <xdr:col>5</xdr:col>
      <xdr:colOff>218005</xdr:colOff>
      <xdr:row>103</xdr:row>
      <xdr:rowOff>271781</xdr:rowOff>
    </xdr:to>
    <xdr:pic>
      <xdr:nvPicPr>
        <xdr:cNvPr id="61" name="Resim 60">
          <a:extLst>
            <a:ext uri="{FF2B5EF4-FFF2-40B4-BE49-F238E27FC236}">
              <a16:creationId xmlns:a16="http://schemas.microsoft.com/office/drawing/2014/main" id="{1EFDC611-A93C-533B-230B-1D7EA9FB1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16617315" y="103376731"/>
          <a:ext cx="888565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103</xdr:row>
      <xdr:rowOff>400055</xdr:rowOff>
    </xdr:from>
    <xdr:to>
      <xdr:col>5</xdr:col>
      <xdr:colOff>218222</xdr:colOff>
      <xdr:row>104</xdr:row>
      <xdr:rowOff>279405</xdr:rowOff>
    </xdr:to>
    <xdr:pic>
      <xdr:nvPicPr>
        <xdr:cNvPr id="63" name="Resim 62">
          <a:extLst>
            <a:ext uri="{FF2B5EF4-FFF2-40B4-BE49-F238E27FC236}">
              <a16:creationId xmlns:a16="http://schemas.microsoft.com/office/drawing/2014/main" id="{B4EDAF31-A28E-D09B-6858-8FB77915B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16617315" y="104394005"/>
          <a:ext cx="888782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104</xdr:row>
      <xdr:rowOff>396242</xdr:rowOff>
    </xdr:from>
    <xdr:to>
      <xdr:col>5</xdr:col>
      <xdr:colOff>216918</xdr:colOff>
      <xdr:row>105</xdr:row>
      <xdr:rowOff>275592</xdr:rowOff>
    </xdr:to>
    <xdr:pic>
      <xdr:nvPicPr>
        <xdr:cNvPr id="65" name="Resim 64">
          <a:extLst>
            <a:ext uri="{FF2B5EF4-FFF2-40B4-BE49-F238E27FC236}">
              <a16:creationId xmlns:a16="http://schemas.microsoft.com/office/drawing/2014/main" id="{3DD93EB6-A26B-24E5-2140-CEE22EB87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16617315" y="105399842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109</xdr:row>
      <xdr:rowOff>415292</xdr:rowOff>
    </xdr:from>
    <xdr:to>
      <xdr:col>5</xdr:col>
      <xdr:colOff>216918</xdr:colOff>
      <xdr:row>110</xdr:row>
      <xdr:rowOff>294642</xdr:rowOff>
    </xdr:to>
    <xdr:pic>
      <xdr:nvPicPr>
        <xdr:cNvPr id="67" name="Resim 66">
          <a:extLst>
            <a:ext uri="{FF2B5EF4-FFF2-40B4-BE49-F238E27FC236}">
              <a16:creationId xmlns:a16="http://schemas.microsoft.com/office/drawing/2014/main" id="{A1B8D7F2-80CD-7A62-02A2-38D8E2123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16617315" y="110467142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110</xdr:row>
      <xdr:rowOff>419100</xdr:rowOff>
    </xdr:from>
    <xdr:to>
      <xdr:col>5</xdr:col>
      <xdr:colOff>216918</xdr:colOff>
      <xdr:row>111</xdr:row>
      <xdr:rowOff>298450</xdr:rowOff>
    </xdr:to>
    <xdr:pic>
      <xdr:nvPicPr>
        <xdr:cNvPr id="69" name="Resim 68">
          <a:extLst>
            <a:ext uri="{FF2B5EF4-FFF2-40B4-BE49-F238E27FC236}">
              <a16:creationId xmlns:a16="http://schemas.microsoft.com/office/drawing/2014/main" id="{0A1EB7C6-BA2B-90D2-C36E-D96A632FA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16617315" y="11148060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117</xdr:row>
      <xdr:rowOff>438145</xdr:rowOff>
    </xdr:from>
    <xdr:to>
      <xdr:col>5</xdr:col>
      <xdr:colOff>215618</xdr:colOff>
      <xdr:row>118</xdr:row>
      <xdr:rowOff>317495</xdr:rowOff>
    </xdr:to>
    <xdr:pic>
      <xdr:nvPicPr>
        <xdr:cNvPr id="71" name="Resim 70">
          <a:extLst>
            <a:ext uri="{FF2B5EF4-FFF2-40B4-BE49-F238E27FC236}">
              <a16:creationId xmlns:a16="http://schemas.microsoft.com/office/drawing/2014/main" id="{F65D7D3E-BFBA-E0EC-CE58-CA7ABF42D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16617315" y="118567195"/>
          <a:ext cx="8861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118</xdr:row>
      <xdr:rowOff>445775</xdr:rowOff>
    </xdr:from>
    <xdr:to>
      <xdr:col>5</xdr:col>
      <xdr:colOff>215618</xdr:colOff>
      <xdr:row>119</xdr:row>
      <xdr:rowOff>325125</xdr:rowOff>
    </xdr:to>
    <xdr:pic>
      <xdr:nvPicPr>
        <xdr:cNvPr id="73" name="Resim 72">
          <a:extLst>
            <a:ext uri="{FF2B5EF4-FFF2-40B4-BE49-F238E27FC236}">
              <a16:creationId xmlns:a16="http://schemas.microsoft.com/office/drawing/2014/main" id="{E75E041E-F08A-1E40-CCAD-32E1C58DE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16617315" y="119584475"/>
          <a:ext cx="8861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119</xdr:row>
      <xdr:rowOff>453392</xdr:rowOff>
    </xdr:from>
    <xdr:to>
      <xdr:col>5</xdr:col>
      <xdr:colOff>216918</xdr:colOff>
      <xdr:row>120</xdr:row>
      <xdr:rowOff>332742</xdr:rowOff>
    </xdr:to>
    <xdr:pic>
      <xdr:nvPicPr>
        <xdr:cNvPr id="75" name="Resim 74">
          <a:extLst>
            <a:ext uri="{FF2B5EF4-FFF2-40B4-BE49-F238E27FC236}">
              <a16:creationId xmlns:a16="http://schemas.microsoft.com/office/drawing/2014/main" id="{436D6187-CAE4-BE1E-539A-D96767FF6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16617315" y="120601742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120</xdr:row>
      <xdr:rowOff>457200</xdr:rowOff>
    </xdr:from>
    <xdr:to>
      <xdr:col>5</xdr:col>
      <xdr:colOff>216918</xdr:colOff>
      <xdr:row>121</xdr:row>
      <xdr:rowOff>336550</xdr:rowOff>
    </xdr:to>
    <xdr:pic>
      <xdr:nvPicPr>
        <xdr:cNvPr id="77" name="Resim 76">
          <a:extLst>
            <a:ext uri="{FF2B5EF4-FFF2-40B4-BE49-F238E27FC236}">
              <a16:creationId xmlns:a16="http://schemas.microsoft.com/office/drawing/2014/main" id="{9432D37B-2262-F339-3B9F-5A2794110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16617315" y="121615200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121</xdr:row>
      <xdr:rowOff>461008</xdr:rowOff>
    </xdr:from>
    <xdr:to>
      <xdr:col>5</xdr:col>
      <xdr:colOff>216918</xdr:colOff>
      <xdr:row>122</xdr:row>
      <xdr:rowOff>340358</xdr:rowOff>
    </xdr:to>
    <xdr:pic>
      <xdr:nvPicPr>
        <xdr:cNvPr id="79" name="Resim 78">
          <a:extLst>
            <a:ext uri="{FF2B5EF4-FFF2-40B4-BE49-F238E27FC236}">
              <a16:creationId xmlns:a16="http://schemas.microsoft.com/office/drawing/2014/main" id="{5CA4C0FF-1BE5-066A-E8BE-CFA4F1FC5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16617315" y="122628658"/>
          <a:ext cx="887478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122</xdr:row>
      <xdr:rowOff>468625</xdr:rowOff>
    </xdr:from>
    <xdr:to>
      <xdr:col>5</xdr:col>
      <xdr:colOff>218222</xdr:colOff>
      <xdr:row>123</xdr:row>
      <xdr:rowOff>347975</xdr:rowOff>
    </xdr:to>
    <xdr:pic>
      <xdr:nvPicPr>
        <xdr:cNvPr id="81" name="Resim 80">
          <a:extLst>
            <a:ext uri="{FF2B5EF4-FFF2-40B4-BE49-F238E27FC236}">
              <a16:creationId xmlns:a16="http://schemas.microsoft.com/office/drawing/2014/main" id="{0EE44AD6-1359-97EE-3AF4-1E15E475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16617315" y="123645925"/>
          <a:ext cx="888782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123</xdr:row>
      <xdr:rowOff>476255</xdr:rowOff>
    </xdr:from>
    <xdr:to>
      <xdr:col>5</xdr:col>
      <xdr:colOff>218222</xdr:colOff>
      <xdr:row>124</xdr:row>
      <xdr:rowOff>355605</xdr:rowOff>
    </xdr:to>
    <xdr:pic>
      <xdr:nvPicPr>
        <xdr:cNvPr id="83" name="Resim 82">
          <a:extLst>
            <a:ext uri="{FF2B5EF4-FFF2-40B4-BE49-F238E27FC236}">
              <a16:creationId xmlns:a16="http://schemas.microsoft.com/office/drawing/2014/main" id="{4B707574-C141-0A9F-0EE8-D0278BDD4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16617315" y="124663205"/>
          <a:ext cx="888782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132</xdr:row>
      <xdr:rowOff>506725</xdr:rowOff>
    </xdr:from>
    <xdr:to>
      <xdr:col>5</xdr:col>
      <xdr:colOff>218222</xdr:colOff>
      <xdr:row>133</xdr:row>
      <xdr:rowOff>386075</xdr:rowOff>
    </xdr:to>
    <xdr:pic>
      <xdr:nvPicPr>
        <xdr:cNvPr id="85" name="Resim 84">
          <a:extLst>
            <a:ext uri="{FF2B5EF4-FFF2-40B4-BE49-F238E27FC236}">
              <a16:creationId xmlns:a16="http://schemas.microsoft.com/office/drawing/2014/main" id="{77FF1D9D-FE03-72BB-191B-56673819B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16617315" y="133780525"/>
          <a:ext cx="888782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133</xdr:row>
      <xdr:rowOff>514355</xdr:rowOff>
    </xdr:from>
    <xdr:to>
      <xdr:col>5</xdr:col>
      <xdr:colOff>218222</xdr:colOff>
      <xdr:row>134</xdr:row>
      <xdr:rowOff>393705</xdr:rowOff>
    </xdr:to>
    <xdr:pic>
      <xdr:nvPicPr>
        <xdr:cNvPr id="87" name="Resim 86">
          <a:extLst>
            <a:ext uri="{FF2B5EF4-FFF2-40B4-BE49-F238E27FC236}">
              <a16:creationId xmlns:a16="http://schemas.microsoft.com/office/drawing/2014/main" id="{3DD48917-B136-3A0B-B311-822DC6227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16617315" y="134797805"/>
          <a:ext cx="888782" cy="889000"/>
        </a:xfrm>
        <a:prstGeom prst="rect">
          <a:avLst/>
        </a:prstGeom>
      </xdr:spPr>
    </xdr:pic>
    <xdr:clientData/>
  </xdr:twoCellAnchor>
  <xdr:twoCellAnchor>
    <xdr:from>
      <xdr:col>3</xdr:col>
      <xdr:colOff>9168765</xdr:colOff>
      <xdr:row>134</xdr:row>
      <xdr:rowOff>510542</xdr:rowOff>
    </xdr:from>
    <xdr:to>
      <xdr:col>5</xdr:col>
      <xdr:colOff>216918</xdr:colOff>
      <xdr:row>135</xdr:row>
      <xdr:rowOff>389892</xdr:rowOff>
    </xdr:to>
    <xdr:pic>
      <xdr:nvPicPr>
        <xdr:cNvPr id="89" name="Resim 88">
          <a:extLst>
            <a:ext uri="{FF2B5EF4-FFF2-40B4-BE49-F238E27FC236}">
              <a16:creationId xmlns:a16="http://schemas.microsoft.com/office/drawing/2014/main" id="{5364A58C-85B6-C7EC-57BE-698BE29D7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16617315" y="135803642"/>
          <a:ext cx="887478" cy="889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O:\HEKA\&#220;R&#220;NLER%20RAPOR.xlsx" TargetMode="External"/><Relationship Id="rId1" Type="http://schemas.openxmlformats.org/officeDocument/2006/relationships/externalLinkPath" Target="file:///O:\HEKA\&#220;R&#220;NLER%20RAP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yfa1"/>
      <sheetName val="Sayfa2"/>
      <sheetName val="25.5.23_düzenli_liste"/>
      <sheetName val="900"/>
    </sheetNames>
    <sheetDataSet>
      <sheetData sheetId="0">
        <row r="1"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  <cell r="J1">
            <v>9</v>
          </cell>
          <cell r="K1">
            <v>10</v>
          </cell>
          <cell r="L1">
            <v>11</v>
          </cell>
          <cell r="M1">
            <v>12</v>
          </cell>
          <cell r="N1">
            <v>13</v>
          </cell>
          <cell r="O1">
            <v>14</v>
          </cell>
          <cell r="P1">
            <v>15</v>
          </cell>
          <cell r="Q1">
            <v>16</v>
          </cell>
          <cell r="R1">
            <v>17</v>
          </cell>
          <cell r="S1">
            <v>18</v>
          </cell>
          <cell r="T1">
            <v>19</v>
          </cell>
          <cell r="U1">
            <v>20</v>
          </cell>
          <cell r="V1">
            <v>21</v>
          </cell>
          <cell r="W1">
            <v>22</v>
          </cell>
          <cell r="X1">
            <v>23</v>
          </cell>
          <cell r="Y1">
            <v>24</v>
          </cell>
          <cell r="Z1">
            <v>25</v>
          </cell>
          <cell r="AA1">
            <v>26</v>
          </cell>
          <cell r="AB1">
            <v>27</v>
          </cell>
          <cell r="AC1">
            <v>28</v>
          </cell>
          <cell r="AD1">
            <v>29</v>
          </cell>
          <cell r="AE1">
            <v>30</v>
          </cell>
          <cell r="AF1">
            <v>31</v>
          </cell>
          <cell r="AG1">
            <v>32</v>
          </cell>
          <cell r="AH1">
            <v>33</v>
          </cell>
          <cell r="AI1">
            <v>34</v>
          </cell>
          <cell r="AJ1">
            <v>35</v>
          </cell>
          <cell r="AK1">
            <v>36</v>
          </cell>
          <cell r="AL1">
            <v>37</v>
          </cell>
          <cell r="AM1">
            <v>38</v>
          </cell>
          <cell r="AN1">
            <v>39</v>
          </cell>
          <cell r="AO1"/>
          <cell r="AP1"/>
          <cell r="AQ1"/>
          <cell r="AR1"/>
          <cell r="AS1"/>
          <cell r="AT1"/>
          <cell r="AU1"/>
          <cell r="AV1"/>
          <cell r="AW1"/>
          <cell r="AX1"/>
        </row>
        <row r="2">
          <cell r="B2" t="str">
            <v>KODU</v>
          </cell>
          <cell r="C2" t="str">
            <v>ADI</v>
          </cell>
          <cell r="D2" t="str">
            <v>ADI2</v>
          </cell>
          <cell r="E2" t="str">
            <v>ADI3</v>
          </cell>
          <cell r="F2" t="str">
            <v>GTIPCODE</v>
          </cell>
          <cell r="G2" t="str">
            <v>GRUPKODU</v>
          </cell>
          <cell r="H2" t="str">
            <v>ESKIKOD</v>
          </cell>
          <cell r="I2" t="str">
            <v>OZELKOD</v>
          </cell>
          <cell r="J2" t="str">
            <v>OZELKOD2</v>
          </cell>
          <cell r="K2" t="str">
            <v>OZELKOD3</v>
          </cell>
          <cell r="L2" t="str">
            <v>OZELKOD4</v>
          </cell>
          <cell r="M2" t="str">
            <v>OZELKOD5</v>
          </cell>
          <cell r="N2" t="str">
            <v>URETICI_KODU</v>
          </cell>
          <cell r="O2" t="str">
            <v>MARKASI</v>
          </cell>
          <cell r="P2" t="str">
            <v>BIRIMI</v>
          </cell>
          <cell r="Q2" t="str">
            <v>DUY TİPİ</v>
          </cell>
          <cell r="R2" t="str">
            <v>MATERYAL-1</v>
          </cell>
          <cell r="S2" t="str">
            <v>MATERYAL-1 DETAY</v>
          </cell>
          <cell r="T2" t="str">
            <v>MATERYAL-2</v>
          </cell>
          <cell r="U2" t="str">
            <v>MATERYAL-2 DETAY</v>
          </cell>
          <cell r="V2" t="str">
            <v>ENERJİ SINIFI</v>
          </cell>
          <cell r="W2" t="str">
            <v>İÇ YAPI</v>
          </cell>
          <cell r="X2" t="str">
            <v>VOLTAJ</v>
          </cell>
          <cell r="Y2" t="str">
            <v>WATT</v>
          </cell>
          <cell r="Z2" t="str">
            <v>KELVIN</v>
          </cell>
          <cell r="AA2" t="str">
            <v>DIMM</v>
          </cell>
          <cell r="AB2" t="str">
            <v>LÜMEN</v>
          </cell>
          <cell r="AC2" t="str">
            <v>ÜRÜN TİPİ</v>
          </cell>
          <cell r="AD2" t="str">
            <v>MODELLEME</v>
          </cell>
          <cell r="AE2" t="str">
            <v>DUY SAYISI</v>
          </cell>
          <cell r="AF2" t="str">
            <v>ELDEKI_STOK</v>
          </cell>
          <cell r="AG2" t="str">
            <v>BIRMI</v>
          </cell>
          <cell r="AH2" t="str">
            <v>ALIM_FIYATI</v>
          </cell>
          <cell r="AI2" t="str">
            <v>ALIM_DOVIZI</v>
          </cell>
          <cell r="AJ2" t="str">
            <v>SATIS_FIYATI</v>
          </cell>
          <cell r="AK2" t="str">
            <v>SATIS_DOVIZI</v>
          </cell>
          <cell r="AL2" t="str">
            <v>RESIM_SAYISI</v>
          </cell>
          <cell r="AM2" t="str">
            <v>URUN_BARKOD</v>
          </cell>
          <cell r="AN2" t="str">
            <v>KOLI_BARKOD</v>
          </cell>
          <cell r="AO2" t="str">
            <v>AGIRLIK</v>
          </cell>
          <cell r="AP2" t="str">
            <v>AGIRLIK_</v>
          </cell>
          <cell r="AQ2" t="str">
            <v>YUKSEKLIK</v>
          </cell>
          <cell r="AR2" t="str">
            <v>YUKSEKLIK_</v>
          </cell>
          <cell r="AS2" t="str">
            <v>EN</v>
          </cell>
          <cell r="AT2" t="str">
            <v>EN_</v>
          </cell>
          <cell r="AU2" t="str">
            <v>ALAN</v>
          </cell>
          <cell r="AV2" t="str">
            <v>ALAN_</v>
          </cell>
          <cell r="AW2" t="str">
            <v>NET_HACIM</v>
          </cell>
          <cell r="AX2" t="str">
            <v>NET_HACIM_</v>
          </cell>
        </row>
        <row r="3">
          <cell r="B3" t="str">
            <v>CL2F1C1M2C3I0</v>
          </cell>
          <cell r="C3" t="str">
            <v>ERD-32 T30-185 BAL 4W 2500K E27 LED AMPUL</v>
          </cell>
          <cell r="D3" t="str">
            <v>ERD-32 T30-185 AMBER 4W 2500K E27 LED BULB</v>
          </cell>
          <cell r="E3" t="str">
            <v>CAM METAL BAL FLAMENT DIMMSIZ T30-TÜP</v>
          </cell>
          <cell r="F3" t="str">
            <v>8539.52.00.00.00</v>
          </cell>
          <cell r="G3" t="str">
            <v>AMPUL</v>
          </cell>
          <cell r="H3" t="str">
            <v>CF21112B30000</v>
          </cell>
          <cell r="I3" t="str">
            <v>İÇ</v>
          </cell>
          <cell r="J3" t="str">
            <v>AMPUL</v>
          </cell>
          <cell r="K3" t="str">
            <v>ERD-32</v>
          </cell>
          <cell r="L3" t="str">
            <v/>
          </cell>
          <cell r="M3" t="str">
            <v>30.01.2026</v>
          </cell>
          <cell r="N3" t="str">
            <v>ERD-32</v>
          </cell>
          <cell r="O3" t="str">
            <v>HEKA</v>
          </cell>
          <cell r="P3" t="str">
            <v>ADET</v>
          </cell>
          <cell r="Q3" t="str">
            <v>E27</v>
          </cell>
          <cell r="R3" t="str">
            <v>CAM</v>
          </cell>
          <cell r="S3" t="str">
            <v>BAL</v>
          </cell>
          <cell r="T3" t="str">
            <v>METAL</v>
          </cell>
          <cell r="V3" t="str">
            <v>F</v>
          </cell>
          <cell r="W3" t="str">
            <v>FLAMENT</v>
          </cell>
          <cell r="X3" t="str">
            <v>220V</v>
          </cell>
          <cell r="Y3" t="str">
            <v>4 WATT</v>
          </cell>
          <cell r="Z3" t="str">
            <v>2500 K</v>
          </cell>
          <cell r="AA3" t="str">
            <v>DIMMSIZ</v>
          </cell>
          <cell r="AB3" t="str">
            <v>301-400</v>
          </cell>
          <cell r="AC3" t="str">
            <v>T30-TÜP</v>
          </cell>
          <cell r="AD3" t="str">
            <v>N/A</v>
          </cell>
          <cell r="AF3">
            <v>96</v>
          </cell>
          <cell r="AG3" t="str">
            <v>ADET</v>
          </cell>
          <cell r="AH3">
            <v>1.0489999999999999</v>
          </cell>
          <cell r="AI3" t="str">
            <v>USD</v>
          </cell>
          <cell r="AJ3">
            <v>5.0999999999999996</v>
          </cell>
          <cell r="AK3" t="str">
            <v>USD</v>
          </cell>
          <cell r="AL3">
            <v>1</v>
          </cell>
          <cell r="AM3" t="str">
            <v>8684127504041</v>
          </cell>
          <cell r="AN3" t="str">
            <v>8684127500586</v>
          </cell>
          <cell r="AO3">
            <v>0</v>
          </cell>
          <cell r="AQ3">
            <v>3</v>
          </cell>
          <cell r="AR3" t="str">
            <v>CM</v>
          </cell>
          <cell r="AS3">
            <v>3</v>
          </cell>
          <cell r="AT3" t="str">
            <v>CM</v>
          </cell>
          <cell r="AU3">
            <v>0</v>
          </cell>
          <cell r="AW3">
            <v>0</v>
          </cell>
        </row>
        <row r="4">
          <cell r="B4" t="str">
            <v>T1C2JMG000T-008</v>
          </cell>
          <cell r="C4" t="str">
            <v>ARYANA DEKORATİF TIRTIKLI ALTIN DUY</v>
          </cell>
          <cell r="D4" t="str">
            <v>ARYANA DECORATIVE SERRATED GOLD LAMP HOLDER</v>
          </cell>
          <cell r="E4" t="str">
            <v>METAL YOK GOLD YOK</v>
          </cell>
          <cell r="F4" t="str">
            <v>9405.19.90.00.00</v>
          </cell>
          <cell r="G4" t="str">
            <v>ZPARCA</v>
          </cell>
          <cell r="H4" t="str">
            <v>T1A2120100-01</v>
          </cell>
          <cell r="I4" t="str">
            <v>İÇ</v>
          </cell>
          <cell r="J4" t="str">
            <v>ZPARCA</v>
          </cell>
          <cell r="K4" t="str">
            <v>ARYANA</v>
          </cell>
          <cell r="L4" t="str">
            <v/>
          </cell>
          <cell r="M4" t="str">
            <v/>
          </cell>
          <cell r="N4" t="str">
            <v>ERD-118G</v>
          </cell>
          <cell r="O4" t="str">
            <v>HEKA</v>
          </cell>
          <cell r="P4" t="str">
            <v>ADET</v>
          </cell>
          <cell r="Q4" t="str">
            <v>E27</v>
          </cell>
          <cell r="R4" t="str">
            <v>METAL</v>
          </cell>
          <cell r="S4" t="str">
            <v>GOLD</v>
          </cell>
          <cell r="T4" t="str">
            <v>YOK</v>
          </cell>
          <cell r="U4" t="str">
            <v>YOK</v>
          </cell>
          <cell r="AD4" t="str">
            <v>TIRTIKLI</v>
          </cell>
          <cell r="AE4" t="str">
            <v>02</v>
          </cell>
          <cell r="AF4">
            <v>0</v>
          </cell>
          <cell r="AG4" t="str">
            <v>ADET</v>
          </cell>
          <cell r="AJ4">
            <v>429</v>
          </cell>
          <cell r="AK4" t="str">
            <v>TL</v>
          </cell>
          <cell r="AL4">
            <v>1</v>
          </cell>
          <cell r="AM4" t="str">
            <v>8684127505888</v>
          </cell>
          <cell r="AO4">
            <v>0</v>
          </cell>
          <cell r="AQ4">
            <v>5</v>
          </cell>
          <cell r="AR4" t="str">
            <v>CM</v>
          </cell>
          <cell r="AS4">
            <v>7.5</v>
          </cell>
          <cell r="AT4" t="str">
            <v>CM</v>
          </cell>
          <cell r="AU4">
            <v>0</v>
          </cell>
          <cell r="AW4">
            <v>0</v>
          </cell>
        </row>
        <row r="5">
          <cell r="B5" t="str">
            <v>OLD-006B</v>
          </cell>
          <cell r="C5" t="str">
            <v>*OLD-006* 32 LİK PASLANMAZ BAKIR RENK *1*</v>
          </cell>
          <cell r="D5" t="str">
            <v/>
          </cell>
          <cell r="E5" t="str">
            <v/>
          </cell>
          <cell r="F5" t="str">
            <v/>
          </cell>
          <cell r="G5" t="str">
            <v>AVİZE</v>
          </cell>
          <cell r="H5" t="str">
            <v>OLD-006B</v>
          </cell>
          <cell r="I5" t="str">
            <v>İÇ</v>
          </cell>
          <cell r="J5" t="str">
            <v>AVİZE.SARK</v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>HEKA</v>
          </cell>
          <cell r="P5" t="str">
            <v>ADET</v>
          </cell>
          <cell r="AF5">
            <v>0</v>
          </cell>
          <cell r="AG5" t="str">
            <v>ADET</v>
          </cell>
          <cell r="AH5">
            <v>110</v>
          </cell>
          <cell r="AI5" t="str">
            <v>TL</v>
          </cell>
          <cell r="AJ5">
            <v>1210</v>
          </cell>
          <cell r="AK5" t="str">
            <v>TL</v>
          </cell>
          <cell r="AL5">
            <v>0</v>
          </cell>
          <cell r="AM5" t="str">
            <v>1234567144245</v>
          </cell>
          <cell r="AN5" t="str">
            <v>1234567140216</v>
          </cell>
          <cell r="AO5">
            <v>0</v>
          </cell>
          <cell r="AQ5">
            <v>0</v>
          </cell>
          <cell r="AS5">
            <v>0</v>
          </cell>
          <cell r="AU5">
            <v>0</v>
          </cell>
          <cell r="AW5">
            <v>0</v>
          </cell>
        </row>
        <row r="6">
          <cell r="B6" t="str">
            <v>OLD-006K</v>
          </cell>
          <cell r="C6" t="str">
            <v>*OLD-006* 32 LİK PASLANMAZ KROM RENK *1*</v>
          </cell>
          <cell r="D6" t="str">
            <v/>
          </cell>
          <cell r="E6" t="str">
            <v/>
          </cell>
          <cell r="F6" t="str">
            <v/>
          </cell>
          <cell r="G6" t="str">
            <v>AVİZE</v>
          </cell>
          <cell r="H6" t="str">
            <v>OLD-006K</v>
          </cell>
          <cell r="I6" t="str">
            <v>İÇ</v>
          </cell>
          <cell r="J6" t="str">
            <v>AVİZE.SARK</v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>HEKA</v>
          </cell>
          <cell r="P6" t="str">
            <v>ADET</v>
          </cell>
          <cell r="AF6">
            <v>0</v>
          </cell>
          <cell r="AG6" t="str">
            <v>ADET</v>
          </cell>
          <cell r="AH6">
            <v>60</v>
          </cell>
          <cell r="AI6" t="str">
            <v>TL</v>
          </cell>
          <cell r="AJ6">
            <v>1210</v>
          </cell>
          <cell r="AK6" t="str">
            <v>TL</v>
          </cell>
          <cell r="AL6">
            <v>0</v>
          </cell>
          <cell r="AM6" t="str">
            <v>1234567144269</v>
          </cell>
          <cell r="AN6" t="str">
            <v>1234567140230</v>
          </cell>
          <cell r="AO6">
            <v>0</v>
          </cell>
          <cell r="AQ6">
            <v>0</v>
          </cell>
          <cell r="AS6">
            <v>0</v>
          </cell>
          <cell r="AU6">
            <v>0</v>
          </cell>
          <cell r="AW6">
            <v>0</v>
          </cell>
        </row>
        <row r="7">
          <cell r="B7" t="str">
            <v>TYH002-3</v>
          </cell>
          <cell r="C7" t="str">
            <v>*TYH002-3* MİNA  FÜME BÜYÜK CAM</v>
          </cell>
          <cell r="D7" t="str">
            <v/>
          </cell>
          <cell r="E7" t="str">
            <v/>
          </cell>
          <cell r="F7" t="str">
            <v/>
          </cell>
          <cell r="G7" t="str">
            <v>ZPARCA</v>
          </cell>
          <cell r="H7" t="str">
            <v>TYH002-3</v>
          </cell>
          <cell r="I7" t="str">
            <v>İÇ</v>
          </cell>
          <cell r="J7" t="str">
            <v>ZPARCA</v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P7" t="str">
            <v>ADET</v>
          </cell>
          <cell r="AF7">
            <v>5</v>
          </cell>
          <cell r="AG7" t="str">
            <v>ADET</v>
          </cell>
          <cell r="AH7">
            <v>22</v>
          </cell>
          <cell r="AI7" t="str">
            <v>TL</v>
          </cell>
          <cell r="AL7">
            <v>0</v>
          </cell>
          <cell r="AM7" t="str">
            <v>1234567144405</v>
          </cell>
          <cell r="AN7" t="str">
            <v>1234567140681</v>
          </cell>
          <cell r="AO7">
            <v>0</v>
          </cell>
          <cell r="AQ7">
            <v>0</v>
          </cell>
          <cell r="AS7">
            <v>0</v>
          </cell>
          <cell r="AU7">
            <v>0</v>
          </cell>
          <cell r="AW7">
            <v>0</v>
          </cell>
        </row>
        <row r="8">
          <cell r="B8" t="str">
            <v>CK2G1C2M2C220</v>
          </cell>
          <cell r="C8" t="str">
            <v>ERD-73 FÜME 4W 2200K E27 LED AMPUL</v>
          </cell>
          <cell r="D8" t="str">
            <v>ERD-73 SMOKY 4W 2200K E27 LED BULB</v>
          </cell>
          <cell r="E8" t="str">
            <v>CAM METAL FÜME FLAMENT DIMMSIZ KARMA</v>
          </cell>
          <cell r="F8" t="str">
            <v>8539.52.00.00.00</v>
          </cell>
          <cell r="G8" t="str">
            <v>AVİZE</v>
          </cell>
          <cell r="H8" t="str">
            <v>CG21122B21T00</v>
          </cell>
          <cell r="I8" t="str">
            <v>İÇ</v>
          </cell>
          <cell r="J8" t="str">
            <v>AMPUL</v>
          </cell>
          <cell r="K8" t="str">
            <v>ERD-73</v>
          </cell>
          <cell r="L8" t="str">
            <v/>
          </cell>
          <cell r="M8" t="str">
            <v/>
          </cell>
          <cell r="N8" t="str">
            <v>ERD-73</v>
          </cell>
          <cell r="O8" t="str">
            <v>HEKA</v>
          </cell>
          <cell r="P8" t="str">
            <v>ADET</v>
          </cell>
          <cell r="Q8" t="str">
            <v>E27</v>
          </cell>
          <cell r="R8" t="str">
            <v>CAM</v>
          </cell>
          <cell r="S8" t="str">
            <v>FÜME</v>
          </cell>
          <cell r="T8" t="str">
            <v>METAL</v>
          </cell>
          <cell r="V8" t="str">
            <v>G</v>
          </cell>
          <cell r="W8" t="str">
            <v>FLAMENT</v>
          </cell>
          <cell r="X8" t="str">
            <v>220V</v>
          </cell>
          <cell r="Y8" t="str">
            <v>4 WATT</v>
          </cell>
          <cell r="Z8" t="str">
            <v>2200 K</v>
          </cell>
          <cell r="AA8" t="str">
            <v>DIMMSIZ</v>
          </cell>
          <cell r="AB8" t="str">
            <v>0-100</v>
          </cell>
          <cell r="AC8" t="str">
            <v>KARMA</v>
          </cell>
          <cell r="AD8" t="str">
            <v>N/A</v>
          </cell>
          <cell r="AF8">
            <v>66</v>
          </cell>
          <cell r="AG8" t="str">
            <v>ADET</v>
          </cell>
          <cell r="AH8">
            <v>43</v>
          </cell>
          <cell r="AI8" t="str">
            <v>CNY</v>
          </cell>
          <cell r="AJ8">
            <v>46</v>
          </cell>
          <cell r="AK8" t="str">
            <v>USD</v>
          </cell>
          <cell r="AL8">
            <v>1</v>
          </cell>
          <cell r="AM8" t="str">
            <v>8684127504287</v>
          </cell>
          <cell r="AN8" t="str">
            <v>8684127500852</v>
          </cell>
          <cell r="AO8">
            <v>0</v>
          </cell>
          <cell r="AQ8">
            <v>17</v>
          </cell>
          <cell r="AR8" t="str">
            <v>CM</v>
          </cell>
          <cell r="AS8">
            <v>17</v>
          </cell>
          <cell r="AT8" t="str">
            <v>CM</v>
          </cell>
          <cell r="AU8">
            <v>0</v>
          </cell>
          <cell r="AW8">
            <v>0</v>
          </cell>
        </row>
        <row r="9">
          <cell r="B9" t="str">
            <v>CA2E1C3M2E5P0</v>
          </cell>
          <cell r="C9" t="str">
            <v>ERD-95 A60 ŞEFFAF 6W 3000K E27 LED AMPUL</v>
          </cell>
          <cell r="D9" t="str">
            <v>ERD-95 A60 CLEAR 6W 3000K E27 LED BULB</v>
          </cell>
          <cell r="E9" t="str">
            <v>CAM METAL ŞEFFAF FLAMENT DIMMSIZ A60</v>
          </cell>
          <cell r="F9" t="str">
            <v>8539.52.00.00.00</v>
          </cell>
          <cell r="G9" t="str">
            <v>AMPUL</v>
          </cell>
          <cell r="H9" t="str">
            <v>CE21132D50000</v>
          </cell>
          <cell r="I9" t="str">
            <v>İÇ</v>
          </cell>
          <cell r="J9" t="str">
            <v>AMPUL</v>
          </cell>
          <cell r="K9" t="str">
            <v>ERD-95</v>
          </cell>
          <cell r="L9" t="str">
            <v/>
          </cell>
          <cell r="M9" t="str">
            <v>30.01.2026</v>
          </cell>
          <cell r="N9" t="str">
            <v>ERD-95</v>
          </cell>
          <cell r="O9" t="str">
            <v>HEKA</v>
          </cell>
          <cell r="P9" t="str">
            <v>ADET</v>
          </cell>
          <cell r="Q9" t="str">
            <v>E27</v>
          </cell>
          <cell r="R9" t="str">
            <v>CAM</v>
          </cell>
          <cell r="S9" t="str">
            <v>ŞEFFAF</v>
          </cell>
          <cell r="T9" t="str">
            <v>METAL</v>
          </cell>
          <cell r="V9" t="str">
            <v>E</v>
          </cell>
          <cell r="W9" t="str">
            <v>FLAMENT</v>
          </cell>
          <cell r="X9" t="str">
            <v>220V</v>
          </cell>
          <cell r="Y9" t="str">
            <v>6 WATT</v>
          </cell>
          <cell r="Z9" t="str">
            <v>3000 K</v>
          </cell>
          <cell r="AA9" t="str">
            <v>DIMMSIZ</v>
          </cell>
          <cell r="AB9" t="str">
            <v>601-700</v>
          </cell>
          <cell r="AC9" t="str">
            <v>A60</v>
          </cell>
          <cell r="AD9" t="str">
            <v>N/A</v>
          </cell>
          <cell r="AF9">
            <v>184</v>
          </cell>
          <cell r="AG9" t="str">
            <v>ADET</v>
          </cell>
          <cell r="AH9">
            <v>0.36</v>
          </cell>
          <cell r="AI9" t="str">
            <v>USD</v>
          </cell>
          <cell r="AJ9">
            <v>1.9</v>
          </cell>
          <cell r="AK9" t="str">
            <v>USD</v>
          </cell>
          <cell r="AL9">
            <v>1</v>
          </cell>
          <cell r="AM9" t="str">
            <v>8684127500067</v>
          </cell>
          <cell r="AN9" t="str">
            <v>8684127500265</v>
          </cell>
          <cell r="AO9">
            <v>0</v>
          </cell>
          <cell r="AQ9">
            <v>6</v>
          </cell>
          <cell r="AR9" t="str">
            <v>CM</v>
          </cell>
          <cell r="AS9">
            <v>6</v>
          </cell>
          <cell r="AT9" t="str">
            <v>CM</v>
          </cell>
          <cell r="AU9">
            <v>0</v>
          </cell>
          <cell r="AW9">
            <v>0</v>
          </cell>
        </row>
        <row r="10">
          <cell r="B10" t="str">
            <v>CE2F1C1M2G3R0</v>
          </cell>
          <cell r="C10" t="str">
            <v>ERD-86 G95 BAL 8W 2500K E27 LED AMPUL</v>
          </cell>
          <cell r="D10" t="str">
            <v>ERD-86 G95 AMBER 8W 2500K E27 LED BULB</v>
          </cell>
          <cell r="E10" t="str">
            <v>CAM METAL BAL FLAMENT DIMMSIZ G95-TOP</v>
          </cell>
          <cell r="F10" t="str">
            <v>8539.52.00.00.00</v>
          </cell>
          <cell r="G10" t="str">
            <v>AMPUL</v>
          </cell>
          <cell r="H10" t="str">
            <v>CF21112F30000</v>
          </cell>
          <cell r="I10" t="str">
            <v>İÇ</v>
          </cell>
          <cell r="J10" t="str">
            <v>AMPUL</v>
          </cell>
          <cell r="K10" t="str">
            <v>ERD-86</v>
          </cell>
          <cell r="L10" t="str">
            <v/>
          </cell>
          <cell r="M10" t="str">
            <v>28.02.2026</v>
          </cell>
          <cell r="N10" t="str">
            <v>ERD-86</v>
          </cell>
          <cell r="O10" t="str">
            <v>HEKA</v>
          </cell>
          <cell r="P10" t="str">
            <v>ADET</v>
          </cell>
          <cell r="Q10" t="str">
            <v>E27</v>
          </cell>
          <cell r="R10" t="str">
            <v>CAM</v>
          </cell>
          <cell r="S10" t="str">
            <v>BAL</v>
          </cell>
          <cell r="T10" t="str">
            <v>METAL</v>
          </cell>
          <cell r="V10" t="str">
            <v>F</v>
          </cell>
          <cell r="W10" t="str">
            <v>FLAMENT</v>
          </cell>
          <cell r="X10" t="str">
            <v>220V</v>
          </cell>
          <cell r="Y10" t="str">
            <v>8 WATT</v>
          </cell>
          <cell r="Z10" t="str">
            <v>2500 K</v>
          </cell>
          <cell r="AA10" t="str">
            <v>DIMMSIZ</v>
          </cell>
          <cell r="AB10" t="str">
            <v>701-800</v>
          </cell>
          <cell r="AC10" t="str">
            <v>G95-TOP</v>
          </cell>
          <cell r="AD10" t="str">
            <v>N/A</v>
          </cell>
          <cell r="AF10">
            <v>14</v>
          </cell>
          <cell r="AG10" t="str">
            <v>ADET</v>
          </cell>
          <cell r="AH10">
            <v>0.72499999999999998</v>
          </cell>
          <cell r="AI10" t="str">
            <v>USD</v>
          </cell>
          <cell r="AJ10">
            <v>3.9</v>
          </cell>
          <cell r="AK10" t="str">
            <v>USD</v>
          </cell>
          <cell r="AL10">
            <v>1</v>
          </cell>
          <cell r="AM10" t="str">
            <v>8684127504188</v>
          </cell>
          <cell r="AN10" t="str">
            <v>8684127500326</v>
          </cell>
          <cell r="AO10">
            <v>0</v>
          </cell>
          <cell r="AQ10">
            <v>9.5</v>
          </cell>
          <cell r="AR10" t="str">
            <v>CM</v>
          </cell>
          <cell r="AS10">
            <v>9.5</v>
          </cell>
          <cell r="AT10" t="str">
            <v>CM</v>
          </cell>
          <cell r="AU10">
            <v>0</v>
          </cell>
          <cell r="AW10">
            <v>0</v>
          </cell>
        </row>
        <row r="11">
          <cell r="B11" t="str">
            <v>CE2E1C3M2E4P0</v>
          </cell>
          <cell r="C11" t="str">
            <v>ERD-88 G95 ŞEFFAF 6W 2700K E27 LED AMPUL</v>
          </cell>
          <cell r="D11" t="str">
            <v>ERD-88 G95 CLEAR 6W 2700K E27 LED BULB</v>
          </cell>
          <cell r="E11" t="str">
            <v>CAM METAL ŞEFFAF FLAMENT DIMMSIZ G95-TOP</v>
          </cell>
          <cell r="F11" t="str">
            <v>8539.52.00.00.00</v>
          </cell>
          <cell r="G11" t="str">
            <v>AMPUL</v>
          </cell>
          <cell r="H11" t="str">
            <v>CE21132D40000</v>
          </cell>
          <cell r="I11" t="str">
            <v>İÇ</v>
          </cell>
          <cell r="J11" t="str">
            <v>AMPUL</v>
          </cell>
          <cell r="K11" t="str">
            <v>ERD-88</v>
          </cell>
          <cell r="L11" t="str">
            <v/>
          </cell>
          <cell r="M11" t="str">
            <v/>
          </cell>
          <cell r="N11" t="str">
            <v>ERD-88</v>
          </cell>
          <cell r="O11" t="str">
            <v>HEKA</v>
          </cell>
          <cell r="P11" t="str">
            <v>ADET</v>
          </cell>
          <cell r="Q11" t="str">
            <v>E27</v>
          </cell>
          <cell r="R11" t="str">
            <v>CAM</v>
          </cell>
          <cell r="S11" t="str">
            <v>ŞEFFAF</v>
          </cell>
          <cell r="T11" t="str">
            <v>METAL</v>
          </cell>
          <cell r="V11" t="str">
            <v>E</v>
          </cell>
          <cell r="W11" t="str">
            <v>FLAMENT</v>
          </cell>
          <cell r="X11" t="str">
            <v>220V</v>
          </cell>
          <cell r="Y11" t="str">
            <v>6 WATT</v>
          </cell>
          <cell r="Z11" t="str">
            <v xml:space="preserve">2700 K </v>
          </cell>
          <cell r="AA11" t="str">
            <v>DIMMSIZ</v>
          </cell>
          <cell r="AB11" t="str">
            <v>601-700</v>
          </cell>
          <cell r="AC11" t="str">
            <v>G95-TOP</v>
          </cell>
          <cell r="AD11" t="str">
            <v>N/A</v>
          </cell>
          <cell r="AF11">
            <v>8545</v>
          </cell>
          <cell r="AG11" t="str">
            <v>ADET</v>
          </cell>
          <cell r="AH11">
            <v>0.56000000000000005</v>
          </cell>
          <cell r="AI11" t="str">
            <v>USD</v>
          </cell>
          <cell r="AJ11">
            <v>3.6</v>
          </cell>
          <cell r="AK11" t="str">
            <v>USD</v>
          </cell>
          <cell r="AL11">
            <v>1</v>
          </cell>
          <cell r="AM11" t="str">
            <v>8684127504195</v>
          </cell>
          <cell r="AN11" t="str">
            <v>8684127500494</v>
          </cell>
          <cell r="AO11">
            <v>0</v>
          </cell>
          <cell r="AQ11">
            <v>9.5</v>
          </cell>
          <cell r="AR11" t="str">
            <v>CM</v>
          </cell>
          <cell r="AS11">
            <v>9.5</v>
          </cell>
          <cell r="AT11" t="str">
            <v>CM</v>
          </cell>
          <cell r="AU11">
            <v>0</v>
          </cell>
          <cell r="AW11">
            <v>0</v>
          </cell>
        </row>
        <row r="12">
          <cell r="B12" t="str">
            <v>CK3G2P3M2D8H0</v>
          </cell>
          <cell r="C12" t="str">
            <v>ERD-269 ŞEFFAF 5W 6500K G9 LED AMPUL</v>
          </cell>
          <cell r="D12" t="str">
            <v>ERD-269 CLEAR 5W 6500K G9 LED BULB</v>
          </cell>
          <cell r="E12" t="str">
            <v>PLASTİK METAL ŞEFFAF SMD LED DIMMSIZ MISIR</v>
          </cell>
          <cell r="F12" t="str">
            <v>8539.52.00.00.00</v>
          </cell>
          <cell r="G12" t="str">
            <v>AMPUL</v>
          </cell>
          <cell r="H12" t="str">
            <v>CG32232C80000</v>
          </cell>
          <cell r="I12" t="str">
            <v>İÇ</v>
          </cell>
          <cell r="J12" t="str">
            <v>AMPUL</v>
          </cell>
          <cell r="K12" t="str">
            <v>ERD-269</v>
          </cell>
          <cell r="L12" t="str">
            <v/>
          </cell>
          <cell r="M12" t="str">
            <v/>
          </cell>
          <cell r="N12" t="str">
            <v>ERD-269</v>
          </cell>
          <cell r="O12" t="str">
            <v>HEKA</v>
          </cell>
          <cell r="P12" t="str">
            <v>ADET</v>
          </cell>
          <cell r="Q12" t="str">
            <v>G9</v>
          </cell>
          <cell r="R12" t="str">
            <v>PLASTİK</v>
          </cell>
          <cell r="S12" t="str">
            <v>ŞEFFAF</v>
          </cell>
          <cell r="T12" t="str">
            <v>METAL</v>
          </cell>
          <cell r="V12" t="str">
            <v>G</v>
          </cell>
          <cell r="W12" t="str">
            <v>SMD LED</v>
          </cell>
          <cell r="X12" t="str">
            <v>220V</v>
          </cell>
          <cell r="Y12" t="str">
            <v>5 WATT</v>
          </cell>
          <cell r="Z12" t="str">
            <v>6500 K</v>
          </cell>
          <cell r="AA12" t="str">
            <v>DIMMSIZ</v>
          </cell>
          <cell r="AB12" t="str">
            <v>301-400</v>
          </cell>
          <cell r="AC12" t="str">
            <v>MISIR</v>
          </cell>
          <cell r="AD12" t="str">
            <v>N/A</v>
          </cell>
          <cell r="AF12">
            <v>0</v>
          </cell>
          <cell r="AG12" t="str">
            <v>ADET</v>
          </cell>
          <cell r="AH12">
            <v>1.9</v>
          </cell>
          <cell r="AI12" t="str">
            <v>CNY</v>
          </cell>
          <cell r="AJ12">
            <v>35.799999999999997</v>
          </cell>
          <cell r="AK12" t="str">
            <v>TL</v>
          </cell>
          <cell r="AL12">
            <v>1</v>
          </cell>
          <cell r="AM12" t="str">
            <v>8684127504355</v>
          </cell>
          <cell r="AN12" t="str">
            <v>8684127506151</v>
          </cell>
          <cell r="AO12">
            <v>0</v>
          </cell>
          <cell r="AQ12">
            <v>1.5</v>
          </cell>
          <cell r="AR12" t="str">
            <v>CM</v>
          </cell>
          <cell r="AS12">
            <v>1.5</v>
          </cell>
          <cell r="AT12" t="str">
            <v>CM</v>
          </cell>
          <cell r="AU12">
            <v>0</v>
          </cell>
          <cell r="AW12">
            <v>0</v>
          </cell>
        </row>
        <row r="13">
          <cell r="B13" t="str">
            <v>CK2G1C1M2C2F0</v>
          </cell>
          <cell r="C13" t="str">
            <v>ERD-21 BAL 4W 2200K E27 KAYA LED AMPUL</v>
          </cell>
          <cell r="D13" t="str">
            <v>ERD-21 4W AMBER 2200K ROCK E27 LED BULB</v>
          </cell>
          <cell r="E13" t="str">
            <v>CAM METAL BAL FLAMENT DIMMSIZ KARMA</v>
          </cell>
          <cell r="F13" t="str">
            <v>8539.52.00.00.00</v>
          </cell>
          <cell r="G13" t="str">
            <v>AVİZE</v>
          </cell>
          <cell r="H13" t="str">
            <v>CG21112B21T02</v>
          </cell>
          <cell r="I13" t="str">
            <v>İÇ</v>
          </cell>
          <cell r="J13" t="str">
            <v>AMPUL</v>
          </cell>
          <cell r="K13" t="str">
            <v>ERD-21</v>
          </cell>
          <cell r="L13" t="str">
            <v/>
          </cell>
          <cell r="M13" t="str">
            <v/>
          </cell>
          <cell r="N13" t="str">
            <v>ERD-21</v>
          </cell>
          <cell r="O13" t="str">
            <v>HEKA</v>
          </cell>
          <cell r="P13" t="str">
            <v>ADET</v>
          </cell>
          <cell r="Q13" t="str">
            <v>E27</v>
          </cell>
          <cell r="R13" t="str">
            <v>CAM</v>
          </cell>
          <cell r="S13" t="str">
            <v>BAL</v>
          </cell>
          <cell r="T13" t="str">
            <v>METAL</v>
          </cell>
          <cell r="V13" t="str">
            <v>G</v>
          </cell>
          <cell r="W13" t="str">
            <v>FLAMENT</v>
          </cell>
          <cell r="X13" t="str">
            <v>220V</v>
          </cell>
          <cell r="Y13" t="str">
            <v>4 WATT</v>
          </cell>
          <cell r="Z13" t="str">
            <v>2200 K</v>
          </cell>
          <cell r="AA13" t="str">
            <v>DIMMSIZ</v>
          </cell>
          <cell r="AB13" t="str">
            <v>201-300</v>
          </cell>
          <cell r="AC13" t="str">
            <v>KARMA</v>
          </cell>
          <cell r="AD13" t="str">
            <v>N/A</v>
          </cell>
          <cell r="AF13">
            <v>29</v>
          </cell>
          <cell r="AG13" t="str">
            <v>ADET</v>
          </cell>
          <cell r="AH13">
            <v>37</v>
          </cell>
          <cell r="AI13" t="str">
            <v>CNY</v>
          </cell>
          <cell r="AJ13">
            <v>44</v>
          </cell>
          <cell r="AK13" t="str">
            <v>USD</v>
          </cell>
          <cell r="AL13">
            <v>1</v>
          </cell>
          <cell r="AM13" t="str">
            <v>8684127504232</v>
          </cell>
          <cell r="AN13" t="str">
            <v>8699089463105</v>
          </cell>
          <cell r="AO13">
            <v>0</v>
          </cell>
          <cell r="AQ13">
            <v>16.5</v>
          </cell>
          <cell r="AR13" t="str">
            <v>CM</v>
          </cell>
          <cell r="AS13">
            <v>16.5</v>
          </cell>
          <cell r="AT13" t="str">
            <v>CM</v>
          </cell>
          <cell r="AU13">
            <v>0</v>
          </cell>
          <cell r="AW13">
            <v>0</v>
          </cell>
        </row>
        <row r="14">
          <cell r="B14" t="str">
            <v>CG21122F21T02</v>
          </cell>
          <cell r="C14" t="str">
            <v>*ERD-6* HEKA 8 WATT FÜME RENK LED AMPUL *6*</v>
          </cell>
          <cell r="D14" t="str">
            <v/>
          </cell>
          <cell r="E14" t="str">
            <v/>
          </cell>
          <cell r="F14" t="str">
            <v>853950000000</v>
          </cell>
          <cell r="G14" t="str">
            <v>HEKA LED</v>
          </cell>
          <cell r="H14" t="str">
            <v>CG21122F21T02</v>
          </cell>
          <cell r="I14" t="str">
            <v>HEKA LED</v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P14" t="str">
            <v>ADET</v>
          </cell>
          <cell r="AF14">
            <v>11</v>
          </cell>
          <cell r="AG14" t="str">
            <v>ADET</v>
          </cell>
          <cell r="AH14">
            <v>80</v>
          </cell>
          <cell r="AI14" t="str">
            <v>CNY</v>
          </cell>
          <cell r="AL14">
            <v>1</v>
          </cell>
          <cell r="AN14" t="str">
            <v>8699089465130</v>
          </cell>
          <cell r="AO14">
            <v>0</v>
          </cell>
          <cell r="AQ14">
            <v>0</v>
          </cell>
          <cell r="AS14">
            <v>0</v>
          </cell>
          <cell r="AU14">
            <v>0</v>
          </cell>
          <cell r="AW14">
            <v>0</v>
          </cell>
        </row>
        <row r="15">
          <cell r="B15" t="str">
            <v>H1C3JMBECTR-114</v>
          </cell>
          <cell r="C15" t="str">
            <v>KAUNOS 7 KROM TOPLU SARKIT 12cm</v>
          </cell>
          <cell r="D15" t="str">
            <v>KAUNOS 7 CHROME BALL PENDANT 12cm</v>
          </cell>
          <cell r="E15" t="str">
            <v xml:space="preserve">METAL CAM  BAKIR SOFT   </v>
          </cell>
          <cell r="F15" t="str">
            <v>9405.19.90.00.00</v>
          </cell>
          <cell r="G15" t="str">
            <v>AVİZE</v>
          </cell>
          <cell r="H15" t="str">
            <v>T1A3132100-07</v>
          </cell>
          <cell r="I15" t="str">
            <v>İÇ</v>
          </cell>
          <cell r="J15" t="str">
            <v>AVİZE.SARK</v>
          </cell>
          <cell r="K15" t="str">
            <v>KAUNOS</v>
          </cell>
          <cell r="L15" t="str">
            <v/>
          </cell>
          <cell r="M15" t="str">
            <v/>
          </cell>
          <cell r="N15" t="str">
            <v>HK20021</v>
          </cell>
          <cell r="O15" t="str">
            <v>HEKA</v>
          </cell>
          <cell r="P15" t="str">
            <v>ADET</v>
          </cell>
          <cell r="Q15" t="str">
            <v>G9</v>
          </cell>
          <cell r="R15" t="str">
            <v>METAL</v>
          </cell>
          <cell r="S15" t="str">
            <v>BAKIR</v>
          </cell>
          <cell r="T15" t="str">
            <v>CAM</v>
          </cell>
          <cell r="U15" t="str">
            <v>SOFT</v>
          </cell>
          <cell r="AD15" t="str">
            <v>DAİRE</v>
          </cell>
          <cell r="AE15" t="str">
            <v>02</v>
          </cell>
          <cell r="AF15">
            <v>0</v>
          </cell>
          <cell r="AG15" t="str">
            <v>ADET</v>
          </cell>
          <cell r="AH15">
            <v>43</v>
          </cell>
          <cell r="AI15" t="str">
            <v>CNY</v>
          </cell>
          <cell r="AJ15">
            <v>975</v>
          </cell>
          <cell r="AK15" t="str">
            <v>TL</v>
          </cell>
          <cell r="AL15">
            <v>1</v>
          </cell>
          <cell r="AM15" t="str">
            <v>8684127508995</v>
          </cell>
          <cell r="AO15">
            <v>0</v>
          </cell>
          <cell r="AQ15">
            <v>68</v>
          </cell>
          <cell r="AR15" t="str">
            <v>CM</v>
          </cell>
          <cell r="AS15">
            <v>12</v>
          </cell>
          <cell r="AT15" t="str">
            <v>CM</v>
          </cell>
          <cell r="AU15">
            <v>0</v>
          </cell>
          <cell r="AW15">
            <v>0</v>
          </cell>
        </row>
        <row r="16">
          <cell r="B16" t="str">
            <v>CA2F1C3M2C6H1</v>
          </cell>
          <cell r="C16" t="str">
            <v>ERD-28 A60 ŞEFFAF 4W 3200K E27 LED AMPUL</v>
          </cell>
          <cell r="D16" t="str">
            <v>ERD-28 A60 CLEAR 4W 3200K E27 LED BULB</v>
          </cell>
          <cell r="E16" t="str">
            <v>CAM METAL ŞEFFAF FLAMENT DIMMLI A60</v>
          </cell>
          <cell r="F16" t="str">
            <v>8539.52.00.00.00</v>
          </cell>
          <cell r="G16" t="str">
            <v>AMPUL</v>
          </cell>
          <cell r="H16" t="str">
            <v>CF21132B61000</v>
          </cell>
          <cell r="I16" t="str">
            <v>İÇ</v>
          </cell>
          <cell r="J16" t="str">
            <v>AMPUL</v>
          </cell>
          <cell r="K16" t="str">
            <v>ERD-28</v>
          </cell>
          <cell r="L16" t="str">
            <v/>
          </cell>
          <cell r="M16" t="str">
            <v/>
          </cell>
          <cell r="N16" t="str">
            <v>ERD-28</v>
          </cell>
          <cell r="O16" t="str">
            <v>LAMBAM</v>
          </cell>
          <cell r="P16" t="str">
            <v>ADET</v>
          </cell>
          <cell r="Q16" t="str">
            <v>E27</v>
          </cell>
          <cell r="R16" t="str">
            <v>CAM</v>
          </cell>
          <cell r="S16" t="str">
            <v>ŞEFFAF</v>
          </cell>
          <cell r="T16" t="str">
            <v>METAL</v>
          </cell>
          <cell r="V16" t="str">
            <v>F</v>
          </cell>
          <cell r="W16" t="str">
            <v>FLAMENT</v>
          </cell>
          <cell r="X16" t="str">
            <v>220V</v>
          </cell>
          <cell r="Y16" t="str">
            <v>4 WATT</v>
          </cell>
          <cell r="Z16" t="str">
            <v>3200 K</v>
          </cell>
          <cell r="AA16" t="str">
            <v>DIMMLI</v>
          </cell>
          <cell r="AB16" t="str">
            <v>301-400</v>
          </cell>
          <cell r="AC16" t="str">
            <v>A60</v>
          </cell>
          <cell r="AD16" t="str">
            <v>N/A</v>
          </cell>
          <cell r="AF16">
            <v>836</v>
          </cell>
          <cell r="AG16" t="str">
            <v>ADET</v>
          </cell>
          <cell r="AH16">
            <v>0.28000000000000003</v>
          </cell>
          <cell r="AI16" t="str">
            <v>USD</v>
          </cell>
          <cell r="AJ16">
            <v>1.5</v>
          </cell>
          <cell r="AK16" t="str">
            <v>USD</v>
          </cell>
          <cell r="AL16">
            <v>1</v>
          </cell>
          <cell r="AM16" t="str">
            <v>8684127500166</v>
          </cell>
          <cell r="AN16" t="str">
            <v>8684127500210</v>
          </cell>
          <cell r="AO16">
            <v>0</v>
          </cell>
          <cell r="AQ16">
            <v>6</v>
          </cell>
          <cell r="AR16" t="str">
            <v>CM</v>
          </cell>
          <cell r="AS16">
            <v>6</v>
          </cell>
          <cell r="AT16" t="str">
            <v>CM</v>
          </cell>
          <cell r="AU16">
            <v>0</v>
          </cell>
          <cell r="AW16">
            <v>0</v>
          </cell>
        </row>
        <row r="17">
          <cell r="B17" t="str">
            <v>CE2G1C1M2C3E1</v>
          </cell>
          <cell r="C17" t="str">
            <v>ERD-30 G95 BAL 4W 2500K E27 LED AMPUL</v>
          </cell>
          <cell r="D17" t="str">
            <v>ERD-30 G95 AMBER CLEAR 4W 2500K E27 LED BULB</v>
          </cell>
          <cell r="E17" t="str">
            <v>CAM METAL BAL FLAMENT DIMMLI G95-TOP</v>
          </cell>
          <cell r="F17" t="str">
            <v>8539.52.00.00.00</v>
          </cell>
          <cell r="G17" t="str">
            <v>AMPUL</v>
          </cell>
          <cell r="H17" t="str">
            <v>CF21112B31000</v>
          </cell>
          <cell r="I17" t="str">
            <v>İÇ</v>
          </cell>
          <cell r="J17" t="str">
            <v>AMPUL</v>
          </cell>
          <cell r="K17" t="str">
            <v>ERD-30</v>
          </cell>
          <cell r="L17" t="str">
            <v/>
          </cell>
          <cell r="M17" t="str">
            <v/>
          </cell>
          <cell r="N17" t="str">
            <v>ERD-30</v>
          </cell>
          <cell r="O17" t="str">
            <v>LAMBAM</v>
          </cell>
          <cell r="P17" t="str">
            <v>ADET</v>
          </cell>
          <cell r="Q17" t="str">
            <v>E27</v>
          </cell>
          <cell r="R17" t="str">
            <v>CAM</v>
          </cell>
          <cell r="S17" t="str">
            <v>BAL</v>
          </cell>
          <cell r="T17" t="str">
            <v>METAL</v>
          </cell>
          <cell r="V17" t="str">
            <v>G</v>
          </cell>
          <cell r="W17" t="str">
            <v>FLAMENT</v>
          </cell>
          <cell r="X17" t="str">
            <v>220V</v>
          </cell>
          <cell r="Y17" t="str">
            <v>4 WATT</v>
          </cell>
          <cell r="Z17" t="str">
            <v>2500 K</v>
          </cell>
          <cell r="AA17" t="str">
            <v>DIMMLI</v>
          </cell>
          <cell r="AB17" t="str">
            <v>201-300</v>
          </cell>
          <cell r="AC17" t="str">
            <v>G95-TOP</v>
          </cell>
          <cell r="AD17" t="str">
            <v>N/A</v>
          </cell>
          <cell r="AF17">
            <v>405</v>
          </cell>
          <cell r="AG17" t="str">
            <v>ADET</v>
          </cell>
          <cell r="AH17">
            <v>0.56000000000000005</v>
          </cell>
          <cell r="AI17" t="str">
            <v>USD</v>
          </cell>
          <cell r="AJ17">
            <v>3</v>
          </cell>
          <cell r="AK17" t="str">
            <v>USD</v>
          </cell>
          <cell r="AL17">
            <v>1</v>
          </cell>
          <cell r="AM17" t="str">
            <v>8684127500173</v>
          </cell>
          <cell r="AN17" t="str">
            <v>8684127502542</v>
          </cell>
          <cell r="AO17">
            <v>0</v>
          </cell>
          <cell r="AQ17">
            <v>9.5</v>
          </cell>
          <cell r="AR17" t="str">
            <v>CM</v>
          </cell>
          <cell r="AS17">
            <v>9.5</v>
          </cell>
          <cell r="AT17" t="str">
            <v>CM</v>
          </cell>
          <cell r="AU17">
            <v>34</v>
          </cell>
          <cell r="AW17">
            <v>0</v>
          </cell>
        </row>
        <row r="18">
          <cell r="B18" t="str">
            <v>T1C2JME000L-010</v>
          </cell>
          <cell r="C18" t="str">
            <v>ARENDAL DEKORATİF ESKİTME DUY</v>
          </cell>
          <cell r="D18" t="str">
            <v>ARENDAL DECORATIVE BRUSHED BRASS LAMP HOLDER</v>
          </cell>
          <cell r="E18" t="str">
            <v>METAL YOK ESKİTME YOK</v>
          </cell>
          <cell r="F18" t="str">
            <v>9405.19.90.00.00</v>
          </cell>
          <cell r="G18" t="str">
            <v>ZPARCA</v>
          </cell>
          <cell r="H18" t="str">
            <v>T1A2110104-01</v>
          </cell>
          <cell r="I18" t="str">
            <v>İÇ</v>
          </cell>
          <cell r="J18" t="str">
            <v>ZPARCA</v>
          </cell>
          <cell r="K18" t="str">
            <v>ARENDAL</v>
          </cell>
          <cell r="L18" t="str">
            <v/>
          </cell>
          <cell r="M18" t="str">
            <v/>
          </cell>
          <cell r="N18" t="str">
            <v>ERD-120E</v>
          </cell>
          <cell r="O18" t="str">
            <v>HEKA</v>
          </cell>
          <cell r="P18" t="str">
            <v>ADET</v>
          </cell>
          <cell r="Q18" t="str">
            <v>E27</v>
          </cell>
          <cell r="R18" t="str">
            <v>METAL</v>
          </cell>
          <cell r="S18" t="str">
            <v>ESKİTME</v>
          </cell>
          <cell r="T18" t="str">
            <v>YOK</v>
          </cell>
          <cell r="U18" t="str">
            <v>YOK</v>
          </cell>
          <cell r="AD18" t="str">
            <v>DÜZ</v>
          </cell>
          <cell r="AE18" t="str">
            <v>02</v>
          </cell>
          <cell r="AF18">
            <v>0</v>
          </cell>
          <cell r="AG18" t="str">
            <v>ADET</v>
          </cell>
          <cell r="AH18">
            <v>4.4000000000000004</v>
          </cell>
          <cell r="AI18" t="str">
            <v>TL</v>
          </cell>
          <cell r="AJ18">
            <v>180</v>
          </cell>
          <cell r="AK18" t="str">
            <v>TL</v>
          </cell>
          <cell r="AL18">
            <v>1</v>
          </cell>
          <cell r="AM18" t="str">
            <v>8684127509350</v>
          </cell>
          <cell r="AO18">
            <v>0</v>
          </cell>
          <cell r="AQ18">
            <v>5</v>
          </cell>
          <cell r="AR18" t="str">
            <v>CM</v>
          </cell>
          <cell r="AS18">
            <v>9</v>
          </cell>
          <cell r="AT18" t="str">
            <v>CM</v>
          </cell>
          <cell r="AU18">
            <v>0</v>
          </cell>
          <cell r="AW18">
            <v>0</v>
          </cell>
        </row>
        <row r="19">
          <cell r="B19" t="str">
            <v>H1C2ERLJMER-025</v>
          </cell>
          <cell r="C19" t="str">
            <v>KARATAY BAL RENK CAM SARKIT 25cm</v>
          </cell>
          <cell r="D19" t="str">
            <v>KARATAY AMBER COLOR GLASS PENDANT 25cm</v>
          </cell>
          <cell r="E19" t="str">
            <v xml:space="preserve">CAM  METAL BAL ESKİTME   </v>
          </cell>
          <cell r="F19" t="str">
            <v>9405.19.50.00.19</v>
          </cell>
          <cell r="G19" t="str">
            <v>AVİZE</v>
          </cell>
          <cell r="H19" t="str">
            <v>T1A2231100-25</v>
          </cell>
          <cell r="I19" t="str">
            <v>İÇ</v>
          </cell>
          <cell r="J19" t="str">
            <v>AVİZE.SARK</v>
          </cell>
          <cell r="K19" t="str">
            <v>KARATAY</v>
          </cell>
          <cell r="L19" t="str">
            <v/>
          </cell>
          <cell r="M19" t="str">
            <v/>
          </cell>
          <cell r="N19" t="str">
            <v>MJ-010A-25-A</v>
          </cell>
          <cell r="O19" t="str">
            <v>HEKA</v>
          </cell>
          <cell r="P19" t="str">
            <v>ADET</v>
          </cell>
          <cell r="Q19" t="str">
            <v>E27</v>
          </cell>
          <cell r="R19" t="str">
            <v>CAM</v>
          </cell>
          <cell r="S19" t="str">
            <v>BAL</v>
          </cell>
          <cell r="T19" t="str">
            <v>METAL</v>
          </cell>
          <cell r="U19" t="str">
            <v>ESKİTME</v>
          </cell>
          <cell r="AD19" t="str">
            <v>DAİRE</v>
          </cell>
          <cell r="AE19" t="str">
            <v>01</v>
          </cell>
          <cell r="AF19">
            <v>0</v>
          </cell>
          <cell r="AG19" t="str">
            <v>ADET</v>
          </cell>
          <cell r="AH19">
            <v>31</v>
          </cell>
          <cell r="AI19" t="str">
            <v>CNY</v>
          </cell>
          <cell r="AJ19">
            <v>4450</v>
          </cell>
          <cell r="AK19" t="str">
            <v>TL</v>
          </cell>
          <cell r="AL19">
            <v>1</v>
          </cell>
          <cell r="AM19" t="str">
            <v>8684127502153</v>
          </cell>
          <cell r="AO19">
            <v>0</v>
          </cell>
          <cell r="AQ19">
            <v>45</v>
          </cell>
          <cell r="AR19" t="str">
            <v>CM</v>
          </cell>
          <cell r="AS19">
            <v>25</v>
          </cell>
          <cell r="AT19" t="str">
            <v>CM</v>
          </cell>
          <cell r="AU19">
            <v>0</v>
          </cell>
          <cell r="AW19">
            <v>0</v>
          </cell>
        </row>
        <row r="20">
          <cell r="B20" t="str">
            <v>NGJ16005</v>
          </cell>
          <cell r="C20" t="str">
            <v>*NGJ16005* BETON ABAJUR *12*</v>
          </cell>
          <cell r="D20" t="str">
            <v/>
          </cell>
          <cell r="E20" t="str">
            <v/>
          </cell>
          <cell r="F20" t="str">
            <v/>
          </cell>
          <cell r="G20" t="str">
            <v>MASAABAJ</v>
          </cell>
          <cell r="H20" t="str">
            <v>NGJ16005</v>
          </cell>
          <cell r="I20" t="str">
            <v>İÇ</v>
          </cell>
          <cell r="J20" t="str">
            <v>MASAABAJ</v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>HEKA</v>
          </cell>
          <cell r="P20" t="str">
            <v>ADET</v>
          </cell>
          <cell r="Q20" t="str">
            <v>G9</v>
          </cell>
          <cell r="R20" t="str">
            <v>BETON</v>
          </cell>
          <cell r="S20" t="str">
            <v>GRİ</v>
          </cell>
          <cell r="T20" t="str">
            <v>METAL</v>
          </cell>
          <cell r="U20" t="str">
            <v>ESKİTME</v>
          </cell>
          <cell r="AE20" t="str">
            <v>01</v>
          </cell>
          <cell r="AF20">
            <v>27</v>
          </cell>
          <cell r="AG20" t="str">
            <v>ADET</v>
          </cell>
          <cell r="AH20">
            <v>29</v>
          </cell>
          <cell r="AI20" t="str">
            <v>TL</v>
          </cell>
          <cell r="AJ20">
            <v>2008</v>
          </cell>
          <cell r="AK20" t="str">
            <v>TL</v>
          </cell>
          <cell r="AL20">
            <v>0</v>
          </cell>
          <cell r="AM20" t="str">
            <v>1234567144320</v>
          </cell>
          <cell r="AN20" t="str">
            <v>1234567140551</v>
          </cell>
          <cell r="AO20">
            <v>0</v>
          </cell>
          <cell r="AQ20">
            <v>22</v>
          </cell>
          <cell r="AR20" t="str">
            <v>CM</v>
          </cell>
          <cell r="AS20">
            <v>12.5</v>
          </cell>
          <cell r="AT20" t="str">
            <v>CM</v>
          </cell>
          <cell r="AU20">
            <v>0</v>
          </cell>
          <cell r="AW20">
            <v>0</v>
          </cell>
        </row>
        <row r="21">
          <cell r="B21" t="str">
            <v>TYH001-2</v>
          </cell>
          <cell r="C21" t="str">
            <v xml:space="preserve">*TYH001-2*  MİNA BAL CAM ORTA </v>
          </cell>
          <cell r="D21" t="str">
            <v/>
          </cell>
          <cell r="E21" t="str">
            <v/>
          </cell>
          <cell r="F21" t="str">
            <v/>
          </cell>
          <cell r="G21" t="str">
            <v>ZPARCA</v>
          </cell>
          <cell r="H21" t="str">
            <v>TYH001-2</v>
          </cell>
          <cell r="I21" t="str">
            <v>İÇ</v>
          </cell>
          <cell r="J21" t="str">
            <v>ZPARCA</v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P21" t="str">
            <v>ADET</v>
          </cell>
          <cell r="AF21">
            <v>318</v>
          </cell>
          <cell r="AG21" t="str">
            <v>ADET</v>
          </cell>
          <cell r="AH21">
            <v>22</v>
          </cell>
          <cell r="AI21" t="str">
            <v>TL</v>
          </cell>
          <cell r="AL21">
            <v>0</v>
          </cell>
          <cell r="AM21" t="str">
            <v>1234567144368</v>
          </cell>
          <cell r="AN21" t="str">
            <v>1234567140643</v>
          </cell>
          <cell r="AO21">
            <v>0</v>
          </cell>
          <cell r="AQ21">
            <v>0</v>
          </cell>
          <cell r="AS21">
            <v>0</v>
          </cell>
          <cell r="AU21">
            <v>0</v>
          </cell>
          <cell r="AW21">
            <v>0</v>
          </cell>
        </row>
        <row r="22">
          <cell r="B22" t="str">
            <v>TYH002-1</v>
          </cell>
          <cell r="C22" t="str">
            <v>*TYH002-1*  MİNA FÜME KÜÇÜK CAM</v>
          </cell>
          <cell r="D22" t="str">
            <v/>
          </cell>
          <cell r="E22" t="str">
            <v/>
          </cell>
          <cell r="F22" t="str">
            <v/>
          </cell>
          <cell r="G22" t="str">
            <v>ZPARCA</v>
          </cell>
          <cell r="H22" t="str">
            <v>TYH002-1</v>
          </cell>
          <cell r="I22" t="str">
            <v>İÇ</v>
          </cell>
          <cell r="J22" t="str">
            <v>ZPARCA</v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P22" t="str">
            <v>ADET</v>
          </cell>
          <cell r="AF22">
            <v>85</v>
          </cell>
          <cell r="AG22" t="str">
            <v>ADET</v>
          </cell>
          <cell r="AH22">
            <v>22</v>
          </cell>
          <cell r="AI22" t="str">
            <v>TL</v>
          </cell>
          <cell r="AL22">
            <v>0</v>
          </cell>
          <cell r="AM22" t="str">
            <v>1234567144382</v>
          </cell>
          <cell r="AN22" t="str">
            <v>1234567140667</v>
          </cell>
          <cell r="AO22">
            <v>0</v>
          </cell>
          <cell r="AQ22">
            <v>0</v>
          </cell>
          <cell r="AS22">
            <v>0</v>
          </cell>
          <cell r="AU22">
            <v>0</v>
          </cell>
          <cell r="AW22">
            <v>0</v>
          </cell>
        </row>
        <row r="23">
          <cell r="B23" t="str">
            <v>CF2F1C1M2G3R0</v>
          </cell>
          <cell r="C23" t="str">
            <v>ERD-53 ST64 BAL 8W 2500K E27 LED AMPUL</v>
          </cell>
          <cell r="D23" t="str">
            <v>ERD-53 ST64 AMBER 8W 2500K E27 LED BULB</v>
          </cell>
          <cell r="E23" t="str">
            <v>CAM METAL BAL FLAMENT DIMMSIZ ST64-ARMUT</v>
          </cell>
          <cell r="F23" t="str">
            <v>8539.52.00.00.00</v>
          </cell>
          <cell r="G23" t="str">
            <v>AMPUL</v>
          </cell>
          <cell r="H23" t="str">
            <v>CF21112F30V01</v>
          </cell>
          <cell r="I23" t="str">
            <v>İÇ</v>
          </cell>
          <cell r="J23" t="str">
            <v>AMPUL</v>
          </cell>
          <cell r="K23" t="str">
            <v>ERD-53</v>
          </cell>
          <cell r="L23" t="str">
            <v/>
          </cell>
          <cell r="M23" t="str">
            <v/>
          </cell>
          <cell r="N23" t="str">
            <v>ERD-53</v>
          </cell>
          <cell r="O23" t="str">
            <v>HEKA</v>
          </cell>
          <cell r="P23" t="str">
            <v>ADET</v>
          </cell>
          <cell r="Q23" t="str">
            <v>E27</v>
          </cell>
          <cell r="R23" t="str">
            <v>CAM</v>
          </cell>
          <cell r="S23" t="str">
            <v>BAL</v>
          </cell>
          <cell r="T23" t="str">
            <v>METAL</v>
          </cell>
          <cell r="V23" t="str">
            <v>F</v>
          </cell>
          <cell r="W23" t="str">
            <v>FLAMENT</v>
          </cell>
          <cell r="X23" t="str">
            <v>220V</v>
          </cell>
          <cell r="Y23" t="str">
            <v>8 WATT</v>
          </cell>
          <cell r="Z23" t="str">
            <v>2500 K</v>
          </cell>
          <cell r="AA23" t="str">
            <v>DIMMSIZ</v>
          </cell>
          <cell r="AB23" t="str">
            <v>701-800</v>
          </cell>
          <cell r="AC23" t="str">
            <v>ST64-ARMUT</v>
          </cell>
          <cell r="AD23" t="str">
            <v>N/A</v>
          </cell>
          <cell r="AF23">
            <v>4474</v>
          </cell>
          <cell r="AG23" t="str">
            <v>ADET</v>
          </cell>
          <cell r="AH23">
            <v>0.49</v>
          </cell>
          <cell r="AI23" t="str">
            <v>USD</v>
          </cell>
          <cell r="AJ23">
            <v>2.8</v>
          </cell>
          <cell r="AK23" t="str">
            <v>USD</v>
          </cell>
          <cell r="AL23">
            <v>1</v>
          </cell>
          <cell r="AM23" t="str">
            <v>8684127504133</v>
          </cell>
          <cell r="AN23" t="str">
            <v>8684127500371</v>
          </cell>
          <cell r="AO23">
            <v>0</v>
          </cell>
          <cell r="AQ23">
            <v>6.4</v>
          </cell>
          <cell r="AR23" t="str">
            <v>CM</v>
          </cell>
          <cell r="AS23">
            <v>6.4</v>
          </cell>
          <cell r="AT23" t="str">
            <v>CM</v>
          </cell>
          <cell r="AU23">
            <v>0</v>
          </cell>
          <cell r="AW23">
            <v>0</v>
          </cell>
        </row>
        <row r="24">
          <cell r="B24" t="str">
            <v>ERD-55</v>
          </cell>
          <cell r="C24" t="str">
            <v>*HEKA* UFO BAL 4W E27 2200K LED AMPUL</v>
          </cell>
          <cell r="D24" t="str">
            <v/>
          </cell>
          <cell r="E24" t="str">
            <v/>
          </cell>
          <cell r="F24" t="str">
            <v>853950000000</v>
          </cell>
          <cell r="G24" t="str">
            <v>HEKA LED</v>
          </cell>
          <cell r="H24" t="str">
            <v>ERD-55</v>
          </cell>
          <cell r="I24" t="str">
            <v>HEKA LED</v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>ISHI</v>
          </cell>
          <cell r="P24" t="str">
            <v>ADET</v>
          </cell>
          <cell r="AF24">
            <v>0</v>
          </cell>
          <cell r="AG24" t="str">
            <v>ADET</v>
          </cell>
          <cell r="AH24">
            <v>14</v>
          </cell>
          <cell r="AI24" t="str">
            <v>TL</v>
          </cell>
          <cell r="AL24">
            <v>1</v>
          </cell>
          <cell r="AN24" t="str">
            <v>8699089465113</v>
          </cell>
          <cell r="AO24">
            <v>0</v>
          </cell>
          <cell r="AQ24">
            <v>0</v>
          </cell>
          <cell r="AS24">
            <v>0</v>
          </cell>
          <cell r="AU24">
            <v>0</v>
          </cell>
          <cell r="AW24">
            <v>0</v>
          </cell>
        </row>
        <row r="25">
          <cell r="B25" t="str">
            <v>CK2G1C1M2G2L0</v>
          </cell>
          <cell r="C25" t="str">
            <v>ERD-70 BAL 8W 2200K E27 LED AMPUL</v>
          </cell>
          <cell r="D25" t="str">
            <v>ERD-70 AMBER 8W 2200K E27 LED BULB</v>
          </cell>
          <cell r="E25" t="str">
            <v>CAM METAL BAL FLAMENT DIMMSIZ KARMA</v>
          </cell>
          <cell r="F25" t="str">
            <v>8539.52.00.00.00</v>
          </cell>
          <cell r="G25" t="str">
            <v>AMPUL</v>
          </cell>
          <cell r="H25" t="str">
            <v>CG21112F21T01</v>
          </cell>
          <cell r="I25" t="str">
            <v>İÇ</v>
          </cell>
          <cell r="J25" t="str">
            <v>AMPUL</v>
          </cell>
          <cell r="K25" t="str">
            <v>ERD-70</v>
          </cell>
          <cell r="L25" t="str">
            <v/>
          </cell>
          <cell r="M25" t="str">
            <v/>
          </cell>
          <cell r="N25" t="str">
            <v>ERD-70</v>
          </cell>
          <cell r="O25" t="str">
            <v>HEKA</v>
          </cell>
          <cell r="P25" t="str">
            <v>ADET</v>
          </cell>
          <cell r="Q25" t="str">
            <v>E27</v>
          </cell>
          <cell r="R25" t="str">
            <v>CAM</v>
          </cell>
          <cell r="S25" t="str">
            <v>BAL</v>
          </cell>
          <cell r="T25" t="str">
            <v>METAL</v>
          </cell>
          <cell r="V25" t="str">
            <v>G</v>
          </cell>
          <cell r="W25" t="str">
            <v>FLAMENT</v>
          </cell>
          <cell r="X25" t="str">
            <v>220V</v>
          </cell>
          <cell r="Y25" t="str">
            <v>8 WATT</v>
          </cell>
          <cell r="Z25" t="str">
            <v>2200 K</v>
          </cell>
          <cell r="AA25" t="str">
            <v>DIMMSIZ</v>
          </cell>
          <cell r="AB25" t="str">
            <v>501-600</v>
          </cell>
          <cell r="AC25" t="str">
            <v>KARMA</v>
          </cell>
          <cell r="AD25" t="str">
            <v>N/A</v>
          </cell>
          <cell r="AF25">
            <v>18</v>
          </cell>
          <cell r="AG25" t="str">
            <v>ADET</v>
          </cell>
          <cell r="AH25">
            <v>45</v>
          </cell>
          <cell r="AI25" t="str">
            <v>CNY</v>
          </cell>
          <cell r="AJ25">
            <v>2309</v>
          </cell>
          <cell r="AK25" t="str">
            <v>TL</v>
          </cell>
          <cell r="AL25">
            <v>1</v>
          </cell>
          <cell r="AM25" t="str">
            <v>8684127504256</v>
          </cell>
          <cell r="AN25" t="str">
            <v>8699089465135</v>
          </cell>
          <cell r="AO25">
            <v>0</v>
          </cell>
          <cell r="AQ25">
            <v>18</v>
          </cell>
          <cell r="AR25" t="str">
            <v>CM</v>
          </cell>
          <cell r="AS25">
            <v>18</v>
          </cell>
          <cell r="AT25" t="str">
            <v>CM</v>
          </cell>
          <cell r="AU25">
            <v>0</v>
          </cell>
          <cell r="AW25">
            <v>0</v>
          </cell>
        </row>
        <row r="26">
          <cell r="B26" t="str">
            <v>OLD-008K</v>
          </cell>
          <cell r="C26" t="str">
            <v>*OLD-008* 30 LUK PASLANMAZ KROM RENK *1*</v>
          </cell>
          <cell r="D26" t="str">
            <v/>
          </cell>
          <cell r="E26" t="str">
            <v/>
          </cell>
          <cell r="F26" t="str">
            <v/>
          </cell>
          <cell r="G26" t="str">
            <v>AVİZE</v>
          </cell>
          <cell r="H26" t="str">
            <v>OLD-008K</v>
          </cell>
          <cell r="I26" t="str">
            <v>İÇ</v>
          </cell>
          <cell r="J26" t="str">
            <v>AVİZE.SARK</v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>HEKA</v>
          </cell>
          <cell r="P26" t="str">
            <v>ADET</v>
          </cell>
          <cell r="AF26">
            <v>0</v>
          </cell>
          <cell r="AG26" t="str">
            <v>ADET</v>
          </cell>
          <cell r="AH26">
            <v>72</v>
          </cell>
          <cell r="AI26" t="str">
            <v>TL</v>
          </cell>
          <cell r="AJ26">
            <v>2547</v>
          </cell>
          <cell r="AK26" t="str">
            <v>TL</v>
          </cell>
          <cell r="AL26">
            <v>0</v>
          </cell>
          <cell r="AM26" t="str">
            <v>1234567144818</v>
          </cell>
          <cell r="AN26" t="str">
            <v>1234567142241</v>
          </cell>
          <cell r="AO26">
            <v>0</v>
          </cell>
          <cell r="AQ26">
            <v>0</v>
          </cell>
          <cell r="AS26">
            <v>0</v>
          </cell>
          <cell r="AU26">
            <v>0</v>
          </cell>
          <cell r="AW26">
            <v>0</v>
          </cell>
        </row>
        <row r="27">
          <cell r="B27" t="str">
            <v>CF2E1C3M2E4P0</v>
          </cell>
          <cell r="C27" t="str">
            <v>ERD-85 ST64 ŞEFFAF 6W 2700K E27 LED AMPUL</v>
          </cell>
          <cell r="D27" t="str">
            <v>ERD-85 ST64 CLEAR 6W 2700K E27 LED BULB</v>
          </cell>
          <cell r="E27" t="str">
            <v>CAM METAL ŞEFFAF FLAMENT DIMMSIZ ST64-ARMUT</v>
          </cell>
          <cell r="F27" t="str">
            <v>8539.52.00.00.00</v>
          </cell>
          <cell r="G27" t="str">
            <v>AMPUL</v>
          </cell>
          <cell r="H27" t="str">
            <v>CE21132D40V01</v>
          </cell>
          <cell r="I27" t="str">
            <v>İÇ</v>
          </cell>
          <cell r="J27" t="str">
            <v>AMPUL</v>
          </cell>
          <cell r="K27" t="str">
            <v>ERD-85</v>
          </cell>
          <cell r="L27" t="str">
            <v/>
          </cell>
          <cell r="M27" t="str">
            <v/>
          </cell>
          <cell r="N27" t="str">
            <v>ERD-85</v>
          </cell>
          <cell r="O27" t="str">
            <v>HEKA</v>
          </cell>
          <cell r="P27" t="str">
            <v>ADET</v>
          </cell>
          <cell r="Q27" t="str">
            <v>E27</v>
          </cell>
          <cell r="R27" t="str">
            <v>CAM</v>
          </cell>
          <cell r="S27" t="str">
            <v>ŞEFFAF</v>
          </cell>
          <cell r="T27" t="str">
            <v>METAL</v>
          </cell>
          <cell r="V27" t="str">
            <v>E</v>
          </cell>
          <cell r="W27" t="str">
            <v>FLAMENT</v>
          </cell>
          <cell r="X27" t="str">
            <v>220V</v>
          </cell>
          <cell r="Y27" t="str">
            <v>6 WATT</v>
          </cell>
          <cell r="Z27" t="str">
            <v xml:space="preserve">2700 K </v>
          </cell>
          <cell r="AA27" t="str">
            <v>DIMMSIZ</v>
          </cell>
          <cell r="AB27" t="str">
            <v>601-700</v>
          </cell>
          <cell r="AC27" t="str">
            <v>ST64-ARMUT</v>
          </cell>
          <cell r="AD27" t="str">
            <v>N/A</v>
          </cell>
          <cell r="AF27">
            <v>9152</v>
          </cell>
          <cell r="AG27" t="str">
            <v>ADET</v>
          </cell>
          <cell r="AH27">
            <v>0.46</v>
          </cell>
          <cell r="AI27" t="str">
            <v>USD</v>
          </cell>
          <cell r="AJ27">
            <v>2.5</v>
          </cell>
          <cell r="AK27" t="str">
            <v>USD</v>
          </cell>
          <cell r="AL27">
            <v>1</v>
          </cell>
          <cell r="AM27" t="str">
            <v>8684127504171</v>
          </cell>
          <cell r="AN27" t="str">
            <v>8684127500395</v>
          </cell>
          <cell r="AO27">
            <v>0</v>
          </cell>
          <cell r="AQ27">
            <v>6.4</v>
          </cell>
          <cell r="AR27" t="str">
            <v>CM</v>
          </cell>
          <cell r="AS27">
            <v>6.4</v>
          </cell>
          <cell r="AT27" t="str">
            <v>CM</v>
          </cell>
          <cell r="AU27">
            <v>0</v>
          </cell>
          <cell r="AW27">
            <v>0</v>
          </cell>
        </row>
        <row r="28">
          <cell r="B28" t="str">
            <v>CF2E1C3M2E8P0</v>
          </cell>
          <cell r="C28" t="str">
            <v>ERD-209 ST64 ŞEFFAF 6W 6500K E27 LED AMPUL</v>
          </cell>
          <cell r="D28" t="str">
            <v>ERD-209 ST64 CLEAR 6W 6500K E27 LED BULB</v>
          </cell>
          <cell r="E28" t="str">
            <v>CAM METAL ŞEFFAF FLAMENT DIMMSIZ ST64-ARMUT</v>
          </cell>
          <cell r="F28" t="str">
            <v>8539.52.00.00.00</v>
          </cell>
          <cell r="G28" t="str">
            <v>AMPUL</v>
          </cell>
          <cell r="H28" t="str">
            <v>CE21132D80V03</v>
          </cell>
          <cell r="I28" t="str">
            <v>İÇ</v>
          </cell>
          <cell r="J28" t="str">
            <v>AMPUL</v>
          </cell>
          <cell r="K28" t="str">
            <v>ERD-209</v>
          </cell>
          <cell r="L28" t="str">
            <v/>
          </cell>
          <cell r="M28" t="str">
            <v/>
          </cell>
          <cell r="N28" t="str">
            <v>ERD-209</v>
          </cell>
          <cell r="O28" t="str">
            <v>HEKA</v>
          </cell>
          <cell r="P28" t="str">
            <v>ADET</v>
          </cell>
          <cell r="Q28" t="str">
            <v>E27</v>
          </cell>
          <cell r="R28" t="str">
            <v>CAM</v>
          </cell>
          <cell r="S28" t="str">
            <v>ŞEFFAF</v>
          </cell>
          <cell r="T28" t="str">
            <v>METAL</v>
          </cell>
          <cell r="V28" t="str">
            <v>E</v>
          </cell>
          <cell r="W28" t="str">
            <v>FLAMENT</v>
          </cell>
          <cell r="X28" t="str">
            <v>220V</v>
          </cell>
          <cell r="Y28" t="str">
            <v>6 WATT</v>
          </cell>
          <cell r="Z28" t="str">
            <v>6500 K</v>
          </cell>
          <cell r="AA28" t="str">
            <v>DIMMSIZ</v>
          </cell>
          <cell r="AB28" t="str">
            <v>601-700</v>
          </cell>
          <cell r="AC28" t="str">
            <v>ST64-ARMUT</v>
          </cell>
          <cell r="AD28" t="str">
            <v>N/A</v>
          </cell>
          <cell r="AF28">
            <v>3349</v>
          </cell>
          <cell r="AG28" t="str">
            <v>ADET</v>
          </cell>
          <cell r="AH28">
            <v>0.745</v>
          </cell>
          <cell r="AI28" t="str">
            <v>USD</v>
          </cell>
          <cell r="AJ28">
            <v>2.5</v>
          </cell>
          <cell r="AK28" t="str">
            <v>USD</v>
          </cell>
          <cell r="AL28">
            <v>1</v>
          </cell>
          <cell r="AM28" t="str">
            <v>8684127503860</v>
          </cell>
          <cell r="AN28" t="str">
            <v>8684127500258</v>
          </cell>
          <cell r="AO28">
            <v>0</v>
          </cell>
          <cell r="AQ28">
            <v>6.4</v>
          </cell>
          <cell r="AR28" t="str">
            <v>CM</v>
          </cell>
          <cell r="AS28">
            <v>6.4</v>
          </cell>
          <cell r="AT28" t="str">
            <v>CM</v>
          </cell>
          <cell r="AU28">
            <v>0</v>
          </cell>
          <cell r="AW28">
            <v>0</v>
          </cell>
        </row>
        <row r="29">
          <cell r="B29" t="str">
            <v>T1C2JMG000L-008</v>
          </cell>
          <cell r="C29" t="str">
            <v>ANDORRA DEKORATİF ALTIN DUY</v>
          </cell>
          <cell r="D29" t="str">
            <v>ANDORRA DECORATIVE GOLD LAMP HOLDER</v>
          </cell>
          <cell r="E29" t="str">
            <v>METAL YOK GOLD YOK</v>
          </cell>
          <cell r="F29" t="str">
            <v>9405.19.90.00.00</v>
          </cell>
          <cell r="G29" t="str">
            <v>ZPARCA</v>
          </cell>
          <cell r="H29" t="str">
            <v>T1A2120001-01</v>
          </cell>
          <cell r="I29" t="str">
            <v>İÇ</v>
          </cell>
          <cell r="J29" t="str">
            <v>ZPARCA</v>
          </cell>
          <cell r="K29" t="str">
            <v>ANDORRA</v>
          </cell>
          <cell r="L29" t="str">
            <v/>
          </cell>
          <cell r="M29" t="str">
            <v/>
          </cell>
          <cell r="N29" t="str">
            <v>ERD-119G</v>
          </cell>
          <cell r="O29" t="str">
            <v>HEKA</v>
          </cell>
          <cell r="P29" t="str">
            <v>ADET</v>
          </cell>
          <cell r="Q29" t="str">
            <v>E27</v>
          </cell>
          <cell r="R29" t="str">
            <v>METAL</v>
          </cell>
          <cell r="S29" t="str">
            <v>GOLD</v>
          </cell>
          <cell r="T29" t="str">
            <v>YOK</v>
          </cell>
          <cell r="U29" t="str">
            <v>YOK</v>
          </cell>
          <cell r="AD29" t="str">
            <v>DÜZ</v>
          </cell>
          <cell r="AE29" t="str">
            <v>02</v>
          </cell>
          <cell r="AF29">
            <v>0</v>
          </cell>
          <cell r="AG29" t="str">
            <v>ADET</v>
          </cell>
          <cell r="AJ29">
            <v>150</v>
          </cell>
          <cell r="AK29" t="str">
            <v>TL</v>
          </cell>
          <cell r="AL29">
            <v>1</v>
          </cell>
          <cell r="AM29" t="str">
            <v>8684127509329</v>
          </cell>
          <cell r="AO29">
            <v>0</v>
          </cell>
          <cell r="AQ29">
            <v>5</v>
          </cell>
          <cell r="AR29" t="str">
            <v>CM</v>
          </cell>
          <cell r="AS29">
            <v>7.5</v>
          </cell>
          <cell r="AT29" t="str">
            <v>CM</v>
          </cell>
          <cell r="AU29">
            <v>0</v>
          </cell>
          <cell r="AW29">
            <v>0</v>
          </cell>
        </row>
        <row r="30">
          <cell r="B30" t="str">
            <v>CL2F1C1M2G3R0</v>
          </cell>
          <cell r="C30" t="str">
            <v>ERD-38-T30 300 BAL 8W 2500K E27 LED AMPUL</v>
          </cell>
          <cell r="D30" t="str">
            <v>ERD-38 T30-300 AMBER 8W 2500K E27 LED BULB</v>
          </cell>
          <cell r="E30" t="str">
            <v>CAM METAL BAL FLAMENT DIMMSIZ T30-TÜP</v>
          </cell>
          <cell r="F30" t="str">
            <v>8539.52.00.00.00</v>
          </cell>
          <cell r="G30" t="str">
            <v>AMPUL</v>
          </cell>
          <cell r="H30" t="str">
            <v>CF21112F30V02</v>
          </cell>
          <cell r="I30" t="str">
            <v>İÇ</v>
          </cell>
          <cell r="J30" t="str">
            <v>AMPUL</v>
          </cell>
          <cell r="K30" t="str">
            <v>ERD-38</v>
          </cell>
          <cell r="L30" t="str">
            <v/>
          </cell>
          <cell r="M30" t="str">
            <v/>
          </cell>
          <cell r="N30" t="str">
            <v>ERD-38</v>
          </cell>
          <cell r="O30" t="str">
            <v>HEKA</v>
          </cell>
          <cell r="P30" t="str">
            <v>ADET</v>
          </cell>
          <cell r="Q30" t="str">
            <v>E27</v>
          </cell>
          <cell r="R30" t="str">
            <v>CAM</v>
          </cell>
          <cell r="S30" t="str">
            <v>BAL</v>
          </cell>
          <cell r="T30" t="str">
            <v>METAL</v>
          </cell>
          <cell r="V30" t="str">
            <v>F</v>
          </cell>
          <cell r="W30" t="str">
            <v>FLAMENT</v>
          </cell>
          <cell r="X30" t="str">
            <v>220V</v>
          </cell>
          <cell r="Y30" t="str">
            <v>8 WATT</v>
          </cell>
          <cell r="Z30" t="str">
            <v>2500 K</v>
          </cell>
          <cell r="AA30" t="str">
            <v>DIMMSIZ</v>
          </cell>
          <cell r="AB30" t="str">
            <v>701-800</v>
          </cell>
          <cell r="AC30" t="str">
            <v>T30-TÜP</v>
          </cell>
          <cell r="AD30" t="str">
            <v>N/A</v>
          </cell>
          <cell r="AF30">
            <v>7613</v>
          </cell>
          <cell r="AG30" t="str">
            <v>ADET</v>
          </cell>
          <cell r="AH30">
            <v>1.2390000000000001</v>
          </cell>
          <cell r="AI30" t="str">
            <v>USD</v>
          </cell>
          <cell r="AJ30">
            <v>6.2</v>
          </cell>
          <cell r="AK30" t="str">
            <v>USD</v>
          </cell>
          <cell r="AL30">
            <v>2</v>
          </cell>
          <cell r="AM30" t="str">
            <v>8684127504072</v>
          </cell>
          <cell r="AN30" t="str">
            <v>8684127500579</v>
          </cell>
          <cell r="AO30">
            <v>0</v>
          </cell>
          <cell r="AQ30">
            <v>3</v>
          </cell>
          <cell r="AR30" t="str">
            <v>CM</v>
          </cell>
          <cell r="AS30">
            <v>3</v>
          </cell>
          <cell r="AT30" t="str">
            <v>CM</v>
          </cell>
          <cell r="AU30">
            <v>0</v>
          </cell>
          <cell r="AW30">
            <v>0</v>
          </cell>
        </row>
        <row r="31">
          <cell r="B31" t="str">
            <v>H1C2ERFJMER-025</v>
          </cell>
          <cell r="C31" t="str">
            <v>KARATAY FÜME CAM SARKIT 25cm</v>
          </cell>
          <cell r="D31" t="str">
            <v>KARATAY SMOKY COLOR GLASS PENDANT 25cm</v>
          </cell>
          <cell r="E31" t="str">
            <v xml:space="preserve">CAM  METAL FÜME ESKİTME   </v>
          </cell>
          <cell r="F31" t="str">
            <v>9405.19.50.00.19</v>
          </cell>
          <cell r="G31" t="str">
            <v>AVİZE</v>
          </cell>
          <cell r="H31" t="str">
            <v>T1A2221100-25</v>
          </cell>
          <cell r="I31" t="str">
            <v>İÇ</v>
          </cell>
          <cell r="J31" t="str">
            <v>AVİZE.SARK</v>
          </cell>
          <cell r="K31" t="str">
            <v>KARATAY</v>
          </cell>
          <cell r="L31" t="str">
            <v/>
          </cell>
          <cell r="M31" t="str">
            <v/>
          </cell>
          <cell r="N31" t="str">
            <v>MJ-010B-25-S</v>
          </cell>
          <cell r="O31" t="str">
            <v>HEKA</v>
          </cell>
          <cell r="P31" t="str">
            <v>ADET</v>
          </cell>
          <cell r="Q31" t="str">
            <v>E27</v>
          </cell>
          <cell r="R31" t="str">
            <v>CAM</v>
          </cell>
          <cell r="S31" t="str">
            <v>FÜME</v>
          </cell>
          <cell r="T31" t="str">
            <v>METAL</v>
          </cell>
          <cell r="U31" t="str">
            <v>ESKİTME</v>
          </cell>
          <cell r="AD31" t="str">
            <v>DAİRE</v>
          </cell>
          <cell r="AE31" t="str">
            <v>01</v>
          </cell>
          <cell r="AF31">
            <v>15</v>
          </cell>
          <cell r="AG31" t="str">
            <v>ADET</v>
          </cell>
          <cell r="AH31">
            <v>31</v>
          </cell>
          <cell r="AI31" t="str">
            <v>CNY</v>
          </cell>
          <cell r="AJ31">
            <v>4450</v>
          </cell>
          <cell r="AK31" t="str">
            <v>TL</v>
          </cell>
          <cell r="AL31">
            <v>1</v>
          </cell>
          <cell r="AM31" t="str">
            <v>8684127502160</v>
          </cell>
          <cell r="AO31">
            <v>0</v>
          </cell>
          <cell r="AQ31">
            <v>45</v>
          </cell>
          <cell r="AR31" t="str">
            <v>CM</v>
          </cell>
          <cell r="AS31">
            <v>25</v>
          </cell>
          <cell r="AT31" t="str">
            <v>CM</v>
          </cell>
          <cell r="AU31">
            <v>0</v>
          </cell>
          <cell r="AW31">
            <v>0</v>
          </cell>
        </row>
        <row r="32">
          <cell r="B32" t="str">
            <v>T1A4200002K01</v>
          </cell>
          <cell r="C32" t="str">
            <v>*OLD-001* 25 LİK PASLANMAZ SARI RENK *1*</v>
          </cell>
          <cell r="D32" t="str">
            <v/>
          </cell>
          <cell r="E32" t="str">
            <v/>
          </cell>
          <cell r="F32" t="str">
            <v/>
          </cell>
          <cell r="G32" t="str">
            <v>AVİZE</v>
          </cell>
          <cell r="H32" t="str">
            <v>T1A4200002K01</v>
          </cell>
          <cell r="I32" t="str">
            <v>İÇ</v>
          </cell>
          <cell r="J32" t="str">
            <v>AVİZE.SARK</v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P32" t="str">
            <v>ADET</v>
          </cell>
          <cell r="AF32">
            <v>0</v>
          </cell>
          <cell r="AG32" t="str">
            <v>ADET</v>
          </cell>
          <cell r="AH32">
            <v>78</v>
          </cell>
          <cell r="AI32" t="str">
            <v>TL</v>
          </cell>
          <cell r="AJ32">
            <v>960</v>
          </cell>
          <cell r="AK32" t="str">
            <v>TL</v>
          </cell>
          <cell r="AL32">
            <v>1</v>
          </cell>
          <cell r="AM32" t="str">
            <v>1234567144184</v>
          </cell>
          <cell r="AN32" t="str">
            <v>1234567140087</v>
          </cell>
          <cell r="AO32">
            <v>0</v>
          </cell>
          <cell r="AQ32">
            <v>0</v>
          </cell>
          <cell r="AS32">
            <v>0</v>
          </cell>
          <cell r="AU32">
            <v>0</v>
          </cell>
          <cell r="AW32">
            <v>0</v>
          </cell>
        </row>
        <row r="33">
          <cell r="B33" t="str">
            <v>NGJ16002</v>
          </cell>
          <cell r="C33" t="str">
            <v>*NGJ16002* BETON ABAJUR *6*</v>
          </cell>
          <cell r="D33" t="str">
            <v/>
          </cell>
          <cell r="E33" t="str">
            <v/>
          </cell>
          <cell r="F33" t="str">
            <v/>
          </cell>
          <cell r="G33" t="str">
            <v>MASAABAJ</v>
          </cell>
          <cell r="H33" t="str">
            <v>NGJ16002</v>
          </cell>
          <cell r="I33" t="str">
            <v>İÇ</v>
          </cell>
          <cell r="J33" t="str">
            <v>MASAABAJ</v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>HEKA</v>
          </cell>
          <cell r="P33" t="str">
            <v>ADET</v>
          </cell>
          <cell r="Q33" t="str">
            <v>G9</v>
          </cell>
          <cell r="R33" t="str">
            <v>BETON</v>
          </cell>
          <cell r="S33" t="str">
            <v>GRİ</v>
          </cell>
          <cell r="T33" t="str">
            <v>METAL</v>
          </cell>
          <cell r="U33" t="str">
            <v>ESKİTME</v>
          </cell>
          <cell r="AE33" t="str">
            <v>01</v>
          </cell>
          <cell r="AF33">
            <v>15</v>
          </cell>
          <cell r="AG33" t="str">
            <v>ADET</v>
          </cell>
          <cell r="AH33">
            <v>27.5</v>
          </cell>
          <cell r="AI33" t="str">
            <v>TL</v>
          </cell>
          <cell r="AJ33">
            <v>1369</v>
          </cell>
          <cell r="AK33" t="str">
            <v>TL</v>
          </cell>
          <cell r="AL33">
            <v>0</v>
          </cell>
          <cell r="AM33" t="str">
            <v>1234567144290</v>
          </cell>
          <cell r="AO33">
            <v>0</v>
          </cell>
          <cell r="AQ33">
            <v>24</v>
          </cell>
          <cell r="AR33" t="str">
            <v>CM</v>
          </cell>
          <cell r="AS33">
            <v>11</v>
          </cell>
          <cell r="AT33" t="str">
            <v>CM</v>
          </cell>
          <cell r="AU33">
            <v>0</v>
          </cell>
          <cell r="AW33">
            <v>0</v>
          </cell>
        </row>
        <row r="34">
          <cell r="B34" t="str">
            <v>TYH002-2</v>
          </cell>
          <cell r="C34" t="str">
            <v>*TYH002-2* MİNA FÜME ORTA CAM</v>
          </cell>
          <cell r="D34" t="str">
            <v/>
          </cell>
          <cell r="E34" t="str">
            <v/>
          </cell>
          <cell r="F34" t="str">
            <v/>
          </cell>
          <cell r="G34" t="str">
            <v>ZPARCA</v>
          </cell>
          <cell r="H34" t="str">
            <v>TYH002-2</v>
          </cell>
          <cell r="I34" t="str">
            <v>İÇ</v>
          </cell>
          <cell r="J34" t="str">
            <v>ZPARCA</v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P34" t="str">
            <v>ADET</v>
          </cell>
          <cell r="AF34">
            <v>64</v>
          </cell>
          <cell r="AG34" t="str">
            <v>ADET</v>
          </cell>
          <cell r="AH34">
            <v>22</v>
          </cell>
          <cell r="AI34" t="str">
            <v>TL</v>
          </cell>
          <cell r="AL34">
            <v>0</v>
          </cell>
          <cell r="AM34" t="str">
            <v>1234567144399</v>
          </cell>
          <cell r="AN34" t="str">
            <v>1234567140674</v>
          </cell>
          <cell r="AO34">
            <v>0</v>
          </cell>
          <cell r="AQ34">
            <v>0</v>
          </cell>
          <cell r="AS34">
            <v>0</v>
          </cell>
          <cell r="AU34">
            <v>0</v>
          </cell>
          <cell r="AW34">
            <v>0</v>
          </cell>
        </row>
        <row r="35">
          <cell r="B35" t="str">
            <v>CC1E1C3M2A4C0</v>
          </cell>
          <cell r="C35" t="str">
            <v>ERD-69 ST26 ŞEFFAF 2W 2700K E14 LED AMPUL</v>
          </cell>
          <cell r="D35" t="str">
            <v>ERD-69 ST26 CLEAR 2W 2700K E14 LED BULB</v>
          </cell>
          <cell r="E35" t="str">
            <v>CAM METAL ŞEFFAF FLAMENT DIMMSIZ ST26</v>
          </cell>
          <cell r="F35" t="str">
            <v>8539.52.00.00.00</v>
          </cell>
          <cell r="G35" t="str">
            <v>AMPUL</v>
          </cell>
          <cell r="H35" t="str">
            <v>CE11132A40000</v>
          </cell>
          <cell r="I35" t="str">
            <v>İÇ</v>
          </cell>
          <cell r="J35" t="str">
            <v>AMPUL</v>
          </cell>
          <cell r="K35" t="str">
            <v>ERD-69</v>
          </cell>
          <cell r="L35" t="str">
            <v/>
          </cell>
          <cell r="M35" t="str">
            <v/>
          </cell>
          <cell r="N35" t="str">
            <v>ERD-69</v>
          </cell>
          <cell r="O35" t="str">
            <v>HEKA</v>
          </cell>
          <cell r="P35" t="str">
            <v>ADET</v>
          </cell>
          <cell r="Q35" t="str">
            <v>E14</v>
          </cell>
          <cell r="R35" t="str">
            <v>CAM</v>
          </cell>
          <cell r="S35" t="str">
            <v>ŞEFFAF</v>
          </cell>
          <cell r="T35" t="str">
            <v>METAL</v>
          </cell>
          <cell r="V35" t="str">
            <v>E</v>
          </cell>
          <cell r="W35" t="str">
            <v>FLAMENT</v>
          </cell>
          <cell r="X35" t="str">
            <v>220V</v>
          </cell>
          <cell r="Y35" t="str">
            <v>2 WATT</v>
          </cell>
          <cell r="Z35" t="str">
            <v xml:space="preserve">2700 K </v>
          </cell>
          <cell r="AA35" t="str">
            <v>DIMMSIZ</v>
          </cell>
          <cell r="AB35" t="str">
            <v>201-300</v>
          </cell>
          <cell r="AC35" t="str">
            <v>ST26</v>
          </cell>
          <cell r="AD35" t="str">
            <v>N/A</v>
          </cell>
          <cell r="AF35">
            <v>47905</v>
          </cell>
          <cell r="AG35" t="str">
            <v>ADET</v>
          </cell>
          <cell r="AH35">
            <v>0.39400000000000002</v>
          </cell>
          <cell r="AI35" t="str">
            <v>USD</v>
          </cell>
          <cell r="AJ35">
            <v>2.2000000000000002</v>
          </cell>
          <cell r="AK35" t="str">
            <v>USD</v>
          </cell>
          <cell r="AL35">
            <v>1</v>
          </cell>
          <cell r="AM35" t="str">
            <v>8684127504140</v>
          </cell>
          <cell r="AN35" t="str">
            <v>8684127500548</v>
          </cell>
          <cell r="AO35">
            <v>0</v>
          </cell>
          <cell r="AQ35">
            <v>2</v>
          </cell>
          <cell r="AR35" t="str">
            <v>CM</v>
          </cell>
          <cell r="AS35">
            <v>2</v>
          </cell>
          <cell r="AT35" t="str">
            <v>CM</v>
          </cell>
          <cell r="AU35">
            <v>0</v>
          </cell>
          <cell r="AW35">
            <v>0</v>
          </cell>
        </row>
        <row r="36">
          <cell r="B36" t="str">
            <v>T1C6JMBLCSL-100</v>
          </cell>
          <cell r="C36" t="str">
            <v>PAPUA LINEAR BAKIR SARKIT 100cm</v>
          </cell>
          <cell r="D36" t="str">
            <v>PAPUA LINEAR COPPER PENDANT 100cm</v>
          </cell>
          <cell r="E36" t="str">
            <v>METAL PLEKSİ BAKIR ŞEFFAF</v>
          </cell>
          <cell r="F36" t="str">
            <v>9405.11.90.00.00</v>
          </cell>
          <cell r="G36" t="str">
            <v>AVİZE</v>
          </cell>
          <cell r="H36" t="str">
            <v>AD110</v>
          </cell>
          <cell r="I36" t="str">
            <v>İÇ</v>
          </cell>
          <cell r="J36" t="str">
            <v>AVİZE.SARK</v>
          </cell>
          <cell r="K36" t="str">
            <v>PAPUA</v>
          </cell>
          <cell r="L36" t="str">
            <v/>
          </cell>
          <cell r="M36" t="str">
            <v/>
          </cell>
          <cell r="N36" t="str">
            <v>AD110B</v>
          </cell>
          <cell r="O36" t="str">
            <v>HEKA</v>
          </cell>
          <cell r="P36" t="str">
            <v>ADET</v>
          </cell>
          <cell r="Q36" t="str">
            <v>LED</v>
          </cell>
          <cell r="R36" t="str">
            <v>METAL</v>
          </cell>
          <cell r="S36" t="str">
            <v>BAKIR</v>
          </cell>
          <cell r="T36" t="str">
            <v>PLEKSİ</v>
          </cell>
          <cell r="U36" t="str">
            <v>ŞEFFAF</v>
          </cell>
          <cell r="AD36" t="str">
            <v>DÜZ</v>
          </cell>
          <cell r="AE36" t="str">
            <v>02</v>
          </cell>
          <cell r="AF36">
            <v>3</v>
          </cell>
          <cell r="AG36" t="str">
            <v>ADET</v>
          </cell>
          <cell r="AH36">
            <v>49</v>
          </cell>
          <cell r="AI36" t="str">
            <v>TL</v>
          </cell>
          <cell r="AJ36">
            <v>1000</v>
          </cell>
          <cell r="AK36" t="str">
            <v>TL</v>
          </cell>
          <cell r="AL36">
            <v>1</v>
          </cell>
          <cell r="AM36" t="str">
            <v>8684127505741</v>
          </cell>
          <cell r="AO36">
            <v>0</v>
          </cell>
          <cell r="AQ36">
            <v>0</v>
          </cell>
          <cell r="AR36" t="str">
            <v>CM</v>
          </cell>
          <cell r="AS36">
            <v>100</v>
          </cell>
          <cell r="AT36" t="str">
            <v>CM</v>
          </cell>
          <cell r="AU36">
            <v>0</v>
          </cell>
          <cell r="AW36">
            <v>0</v>
          </cell>
        </row>
        <row r="37">
          <cell r="B37" t="str">
            <v>CE2F1C1M2E3M0</v>
          </cell>
          <cell r="C37" t="str">
            <v>ERD-82 G95 BAL 6W 2500K E27 LED AMPUL</v>
          </cell>
          <cell r="D37" t="str">
            <v>ERD-82 G95 AMBER 6W 2500K E27 LED BULB</v>
          </cell>
          <cell r="E37" t="str">
            <v>CAM METAL BAL FLAMENT DIMMSIZ G95-TOP</v>
          </cell>
          <cell r="F37" t="str">
            <v>8539.52.00.00.00</v>
          </cell>
          <cell r="G37" t="str">
            <v>AMPUL</v>
          </cell>
          <cell r="H37" t="str">
            <v>CF21112D30V03</v>
          </cell>
          <cell r="I37" t="str">
            <v>İÇ</v>
          </cell>
          <cell r="J37" t="str">
            <v>AMPUL</v>
          </cell>
          <cell r="K37" t="str">
            <v>ERD-82</v>
          </cell>
          <cell r="L37" t="str">
            <v/>
          </cell>
          <cell r="M37" t="str">
            <v>28.02.2026</v>
          </cell>
          <cell r="N37" t="str">
            <v>ERD-82</v>
          </cell>
          <cell r="O37" t="str">
            <v>HEKA</v>
          </cell>
          <cell r="P37" t="str">
            <v>ADET</v>
          </cell>
          <cell r="Q37" t="str">
            <v>E27</v>
          </cell>
          <cell r="R37" t="str">
            <v>CAM</v>
          </cell>
          <cell r="S37" t="str">
            <v>BAL</v>
          </cell>
          <cell r="T37" t="str">
            <v>METAL</v>
          </cell>
          <cell r="V37" t="str">
            <v>F</v>
          </cell>
          <cell r="W37" t="str">
            <v>FLAMENT</v>
          </cell>
          <cell r="X37" t="str">
            <v>220V</v>
          </cell>
          <cell r="Y37" t="str">
            <v>6 WATT</v>
          </cell>
          <cell r="Z37" t="str">
            <v>2500 K</v>
          </cell>
          <cell r="AA37" t="str">
            <v>DIMMSIZ</v>
          </cell>
          <cell r="AB37" t="str">
            <v>501-600</v>
          </cell>
          <cell r="AC37" t="str">
            <v>G95-TOP</v>
          </cell>
          <cell r="AD37" t="str">
            <v>N/A</v>
          </cell>
          <cell r="AF37">
            <v>135</v>
          </cell>
          <cell r="AG37" t="str">
            <v>ADET</v>
          </cell>
          <cell r="AH37">
            <v>0.69499999999999995</v>
          </cell>
          <cell r="AI37" t="str">
            <v>USD</v>
          </cell>
          <cell r="AJ37">
            <v>3.6</v>
          </cell>
          <cell r="AK37" t="str">
            <v>USD</v>
          </cell>
          <cell r="AL37">
            <v>1</v>
          </cell>
          <cell r="AM37" t="str">
            <v>8684127504164</v>
          </cell>
          <cell r="AN37" t="str">
            <v>8684127500487</v>
          </cell>
          <cell r="AO37">
            <v>0</v>
          </cell>
          <cell r="AQ37">
            <v>9.5</v>
          </cell>
          <cell r="AR37" t="str">
            <v>CM</v>
          </cell>
          <cell r="AS37">
            <v>9.5</v>
          </cell>
          <cell r="AT37" t="str">
            <v>CM</v>
          </cell>
          <cell r="AU37">
            <v>0</v>
          </cell>
          <cell r="AW37">
            <v>0</v>
          </cell>
        </row>
        <row r="38">
          <cell r="B38" t="str">
            <v>CA2E1C3M2E8P0</v>
          </cell>
          <cell r="C38" t="str">
            <v>ERD-96 A60 ŞEFFAF 6W 6500K E27 LED AMPUL</v>
          </cell>
          <cell r="D38" t="str">
            <v>ERD-96 A60 CLEAR 6W 6500K E27 LED BULB</v>
          </cell>
          <cell r="E38" t="str">
            <v>CAM METAL ŞEFFAF FLAMENT DIMMSIZ A60</v>
          </cell>
          <cell r="F38" t="str">
            <v>8539.52.00.00.00</v>
          </cell>
          <cell r="G38" t="str">
            <v>AMPUL</v>
          </cell>
          <cell r="H38" t="str">
            <v>CE21132D80000</v>
          </cell>
          <cell r="I38" t="str">
            <v>İÇ</v>
          </cell>
          <cell r="J38" t="str">
            <v>AMPUL</v>
          </cell>
          <cell r="K38" t="str">
            <v>ERD-96</v>
          </cell>
          <cell r="L38" t="str">
            <v/>
          </cell>
          <cell r="M38" t="str">
            <v>30.01.2026</v>
          </cell>
          <cell r="N38" t="str">
            <v>ERD-96</v>
          </cell>
          <cell r="O38" t="str">
            <v>HEKA</v>
          </cell>
          <cell r="P38" t="str">
            <v>ADET</v>
          </cell>
          <cell r="Q38" t="str">
            <v>E27</v>
          </cell>
          <cell r="R38" t="str">
            <v>CAM</v>
          </cell>
          <cell r="S38" t="str">
            <v>ŞEFFAF</v>
          </cell>
          <cell r="T38" t="str">
            <v>METAL</v>
          </cell>
          <cell r="V38" t="str">
            <v>E</v>
          </cell>
          <cell r="W38" t="str">
            <v>FLAMENT</v>
          </cell>
          <cell r="X38" t="str">
            <v>220V</v>
          </cell>
          <cell r="Y38" t="str">
            <v>6 WATT</v>
          </cell>
          <cell r="Z38" t="str">
            <v>6500 K</v>
          </cell>
          <cell r="AA38" t="str">
            <v>DIMMSIZ</v>
          </cell>
          <cell r="AB38" t="str">
            <v>601-700</v>
          </cell>
          <cell r="AC38" t="str">
            <v>A60</v>
          </cell>
          <cell r="AD38" t="str">
            <v>N/A</v>
          </cell>
          <cell r="AF38">
            <v>85</v>
          </cell>
          <cell r="AG38" t="str">
            <v>ADET</v>
          </cell>
          <cell r="AH38">
            <v>0.36</v>
          </cell>
          <cell r="AI38" t="str">
            <v>USD</v>
          </cell>
          <cell r="AJ38">
            <v>1.9</v>
          </cell>
          <cell r="AK38" t="str">
            <v>USD</v>
          </cell>
          <cell r="AL38">
            <v>1</v>
          </cell>
          <cell r="AM38" t="str">
            <v>8684127500074</v>
          </cell>
          <cell r="AN38" t="str">
            <v>8684127500685</v>
          </cell>
          <cell r="AO38">
            <v>0</v>
          </cell>
          <cell r="AQ38">
            <v>6</v>
          </cell>
          <cell r="AR38" t="str">
            <v>CM</v>
          </cell>
          <cell r="AS38">
            <v>6</v>
          </cell>
          <cell r="AT38" t="str">
            <v>CM</v>
          </cell>
          <cell r="AU38">
            <v>0</v>
          </cell>
          <cell r="AW38">
            <v>0</v>
          </cell>
        </row>
        <row r="39">
          <cell r="B39" t="str">
            <v>CD1D1C302E8I0</v>
          </cell>
          <cell r="C39" t="str">
            <v>ERD-93 C35 ŞEFFAF 6W DÜZ 6500K E14 LED AMPUL</v>
          </cell>
          <cell r="D39" t="str">
            <v>ERD-93 C35 CLEAR 6W CANDLE 6500K E14 LED BULB</v>
          </cell>
          <cell r="E39" t="str">
            <v>CAM METAL ŞEFFAF FLAMENT DIMMSIZ C35 - DÜZ</v>
          </cell>
          <cell r="F39" t="str">
            <v>8539.52.00.00.00</v>
          </cell>
          <cell r="G39" t="str">
            <v>AMPUL</v>
          </cell>
          <cell r="H39" t="str">
            <v>CE11132D80000</v>
          </cell>
          <cell r="I39" t="str">
            <v>İÇ</v>
          </cell>
          <cell r="J39" t="str">
            <v>AMPUL</v>
          </cell>
          <cell r="K39" t="str">
            <v>ERD-93</v>
          </cell>
          <cell r="L39" t="str">
            <v/>
          </cell>
          <cell r="M39" t="str">
            <v>30.01.2026</v>
          </cell>
          <cell r="N39" t="str">
            <v>ERD-93</v>
          </cell>
          <cell r="O39" t="str">
            <v>HEKA</v>
          </cell>
          <cell r="P39" t="str">
            <v>ADET</v>
          </cell>
          <cell r="Q39" t="str">
            <v>E14</v>
          </cell>
          <cell r="R39" t="str">
            <v>CAM</v>
          </cell>
          <cell r="S39" t="str">
            <v>ŞEFFAF</v>
          </cell>
          <cell r="T39" t="str">
            <v>METAL</v>
          </cell>
          <cell r="V39" t="str">
            <v>D</v>
          </cell>
          <cell r="W39" t="str">
            <v>FLAMENT</v>
          </cell>
          <cell r="X39" t="str">
            <v>220V</v>
          </cell>
          <cell r="Y39" t="str">
            <v>6 WATT</v>
          </cell>
          <cell r="Z39" t="str">
            <v>6500 K</v>
          </cell>
          <cell r="AA39" t="str">
            <v>DIMMSIZ</v>
          </cell>
          <cell r="AB39" t="str">
            <v>801-900</v>
          </cell>
          <cell r="AC39" t="str">
            <v>C35 - DÜZ</v>
          </cell>
          <cell r="AD39" t="str">
            <v>N/A</v>
          </cell>
          <cell r="AF39">
            <v>66</v>
          </cell>
          <cell r="AG39" t="str">
            <v>ADET</v>
          </cell>
          <cell r="AH39">
            <v>14.5</v>
          </cell>
          <cell r="AI39" t="str">
            <v>TL</v>
          </cell>
          <cell r="AJ39">
            <v>1.7</v>
          </cell>
          <cell r="AK39" t="str">
            <v>USD</v>
          </cell>
          <cell r="AL39">
            <v>1</v>
          </cell>
          <cell r="AM39" t="str">
            <v>8684127519168</v>
          </cell>
          <cell r="AN39" t="str">
            <v>8684127519175</v>
          </cell>
          <cell r="AO39">
            <v>0</v>
          </cell>
          <cell r="AQ39">
            <v>3.5</v>
          </cell>
          <cell r="AR39" t="str">
            <v>CM</v>
          </cell>
          <cell r="AS39">
            <v>3.5</v>
          </cell>
          <cell r="AT39" t="str">
            <v>CM</v>
          </cell>
          <cell r="AU39">
            <v>0</v>
          </cell>
          <cell r="AW39">
            <v>0</v>
          </cell>
        </row>
        <row r="40">
          <cell r="B40" t="str">
            <v>H1C2JMEECTR-025</v>
          </cell>
          <cell r="C40" t="str">
            <v>HUDAT SIVAMA ESKİTME SARKIT 25cm</v>
          </cell>
          <cell r="D40" t="str">
            <v>HUDAT BURSHED BRASS PENDANT 25cm</v>
          </cell>
          <cell r="E40" t="str">
            <v>METAL CAM ESKİTME SOFT</v>
          </cell>
          <cell r="F40" t="str">
            <v>9405.19.90.00.00</v>
          </cell>
          <cell r="G40" t="str">
            <v>AVİZE</v>
          </cell>
          <cell r="H40" t="str">
            <v>H1A2112101-25</v>
          </cell>
          <cell r="I40" t="str">
            <v>İÇ</v>
          </cell>
          <cell r="J40" t="str">
            <v>AVİZE.SARK</v>
          </cell>
          <cell r="K40" t="str">
            <v>HUDAT</v>
          </cell>
          <cell r="L40" t="str">
            <v/>
          </cell>
          <cell r="M40" t="str">
            <v/>
          </cell>
          <cell r="N40" t="str">
            <v/>
          </cell>
          <cell r="O40" t="str">
            <v>HEKA</v>
          </cell>
          <cell r="P40" t="str">
            <v>ADET</v>
          </cell>
          <cell r="Q40" t="str">
            <v>E27</v>
          </cell>
          <cell r="R40" t="str">
            <v>METAL</v>
          </cell>
          <cell r="S40" t="str">
            <v>ESKİTME</v>
          </cell>
          <cell r="T40" t="str">
            <v>CAM</v>
          </cell>
          <cell r="U40" t="str">
            <v>SOFT</v>
          </cell>
          <cell r="AD40" t="str">
            <v>DAİRE</v>
          </cell>
          <cell r="AE40" t="str">
            <v>02</v>
          </cell>
          <cell r="AF40">
            <v>0</v>
          </cell>
          <cell r="AG40" t="str">
            <v>ADET</v>
          </cell>
          <cell r="AH40">
            <v>250</v>
          </cell>
          <cell r="AI40" t="str">
            <v>TL</v>
          </cell>
          <cell r="AJ40">
            <v>1024</v>
          </cell>
          <cell r="AK40" t="str">
            <v>TL</v>
          </cell>
          <cell r="AL40">
            <v>1</v>
          </cell>
          <cell r="AM40" t="str">
            <v>8684127509992</v>
          </cell>
          <cell r="AO40">
            <v>0</v>
          </cell>
          <cell r="AQ40">
            <v>0</v>
          </cell>
          <cell r="AR40" t="str">
            <v>CM</v>
          </cell>
          <cell r="AS40">
            <v>25</v>
          </cell>
          <cell r="AT40" t="str">
            <v>CM</v>
          </cell>
          <cell r="AU40">
            <v>0</v>
          </cell>
          <cell r="AW40">
            <v>0</v>
          </cell>
        </row>
        <row r="41">
          <cell r="B41" t="str">
            <v>CK4G2P4M2A5A0</v>
          </cell>
          <cell r="C41" t="str">
            <v>ERD-262 SOFT 220V 2W 3000K G4 LED AMPUL</v>
          </cell>
          <cell r="D41" t="str">
            <v>ERD-262 OPAL 220V 2W 3000K G4 LED BULB</v>
          </cell>
          <cell r="E41" t="str">
            <v>PLASTİK METAL OPAL SMD LED DIMMLI MISIR</v>
          </cell>
          <cell r="F41" t="str">
            <v>8539.52.00.00.00</v>
          </cell>
          <cell r="G41" t="str">
            <v>AMPUL</v>
          </cell>
          <cell r="H41" t="str">
            <v>CG42242A50000</v>
          </cell>
          <cell r="I41" t="str">
            <v>İÇ</v>
          </cell>
          <cell r="J41" t="str">
            <v>AMPUL</v>
          </cell>
          <cell r="K41" t="str">
            <v>ERD-262</v>
          </cell>
          <cell r="L41" t="str">
            <v/>
          </cell>
          <cell r="M41" t="str">
            <v/>
          </cell>
          <cell r="N41" t="str">
            <v>ERD-262</v>
          </cell>
          <cell r="O41" t="str">
            <v>HEKA</v>
          </cell>
          <cell r="P41" t="str">
            <v>ADET</v>
          </cell>
          <cell r="Q41" t="str">
            <v>G4</v>
          </cell>
          <cell r="R41" t="str">
            <v>PLASTİK</v>
          </cell>
          <cell r="S41" t="str">
            <v>OPAL</v>
          </cell>
          <cell r="T41" t="str">
            <v>METAL</v>
          </cell>
          <cell r="V41" t="str">
            <v>G</v>
          </cell>
          <cell r="W41" t="str">
            <v>SMD LED</v>
          </cell>
          <cell r="X41" t="str">
            <v>220V</v>
          </cell>
          <cell r="Y41" t="str">
            <v>2 WATT</v>
          </cell>
          <cell r="Z41" t="str">
            <v>3000 K</v>
          </cell>
          <cell r="AA41" t="str">
            <v>DIMMLI</v>
          </cell>
          <cell r="AB41" t="str">
            <v>101-200</v>
          </cell>
          <cell r="AC41" t="str">
            <v>MISIR</v>
          </cell>
          <cell r="AD41" t="str">
            <v>N/A</v>
          </cell>
          <cell r="AF41">
            <v>0</v>
          </cell>
          <cell r="AG41" t="str">
            <v>ADET</v>
          </cell>
          <cell r="AH41">
            <v>1.1000000000000001</v>
          </cell>
          <cell r="AI41" t="str">
            <v>CNY</v>
          </cell>
          <cell r="AJ41">
            <v>0.9</v>
          </cell>
          <cell r="AK41" t="str">
            <v>USD</v>
          </cell>
          <cell r="AL41">
            <v>1</v>
          </cell>
          <cell r="AM41" t="str">
            <v>8684127503204</v>
          </cell>
          <cell r="AN41" t="str">
            <v>8684127500722</v>
          </cell>
          <cell r="AO41">
            <v>0</v>
          </cell>
          <cell r="AQ41">
            <v>1.6</v>
          </cell>
          <cell r="AR41" t="str">
            <v>CM</v>
          </cell>
          <cell r="AS41">
            <v>1.6</v>
          </cell>
          <cell r="AT41" t="str">
            <v>CM</v>
          </cell>
          <cell r="AU41">
            <v>0</v>
          </cell>
          <cell r="AW41">
            <v>0</v>
          </cell>
        </row>
        <row r="42">
          <cell r="B42" t="str">
            <v>T1A4100002K01</v>
          </cell>
          <cell r="C42" t="str">
            <v>*OLD-001* 25 LİK PASLANMAZ KROM RENK *1*</v>
          </cell>
          <cell r="D42" t="str">
            <v/>
          </cell>
          <cell r="E42" t="str">
            <v/>
          </cell>
          <cell r="F42" t="str">
            <v/>
          </cell>
          <cell r="G42" t="str">
            <v>AVİZE</v>
          </cell>
          <cell r="H42" t="str">
            <v>T1A4100002K01</v>
          </cell>
          <cell r="I42" t="str">
            <v>İÇ</v>
          </cell>
          <cell r="J42" t="str">
            <v>AVİZE.SARK</v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P42" t="str">
            <v>ADET</v>
          </cell>
          <cell r="AF42">
            <v>0</v>
          </cell>
          <cell r="AG42" t="str">
            <v>ADET</v>
          </cell>
          <cell r="AH42">
            <v>70</v>
          </cell>
          <cell r="AI42" t="str">
            <v>TL</v>
          </cell>
          <cell r="AJ42">
            <v>960</v>
          </cell>
          <cell r="AK42" t="str">
            <v>TL</v>
          </cell>
          <cell r="AL42">
            <v>1</v>
          </cell>
          <cell r="AM42" t="str">
            <v>1234567144191</v>
          </cell>
          <cell r="AN42" t="str">
            <v>1234567140094</v>
          </cell>
          <cell r="AO42">
            <v>0</v>
          </cell>
          <cell r="AQ42">
            <v>0</v>
          </cell>
          <cell r="AS42">
            <v>0</v>
          </cell>
          <cell r="AU42">
            <v>0</v>
          </cell>
          <cell r="AW42">
            <v>0</v>
          </cell>
        </row>
        <row r="43">
          <cell r="B43" t="str">
            <v>OLD-005S</v>
          </cell>
          <cell r="C43" t="str">
            <v>*OLD-005* 25 LİK PASLANMAZ SARI RENK *1*</v>
          </cell>
          <cell r="D43" t="str">
            <v/>
          </cell>
          <cell r="E43" t="str">
            <v/>
          </cell>
          <cell r="F43" t="str">
            <v/>
          </cell>
          <cell r="G43" t="str">
            <v>AVİZE</v>
          </cell>
          <cell r="H43" t="str">
            <v>OLD-005S</v>
          </cell>
          <cell r="I43" t="str">
            <v>İÇ</v>
          </cell>
          <cell r="J43" t="str">
            <v>AVİZE.SARK</v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>HEKA</v>
          </cell>
          <cell r="P43" t="str">
            <v>ADET</v>
          </cell>
          <cell r="AF43">
            <v>0</v>
          </cell>
          <cell r="AG43" t="str">
            <v>ADET</v>
          </cell>
          <cell r="AH43">
            <v>83</v>
          </cell>
          <cell r="AI43" t="str">
            <v>TL</v>
          </cell>
          <cell r="AJ43">
            <v>960</v>
          </cell>
          <cell r="AK43" t="str">
            <v>TL</v>
          </cell>
          <cell r="AL43">
            <v>1</v>
          </cell>
          <cell r="AM43" t="str">
            <v>1234567144238</v>
          </cell>
          <cell r="AO43">
            <v>0</v>
          </cell>
          <cell r="AQ43">
            <v>0</v>
          </cell>
          <cell r="AS43">
            <v>0</v>
          </cell>
          <cell r="AU43">
            <v>0</v>
          </cell>
          <cell r="AW43">
            <v>0</v>
          </cell>
        </row>
        <row r="44">
          <cell r="B44" t="str">
            <v>NGJ16001</v>
          </cell>
          <cell r="C44" t="str">
            <v>*NGJ16001* BETON ABAJUR *4*</v>
          </cell>
          <cell r="D44" t="str">
            <v/>
          </cell>
          <cell r="E44" t="str">
            <v/>
          </cell>
          <cell r="F44" t="str">
            <v/>
          </cell>
          <cell r="G44" t="str">
            <v>MASAABAJ</v>
          </cell>
          <cell r="H44" t="str">
            <v>NGJ16001</v>
          </cell>
          <cell r="I44" t="str">
            <v>İÇ</v>
          </cell>
          <cell r="J44" t="str">
            <v>MASAABAJ</v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>HEKA</v>
          </cell>
          <cell r="P44" t="str">
            <v>ADET</v>
          </cell>
          <cell r="Q44" t="str">
            <v>G9</v>
          </cell>
          <cell r="R44" t="str">
            <v>BETON</v>
          </cell>
          <cell r="S44" t="str">
            <v>GRİ</v>
          </cell>
          <cell r="T44" t="str">
            <v>METAL</v>
          </cell>
          <cell r="U44" t="str">
            <v>ESKİTME</v>
          </cell>
          <cell r="AE44" t="str">
            <v>01</v>
          </cell>
          <cell r="AF44">
            <v>38</v>
          </cell>
          <cell r="AG44" t="str">
            <v>ADET</v>
          </cell>
          <cell r="AH44">
            <v>33</v>
          </cell>
          <cell r="AI44" t="str">
            <v>TL</v>
          </cell>
          <cell r="AJ44">
            <v>1845</v>
          </cell>
          <cell r="AK44" t="str">
            <v>TL</v>
          </cell>
          <cell r="AL44">
            <v>0</v>
          </cell>
          <cell r="AM44" t="str">
            <v>1234567144283</v>
          </cell>
          <cell r="AN44" t="str">
            <v>1234567140438</v>
          </cell>
          <cell r="AO44">
            <v>0</v>
          </cell>
          <cell r="AQ44">
            <v>24</v>
          </cell>
          <cell r="AR44" t="str">
            <v>CM</v>
          </cell>
          <cell r="AS44">
            <v>15</v>
          </cell>
          <cell r="AT44" t="str">
            <v>CM</v>
          </cell>
          <cell r="AU44">
            <v>0</v>
          </cell>
          <cell r="AW44">
            <v>0</v>
          </cell>
        </row>
        <row r="45">
          <cell r="B45" t="str">
            <v>H1C2ERLJMER-035</v>
          </cell>
          <cell r="C45" t="str">
            <v>KARATAY BAL RENK CAM SARKIT 35cm</v>
          </cell>
          <cell r="D45" t="str">
            <v>KARATAY AMBER COLOR GLASS PENDANT 35cm</v>
          </cell>
          <cell r="E45" t="str">
            <v xml:space="preserve">CAM  METAL BAL ESKİTME   </v>
          </cell>
          <cell r="F45" t="str">
            <v>9405.19.50.00.19</v>
          </cell>
          <cell r="G45" t="str">
            <v>AVİZE</v>
          </cell>
          <cell r="H45" t="str">
            <v>T1A2231100-35</v>
          </cell>
          <cell r="I45" t="str">
            <v>İÇ</v>
          </cell>
          <cell r="J45" t="str">
            <v>AVİZE.SARK</v>
          </cell>
          <cell r="K45" t="str">
            <v>KARATAY</v>
          </cell>
          <cell r="L45" t="str">
            <v/>
          </cell>
          <cell r="M45" t="str">
            <v/>
          </cell>
          <cell r="N45" t="str">
            <v>MJ-015A-35-A</v>
          </cell>
          <cell r="O45" t="str">
            <v>HEKA</v>
          </cell>
          <cell r="P45" t="str">
            <v>ADET</v>
          </cell>
          <cell r="Q45" t="str">
            <v>E27</v>
          </cell>
          <cell r="R45" t="str">
            <v>CAM</v>
          </cell>
          <cell r="S45" t="str">
            <v>BAL</v>
          </cell>
          <cell r="T45" t="str">
            <v>METAL</v>
          </cell>
          <cell r="U45" t="str">
            <v>ESKİTME</v>
          </cell>
          <cell r="AD45" t="str">
            <v>DAİRE</v>
          </cell>
          <cell r="AE45" t="str">
            <v>01</v>
          </cell>
          <cell r="AF45">
            <v>17</v>
          </cell>
          <cell r="AG45" t="str">
            <v>ADET</v>
          </cell>
          <cell r="AH45">
            <v>70</v>
          </cell>
          <cell r="AI45" t="str">
            <v>CNY</v>
          </cell>
          <cell r="AJ45">
            <v>6650</v>
          </cell>
          <cell r="AK45" t="str">
            <v>TL</v>
          </cell>
          <cell r="AL45">
            <v>1</v>
          </cell>
          <cell r="AM45" t="str">
            <v>8684127502177</v>
          </cell>
          <cell r="AO45">
            <v>0</v>
          </cell>
          <cell r="AQ45">
            <v>60</v>
          </cell>
          <cell r="AR45" t="str">
            <v>CM</v>
          </cell>
          <cell r="AS45">
            <v>35</v>
          </cell>
          <cell r="AT45" t="str">
            <v>CM</v>
          </cell>
          <cell r="AU45">
            <v>0</v>
          </cell>
          <cell r="AW45">
            <v>0</v>
          </cell>
        </row>
        <row r="46">
          <cell r="B46" t="str">
            <v>CK2G1C1M2C2W0</v>
          </cell>
          <cell r="C46" t="str">
            <v>ERD-72 BAL 4W 2200K E27 LED AMPUL</v>
          </cell>
          <cell r="D46" t="str">
            <v>ERD-72 AMBER 4W 2200K E27 LED BULB</v>
          </cell>
          <cell r="E46" t="str">
            <v>CAM METAL BAL FLAMENT DIMMSIZ KARMA</v>
          </cell>
          <cell r="F46" t="str">
            <v>8539.52.00.00.00</v>
          </cell>
          <cell r="G46" t="str">
            <v>AVİZE</v>
          </cell>
          <cell r="H46" t="str">
            <v>CG21112B21T00</v>
          </cell>
          <cell r="I46" t="str">
            <v>İÇ</v>
          </cell>
          <cell r="J46" t="str">
            <v>AMPUL</v>
          </cell>
          <cell r="K46" t="str">
            <v>ERD-72</v>
          </cell>
          <cell r="L46" t="str">
            <v/>
          </cell>
          <cell r="M46" t="str">
            <v/>
          </cell>
          <cell r="N46" t="str">
            <v>ERD-72</v>
          </cell>
          <cell r="O46" t="str">
            <v>HEKA</v>
          </cell>
          <cell r="P46" t="str">
            <v>ADET</v>
          </cell>
          <cell r="Q46" t="str">
            <v>E27</v>
          </cell>
          <cell r="R46" t="str">
            <v>CAM</v>
          </cell>
          <cell r="S46" t="str">
            <v>BAL</v>
          </cell>
          <cell r="T46" t="str">
            <v>METAL</v>
          </cell>
          <cell r="V46" t="str">
            <v>G</v>
          </cell>
          <cell r="W46" t="str">
            <v>FLAMENT</v>
          </cell>
          <cell r="X46" t="str">
            <v>220V</v>
          </cell>
          <cell r="Y46" t="str">
            <v>4 WATT</v>
          </cell>
          <cell r="Z46" t="str">
            <v>2200 K</v>
          </cell>
          <cell r="AA46" t="str">
            <v>DIMMSIZ</v>
          </cell>
          <cell r="AB46" t="str">
            <v>101-200</v>
          </cell>
          <cell r="AC46" t="str">
            <v>KARMA</v>
          </cell>
          <cell r="AD46" t="str">
            <v>N/A</v>
          </cell>
          <cell r="AF46">
            <v>0</v>
          </cell>
          <cell r="AG46" t="str">
            <v>ADET</v>
          </cell>
          <cell r="AH46">
            <v>43</v>
          </cell>
          <cell r="AI46" t="str">
            <v>CNY</v>
          </cell>
          <cell r="AJ46">
            <v>46</v>
          </cell>
          <cell r="AK46" t="str">
            <v>USD</v>
          </cell>
          <cell r="AL46">
            <v>1</v>
          </cell>
          <cell r="AM46" t="str">
            <v>8684127504270</v>
          </cell>
          <cell r="AN46" t="str">
            <v>8699089465123</v>
          </cell>
          <cell r="AO46">
            <v>0</v>
          </cell>
          <cell r="AQ46">
            <v>17</v>
          </cell>
          <cell r="AR46" t="str">
            <v>CM</v>
          </cell>
          <cell r="AS46">
            <v>17</v>
          </cell>
          <cell r="AT46" t="str">
            <v>CM</v>
          </cell>
          <cell r="AU46">
            <v>0</v>
          </cell>
          <cell r="AW46">
            <v>0</v>
          </cell>
        </row>
        <row r="47">
          <cell r="B47" t="str">
            <v>T1C2EMBJRS0-040</v>
          </cell>
          <cell r="C47" t="str">
            <v>RIGEL BÜYÜK UFO CAM BAKIR AVİZE</v>
          </cell>
          <cell r="D47" t="str">
            <v>RIGEL BIG UFO GLASS COPPER CHANDELIER</v>
          </cell>
          <cell r="E47" t="str">
            <v>CAM METAL BAKIR SİYAH</v>
          </cell>
          <cell r="F47" t="str">
            <v>9405.19.50.00.19</v>
          </cell>
          <cell r="G47" t="str">
            <v>AVİZE</v>
          </cell>
          <cell r="H47" t="str">
            <v>MJ018-A</v>
          </cell>
          <cell r="I47" t="str">
            <v>İÇ</v>
          </cell>
          <cell r="J47" t="str">
            <v>AVİZE.SARK</v>
          </cell>
          <cell r="K47" t="str">
            <v>RIGEL</v>
          </cell>
          <cell r="L47" t="str">
            <v/>
          </cell>
          <cell r="M47" t="str">
            <v/>
          </cell>
          <cell r="N47" t="str">
            <v>MJ-018A</v>
          </cell>
          <cell r="O47" t="str">
            <v>TOPLAMA</v>
          </cell>
          <cell r="P47" t="str">
            <v>ADET</v>
          </cell>
          <cell r="Q47" t="str">
            <v>E27</v>
          </cell>
          <cell r="R47" t="str">
            <v>CAM</v>
          </cell>
          <cell r="S47" t="str">
            <v>BAKIR</v>
          </cell>
          <cell r="T47" t="str">
            <v>METAL</v>
          </cell>
          <cell r="U47" t="str">
            <v>SİYAH</v>
          </cell>
          <cell r="AD47" t="str">
            <v>N/A</v>
          </cell>
          <cell r="AE47" t="str">
            <v>02</v>
          </cell>
          <cell r="AF47">
            <v>26</v>
          </cell>
          <cell r="AG47" t="str">
            <v>ADET</v>
          </cell>
          <cell r="AH47">
            <v>77</v>
          </cell>
          <cell r="AI47" t="str">
            <v>TL</v>
          </cell>
          <cell r="AJ47">
            <v>1893</v>
          </cell>
          <cell r="AK47" t="str">
            <v>TL</v>
          </cell>
          <cell r="AL47">
            <v>1</v>
          </cell>
          <cell r="AM47" t="str">
            <v>8684127504645</v>
          </cell>
          <cell r="AO47">
            <v>0</v>
          </cell>
          <cell r="AQ47">
            <v>0</v>
          </cell>
          <cell r="AR47" t="str">
            <v>CM</v>
          </cell>
          <cell r="AS47">
            <v>40</v>
          </cell>
          <cell r="AT47" t="str">
            <v>CM</v>
          </cell>
          <cell r="AU47">
            <v>0</v>
          </cell>
          <cell r="AW47">
            <v>0</v>
          </cell>
        </row>
        <row r="48">
          <cell r="B48" t="str">
            <v>H1A2142300-06</v>
          </cell>
          <cell r="C48" t="str">
            <v>6 LI AHTAPOT AVİZE SİYAH RENK YATAY</v>
          </cell>
          <cell r="D48" t="str">
            <v/>
          </cell>
          <cell r="E48" t="str">
            <v/>
          </cell>
          <cell r="F48" t="str">
            <v/>
          </cell>
          <cell r="G48" t="str">
            <v>SARKIT</v>
          </cell>
          <cell r="H48" t="str">
            <v>H1A2142300-06</v>
          </cell>
          <cell r="I48" t="str">
            <v>SARKIT</v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P48" t="str">
            <v>ADET</v>
          </cell>
          <cell r="AF48">
            <v>0</v>
          </cell>
          <cell r="AG48" t="str">
            <v>ADET</v>
          </cell>
          <cell r="AH48">
            <v>60</v>
          </cell>
          <cell r="AI48" t="str">
            <v>TL</v>
          </cell>
          <cell r="AL48">
            <v>1</v>
          </cell>
          <cell r="AM48" t="str">
            <v>1234567144832</v>
          </cell>
          <cell r="AN48" t="str">
            <v>1234567142326</v>
          </cell>
          <cell r="AO48">
            <v>0</v>
          </cell>
          <cell r="AQ48">
            <v>0</v>
          </cell>
          <cell r="AS48">
            <v>0</v>
          </cell>
          <cell r="AU48">
            <v>0</v>
          </cell>
          <cell r="AW48">
            <v>0</v>
          </cell>
        </row>
        <row r="49">
          <cell r="B49" t="str">
            <v>H1C6JMBLCT0-040</v>
          </cell>
          <cell r="C49" t="str">
            <v>PAPUA LINEAR BAKIR SARKIT 40cm</v>
          </cell>
          <cell r="D49" t="str">
            <v>PAPUA LINEAR COPPER PENDANT 40cm</v>
          </cell>
          <cell r="E49" t="str">
            <v>METAL PLEKSİ BAKIR SOFT</v>
          </cell>
          <cell r="F49" t="str">
            <v>9405.11.90.00.00</v>
          </cell>
          <cell r="G49" t="str">
            <v>AVİZE</v>
          </cell>
          <cell r="H49" t="str">
            <v>S-01A</v>
          </cell>
          <cell r="I49" t="str">
            <v>İÇ</v>
          </cell>
          <cell r="J49" t="str">
            <v>AVİZE.SARK</v>
          </cell>
          <cell r="K49" t="str">
            <v>PAPUA</v>
          </cell>
          <cell r="L49" t="str">
            <v/>
          </cell>
          <cell r="M49" t="str">
            <v/>
          </cell>
          <cell r="N49" t="str">
            <v>S-01AB</v>
          </cell>
          <cell r="O49" t="str">
            <v>HEKA</v>
          </cell>
          <cell r="P49" t="str">
            <v>ADET</v>
          </cell>
          <cell r="Q49" t="str">
            <v>LED</v>
          </cell>
          <cell r="R49" t="str">
            <v>METAL</v>
          </cell>
          <cell r="S49" t="str">
            <v>BAKIR</v>
          </cell>
          <cell r="T49" t="str">
            <v>PLEKSİ</v>
          </cell>
          <cell r="U49" t="str">
            <v>SOFT</v>
          </cell>
          <cell r="AD49" t="str">
            <v>N/A</v>
          </cell>
          <cell r="AE49" t="str">
            <v>01</v>
          </cell>
          <cell r="AF49">
            <v>0</v>
          </cell>
          <cell r="AG49" t="str">
            <v>ADET</v>
          </cell>
          <cell r="AH49">
            <v>55</v>
          </cell>
          <cell r="AI49" t="str">
            <v>TL</v>
          </cell>
          <cell r="AJ49">
            <v>310</v>
          </cell>
          <cell r="AK49" t="str">
            <v>TL</v>
          </cell>
          <cell r="AL49">
            <v>0</v>
          </cell>
          <cell r="AM49" t="str">
            <v>8684127509442</v>
          </cell>
          <cell r="AO49">
            <v>0</v>
          </cell>
          <cell r="AQ49">
            <v>0</v>
          </cell>
          <cell r="AR49" t="str">
            <v>CM</v>
          </cell>
          <cell r="AS49">
            <v>40</v>
          </cell>
          <cell r="AT49" t="str">
            <v>CM</v>
          </cell>
          <cell r="AU49">
            <v>0</v>
          </cell>
          <cell r="AW49">
            <v>0</v>
          </cell>
        </row>
        <row r="50">
          <cell r="B50" t="str">
            <v>MJ-025A</v>
          </cell>
          <cell r="C50" t="str">
            <v>*MJ-025A* 18 LİK KAYA AVİZE CAMI FÜME RENK *24*</v>
          </cell>
          <cell r="D50" t="str">
            <v/>
          </cell>
          <cell r="E50" t="str">
            <v/>
          </cell>
          <cell r="F50" t="str">
            <v/>
          </cell>
          <cell r="G50" t="str">
            <v>ZPARCA</v>
          </cell>
          <cell r="H50" t="str">
            <v>MJ-025A</v>
          </cell>
          <cell r="I50" t="str">
            <v>İÇ</v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P50" t="str">
            <v>ADET</v>
          </cell>
          <cell r="AF50">
            <v>0</v>
          </cell>
          <cell r="AG50" t="str">
            <v>ADET</v>
          </cell>
          <cell r="AH50">
            <v>18</v>
          </cell>
          <cell r="AI50" t="str">
            <v>TL</v>
          </cell>
          <cell r="AL50">
            <v>0</v>
          </cell>
          <cell r="AM50" t="str">
            <v>1234567144870</v>
          </cell>
          <cell r="AN50" t="str">
            <v>1234567142517</v>
          </cell>
          <cell r="AO50">
            <v>0</v>
          </cell>
          <cell r="AQ50">
            <v>0</v>
          </cell>
          <cell r="AS50">
            <v>0</v>
          </cell>
          <cell r="AU50">
            <v>0</v>
          </cell>
          <cell r="AW50">
            <v>0</v>
          </cell>
        </row>
        <row r="51">
          <cell r="B51" t="str">
            <v>CN1D1C302E5I0</v>
          </cell>
          <cell r="C51" t="str">
            <v>ERD-83 T35 ŞEFFAF KIVRIK 6W 3000K E14 LED AMPUL</v>
          </cell>
          <cell r="D51" t="str">
            <v>ERD-83 T35 CLEAR CANDLE ANGULAR 6W 3000K E14 BULB</v>
          </cell>
          <cell r="E51" t="str">
            <v>CAM METAL ŞEFFAF FLAMENT DIMMSIZ T35 - KIVRIK</v>
          </cell>
          <cell r="F51" t="str">
            <v>8539.52.00.00.00</v>
          </cell>
          <cell r="G51" t="str">
            <v>AMPUL</v>
          </cell>
          <cell r="H51" t="str">
            <v>CE11132D50V01</v>
          </cell>
          <cell r="I51" t="str">
            <v>İÇ</v>
          </cell>
          <cell r="J51" t="str">
            <v>AMPUL</v>
          </cell>
          <cell r="K51" t="str">
            <v>ERD-83</v>
          </cell>
          <cell r="L51" t="str">
            <v/>
          </cell>
          <cell r="M51" t="str">
            <v>30.01.2026</v>
          </cell>
          <cell r="N51" t="str">
            <v>ERD-83</v>
          </cell>
          <cell r="O51" t="str">
            <v>HEKA</v>
          </cell>
          <cell r="P51" t="str">
            <v>ADET</v>
          </cell>
          <cell r="Q51" t="str">
            <v>E14</v>
          </cell>
          <cell r="R51" t="str">
            <v>CAM</v>
          </cell>
          <cell r="S51" t="str">
            <v>ŞEFFAF</v>
          </cell>
          <cell r="T51" t="str">
            <v>METAL</v>
          </cell>
          <cell r="V51" t="str">
            <v>D</v>
          </cell>
          <cell r="W51" t="str">
            <v>FLAMENT</v>
          </cell>
          <cell r="X51" t="str">
            <v>220V</v>
          </cell>
          <cell r="Y51" t="str">
            <v>6 WATT</v>
          </cell>
          <cell r="Z51" t="str">
            <v>3000 K</v>
          </cell>
          <cell r="AA51" t="str">
            <v>DIMMSIZ</v>
          </cell>
          <cell r="AB51" t="str">
            <v>801-900</v>
          </cell>
          <cell r="AC51" t="str">
            <v>T35 - KIVRIK</v>
          </cell>
          <cell r="AD51" t="str">
            <v>N/A</v>
          </cell>
          <cell r="AF51">
            <v>90</v>
          </cell>
          <cell r="AG51" t="str">
            <v>ADET</v>
          </cell>
          <cell r="AH51">
            <v>0.33600000000000002</v>
          </cell>
          <cell r="AI51" t="str">
            <v>USD</v>
          </cell>
          <cell r="AJ51">
            <v>1.7</v>
          </cell>
          <cell r="AK51" t="str">
            <v>USD</v>
          </cell>
          <cell r="AL51">
            <v>1</v>
          </cell>
          <cell r="AM51" t="str">
            <v>8684127519243</v>
          </cell>
          <cell r="AN51" t="str">
            <v>8684127519250</v>
          </cell>
          <cell r="AO51">
            <v>0</v>
          </cell>
          <cell r="AQ51">
            <v>3.5</v>
          </cell>
          <cell r="AR51" t="str">
            <v>CM</v>
          </cell>
          <cell r="AS51">
            <v>3.5</v>
          </cell>
          <cell r="AT51" t="str">
            <v>CM</v>
          </cell>
          <cell r="AU51">
            <v>0</v>
          </cell>
          <cell r="AW51">
            <v>0</v>
          </cell>
        </row>
        <row r="52">
          <cell r="B52" t="str">
            <v>CN1D1C302E8I0</v>
          </cell>
          <cell r="C52" t="str">
            <v>ERD-94 T35 ŞEFFAF KIVRIK 6W 6500K E14 LED AMPUL</v>
          </cell>
          <cell r="D52" t="str">
            <v>ERD-94 T35 CLEAR CANDLE ANGULAR 6W 6500K E14 BULB</v>
          </cell>
          <cell r="E52" t="str">
            <v>CAM METAL ŞEFFAF FLAMENT DIMMSIZ T35 - KIVRIK</v>
          </cell>
          <cell r="F52" t="str">
            <v>8539.52.00.00.00</v>
          </cell>
          <cell r="G52" t="str">
            <v>AMPUL</v>
          </cell>
          <cell r="H52" t="str">
            <v>CE11132D80V01</v>
          </cell>
          <cell r="I52" t="str">
            <v>İÇ</v>
          </cell>
          <cell r="J52" t="str">
            <v>AMPUL</v>
          </cell>
          <cell r="K52" t="str">
            <v>ERD-94</v>
          </cell>
          <cell r="L52" t="str">
            <v/>
          </cell>
          <cell r="M52" t="str">
            <v>30.01.2026</v>
          </cell>
          <cell r="N52" t="str">
            <v>ERD-94</v>
          </cell>
          <cell r="O52" t="str">
            <v>HEKA</v>
          </cell>
          <cell r="P52" t="str">
            <v>ADET</v>
          </cell>
          <cell r="Q52" t="str">
            <v>E14</v>
          </cell>
          <cell r="R52" t="str">
            <v>CAM</v>
          </cell>
          <cell r="S52" t="str">
            <v>ŞEFFAF</v>
          </cell>
          <cell r="T52" t="str">
            <v>METAL</v>
          </cell>
          <cell r="V52" t="str">
            <v>D</v>
          </cell>
          <cell r="W52" t="str">
            <v>FLAMENT</v>
          </cell>
          <cell r="X52" t="str">
            <v>220V</v>
          </cell>
          <cell r="Y52" t="str">
            <v>6 WATT</v>
          </cell>
          <cell r="Z52" t="str">
            <v>6500 K</v>
          </cell>
          <cell r="AA52" t="str">
            <v>DIMMSIZ</v>
          </cell>
          <cell r="AB52" t="str">
            <v>801-900</v>
          </cell>
          <cell r="AC52" t="str">
            <v>T35 - KIVRIK</v>
          </cell>
          <cell r="AD52" t="str">
            <v>N/A</v>
          </cell>
          <cell r="AF52">
            <v>2243</v>
          </cell>
          <cell r="AG52" t="str">
            <v>ADET</v>
          </cell>
          <cell r="AH52">
            <v>0.33600000000000002</v>
          </cell>
          <cell r="AI52" t="str">
            <v>USD</v>
          </cell>
          <cell r="AJ52">
            <v>1.7</v>
          </cell>
          <cell r="AK52" t="str">
            <v>USD</v>
          </cell>
          <cell r="AL52">
            <v>1</v>
          </cell>
          <cell r="AM52" t="str">
            <v>8684127519267</v>
          </cell>
          <cell r="AN52" t="str">
            <v>8684127519274</v>
          </cell>
          <cell r="AO52">
            <v>0</v>
          </cell>
          <cell r="AQ52">
            <v>3.5</v>
          </cell>
          <cell r="AR52" t="str">
            <v>CM</v>
          </cell>
          <cell r="AS52">
            <v>3.5</v>
          </cell>
          <cell r="AT52" t="str">
            <v>CM</v>
          </cell>
          <cell r="AU52">
            <v>0</v>
          </cell>
          <cell r="AW52">
            <v>0</v>
          </cell>
        </row>
        <row r="53">
          <cell r="B53" t="str">
            <v>H1C2JMEECTR-020</v>
          </cell>
          <cell r="C53" t="str">
            <v>HUDAT SIVAMA ESKİTME SARKIT 20cm</v>
          </cell>
          <cell r="D53" t="str">
            <v>HUDAT BURSHED BRASS PENDANT 20cm</v>
          </cell>
          <cell r="E53" t="str">
            <v>METAL CAM ESKİTME SOFT</v>
          </cell>
          <cell r="F53" t="str">
            <v>9405.19.90.00.00</v>
          </cell>
          <cell r="G53" t="str">
            <v>AVİZE</v>
          </cell>
          <cell r="H53" t="str">
            <v>H1A2112101-20</v>
          </cell>
          <cell r="I53" t="str">
            <v>İÇ</v>
          </cell>
          <cell r="J53" t="str">
            <v>AVİZE.SARK</v>
          </cell>
          <cell r="K53" t="str">
            <v>HUDAT</v>
          </cell>
          <cell r="L53" t="str">
            <v/>
          </cell>
          <cell r="M53" t="str">
            <v/>
          </cell>
          <cell r="N53" t="str">
            <v/>
          </cell>
          <cell r="O53" t="str">
            <v>HEKA</v>
          </cell>
          <cell r="P53" t="str">
            <v>ADET</v>
          </cell>
          <cell r="Q53" t="str">
            <v>E27</v>
          </cell>
          <cell r="R53" t="str">
            <v>METAL</v>
          </cell>
          <cell r="S53" t="str">
            <v>ESKİTME</v>
          </cell>
          <cell r="T53" t="str">
            <v>CAM</v>
          </cell>
          <cell r="U53" t="str">
            <v>SOFT</v>
          </cell>
          <cell r="AD53" t="str">
            <v>DAİRE</v>
          </cell>
          <cell r="AE53" t="str">
            <v>02</v>
          </cell>
          <cell r="AF53">
            <v>0</v>
          </cell>
          <cell r="AG53" t="str">
            <v>ADET</v>
          </cell>
          <cell r="AH53">
            <v>10</v>
          </cell>
          <cell r="AI53" t="str">
            <v>TL</v>
          </cell>
          <cell r="AJ53">
            <v>800</v>
          </cell>
          <cell r="AK53" t="str">
            <v>TL</v>
          </cell>
          <cell r="AL53">
            <v>1</v>
          </cell>
          <cell r="AM53" t="str">
            <v>8684127509985</v>
          </cell>
          <cell r="AO53">
            <v>0</v>
          </cell>
          <cell r="AQ53">
            <v>0</v>
          </cell>
          <cell r="AR53" t="str">
            <v>CM</v>
          </cell>
          <cell r="AS53">
            <v>20</v>
          </cell>
          <cell r="AT53" t="str">
            <v>CM</v>
          </cell>
          <cell r="AU53">
            <v>0</v>
          </cell>
          <cell r="AW53">
            <v>0</v>
          </cell>
        </row>
        <row r="54">
          <cell r="B54" t="str">
            <v>H1C2JMEECTR-030</v>
          </cell>
          <cell r="C54" t="str">
            <v>HUDAT SIVAMA ESKİTME SARKIT 30cm</v>
          </cell>
          <cell r="D54" t="str">
            <v>HUDAT BURSHED BRASS PENDANT 30cm</v>
          </cell>
          <cell r="E54" t="str">
            <v>METAL CAM ESKİTME SOFT</v>
          </cell>
          <cell r="F54" t="str">
            <v>9405.19.90.00.00</v>
          </cell>
          <cell r="G54" t="str">
            <v>AVİZE</v>
          </cell>
          <cell r="H54" t="str">
            <v>H1A2112101-30</v>
          </cell>
          <cell r="I54" t="str">
            <v>İÇ</v>
          </cell>
          <cell r="J54" t="str">
            <v>AVİZE.SARK</v>
          </cell>
          <cell r="K54" t="str">
            <v>HUDAT</v>
          </cell>
          <cell r="L54" t="str">
            <v/>
          </cell>
          <cell r="M54" t="str">
            <v/>
          </cell>
          <cell r="N54" t="str">
            <v/>
          </cell>
          <cell r="O54" t="str">
            <v>HEKA</v>
          </cell>
          <cell r="P54" t="str">
            <v>ADET</v>
          </cell>
          <cell r="Q54" t="str">
            <v>E27</v>
          </cell>
          <cell r="R54" t="str">
            <v>METAL</v>
          </cell>
          <cell r="S54" t="str">
            <v>ESKİTME</v>
          </cell>
          <cell r="T54" t="str">
            <v>CAM</v>
          </cell>
          <cell r="U54" t="str">
            <v>SOFT</v>
          </cell>
          <cell r="AD54" t="str">
            <v>DAİRE</v>
          </cell>
          <cell r="AE54" t="str">
            <v>02</v>
          </cell>
          <cell r="AF54">
            <v>0</v>
          </cell>
          <cell r="AG54" t="str">
            <v>ADET</v>
          </cell>
          <cell r="AH54">
            <v>20</v>
          </cell>
          <cell r="AI54" t="str">
            <v>TL</v>
          </cell>
          <cell r="AJ54">
            <v>1264</v>
          </cell>
          <cell r="AK54" t="str">
            <v>TL</v>
          </cell>
          <cell r="AL54">
            <v>1</v>
          </cell>
          <cell r="AM54" t="str">
            <v>8684127510004</v>
          </cell>
          <cell r="AO54">
            <v>0</v>
          </cell>
          <cell r="AQ54">
            <v>0</v>
          </cell>
          <cell r="AR54" t="str">
            <v>CM</v>
          </cell>
          <cell r="AS54">
            <v>30</v>
          </cell>
          <cell r="AT54" t="str">
            <v>CM</v>
          </cell>
          <cell r="AU54">
            <v>0</v>
          </cell>
          <cell r="AW54">
            <v>0</v>
          </cell>
        </row>
        <row r="55">
          <cell r="B55" t="str">
            <v>CN1F1C3M2C6H1</v>
          </cell>
          <cell r="C55" t="str">
            <v>ERD-23 T35 ŞEFFAF KIVRIK 4W 3200K E14 LED AMPUL</v>
          </cell>
          <cell r="D55" t="str">
            <v>ERD-23 T35 CLEAR CANDLE ANGULAR 4W 3200K E14 BULB</v>
          </cell>
          <cell r="E55" t="str">
            <v>CAM METAL ŞEFFAF FLAMENT DIMMLI T35 - KIVRIK</v>
          </cell>
          <cell r="F55" t="str">
            <v>8539.52.00.00.00</v>
          </cell>
          <cell r="G55" t="str">
            <v>AMPUL</v>
          </cell>
          <cell r="H55" t="str">
            <v>CF11132B61000</v>
          </cell>
          <cell r="I55" t="str">
            <v>İÇ</v>
          </cell>
          <cell r="J55" t="str">
            <v>AMPUL</v>
          </cell>
          <cell r="K55" t="str">
            <v>ERD-23</v>
          </cell>
          <cell r="L55" t="str">
            <v/>
          </cell>
          <cell r="M55" t="str">
            <v/>
          </cell>
          <cell r="N55" t="str">
            <v>ERD-23</v>
          </cell>
          <cell r="O55" t="str">
            <v>LAMBAM</v>
          </cell>
          <cell r="P55" t="str">
            <v>ADET</v>
          </cell>
          <cell r="Q55" t="str">
            <v>E14</v>
          </cell>
          <cell r="R55" t="str">
            <v>CAM</v>
          </cell>
          <cell r="S55" t="str">
            <v>ŞEFFAF</v>
          </cell>
          <cell r="T55" t="str">
            <v>METAL</v>
          </cell>
          <cell r="V55" t="str">
            <v>F</v>
          </cell>
          <cell r="W55" t="str">
            <v>FLAMENT</v>
          </cell>
          <cell r="X55" t="str">
            <v>220V</v>
          </cell>
          <cell r="Y55" t="str">
            <v>4 WATT</v>
          </cell>
          <cell r="Z55" t="str">
            <v>3200 K</v>
          </cell>
          <cell r="AA55" t="str">
            <v>DIMMLI</v>
          </cell>
          <cell r="AB55" t="str">
            <v>301-400</v>
          </cell>
          <cell r="AC55" t="str">
            <v>T35 - KIVRIK</v>
          </cell>
          <cell r="AD55" t="str">
            <v>N/A</v>
          </cell>
          <cell r="AF55">
            <v>1729</v>
          </cell>
          <cell r="AG55" t="str">
            <v>ADET</v>
          </cell>
          <cell r="AH55">
            <v>0.22</v>
          </cell>
          <cell r="AI55" t="str">
            <v>USD</v>
          </cell>
          <cell r="AJ55">
            <v>1.1000000000000001</v>
          </cell>
          <cell r="AK55" t="str">
            <v>USD</v>
          </cell>
          <cell r="AL55">
            <v>1</v>
          </cell>
          <cell r="AM55" t="str">
            <v>8684127500142</v>
          </cell>
          <cell r="AN55" t="str">
            <v>8684127500227</v>
          </cell>
          <cell r="AO55">
            <v>0</v>
          </cell>
          <cell r="AQ55">
            <v>3.5</v>
          </cell>
          <cell r="AR55" t="str">
            <v>CM</v>
          </cell>
          <cell r="AS55">
            <v>3.5</v>
          </cell>
          <cell r="AT55" t="str">
            <v>CM</v>
          </cell>
          <cell r="AU55">
            <v>0</v>
          </cell>
          <cell r="AW55">
            <v>0</v>
          </cell>
        </row>
        <row r="56">
          <cell r="B56" t="str">
            <v>ERD-108B</v>
          </cell>
          <cell r="C56" t="str">
            <v xml:space="preserve">*ERD-108* TEKLİ BAL CAM AVİZE </v>
          </cell>
          <cell r="D56" t="str">
            <v/>
          </cell>
          <cell r="E56" t="str">
            <v/>
          </cell>
          <cell r="F56" t="str">
            <v/>
          </cell>
          <cell r="G56" t="str">
            <v>AMPUL</v>
          </cell>
          <cell r="H56" t="str">
            <v>ERD-108</v>
          </cell>
          <cell r="I56" t="str">
            <v>İÇ</v>
          </cell>
          <cell r="J56" t="str">
            <v>AMPUL</v>
          </cell>
          <cell r="K56" t="str">
            <v>ERD-108</v>
          </cell>
          <cell r="L56" t="str">
            <v/>
          </cell>
          <cell r="M56" t="str">
            <v/>
          </cell>
          <cell r="N56" t="str">
            <v/>
          </cell>
          <cell r="O56" t="str">
            <v>HEKA</v>
          </cell>
          <cell r="P56" t="str">
            <v>ADET</v>
          </cell>
          <cell r="AF56">
            <v>4</v>
          </cell>
          <cell r="AG56" t="str">
            <v>ADET</v>
          </cell>
          <cell r="AH56">
            <v>24</v>
          </cell>
          <cell r="AI56" t="str">
            <v>TL</v>
          </cell>
          <cell r="AJ56">
            <v>1417</v>
          </cell>
          <cell r="AK56" t="str">
            <v>TL</v>
          </cell>
          <cell r="AL56">
            <v>0</v>
          </cell>
          <cell r="AM56" t="str">
            <v>8680000000001</v>
          </cell>
          <cell r="AN56" t="str">
            <v>1234567137889</v>
          </cell>
          <cell r="AO56">
            <v>0</v>
          </cell>
          <cell r="AQ56">
            <v>0</v>
          </cell>
          <cell r="AS56">
            <v>0</v>
          </cell>
          <cell r="AU56">
            <v>0</v>
          </cell>
          <cell r="AW56">
            <v>0</v>
          </cell>
        </row>
        <row r="57">
          <cell r="B57" t="str">
            <v>T1C2EMBJRS0-032</v>
          </cell>
          <cell r="C57" t="str">
            <v>ANTARES DÖVMELİ BAKIR CAM SARKIT</v>
          </cell>
          <cell r="D57" t="str">
            <v>ANTARES HAMMERED COPPER GLASS PENDANT LAMP</v>
          </cell>
          <cell r="E57" t="str">
            <v>CAM METAL BAKIR SİYAH</v>
          </cell>
          <cell r="F57" t="str">
            <v>9405.19.50.00.19</v>
          </cell>
          <cell r="G57" t="str">
            <v>AVİZE</v>
          </cell>
          <cell r="H57" t="str">
            <v>MJ-007</v>
          </cell>
          <cell r="I57" t="str">
            <v>İÇ</v>
          </cell>
          <cell r="J57" t="str">
            <v>AVİZE.SARK</v>
          </cell>
          <cell r="K57" t="str">
            <v>ANTARES</v>
          </cell>
          <cell r="L57" t="str">
            <v/>
          </cell>
          <cell r="M57" t="str">
            <v/>
          </cell>
          <cell r="N57" t="str">
            <v>MJ-007</v>
          </cell>
          <cell r="O57" t="str">
            <v>HEKA</v>
          </cell>
          <cell r="P57" t="str">
            <v>ADET</v>
          </cell>
          <cell r="Q57" t="str">
            <v>E27</v>
          </cell>
          <cell r="R57" t="str">
            <v>CAM</v>
          </cell>
          <cell r="S57" t="str">
            <v>BAKIR</v>
          </cell>
          <cell r="T57" t="str">
            <v>METAL</v>
          </cell>
          <cell r="U57" t="str">
            <v>SİYAH</v>
          </cell>
          <cell r="AD57" t="str">
            <v>N/A</v>
          </cell>
          <cell r="AE57" t="str">
            <v>02</v>
          </cell>
          <cell r="AF57">
            <v>11</v>
          </cell>
          <cell r="AG57" t="str">
            <v>ADET</v>
          </cell>
          <cell r="AH57">
            <v>58</v>
          </cell>
          <cell r="AI57" t="str">
            <v>TL</v>
          </cell>
          <cell r="AJ57">
            <v>1655</v>
          </cell>
          <cell r="AK57" t="str">
            <v>TL</v>
          </cell>
          <cell r="AL57">
            <v>1</v>
          </cell>
          <cell r="AM57" t="str">
            <v>8684127504669</v>
          </cell>
          <cell r="AO57">
            <v>0</v>
          </cell>
          <cell r="AQ57">
            <v>0</v>
          </cell>
          <cell r="AR57" t="str">
            <v>CM</v>
          </cell>
          <cell r="AS57">
            <v>32</v>
          </cell>
          <cell r="AT57" t="str">
            <v>CM</v>
          </cell>
          <cell r="AU57">
            <v>0</v>
          </cell>
          <cell r="AW57">
            <v>0</v>
          </cell>
        </row>
        <row r="58">
          <cell r="B58" t="str">
            <v>T1A4100002O01</v>
          </cell>
          <cell r="C58" t="str">
            <v>*OLD-002* 30 LUK PASLANMAZ KROM RENK *1*</v>
          </cell>
          <cell r="D58" t="str">
            <v/>
          </cell>
          <cell r="E58" t="str">
            <v/>
          </cell>
          <cell r="F58" t="str">
            <v/>
          </cell>
          <cell r="G58" t="str">
            <v>AVİZE</v>
          </cell>
          <cell r="H58" t="str">
            <v>T1A4100002O01</v>
          </cell>
          <cell r="I58" t="str">
            <v>İÇ</v>
          </cell>
          <cell r="J58" t="str">
            <v>AVİZE.SARK</v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P58" t="str">
            <v>ADET</v>
          </cell>
          <cell r="AF58">
            <v>6</v>
          </cell>
          <cell r="AG58" t="str">
            <v>ADET</v>
          </cell>
          <cell r="AH58">
            <v>75</v>
          </cell>
          <cell r="AI58" t="str">
            <v>TL</v>
          </cell>
          <cell r="AJ58">
            <v>1070</v>
          </cell>
          <cell r="AK58" t="str">
            <v>TL</v>
          </cell>
          <cell r="AL58">
            <v>1</v>
          </cell>
          <cell r="AM58" t="str">
            <v>1234567144214</v>
          </cell>
          <cell r="AO58">
            <v>0</v>
          </cell>
          <cell r="AQ58">
            <v>0</v>
          </cell>
          <cell r="AS58">
            <v>0</v>
          </cell>
          <cell r="AU58">
            <v>0</v>
          </cell>
          <cell r="AW58">
            <v>0</v>
          </cell>
        </row>
        <row r="59">
          <cell r="B59" t="str">
            <v>TYH001-1</v>
          </cell>
          <cell r="C59" t="str">
            <v>*TYH001-1*  MİNA BAL CAM KÜÇÜK</v>
          </cell>
          <cell r="D59" t="str">
            <v/>
          </cell>
          <cell r="E59" t="str">
            <v/>
          </cell>
          <cell r="F59" t="str">
            <v/>
          </cell>
          <cell r="G59" t="str">
            <v>ZPARCA</v>
          </cell>
          <cell r="H59" t="str">
            <v>TYH001-1</v>
          </cell>
          <cell r="I59" t="str">
            <v>İÇ</v>
          </cell>
          <cell r="J59" t="str">
            <v>ZPARCA</v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P59" t="str">
            <v>ADET</v>
          </cell>
          <cell r="AF59">
            <v>327</v>
          </cell>
          <cell r="AG59" t="str">
            <v>ADET</v>
          </cell>
          <cell r="AH59">
            <v>22</v>
          </cell>
          <cell r="AI59" t="str">
            <v>TL</v>
          </cell>
          <cell r="AL59">
            <v>0</v>
          </cell>
          <cell r="AM59" t="str">
            <v>1234567144351</v>
          </cell>
          <cell r="AN59" t="str">
            <v>1234567140636</v>
          </cell>
          <cell r="AO59">
            <v>0</v>
          </cell>
          <cell r="AQ59">
            <v>0</v>
          </cell>
          <cell r="AS59">
            <v>0</v>
          </cell>
          <cell r="AU59">
            <v>0</v>
          </cell>
          <cell r="AW59">
            <v>0</v>
          </cell>
        </row>
        <row r="60">
          <cell r="B60" t="str">
            <v>TYH009</v>
          </cell>
          <cell r="C60" t="str">
            <v>*TYH009-1*  KROM MİNA APLİK CAMI</v>
          </cell>
          <cell r="D60" t="str">
            <v/>
          </cell>
          <cell r="E60" t="str">
            <v/>
          </cell>
          <cell r="F60" t="str">
            <v/>
          </cell>
          <cell r="G60" t="str">
            <v>ZPARCA</v>
          </cell>
          <cell r="H60" t="str">
            <v>TYH009</v>
          </cell>
          <cell r="I60" t="str">
            <v>İÇ</v>
          </cell>
          <cell r="J60" t="str">
            <v>ZPARCA</v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P60" t="str">
            <v>ADET</v>
          </cell>
          <cell r="AF60">
            <v>0</v>
          </cell>
          <cell r="AG60" t="str">
            <v>ADET</v>
          </cell>
          <cell r="AH60">
            <v>11</v>
          </cell>
          <cell r="AI60" t="str">
            <v>TL</v>
          </cell>
          <cell r="AL60">
            <v>0</v>
          </cell>
          <cell r="AM60" t="str">
            <v>1234567144498</v>
          </cell>
          <cell r="AN60" t="str">
            <v>1234567140773</v>
          </cell>
          <cell r="AO60">
            <v>0</v>
          </cell>
          <cell r="AQ60">
            <v>0</v>
          </cell>
          <cell r="AS60">
            <v>0</v>
          </cell>
          <cell r="AU60">
            <v>0</v>
          </cell>
          <cell r="AW60">
            <v>0</v>
          </cell>
        </row>
        <row r="61">
          <cell r="B61" t="str">
            <v>TYH010</v>
          </cell>
          <cell r="C61" t="str">
            <v>*TYH010*     BAKIR MİNA APLİK CAMI</v>
          </cell>
          <cell r="D61" t="str">
            <v/>
          </cell>
          <cell r="E61" t="str">
            <v/>
          </cell>
          <cell r="F61" t="str">
            <v/>
          </cell>
          <cell r="G61" t="str">
            <v>ZPARCA</v>
          </cell>
          <cell r="H61" t="str">
            <v>TYH010</v>
          </cell>
          <cell r="I61" t="str">
            <v>İÇ</v>
          </cell>
          <cell r="J61" t="str">
            <v>ZPARCA</v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P61" t="str">
            <v>ADET</v>
          </cell>
          <cell r="AF61">
            <v>21</v>
          </cell>
          <cell r="AG61" t="str">
            <v>ADET</v>
          </cell>
          <cell r="AH61">
            <v>11</v>
          </cell>
          <cell r="AI61" t="str">
            <v>TL</v>
          </cell>
          <cell r="AL61">
            <v>0</v>
          </cell>
          <cell r="AM61" t="str">
            <v>1234567144504</v>
          </cell>
          <cell r="AN61" t="str">
            <v>1234567140780</v>
          </cell>
          <cell r="AO61">
            <v>0</v>
          </cell>
          <cell r="AQ61">
            <v>0</v>
          </cell>
          <cell r="AS61">
            <v>0</v>
          </cell>
          <cell r="AU61">
            <v>0</v>
          </cell>
          <cell r="AW61">
            <v>0</v>
          </cell>
        </row>
        <row r="62">
          <cell r="B62" t="str">
            <v>CH1F1C1M2C3I0</v>
          </cell>
          <cell r="C62" t="str">
            <v>ERD-51 T25 BAL 4W 2500K E14 LED AMPUL</v>
          </cell>
          <cell r="D62" t="str">
            <v>ERD-51 T25 AMBER 4W 2500K E14 LED BULB</v>
          </cell>
          <cell r="E62" t="str">
            <v>CAM METAL BAL FLAMENT DIMMSIZ T25</v>
          </cell>
          <cell r="F62" t="str">
            <v>8539.52.00.00.00</v>
          </cell>
          <cell r="G62" t="str">
            <v>AMPUL</v>
          </cell>
          <cell r="H62" t="str">
            <v/>
          </cell>
          <cell r="I62" t="str">
            <v>İÇ</v>
          </cell>
          <cell r="J62" t="str">
            <v>AMPUL</v>
          </cell>
          <cell r="K62" t="str">
            <v>ERD-51</v>
          </cell>
          <cell r="L62" t="str">
            <v/>
          </cell>
          <cell r="M62" t="str">
            <v>25.05.2025</v>
          </cell>
          <cell r="N62" t="str">
            <v>ERD-51</v>
          </cell>
          <cell r="O62" t="str">
            <v>HEKA</v>
          </cell>
          <cell r="P62" t="str">
            <v>ADET</v>
          </cell>
          <cell r="Q62" t="str">
            <v>E14</v>
          </cell>
          <cell r="R62" t="str">
            <v>CAM</v>
          </cell>
          <cell r="S62" t="str">
            <v>BAL</v>
          </cell>
          <cell r="T62" t="str">
            <v>METAL</v>
          </cell>
          <cell r="V62" t="str">
            <v>F</v>
          </cell>
          <cell r="W62" t="str">
            <v>FLAMENT</v>
          </cell>
          <cell r="X62" t="str">
            <v>220V</v>
          </cell>
          <cell r="Y62" t="str">
            <v>4 WATT</v>
          </cell>
          <cell r="Z62" t="str">
            <v>2500 K</v>
          </cell>
          <cell r="AA62" t="str">
            <v>DIMMSIZ</v>
          </cell>
          <cell r="AB62" t="str">
            <v>301-400</v>
          </cell>
          <cell r="AC62" t="str">
            <v>T25</v>
          </cell>
          <cell r="AD62" t="str">
            <v>N/A</v>
          </cell>
          <cell r="AF62">
            <v>4</v>
          </cell>
          <cell r="AG62" t="str">
            <v>ADET</v>
          </cell>
          <cell r="AH62">
            <v>0.495</v>
          </cell>
          <cell r="AI62" t="str">
            <v>USD</v>
          </cell>
          <cell r="AJ62">
            <v>2.9</v>
          </cell>
          <cell r="AK62" t="str">
            <v>USD</v>
          </cell>
          <cell r="AL62">
            <v>1</v>
          </cell>
          <cell r="AM62" t="str">
            <v>8684127504126</v>
          </cell>
          <cell r="AN62" t="str">
            <v>8684127500678</v>
          </cell>
          <cell r="AO62">
            <v>0</v>
          </cell>
          <cell r="AQ62">
            <v>2.4</v>
          </cell>
          <cell r="AR62" t="str">
            <v>CM</v>
          </cell>
          <cell r="AS62">
            <v>2.4</v>
          </cell>
          <cell r="AT62" t="str">
            <v>CM</v>
          </cell>
          <cell r="AU62">
            <v>0</v>
          </cell>
          <cell r="AW62">
            <v>0</v>
          </cell>
        </row>
        <row r="63">
          <cell r="B63" t="str">
            <v>T1C2EMKJRS0-040</v>
          </cell>
          <cell r="C63" t="str">
            <v>RIGEL BÜYÜK UFO CAM KROM AVİZE</v>
          </cell>
          <cell r="D63" t="str">
            <v>RIGEL BIG UFO GLASS CHROME CHANDELIER</v>
          </cell>
          <cell r="E63" t="str">
            <v>CAM METAL KROM SİYAH</v>
          </cell>
          <cell r="F63" t="str">
            <v>9405.19.50.00.19</v>
          </cell>
          <cell r="G63" t="str">
            <v>AVİZE</v>
          </cell>
          <cell r="H63" t="str">
            <v>MJ018-B</v>
          </cell>
          <cell r="I63" t="str">
            <v>İÇ</v>
          </cell>
          <cell r="J63" t="str">
            <v>AVİZE.SARK</v>
          </cell>
          <cell r="K63" t="str">
            <v>RIGEL</v>
          </cell>
          <cell r="L63" t="str">
            <v/>
          </cell>
          <cell r="M63" t="str">
            <v/>
          </cell>
          <cell r="N63" t="str">
            <v>MJ-018B</v>
          </cell>
          <cell r="O63" t="str">
            <v>TOPLAMA</v>
          </cell>
          <cell r="P63" t="str">
            <v>ADET</v>
          </cell>
          <cell r="Q63" t="str">
            <v>E27</v>
          </cell>
          <cell r="R63" t="str">
            <v>CAM</v>
          </cell>
          <cell r="S63" t="str">
            <v>KROM</v>
          </cell>
          <cell r="T63" t="str">
            <v>METAL</v>
          </cell>
          <cell r="U63" t="str">
            <v>SİYAH</v>
          </cell>
          <cell r="AD63" t="str">
            <v>N/A</v>
          </cell>
          <cell r="AE63" t="str">
            <v>02</v>
          </cell>
          <cell r="AF63">
            <v>0</v>
          </cell>
          <cell r="AG63" t="str">
            <v>ADET</v>
          </cell>
          <cell r="AH63">
            <v>77</v>
          </cell>
          <cell r="AI63" t="str">
            <v>TL</v>
          </cell>
          <cell r="AJ63">
            <v>795</v>
          </cell>
          <cell r="AK63" t="str">
            <v>TL</v>
          </cell>
          <cell r="AL63">
            <v>1</v>
          </cell>
          <cell r="AM63" t="str">
            <v>8684127504652</v>
          </cell>
          <cell r="AO63">
            <v>0</v>
          </cell>
          <cell r="AQ63">
            <v>0</v>
          </cell>
          <cell r="AR63" t="str">
            <v>CM</v>
          </cell>
          <cell r="AS63">
            <v>40</v>
          </cell>
          <cell r="AT63" t="str">
            <v>CM</v>
          </cell>
          <cell r="AU63">
            <v>0</v>
          </cell>
          <cell r="AW63">
            <v>0</v>
          </cell>
        </row>
        <row r="64">
          <cell r="B64" t="str">
            <v>OLD-009S</v>
          </cell>
          <cell r="C64" t="str">
            <v>*OLD-009* 40 LUK PASLANMAZ SARI RENK *1*</v>
          </cell>
          <cell r="D64" t="str">
            <v/>
          </cell>
          <cell r="E64" t="str">
            <v/>
          </cell>
          <cell r="F64" t="str">
            <v/>
          </cell>
          <cell r="G64" t="str">
            <v>AVİZE</v>
          </cell>
          <cell r="H64" t="str">
            <v>OLD-009S</v>
          </cell>
          <cell r="I64" t="str">
            <v>İÇ</v>
          </cell>
          <cell r="J64" t="str">
            <v>AVİZE.SARK</v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>HEKA</v>
          </cell>
          <cell r="P64" t="str">
            <v>ADET</v>
          </cell>
          <cell r="AF64">
            <v>0</v>
          </cell>
          <cell r="AG64" t="str">
            <v>ADET</v>
          </cell>
          <cell r="AH64">
            <v>107</v>
          </cell>
          <cell r="AI64" t="str">
            <v>TL</v>
          </cell>
          <cell r="AJ64">
            <v>1300</v>
          </cell>
          <cell r="AK64" t="str">
            <v>TL</v>
          </cell>
          <cell r="AL64">
            <v>0</v>
          </cell>
          <cell r="AM64" t="str">
            <v>1234567890012</v>
          </cell>
          <cell r="AN64" t="str">
            <v>1234567142289</v>
          </cell>
          <cell r="AO64">
            <v>0</v>
          </cell>
          <cell r="AQ64">
            <v>0</v>
          </cell>
          <cell r="AS64">
            <v>0</v>
          </cell>
          <cell r="AU64">
            <v>0</v>
          </cell>
          <cell r="AW64">
            <v>0</v>
          </cell>
        </row>
        <row r="65">
          <cell r="B65" t="str">
            <v>OLD-013S</v>
          </cell>
          <cell r="C65" t="str">
            <v>*OLD-013* 35 LUK PASLANMAZ SARI RENK *1*</v>
          </cell>
          <cell r="D65" t="str">
            <v/>
          </cell>
          <cell r="E65" t="str">
            <v/>
          </cell>
          <cell r="F65" t="str">
            <v/>
          </cell>
          <cell r="G65" t="str">
            <v>AVİZE</v>
          </cell>
          <cell r="H65" t="str">
            <v>OLD-013S</v>
          </cell>
          <cell r="I65" t="str">
            <v>İÇ</v>
          </cell>
          <cell r="J65" t="str">
            <v>AVİZE.SARK</v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>HEKA</v>
          </cell>
          <cell r="P65" t="str">
            <v>ADET</v>
          </cell>
          <cell r="AF65">
            <v>0</v>
          </cell>
          <cell r="AG65" t="str">
            <v>ADET</v>
          </cell>
          <cell r="AH65">
            <v>137</v>
          </cell>
          <cell r="AI65" t="str">
            <v>TL</v>
          </cell>
          <cell r="AJ65">
            <v>1250</v>
          </cell>
          <cell r="AK65" t="str">
            <v>TL</v>
          </cell>
          <cell r="AL65">
            <v>0</v>
          </cell>
          <cell r="AM65" t="str">
            <v>1234567890010</v>
          </cell>
          <cell r="AN65" t="str">
            <v>1234567142296</v>
          </cell>
          <cell r="AO65">
            <v>0</v>
          </cell>
          <cell r="AQ65">
            <v>0</v>
          </cell>
          <cell r="AS65">
            <v>0</v>
          </cell>
          <cell r="AU65">
            <v>0</v>
          </cell>
          <cell r="AW65">
            <v>0</v>
          </cell>
        </row>
        <row r="66">
          <cell r="B66" t="str">
            <v>MJ-026B</v>
          </cell>
          <cell r="C66" t="str">
            <v>*MJ-026B* 20 LİK KAYA AVİZE CAMI BAL RENK *18*</v>
          </cell>
          <cell r="D66" t="str">
            <v/>
          </cell>
          <cell r="E66" t="str">
            <v/>
          </cell>
          <cell r="F66" t="str">
            <v/>
          </cell>
          <cell r="G66" t="str">
            <v>ZPARCA</v>
          </cell>
          <cell r="H66" t="str">
            <v>MJ-026B</v>
          </cell>
          <cell r="I66" t="str">
            <v>İÇ</v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P66" t="str">
            <v>ADET</v>
          </cell>
          <cell r="AF66">
            <v>0</v>
          </cell>
          <cell r="AG66" t="str">
            <v>ADET</v>
          </cell>
          <cell r="AH66">
            <v>20</v>
          </cell>
          <cell r="AI66" t="str">
            <v>TL</v>
          </cell>
          <cell r="AL66">
            <v>0</v>
          </cell>
          <cell r="AM66" t="str">
            <v>1234567144900</v>
          </cell>
          <cell r="AN66" t="str">
            <v>1234567142548</v>
          </cell>
          <cell r="AO66">
            <v>0</v>
          </cell>
          <cell r="AQ66">
            <v>0</v>
          </cell>
          <cell r="AS66">
            <v>0</v>
          </cell>
          <cell r="AU66">
            <v>0</v>
          </cell>
          <cell r="AW66">
            <v>0</v>
          </cell>
        </row>
        <row r="67">
          <cell r="B67" t="str">
            <v>T1C6JMELCSL-070</v>
          </cell>
          <cell r="C67" t="str">
            <v>PAPUA LINEAR ESKİTME SARKIT 70cm</v>
          </cell>
          <cell r="D67" t="str">
            <v>PAPUA LINEAR BRUSHED BRASS PENDANT 70cm</v>
          </cell>
          <cell r="E67" t="str">
            <v>METAL PLEKSİ ESKİTME ŞEFFAF</v>
          </cell>
          <cell r="F67" t="str">
            <v>9405.11.90.00.00</v>
          </cell>
          <cell r="G67" t="str">
            <v>AVİZE</v>
          </cell>
          <cell r="H67" t="str">
            <v>AD109ES</v>
          </cell>
          <cell r="I67" t="str">
            <v>İÇ</v>
          </cell>
          <cell r="J67" t="str">
            <v>AVİZE.SARK</v>
          </cell>
          <cell r="K67" t="str">
            <v>PAPUA</v>
          </cell>
          <cell r="L67" t="str">
            <v/>
          </cell>
          <cell r="M67" t="str">
            <v/>
          </cell>
          <cell r="N67" t="str">
            <v>AD109E</v>
          </cell>
          <cell r="O67" t="str">
            <v>HEKA</v>
          </cell>
          <cell r="P67" t="str">
            <v>ADET</v>
          </cell>
          <cell r="Q67" t="str">
            <v>LED</v>
          </cell>
          <cell r="R67" t="str">
            <v>METAL</v>
          </cell>
          <cell r="S67" t="str">
            <v>ESKİTME</v>
          </cell>
          <cell r="T67" t="str">
            <v>PLEKSİ</v>
          </cell>
          <cell r="U67" t="str">
            <v>ŞEFFAF</v>
          </cell>
          <cell r="AD67" t="str">
            <v>DÜZ</v>
          </cell>
          <cell r="AE67" t="str">
            <v>02</v>
          </cell>
          <cell r="AF67">
            <v>2</v>
          </cell>
          <cell r="AG67" t="str">
            <v>ADET</v>
          </cell>
          <cell r="AH67">
            <v>60</v>
          </cell>
          <cell r="AI67" t="str">
            <v>TL</v>
          </cell>
          <cell r="AJ67">
            <v>700</v>
          </cell>
          <cell r="AK67" t="str">
            <v>TL</v>
          </cell>
          <cell r="AL67">
            <v>1</v>
          </cell>
          <cell r="AM67" t="str">
            <v>8684127505758</v>
          </cell>
          <cell r="AO67">
            <v>0</v>
          </cell>
          <cell r="AQ67">
            <v>0</v>
          </cell>
          <cell r="AR67" t="str">
            <v>CM</v>
          </cell>
          <cell r="AS67">
            <v>70</v>
          </cell>
          <cell r="AT67" t="str">
            <v>CM</v>
          </cell>
          <cell r="AU67">
            <v>0</v>
          </cell>
          <cell r="AW67">
            <v>0</v>
          </cell>
        </row>
        <row r="68">
          <cell r="B68" t="str">
            <v>T1C6JMELCSL-100</v>
          </cell>
          <cell r="C68" t="str">
            <v>PAPUA LINEAR ESKİTME SARKIT 100cm</v>
          </cell>
          <cell r="D68" t="str">
            <v>PAPUA LINEAR BRUSHED BRASS PENDANT 100cm</v>
          </cell>
          <cell r="E68" t="str">
            <v>METAL PLEKSİ ESKİTME ŞEFFAF</v>
          </cell>
          <cell r="F68" t="str">
            <v>9405.11.90.00.00</v>
          </cell>
          <cell r="G68" t="str">
            <v>AVİZE</v>
          </cell>
          <cell r="H68" t="str">
            <v>AD110ES</v>
          </cell>
          <cell r="I68" t="str">
            <v>İÇ</v>
          </cell>
          <cell r="J68" t="str">
            <v>AVİZE.SARK</v>
          </cell>
          <cell r="K68" t="str">
            <v>PAPUA</v>
          </cell>
          <cell r="L68" t="str">
            <v/>
          </cell>
          <cell r="M68" t="str">
            <v/>
          </cell>
          <cell r="N68" t="str">
            <v>AD110E</v>
          </cell>
          <cell r="O68" t="str">
            <v>HEKA</v>
          </cell>
          <cell r="P68" t="str">
            <v>ADET</v>
          </cell>
          <cell r="Q68" t="str">
            <v>LED</v>
          </cell>
          <cell r="R68" t="str">
            <v>METAL</v>
          </cell>
          <cell r="S68" t="str">
            <v>ESKİTME</v>
          </cell>
          <cell r="T68" t="str">
            <v>PLEKSİ</v>
          </cell>
          <cell r="U68" t="str">
            <v>ŞEFFAF</v>
          </cell>
          <cell r="AD68" t="str">
            <v>DÜZ</v>
          </cell>
          <cell r="AE68" t="str">
            <v>02</v>
          </cell>
          <cell r="AF68">
            <v>0</v>
          </cell>
          <cell r="AG68" t="str">
            <v>ADET</v>
          </cell>
          <cell r="AH68">
            <v>49</v>
          </cell>
          <cell r="AI68" t="str">
            <v>TL</v>
          </cell>
          <cell r="AJ68">
            <v>1000</v>
          </cell>
          <cell r="AK68" t="str">
            <v>TL</v>
          </cell>
          <cell r="AL68">
            <v>1</v>
          </cell>
          <cell r="AM68" t="str">
            <v>8684127509299</v>
          </cell>
          <cell r="AO68">
            <v>0</v>
          </cell>
          <cell r="AQ68">
            <v>0</v>
          </cell>
          <cell r="AR68" t="str">
            <v>CM</v>
          </cell>
          <cell r="AS68">
            <v>100</v>
          </cell>
          <cell r="AT68" t="str">
            <v>CM</v>
          </cell>
          <cell r="AU68">
            <v>0</v>
          </cell>
          <cell r="AW68">
            <v>0</v>
          </cell>
        </row>
        <row r="69">
          <cell r="B69" t="str">
            <v>CD1F1C3M2C6H1</v>
          </cell>
          <cell r="C69" t="str">
            <v>ERD-25 C35 ŞEFFAF DÜZ 220V 4W 3200K E14 LED AMPUL</v>
          </cell>
          <cell r="D69" t="str">
            <v>ERD-25 CLEAR CANDLE 220V 4W 3200K E14 LED BULB</v>
          </cell>
          <cell r="E69" t="str">
            <v>CAM METAL ŞEFFAF FLAMENT DIMMLI C35 - DÜZ</v>
          </cell>
          <cell r="F69" t="str">
            <v>8539.52.00.00.00</v>
          </cell>
          <cell r="G69" t="str">
            <v>AMPUL</v>
          </cell>
          <cell r="H69" t="str">
            <v>CF11132B61V01</v>
          </cell>
          <cell r="I69" t="str">
            <v>İÇ</v>
          </cell>
          <cell r="J69" t="str">
            <v>AMPUL</v>
          </cell>
          <cell r="K69" t="str">
            <v>ERD-25</v>
          </cell>
          <cell r="L69" t="str">
            <v/>
          </cell>
          <cell r="M69" t="str">
            <v/>
          </cell>
          <cell r="N69" t="str">
            <v>ERD-25</v>
          </cell>
          <cell r="O69" t="str">
            <v>LAMBAM</v>
          </cell>
          <cell r="P69" t="str">
            <v>ADET</v>
          </cell>
          <cell r="Q69" t="str">
            <v>E14</v>
          </cell>
          <cell r="R69" t="str">
            <v>CAM</v>
          </cell>
          <cell r="S69" t="str">
            <v>ŞEFFAF</v>
          </cell>
          <cell r="T69" t="str">
            <v>METAL</v>
          </cell>
          <cell r="V69" t="str">
            <v>F</v>
          </cell>
          <cell r="W69" t="str">
            <v>FLAMENT</v>
          </cell>
          <cell r="X69" t="str">
            <v>220V</v>
          </cell>
          <cell r="Y69" t="str">
            <v>4 WATT</v>
          </cell>
          <cell r="Z69" t="str">
            <v>3200 K</v>
          </cell>
          <cell r="AA69" t="str">
            <v>DIMMLI</v>
          </cell>
          <cell r="AB69" t="str">
            <v>301-400</v>
          </cell>
          <cell r="AC69" t="str">
            <v>C35 - DÜZ</v>
          </cell>
          <cell r="AD69" t="str">
            <v>N/A</v>
          </cell>
          <cell r="AF69">
            <v>1504</v>
          </cell>
          <cell r="AG69" t="str">
            <v>ADET</v>
          </cell>
          <cell r="AH69">
            <v>0.21</v>
          </cell>
          <cell r="AI69" t="str">
            <v>USD</v>
          </cell>
          <cell r="AJ69">
            <v>1.1000000000000001</v>
          </cell>
          <cell r="AK69" t="str">
            <v>USD</v>
          </cell>
          <cell r="AL69">
            <v>1</v>
          </cell>
          <cell r="AM69" t="str">
            <v>8684127500159</v>
          </cell>
          <cell r="AN69" t="str">
            <v>8684127500203</v>
          </cell>
          <cell r="AO69">
            <v>0</v>
          </cell>
          <cell r="AQ69">
            <v>3.5</v>
          </cell>
          <cell r="AR69" t="str">
            <v>CM</v>
          </cell>
          <cell r="AS69">
            <v>3.5</v>
          </cell>
          <cell r="AT69" t="str">
            <v>CM</v>
          </cell>
          <cell r="AU69">
            <v>0</v>
          </cell>
          <cell r="AW69">
            <v>0</v>
          </cell>
        </row>
        <row r="70">
          <cell r="B70" t="str">
            <v>CB2F1C1M2E3M0</v>
          </cell>
          <cell r="C70" t="str">
            <v>ERD-39 G125 BAL 6W 2500K E27 LED AMPUL</v>
          </cell>
          <cell r="D70" t="str">
            <v>ERD-39 G125 BAL TRANSPARFNT 6W 2500K E27 LED BULB</v>
          </cell>
          <cell r="E70" t="str">
            <v>CAM METAL BAL FLAMENT DIMMSIZ G125-BÜYÜK TOP</v>
          </cell>
          <cell r="F70" t="str">
            <v>8539.52.00.00.00</v>
          </cell>
          <cell r="G70" t="str">
            <v>AMPUL</v>
          </cell>
          <cell r="H70" t="str">
            <v>CF21112D30V01</v>
          </cell>
          <cell r="I70" t="str">
            <v>İÇ</v>
          </cell>
          <cell r="J70" t="str">
            <v>AMPUL</v>
          </cell>
          <cell r="K70" t="str">
            <v>ERD-39</v>
          </cell>
          <cell r="L70" t="str">
            <v/>
          </cell>
          <cell r="M70" t="str">
            <v>30.01.2026</v>
          </cell>
          <cell r="N70" t="str">
            <v>ERD-39</v>
          </cell>
          <cell r="O70" t="str">
            <v>HEKA</v>
          </cell>
          <cell r="P70" t="str">
            <v>ADET</v>
          </cell>
          <cell r="Q70" t="str">
            <v>E27</v>
          </cell>
          <cell r="R70" t="str">
            <v>CAM</v>
          </cell>
          <cell r="S70" t="str">
            <v>BAL</v>
          </cell>
          <cell r="T70" t="str">
            <v>METAL</v>
          </cell>
          <cell r="V70" t="str">
            <v>F</v>
          </cell>
          <cell r="W70" t="str">
            <v>FLAMENT</v>
          </cell>
          <cell r="X70" t="str">
            <v>220V</v>
          </cell>
          <cell r="Y70" t="str">
            <v>6 WATT</v>
          </cell>
          <cell r="Z70" t="str">
            <v>2500 K</v>
          </cell>
          <cell r="AA70" t="str">
            <v>DIMMSIZ</v>
          </cell>
          <cell r="AB70" t="str">
            <v>501-600</v>
          </cell>
          <cell r="AC70" t="str">
            <v>G125-BÜYÜK TOP</v>
          </cell>
          <cell r="AD70" t="str">
            <v>N/A</v>
          </cell>
          <cell r="AF70">
            <v>1899</v>
          </cell>
          <cell r="AG70" t="str">
            <v>ADET</v>
          </cell>
          <cell r="AH70">
            <v>0.99</v>
          </cell>
          <cell r="AI70" t="str">
            <v>USD</v>
          </cell>
          <cell r="AJ70">
            <v>6.2</v>
          </cell>
          <cell r="AK70" t="str">
            <v>USD</v>
          </cell>
          <cell r="AL70">
            <v>1</v>
          </cell>
          <cell r="AM70" t="str">
            <v>8684127504089</v>
          </cell>
          <cell r="AN70" t="str">
            <v>8684127500449</v>
          </cell>
          <cell r="AO70">
            <v>0</v>
          </cell>
          <cell r="AQ70">
            <v>12.5</v>
          </cell>
          <cell r="AR70" t="str">
            <v>CM</v>
          </cell>
          <cell r="AS70">
            <v>12.5</v>
          </cell>
          <cell r="AT70" t="str">
            <v>CM</v>
          </cell>
          <cell r="AU70">
            <v>0</v>
          </cell>
          <cell r="AW70">
            <v>0</v>
          </cell>
        </row>
        <row r="71">
          <cell r="B71" t="str">
            <v>NGJ16003</v>
          </cell>
          <cell r="C71" t="str">
            <v>*NGJ16003* BETON ABAJUR *12*</v>
          </cell>
          <cell r="D71" t="str">
            <v/>
          </cell>
          <cell r="E71" t="str">
            <v/>
          </cell>
          <cell r="F71" t="str">
            <v/>
          </cell>
          <cell r="G71" t="str">
            <v>MASAABAJ</v>
          </cell>
          <cell r="H71" t="str">
            <v>NGJ16003</v>
          </cell>
          <cell r="I71" t="str">
            <v>İÇ</v>
          </cell>
          <cell r="J71" t="str">
            <v>MASAABAJ</v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>HEKA</v>
          </cell>
          <cell r="P71" t="str">
            <v>ADET</v>
          </cell>
          <cell r="Q71" t="str">
            <v>G9</v>
          </cell>
          <cell r="R71" t="str">
            <v>BETON</v>
          </cell>
          <cell r="S71" t="str">
            <v>GRİ</v>
          </cell>
          <cell r="T71" t="str">
            <v>METAL</v>
          </cell>
          <cell r="U71" t="str">
            <v>ESKİTME</v>
          </cell>
          <cell r="AE71" t="str">
            <v>01</v>
          </cell>
          <cell r="AF71">
            <v>30</v>
          </cell>
          <cell r="AG71" t="str">
            <v>ADET</v>
          </cell>
          <cell r="AH71">
            <v>27.5</v>
          </cell>
          <cell r="AI71" t="str">
            <v>TL</v>
          </cell>
          <cell r="AJ71">
            <v>1369</v>
          </cell>
          <cell r="AK71" t="str">
            <v>TL</v>
          </cell>
          <cell r="AL71">
            <v>0</v>
          </cell>
          <cell r="AM71" t="str">
            <v>1234567144306</v>
          </cell>
          <cell r="AN71" t="str">
            <v>1234567140452</v>
          </cell>
          <cell r="AO71">
            <v>0</v>
          </cell>
          <cell r="AQ71">
            <v>23</v>
          </cell>
          <cell r="AR71" t="str">
            <v>CM</v>
          </cell>
          <cell r="AS71">
            <v>9</v>
          </cell>
          <cell r="AT71" t="str">
            <v>CM</v>
          </cell>
          <cell r="AU71">
            <v>0</v>
          </cell>
          <cell r="AW71">
            <v>0</v>
          </cell>
        </row>
        <row r="72">
          <cell r="B72" t="str">
            <v>TYH008</v>
          </cell>
          <cell r="C72" t="str">
            <v>*TYH008-1*  BAL MİNA APLİK CAMI</v>
          </cell>
          <cell r="D72" t="str">
            <v/>
          </cell>
          <cell r="E72" t="str">
            <v/>
          </cell>
          <cell r="F72" t="str">
            <v/>
          </cell>
          <cell r="G72" t="str">
            <v>ZPARCA</v>
          </cell>
          <cell r="H72" t="str">
            <v>TYH008</v>
          </cell>
          <cell r="I72" t="str">
            <v>İÇ</v>
          </cell>
          <cell r="J72" t="str">
            <v>ZPARCA</v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P72" t="str">
            <v>ADET</v>
          </cell>
          <cell r="AF72">
            <v>21</v>
          </cell>
          <cell r="AG72" t="str">
            <v>ADET</v>
          </cell>
          <cell r="AH72">
            <v>11</v>
          </cell>
          <cell r="AI72" t="str">
            <v>TL</v>
          </cell>
          <cell r="AL72">
            <v>0</v>
          </cell>
          <cell r="AM72" t="str">
            <v>1234567144481</v>
          </cell>
          <cell r="AN72" t="str">
            <v>1234567140766</v>
          </cell>
          <cell r="AO72">
            <v>0</v>
          </cell>
          <cell r="AQ72">
            <v>0</v>
          </cell>
          <cell r="AS72">
            <v>0</v>
          </cell>
          <cell r="AU72">
            <v>0</v>
          </cell>
          <cell r="AW72">
            <v>0</v>
          </cell>
        </row>
        <row r="73">
          <cell r="B73" t="str">
            <v>T1C6JMBLCSL-070</v>
          </cell>
          <cell r="C73" t="str">
            <v>PAPUA LINEAR BAKIR SARKIT 70cm</v>
          </cell>
          <cell r="D73" t="str">
            <v>PAPUA LINEAR COPPER PENDANT 70cm</v>
          </cell>
          <cell r="E73" t="str">
            <v>METAL PLEKSİ BAKIR ŞEFFAF</v>
          </cell>
          <cell r="F73" t="str">
            <v>9405.11.90.00.00</v>
          </cell>
          <cell r="G73" t="str">
            <v>AVİZE</v>
          </cell>
          <cell r="H73" t="str">
            <v>AD109</v>
          </cell>
          <cell r="I73" t="str">
            <v>İÇ</v>
          </cell>
          <cell r="J73" t="str">
            <v>AVİZE.SARK</v>
          </cell>
          <cell r="K73" t="str">
            <v>PAPUA</v>
          </cell>
          <cell r="L73" t="str">
            <v/>
          </cell>
          <cell r="M73" t="str">
            <v/>
          </cell>
          <cell r="N73" t="str">
            <v>AD109B</v>
          </cell>
          <cell r="O73" t="str">
            <v>HEKA</v>
          </cell>
          <cell r="P73" t="str">
            <v>ADET</v>
          </cell>
          <cell r="Q73" t="str">
            <v>LED</v>
          </cell>
          <cell r="R73" t="str">
            <v>METAL</v>
          </cell>
          <cell r="S73" t="str">
            <v>BAKIR</v>
          </cell>
          <cell r="T73" t="str">
            <v>PLEKSİ</v>
          </cell>
          <cell r="U73" t="str">
            <v>ŞEFFAF</v>
          </cell>
          <cell r="AD73" t="str">
            <v>DÜZ</v>
          </cell>
          <cell r="AF73">
            <v>25</v>
          </cell>
          <cell r="AG73" t="str">
            <v>ADET</v>
          </cell>
          <cell r="AH73">
            <v>60</v>
          </cell>
          <cell r="AI73" t="str">
            <v>TL</v>
          </cell>
          <cell r="AJ73">
            <v>1666</v>
          </cell>
          <cell r="AK73" t="str">
            <v>TL</v>
          </cell>
          <cell r="AL73">
            <v>1</v>
          </cell>
          <cell r="AM73" t="str">
            <v>8684127505734</v>
          </cell>
          <cell r="AO73">
            <v>0</v>
          </cell>
          <cell r="AQ73">
            <v>0</v>
          </cell>
          <cell r="AR73" t="str">
            <v>CM</v>
          </cell>
          <cell r="AS73">
            <v>70</v>
          </cell>
          <cell r="AT73" t="str">
            <v>CM</v>
          </cell>
          <cell r="AU73">
            <v>0</v>
          </cell>
          <cell r="AW73">
            <v>0</v>
          </cell>
        </row>
        <row r="74">
          <cell r="B74" t="str">
            <v>T1C2JME000L-009</v>
          </cell>
          <cell r="C74" t="str">
            <v>ARVİKA DEKORATİF ESKİTME DUY</v>
          </cell>
          <cell r="D74" t="str">
            <v>ARVIKA DECORATIVE BRUSHED BRASS LAMP HOLDER</v>
          </cell>
          <cell r="E74" t="str">
            <v>METAL YOK ESKİTME YOK</v>
          </cell>
          <cell r="F74" t="str">
            <v>9405.19.90.00.00</v>
          </cell>
          <cell r="G74" t="str">
            <v>ZPARCA</v>
          </cell>
          <cell r="H74" t="str">
            <v>T1A2110102-01</v>
          </cell>
          <cell r="I74" t="str">
            <v>İÇ</v>
          </cell>
          <cell r="J74" t="str">
            <v>ZPARCA</v>
          </cell>
          <cell r="K74" t="str">
            <v>ARVİKA</v>
          </cell>
          <cell r="L74" t="str">
            <v/>
          </cell>
          <cell r="M74" t="str">
            <v/>
          </cell>
          <cell r="N74" t="str">
            <v>ERD-143E</v>
          </cell>
          <cell r="O74" t="str">
            <v>HEKA</v>
          </cell>
          <cell r="P74" t="str">
            <v>ADET</v>
          </cell>
          <cell r="Q74" t="str">
            <v>E27</v>
          </cell>
          <cell r="R74" t="str">
            <v>METAL</v>
          </cell>
          <cell r="S74" t="str">
            <v>ESKİTME</v>
          </cell>
          <cell r="T74" t="str">
            <v>YOK</v>
          </cell>
          <cell r="U74" t="str">
            <v>YOK</v>
          </cell>
          <cell r="AD74" t="str">
            <v>DÜZ</v>
          </cell>
          <cell r="AE74" t="str">
            <v>02</v>
          </cell>
          <cell r="AF74">
            <v>831</v>
          </cell>
          <cell r="AG74" t="str">
            <v>ADET</v>
          </cell>
          <cell r="AH74">
            <v>6.2</v>
          </cell>
          <cell r="AI74" t="str">
            <v>CNY</v>
          </cell>
          <cell r="AJ74">
            <v>795</v>
          </cell>
          <cell r="AK74" t="str">
            <v>TL</v>
          </cell>
          <cell r="AL74">
            <v>1</v>
          </cell>
          <cell r="AM74" t="str">
            <v>8684127505871</v>
          </cell>
          <cell r="AO74">
            <v>0</v>
          </cell>
          <cell r="AQ74">
            <v>4.5</v>
          </cell>
          <cell r="AR74" t="str">
            <v>CM</v>
          </cell>
          <cell r="AS74">
            <v>9</v>
          </cell>
          <cell r="AT74" t="str">
            <v>CM</v>
          </cell>
          <cell r="AU74">
            <v>0</v>
          </cell>
          <cell r="AW74">
            <v>0</v>
          </cell>
        </row>
        <row r="75">
          <cell r="B75" t="str">
            <v>OLD-014B</v>
          </cell>
          <cell r="C75" t="str">
            <v>*OLD-014* 57 LİK PASLANMAZ BAKIR RENK *1*</v>
          </cell>
          <cell r="D75" t="str">
            <v/>
          </cell>
          <cell r="E75" t="str">
            <v/>
          </cell>
          <cell r="F75" t="str">
            <v/>
          </cell>
          <cell r="G75" t="str">
            <v>AVİZE</v>
          </cell>
          <cell r="H75" t="str">
            <v>OLD-014B</v>
          </cell>
          <cell r="I75" t="str">
            <v>İÇ</v>
          </cell>
          <cell r="J75" t="str">
            <v>AVİZE.SARK</v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P75" t="str">
            <v>ADET</v>
          </cell>
          <cell r="AF75">
            <v>0</v>
          </cell>
          <cell r="AG75" t="str">
            <v>ADET</v>
          </cell>
          <cell r="AH75">
            <v>333</v>
          </cell>
          <cell r="AI75" t="str">
            <v>TL</v>
          </cell>
          <cell r="AJ75">
            <v>2250</v>
          </cell>
          <cell r="AK75" t="str">
            <v>TL</v>
          </cell>
          <cell r="AL75">
            <v>0</v>
          </cell>
          <cell r="AM75" t="str">
            <v>1234567890011</v>
          </cell>
          <cell r="AN75" t="str">
            <v>1234567142319</v>
          </cell>
          <cell r="AO75">
            <v>0</v>
          </cell>
          <cell r="AQ75">
            <v>0</v>
          </cell>
          <cell r="AS75">
            <v>0</v>
          </cell>
          <cell r="AU75">
            <v>0</v>
          </cell>
          <cell r="AW75">
            <v>0</v>
          </cell>
        </row>
        <row r="76">
          <cell r="B76" t="str">
            <v>CF2F1C1M2E3M0</v>
          </cell>
          <cell r="C76" t="str">
            <v>ERD-81 ST64 BAL 6W 2500K E27 LED AMPUL</v>
          </cell>
          <cell r="D76" t="str">
            <v>ERD-81 ST64 AMBER 6W 2500K E27 LED BULB</v>
          </cell>
          <cell r="E76" t="str">
            <v>CAM METAL BAL FLAMENT DIMMSIZ ST64-ARMUT</v>
          </cell>
          <cell r="F76" t="str">
            <v>8539.52.00.00.00</v>
          </cell>
          <cell r="G76" t="str">
            <v>AMPUL</v>
          </cell>
          <cell r="H76" t="str">
            <v>CF21112D30V04</v>
          </cell>
          <cell r="I76" t="str">
            <v>İÇ</v>
          </cell>
          <cell r="J76" t="str">
            <v>AMPUL</v>
          </cell>
          <cell r="K76" t="str">
            <v>ERD-81</v>
          </cell>
          <cell r="L76" t="str">
            <v/>
          </cell>
          <cell r="M76" t="str">
            <v/>
          </cell>
          <cell r="N76" t="str">
            <v>ERD-81</v>
          </cell>
          <cell r="O76" t="str">
            <v>HEKA</v>
          </cell>
          <cell r="P76" t="str">
            <v>ADET</v>
          </cell>
          <cell r="Q76" t="str">
            <v>E27</v>
          </cell>
          <cell r="R76" t="str">
            <v>CAM</v>
          </cell>
          <cell r="S76" t="str">
            <v>BAL</v>
          </cell>
          <cell r="T76" t="str">
            <v>METAL</v>
          </cell>
          <cell r="V76" t="str">
            <v>F</v>
          </cell>
          <cell r="W76" t="str">
            <v>FLAMENT</v>
          </cell>
          <cell r="X76" t="str">
            <v>220V</v>
          </cell>
          <cell r="Y76" t="str">
            <v>6 WATT</v>
          </cell>
          <cell r="Z76" t="str">
            <v>2500 K</v>
          </cell>
          <cell r="AA76" t="str">
            <v>DIMMSIZ</v>
          </cell>
          <cell r="AB76" t="str">
            <v>501-600</v>
          </cell>
          <cell r="AC76" t="str">
            <v>ST64-ARMUT</v>
          </cell>
          <cell r="AD76" t="str">
            <v>N/A</v>
          </cell>
          <cell r="AF76">
            <v>8444</v>
          </cell>
          <cell r="AG76" t="str">
            <v>ADET</v>
          </cell>
          <cell r="AH76">
            <v>0.46</v>
          </cell>
          <cell r="AI76" t="str">
            <v>USD</v>
          </cell>
          <cell r="AJ76">
            <v>2.5</v>
          </cell>
          <cell r="AK76" t="str">
            <v>USD</v>
          </cell>
          <cell r="AL76">
            <v>1</v>
          </cell>
          <cell r="AM76" t="str">
            <v>8684127504157</v>
          </cell>
          <cell r="AN76" t="str">
            <v>8699089463854</v>
          </cell>
          <cell r="AO76">
            <v>0</v>
          </cell>
          <cell r="AQ76">
            <v>6.4</v>
          </cell>
          <cell r="AR76" t="str">
            <v>CM</v>
          </cell>
          <cell r="AS76">
            <v>6.4</v>
          </cell>
          <cell r="AT76" t="str">
            <v>CM</v>
          </cell>
          <cell r="AU76">
            <v>0</v>
          </cell>
          <cell r="AW76">
            <v>0</v>
          </cell>
        </row>
        <row r="77">
          <cell r="B77" t="str">
            <v>CF2F1C1M2E3M0</v>
          </cell>
          <cell r="C77" t="str">
            <v>ERD-81 ST64 BAL 6W 2500K E27 LED AMPUL</v>
          </cell>
          <cell r="D77" t="str">
            <v>ERD-81 ST64 AMBER 6W 2500K E27 LED BULB</v>
          </cell>
          <cell r="E77" t="str">
            <v>CAM METAL BAL FLAMENT DIMMSIZ ST64-ARMUT</v>
          </cell>
          <cell r="F77" t="str">
            <v>8539.52.00.00.00</v>
          </cell>
          <cell r="G77" t="str">
            <v>AMPUL</v>
          </cell>
          <cell r="H77" t="str">
            <v>CF21112D30V04</v>
          </cell>
          <cell r="I77" t="str">
            <v>İÇ</v>
          </cell>
          <cell r="J77" t="str">
            <v>AMPUL</v>
          </cell>
          <cell r="K77" t="str">
            <v>ERD-81</v>
          </cell>
          <cell r="L77" t="str">
            <v/>
          </cell>
          <cell r="M77" t="str">
            <v/>
          </cell>
          <cell r="N77" t="str">
            <v>ERD-81</v>
          </cell>
          <cell r="O77" t="str">
            <v>HEKA</v>
          </cell>
          <cell r="P77" t="str">
            <v>ADET</v>
          </cell>
          <cell r="Q77" t="str">
            <v>E27</v>
          </cell>
          <cell r="R77" t="str">
            <v>CAM</v>
          </cell>
          <cell r="S77" t="str">
            <v>BAL</v>
          </cell>
          <cell r="T77" t="str">
            <v>METAL</v>
          </cell>
          <cell r="V77" t="str">
            <v>F</v>
          </cell>
          <cell r="W77" t="str">
            <v>FLAMENT</v>
          </cell>
          <cell r="X77" t="str">
            <v>220V</v>
          </cell>
          <cell r="Y77" t="str">
            <v>6 WATT</v>
          </cell>
          <cell r="Z77" t="str">
            <v>2500 K</v>
          </cell>
          <cell r="AA77" t="str">
            <v>DIMMSIZ</v>
          </cell>
          <cell r="AB77" t="str">
            <v>501-600</v>
          </cell>
          <cell r="AC77" t="str">
            <v>ST64-ARMUT</v>
          </cell>
          <cell r="AD77" t="str">
            <v>N/A</v>
          </cell>
          <cell r="AF77">
            <v>8444</v>
          </cell>
          <cell r="AG77" t="str">
            <v>ADET</v>
          </cell>
          <cell r="AH77">
            <v>0.46</v>
          </cell>
          <cell r="AI77" t="str">
            <v>USD</v>
          </cell>
          <cell r="AJ77">
            <v>2.5</v>
          </cell>
          <cell r="AK77" t="str">
            <v>USD</v>
          </cell>
          <cell r="AL77">
            <v>1</v>
          </cell>
          <cell r="AM77" t="str">
            <v>8684127504157</v>
          </cell>
          <cell r="AN77" t="str">
            <v>8684127506625</v>
          </cell>
          <cell r="AO77">
            <v>0</v>
          </cell>
          <cell r="AQ77">
            <v>6.4</v>
          </cell>
          <cell r="AR77" t="str">
            <v>CM</v>
          </cell>
          <cell r="AS77">
            <v>6.4</v>
          </cell>
          <cell r="AT77" t="str">
            <v>CM</v>
          </cell>
          <cell r="AU77">
            <v>0</v>
          </cell>
          <cell r="AW77">
            <v>0</v>
          </cell>
        </row>
        <row r="78">
          <cell r="B78" t="str">
            <v>H1W4JMEECSR-025</v>
          </cell>
          <cell r="C78" t="str">
            <v>BATUR ŞEFFAF SARKIT 25cm</v>
          </cell>
          <cell r="D78" t="str">
            <v>BATUR CLEAR PENDANT 25cm</v>
          </cell>
          <cell r="E78" t="str">
            <v>METAL CAM ESKİTME ŞEFFAF</v>
          </cell>
          <cell r="F78" t="str">
            <v>9405.19.90.00.00</v>
          </cell>
          <cell r="G78" t="str">
            <v>AVİZE</v>
          </cell>
          <cell r="H78" t="str">
            <v>H1A4112400-25</v>
          </cell>
          <cell r="I78" t="str">
            <v>İÇ</v>
          </cell>
          <cell r="J78" t="str">
            <v>AVİZE.SARK</v>
          </cell>
          <cell r="K78" t="str">
            <v>BATUR</v>
          </cell>
          <cell r="L78" t="str">
            <v/>
          </cell>
          <cell r="M78" t="str">
            <v/>
          </cell>
          <cell r="N78" t="str">
            <v>HK20048</v>
          </cell>
          <cell r="O78" t="str">
            <v>HEKA</v>
          </cell>
          <cell r="P78" t="str">
            <v>ADET</v>
          </cell>
          <cell r="Q78" t="str">
            <v>G4</v>
          </cell>
          <cell r="R78" t="str">
            <v>METAL</v>
          </cell>
          <cell r="S78" t="str">
            <v>ESKİTME</v>
          </cell>
          <cell r="T78" t="str">
            <v>CAM</v>
          </cell>
          <cell r="U78" t="str">
            <v>ŞEFFAF</v>
          </cell>
          <cell r="AD78" t="str">
            <v>DAİRE</v>
          </cell>
          <cell r="AE78" t="str">
            <v>02</v>
          </cell>
          <cell r="AF78">
            <v>0</v>
          </cell>
          <cell r="AG78" t="str">
            <v>ADET</v>
          </cell>
          <cell r="AH78">
            <v>75</v>
          </cell>
          <cell r="AI78" t="str">
            <v>TL</v>
          </cell>
          <cell r="AJ78">
            <v>3778</v>
          </cell>
          <cell r="AK78" t="str">
            <v>TL</v>
          </cell>
          <cell r="AL78">
            <v>1</v>
          </cell>
          <cell r="AM78" t="str">
            <v>8684127506045</v>
          </cell>
          <cell r="AO78">
            <v>0</v>
          </cell>
          <cell r="AQ78">
            <v>46</v>
          </cell>
          <cell r="AR78" t="str">
            <v>CM</v>
          </cell>
          <cell r="AS78">
            <v>25</v>
          </cell>
          <cell r="AT78" t="str">
            <v>CM</v>
          </cell>
          <cell r="AU78">
            <v>0</v>
          </cell>
          <cell r="AW78">
            <v>0</v>
          </cell>
        </row>
        <row r="79">
          <cell r="B79" t="str">
            <v>CK1G2P3M2D5H0</v>
          </cell>
          <cell r="C79" t="str">
            <v>ERD-217 MISIR ŞEFFAF 5W 3000K E14 LED AMPUL</v>
          </cell>
          <cell r="D79" t="str">
            <v>ERD-217 CORN CLEAR 5W 3000K E14 LED BULB</v>
          </cell>
          <cell r="E79" t="str">
            <v>PLASTİK METAL ŞEFFAF SMD LED DIMMSIZ MISIR</v>
          </cell>
          <cell r="F79" t="str">
            <v>8539.52.00.00.00</v>
          </cell>
          <cell r="G79" t="str">
            <v>AMPUL</v>
          </cell>
          <cell r="H79" t="str">
            <v>CG12232C50000</v>
          </cell>
          <cell r="I79" t="str">
            <v>İÇ</v>
          </cell>
          <cell r="J79" t="str">
            <v>AMPUL</v>
          </cell>
          <cell r="K79" t="str">
            <v>ERD-217</v>
          </cell>
          <cell r="L79" t="str">
            <v/>
          </cell>
          <cell r="M79" t="str">
            <v/>
          </cell>
          <cell r="N79" t="str">
            <v>ERD-217</v>
          </cell>
          <cell r="O79" t="str">
            <v>HEKA</v>
          </cell>
          <cell r="P79" t="str">
            <v>ADET</v>
          </cell>
          <cell r="Q79" t="str">
            <v>E14</v>
          </cell>
          <cell r="R79" t="str">
            <v>PLASTİK</v>
          </cell>
          <cell r="S79" t="str">
            <v>ŞEFFAF</v>
          </cell>
          <cell r="T79" t="str">
            <v>METAL</v>
          </cell>
          <cell r="V79" t="str">
            <v>G</v>
          </cell>
          <cell r="W79" t="str">
            <v>SMD LED</v>
          </cell>
          <cell r="X79" t="str">
            <v>220V</v>
          </cell>
          <cell r="Y79" t="str">
            <v>5 WATT</v>
          </cell>
          <cell r="Z79" t="str">
            <v>3000 K</v>
          </cell>
          <cell r="AA79" t="str">
            <v>DIMMSIZ</v>
          </cell>
          <cell r="AB79" t="str">
            <v>301-400</v>
          </cell>
          <cell r="AC79" t="str">
            <v>MISIR</v>
          </cell>
          <cell r="AD79" t="str">
            <v>N/A</v>
          </cell>
          <cell r="AF79">
            <v>6475</v>
          </cell>
          <cell r="AG79" t="str">
            <v>ADET</v>
          </cell>
          <cell r="AH79">
            <v>1.7</v>
          </cell>
          <cell r="AI79" t="str">
            <v>CNY</v>
          </cell>
          <cell r="AJ79">
            <v>1.3</v>
          </cell>
          <cell r="AK79" t="str">
            <v>USD</v>
          </cell>
          <cell r="AL79">
            <v>1</v>
          </cell>
          <cell r="AM79" t="str">
            <v>8684127503877</v>
          </cell>
          <cell r="AN79" t="str">
            <v>8684127500562</v>
          </cell>
          <cell r="AO79">
            <v>0</v>
          </cell>
          <cell r="AQ79">
            <v>1.5</v>
          </cell>
          <cell r="AR79" t="str">
            <v>CM</v>
          </cell>
          <cell r="AS79">
            <v>1.5</v>
          </cell>
          <cell r="AT79" t="str">
            <v>CM</v>
          </cell>
          <cell r="AU79">
            <v>0</v>
          </cell>
          <cell r="AW79">
            <v>0</v>
          </cell>
        </row>
        <row r="80">
          <cell r="B80" t="str">
            <v>ERD-14</v>
          </cell>
          <cell r="C80" t="str">
            <v>*ERD-14* HEKA 4 WATT BAL RENK LED AMPUL *6*</v>
          </cell>
          <cell r="D80" t="str">
            <v/>
          </cell>
          <cell r="E80" t="str">
            <v/>
          </cell>
          <cell r="F80" t="str">
            <v/>
          </cell>
          <cell r="G80" t="str">
            <v xml:space="preserve"> AVİZE</v>
          </cell>
          <cell r="H80" t="str">
            <v>ERD-14</v>
          </cell>
          <cell r="I80" t="str">
            <v>İÇ</v>
          </cell>
          <cell r="J80" t="str">
            <v>AVİZE.SARK</v>
          </cell>
          <cell r="K80" t="str">
            <v/>
          </cell>
          <cell r="L80" t="str">
            <v/>
          </cell>
          <cell r="M80" t="str">
            <v/>
          </cell>
          <cell r="N80" t="str">
            <v>ERD-14</v>
          </cell>
          <cell r="O80" t="str">
            <v>HEKA</v>
          </cell>
          <cell r="P80" t="str">
            <v>ADET</v>
          </cell>
          <cell r="AF80">
            <v>0</v>
          </cell>
          <cell r="AG80" t="str">
            <v>ADET</v>
          </cell>
          <cell r="AH80">
            <v>35</v>
          </cell>
          <cell r="AI80" t="str">
            <v>CNY</v>
          </cell>
          <cell r="AJ80">
            <v>690</v>
          </cell>
          <cell r="AK80" t="str">
            <v>TL</v>
          </cell>
          <cell r="AL80">
            <v>1</v>
          </cell>
          <cell r="AM80" t="str">
            <v>1234567890006</v>
          </cell>
          <cell r="AN80" t="str">
            <v>1234567143323</v>
          </cell>
          <cell r="AO80">
            <v>0</v>
          </cell>
          <cell r="AQ80">
            <v>0</v>
          </cell>
          <cell r="AS80">
            <v>0</v>
          </cell>
          <cell r="AU80">
            <v>0</v>
          </cell>
          <cell r="AW80">
            <v>0</v>
          </cell>
        </row>
        <row r="81">
          <cell r="B81" t="str">
            <v>T1C2ERLJRS0-048</v>
          </cell>
          <cell r="C81" t="str">
            <v>REGULUS TEKLİ BAL CAM AVİZE</v>
          </cell>
          <cell r="D81" t="str">
            <v>REGULUS SINGLE AMBER GLASS CHANDELIER</v>
          </cell>
          <cell r="E81" t="str">
            <v>CAM METAL BAL SİYAH</v>
          </cell>
          <cell r="F81" t="str">
            <v>9405.19.50.00.19</v>
          </cell>
          <cell r="G81" t="str">
            <v>AVİZE</v>
          </cell>
          <cell r="H81" t="str">
            <v>T1A2314002B01</v>
          </cell>
          <cell r="I81" t="str">
            <v>İÇ</v>
          </cell>
          <cell r="J81" t="str">
            <v>AVİZE.SARK</v>
          </cell>
          <cell r="K81" t="str">
            <v>REGULUS</v>
          </cell>
          <cell r="L81" t="str">
            <v/>
          </cell>
          <cell r="M81" t="str">
            <v/>
          </cell>
          <cell r="N81" t="str">
            <v>MJ-032A</v>
          </cell>
          <cell r="O81" t="str">
            <v>TOPLAMA</v>
          </cell>
          <cell r="P81" t="str">
            <v>ADET</v>
          </cell>
          <cell r="Q81" t="str">
            <v>E27</v>
          </cell>
          <cell r="R81" t="str">
            <v>CAM</v>
          </cell>
          <cell r="S81" t="str">
            <v>BAL</v>
          </cell>
          <cell r="T81" t="str">
            <v>METAL</v>
          </cell>
          <cell r="U81" t="str">
            <v>SİYAH</v>
          </cell>
          <cell r="AD81" t="str">
            <v>N/A</v>
          </cell>
          <cell r="AE81" t="str">
            <v>01</v>
          </cell>
          <cell r="AF81">
            <v>14</v>
          </cell>
          <cell r="AG81" t="str">
            <v>ADET</v>
          </cell>
          <cell r="AH81">
            <v>52</v>
          </cell>
          <cell r="AI81" t="str">
            <v>CNY</v>
          </cell>
          <cell r="AJ81">
            <v>1655</v>
          </cell>
          <cell r="AK81" t="str">
            <v>TL</v>
          </cell>
          <cell r="AL81">
            <v>1</v>
          </cell>
          <cell r="AM81" t="str">
            <v>8684127504713</v>
          </cell>
          <cell r="AO81">
            <v>0</v>
          </cell>
          <cell r="AQ81">
            <v>0</v>
          </cell>
          <cell r="AR81" t="str">
            <v>CM</v>
          </cell>
          <cell r="AS81">
            <v>48</v>
          </cell>
          <cell r="AT81" t="str">
            <v>CM</v>
          </cell>
          <cell r="AU81">
            <v>0</v>
          </cell>
          <cell r="AW81">
            <v>0</v>
          </cell>
        </row>
        <row r="82">
          <cell r="B82" t="str">
            <v>CF2G1C1M2C3E1</v>
          </cell>
          <cell r="C82" t="str">
            <v>ERD-31 ST64 BAL 4W 2500K E27 LED AMPUL</v>
          </cell>
          <cell r="D82" t="str">
            <v>ERD-31 ST64 AMBER CLEAR 4W 2500K E27 LED BULB</v>
          </cell>
          <cell r="E82" t="str">
            <v>CAM METAL BAL FLAMENT DIMMLI ST64-ARMUT</v>
          </cell>
          <cell r="F82" t="str">
            <v>8539.52.00.00.00</v>
          </cell>
          <cell r="G82" t="str">
            <v>AMPUL</v>
          </cell>
          <cell r="H82" t="str">
            <v>CF21112B31V01</v>
          </cell>
          <cell r="I82" t="str">
            <v>İÇ</v>
          </cell>
          <cell r="J82" t="str">
            <v>AMPUL</v>
          </cell>
          <cell r="K82" t="str">
            <v>ERD-31</v>
          </cell>
          <cell r="L82" t="str">
            <v/>
          </cell>
          <cell r="M82" t="str">
            <v/>
          </cell>
          <cell r="N82" t="str">
            <v>ERD-31</v>
          </cell>
          <cell r="O82" t="str">
            <v>LAMBAM</v>
          </cell>
          <cell r="P82" t="str">
            <v>ADET</v>
          </cell>
          <cell r="Q82" t="str">
            <v>E27</v>
          </cell>
          <cell r="R82" t="str">
            <v>CAM</v>
          </cell>
          <cell r="S82" t="str">
            <v>BAL</v>
          </cell>
          <cell r="T82" t="str">
            <v>METAL</v>
          </cell>
          <cell r="V82" t="str">
            <v>G</v>
          </cell>
          <cell r="W82" t="str">
            <v>FLAMENT</v>
          </cell>
          <cell r="X82" t="str">
            <v>220V</v>
          </cell>
          <cell r="Y82" t="str">
            <v>4 WATT</v>
          </cell>
          <cell r="Z82" t="str">
            <v>2500 K</v>
          </cell>
          <cell r="AA82" t="str">
            <v>DIMMLI</v>
          </cell>
          <cell r="AB82" t="str">
            <v>201-300</v>
          </cell>
          <cell r="AC82" t="str">
            <v>ST64-ARMUT</v>
          </cell>
          <cell r="AD82" t="str">
            <v>N/A</v>
          </cell>
          <cell r="AF82">
            <v>403</v>
          </cell>
          <cell r="AG82" t="str">
            <v>ADET</v>
          </cell>
          <cell r="AH82">
            <v>0.45600000000000002</v>
          </cell>
          <cell r="AI82" t="str">
            <v>USD</v>
          </cell>
          <cell r="AJ82">
            <v>1.9</v>
          </cell>
          <cell r="AK82" t="str">
            <v>USD</v>
          </cell>
          <cell r="AL82">
            <v>1</v>
          </cell>
          <cell r="AM82" t="str">
            <v>8684127500180</v>
          </cell>
          <cell r="AN82" t="str">
            <v>8684127500197</v>
          </cell>
          <cell r="AO82">
            <v>0</v>
          </cell>
          <cell r="AQ82">
            <v>6.4</v>
          </cell>
          <cell r="AR82" t="str">
            <v>CM</v>
          </cell>
          <cell r="AS82">
            <v>6.4</v>
          </cell>
          <cell r="AT82" t="str">
            <v>CM</v>
          </cell>
          <cell r="AU82">
            <v>0</v>
          </cell>
          <cell r="AW82">
            <v>0</v>
          </cell>
        </row>
        <row r="83">
          <cell r="B83" t="str">
            <v>CL2F1C1M2E3M0</v>
          </cell>
          <cell r="C83" t="str">
            <v>ERD-33 T30-225 BAL 6W 2500K E27 LED AMPUL</v>
          </cell>
          <cell r="D83" t="str">
            <v>ERD-33 T30-225 AMBER 6W 2500K E27 LED BULB</v>
          </cell>
          <cell r="E83" t="str">
            <v>CAM METAL BAL FLAMENT DIMMSIZ T30-TÜP</v>
          </cell>
          <cell r="F83" t="str">
            <v>8539.52.00.00.00</v>
          </cell>
          <cell r="G83" t="str">
            <v>AMPUL</v>
          </cell>
          <cell r="H83" t="str">
            <v>CF21112D30V05</v>
          </cell>
          <cell r="I83" t="str">
            <v>İÇ</v>
          </cell>
          <cell r="J83" t="str">
            <v>AMPUL</v>
          </cell>
          <cell r="K83" t="str">
            <v>ERD-33</v>
          </cell>
          <cell r="L83" t="str">
            <v/>
          </cell>
          <cell r="M83" t="str">
            <v/>
          </cell>
          <cell r="N83" t="str">
            <v>ERD-33</v>
          </cell>
          <cell r="O83" t="str">
            <v>HEKA</v>
          </cell>
          <cell r="P83" t="str">
            <v>ADET</v>
          </cell>
          <cell r="Q83" t="str">
            <v>E27</v>
          </cell>
          <cell r="R83" t="str">
            <v>CAM</v>
          </cell>
          <cell r="S83" t="str">
            <v>BAL</v>
          </cell>
          <cell r="T83" t="str">
            <v>METAL</v>
          </cell>
          <cell r="V83" t="str">
            <v>F</v>
          </cell>
          <cell r="W83" t="str">
            <v>FLAMENT</v>
          </cell>
          <cell r="X83" t="str">
            <v>220V</v>
          </cell>
          <cell r="Y83" t="str">
            <v>6 WATT</v>
          </cell>
          <cell r="Z83" t="str">
            <v>2500 K</v>
          </cell>
          <cell r="AA83" t="str">
            <v>DIMMSIZ</v>
          </cell>
          <cell r="AB83" t="str">
            <v>501-600</v>
          </cell>
          <cell r="AC83" t="str">
            <v>T30-TÜP</v>
          </cell>
          <cell r="AD83" t="str">
            <v>N/A</v>
          </cell>
          <cell r="AF83">
            <v>125</v>
          </cell>
          <cell r="AG83" t="str">
            <v>ADET</v>
          </cell>
          <cell r="AH83">
            <v>1.1399999999999999</v>
          </cell>
          <cell r="AI83" t="str">
            <v>USD</v>
          </cell>
          <cell r="AJ83">
            <v>5.7</v>
          </cell>
          <cell r="AK83" t="str">
            <v>USD</v>
          </cell>
          <cell r="AL83">
            <v>1</v>
          </cell>
          <cell r="AM83" t="str">
            <v>8684127504058</v>
          </cell>
          <cell r="AN83" t="str">
            <v>8684127500654</v>
          </cell>
          <cell r="AO83">
            <v>0</v>
          </cell>
          <cell r="AQ83">
            <v>3</v>
          </cell>
          <cell r="AR83" t="str">
            <v>CM</v>
          </cell>
          <cell r="AS83">
            <v>3</v>
          </cell>
          <cell r="AT83" t="str">
            <v>CM</v>
          </cell>
          <cell r="AU83">
            <v>0</v>
          </cell>
          <cell r="AW83">
            <v>0</v>
          </cell>
        </row>
        <row r="84">
          <cell r="B84" t="str">
            <v>OLD-006S</v>
          </cell>
          <cell r="C84" t="str">
            <v>*OLD-006* 32 LİK PASLANMAZ SARI RENK *1*</v>
          </cell>
          <cell r="D84" t="str">
            <v/>
          </cell>
          <cell r="E84" t="str">
            <v/>
          </cell>
          <cell r="F84" t="str">
            <v/>
          </cell>
          <cell r="G84" t="str">
            <v>AVİZE</v>
          </cell>
          <cell r="H84" t="str">
            <v>OLD-006S</v>
          </cell>
          <cell r="I84" t="str">
            <v>İÇ</v>
          </cell>
          <cell r="J84" t="str">
            <v>AVİZE.SARK</v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>HEKA</v>
          </cell>
          <cell r="P84" t="str">
            <v>ADET</v>
          </cell>
          <cell r="AF84">
            <v>0</v>
          </cell>
          <cell r="AG84" t="str">
            <v>ADET</v>
          </cell>
          <cell r="AH84">
            <v>110</v>
          </cell>
          <cell r="AI84" t="str">
            <v>TL</v>
          </cell>
          <cell r="AJ84">
            <v>1210</v>
          </cell>
          <cell r="AK84" t="str">
            <v>TL</v>
          </cell>
          <cell r="AL84">
            <v>0</v>
          </cell>
          <cell r="AM84" t="str">
            <v>1234567144252</v>
          </cell>
          <cell r="AO84">
            <v>0</v>
          </cell>
          <cell r="AQ84">
            <v>0</v>
          </cell>
          <cell r="AS84">
            <v>0</v>
          </cell>
          <cell r="AU84">
            <v>0</v>
          </cell>
          <cell r="AW84">
            <v>0</v>
          </cell>
        </row>
        <row r="85">
          <cell r="B85" t="str">
            <v>NGJ16004</v>
          </cell>
          <cell r="C85" t="str">
            <v>*NGJ16004* BETON ABAJUR *12*</v>
          </cell>
          <cell r="D85" t="str">
            <v/>
          </cell>
          <cell r="E85" t="str">
            <v/>
          </cell>
          <cell r="F85" t="str">
            <v/>
          </cell>
          <cell r="G85" t="str">
            <v>MASAABAJ</v>
          </cell>
          <cell r="H85" t="str">
            <v>NGJ16004</v>
          </cell>
          <cell r="I85" t="str">
            <v>İÇ</v>
          </cell>
          <cell r="J85" t="str">
            <v>MASAABAJ</v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>HEKA</v>
          </cell>
          <cell r="P85" t="str">
            <v>ADET</v>
          </cell>
          <cell r="Q85" t="str">
            <v>G9</v>
          </cell>
          <cell r="R85" t="str">
            <v>BETON</v>
          </cell>
          <cell r="S85" t="str">
            <v>GRİ</v>
          </cell>
          <cell r="T85" t="str">
            <v>METAL</v>
          </cell>
          <cell r="U85" t="str">
            <v>ESKİTME</v>
          </cell>
          <cell r="AE85" t="str">
            <v>01</v>
          </cell>
          <cell r="AF85">
            <v>7</v>
          </cell>
          <cell r="AG85" t="str">
            <v>ADET</v>
          </cell>
          <cell r="AH85">
            <v>29</v>
          </cell>
          <cell r="AI85" t="str">
            <v>TL</v>
          </cell>
          <cell r="AJ85">
            <v>1369</v>
          </cell>
          <cell r="AK85" t="str">
            <v>TL</v>
          </cell>
          <cell r="AL85">
            <v>0</v>
          </cell>
          <cell r="AM85" t="str">
            <v>1234567144313</v>
          </cell>
          <cell r="AN85" t="str">
            <v>1234567140544</v>
          </cell>
          <cell r="AO85">
            <v>0</v>
          </cell>
          <cell r="AQ85">
            <v>23</v>
          </cell>
          <cell r="AR85" t="str">
            <v>CM</v>
          </cell>
          <cell r="AS85">
            <v>11</v>
          </cell>
          <cell r="AT85" t="str">
            <v>CM</v>
          </cell>
          <cell r="AU85">
            <v>0</v>
          </cell>
          <cell r="AW85">
            <v>0</v>
          </cell>
        </row>
        <row r="86">
          <cell r="B86" t="str">
            <v>ERD-76</v>
          </cell>
          <cell r="C86" t="str">
            <v>*ERD-76* HEKA BAL RENK LED AMPUL *4*</v>
          </cell>
          <cell r="D86" t="str">
            <v/>
          </cell>
          <cell r="E86" t="str">
            <v/>
          </cell>
          <cell r="F86" t="str">
            <v/>
          </cell>
          <cell r="G86" t="str">
            <v>AMPUL</v>
          </cell>
          <cell r="H86" t="str">
            <v>ERD-76</v>
          </cell>
          <cell r="I86" t="str">
            <v>İÇ</v>
          </cell>
          <cell r="J86" t="str">
            <v>AMPUL</v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>HEKA</v>
          </cell>
          <cell r="P86" t="str">
            <v>ADET</v>
          </cell>
          <cell r="AF86">
            <v>7</v>
          </cell>
          <cell r="AG86" t="str">
            <v>ADET</v>
          </cell>
          <cell r="AH86">
            <v>50</v>
          </cell>
          <cell r="AI86" t="str">
            <v>TL</v>
          </cell>
          <cell r="AJ86">
            <v>1881</v>
          </cell>
          <cell r="AK86" t="str">
            <v>TL</v>
          </cell>
          <cell r="AL86">
            <v>0</v>
          </cell>
          <cell r="AM86" t="str">
            <v>1234568000021</v>
          </cell>
          <cell r="AN86" t="str">
            <v>1234567141992</v>
          </cell>
          <cell r="AO86">
            <v>0</v>
          </cell>
          <cell r="AQ86">
            <v>0</v>
          </cell>
          <cell r="AS86">
            <v>0</v>
          </cell>
          <cell r="AU86">
            <v>0</v>
          </cell>
          <cell r="AW86">
            <v>0</v>
          </cell>
        </row>
        <row r="87">
          <cell r="B87" t="str">
            <v>CK2G1C1M2K2K0</v>
          </cell>
          <cell r="C87" t="str">
            <v>ERD-71 BAL 18W 2200K E27 LED AMPUL</v>
          </cell>
          <cell r="D87" t="str">
            <v>ERD-71 AMBER 18W 2200K E27 LED BULB</v>
          </cell>
          <cell r="E87" t="str">
            <v>CAM METAL BAL FLAMENT DIMMSIZ KARMA</v>
          </cell>
          <cell r="F87" t="str">
            <v>8539.52.00.00.00</v>
          </cell>
          <cell r="G87" t="str">
            <v>AVİZE</v>
          </cell>
          <cell r="H87" t="str">
            <v>CG21112L21T00</v>
          </cell>
          <cell r="I87" t="str">
            <v>İÇ</v>
          </cell>
          <cell r="J87" t="str">
            <v>AVİZE.SARK</v>
          </cell>
          <cell r="K87" t="str">
            <v>ERD-71</v>
          </cell>
          <cell r="L87" t="str">
            <v/>
          </cell>
          <cell r="M87" t="str">
            <v/>
          </cell>
          <cell r="N87" t="str">
            <v>ERD-71</v>
          </cell>
          <cell r="O87" t="str">
            <v>HEKA</v>
          </cell>
          <cell r="P87" t="str">
            <v>ADET</v>
          </cell>
          <cell r="Q87" t="str">
            <v>E27</v>
          </cell>
          <cell r="R87" t="str">
            <v>CAM</v>
          </cell>
          <cell r="S87" t="str">
            <v>BAL</v>
          </cell>
          <cell r="T87" t="str">
            <v>METAL</v>
          </cell>
          <cell r="V87" t="str">
            <v>G</v>
          </cell>
          <cell r="W87" t="str">
            <v>FLAMENT</v>
          </cell>
          <cell r="X87" t="str">
            <v>220V</v>
          </cell>
          <cell r="Y87" t="str">
            <v>18 WATT</v>
          </cell>
          <cell r="Z87" t="str">
            <v>2200 K</v>
          </cell>
          <cell r="AA87" t="str">
            <v>DIMMSIZ</v>
          </cell>
          <cell r="AB87" t="str">
            <v>401-500</v>
          </cell>
          <cell r="AC87" t="str">
            <v>KARMA</v>
          </cell>
          <cell r="AD87" t="str">
            <v>N/A</v>
          </cell>
          <cell r="AF87">
            <v>0</v>
          </cell>
          <cell r="AG87" t="str">
            <v>ADET</v>
          </cell>
          <cell r="AH87">
            <v>60</v>
          </cell>
          <cell r="AI87" t="str">
            <v>CNY</v>
          </cell>
          <cell r="AJ87">
            <v>690</v>
          </cell>
          <cell r="AK87" t="str">
            <v>TL</v>
          </cell>
          <cell r="AL87">
            <v>1</v>
          </cell>
          <cell r="AM87" t="str">
            <v>8684127504263</v>
          </cell>
          <cell r="AN87" t="str">
            <v>8699089465136</v>
          </cell>
          <cell r="AO87">
            <v>0</v>
          </cell>
          <cell r="AQ87">
            <v>12</v>
          </cell>
          <cell r="AR87" t="str">
            <v>CM</v>
          </cell>
          <cell r="AS87">
            <v>12</v>
          </cell>
          <cell r="AT87" t="str">
            <v>CM</v>
          </cell>
          <cell r="AU87">
            <v>0</v>
          </cell>
          <cell r="AW87">
            <v>0</v>
          </cell>
        </row>
        <row r="88">
          <cell r="B88" t="str">
            <v>CD1D1C302E5I0</v>
          </cell>
          <cell r="C88" t="str">
            <v>ERD-92 C35 ŞEFFAF 6W DÜZ 3000K E14 LED AMPUL</v>
          </cell>
          <cell r="D88" t="str">
            <v>ERD-92 C35 CLEAR 6W CANDLE 3000K E14 LED BULB</v>
          </cell>
          <cell r="E88" t="str">
            <v>CAM METAL ŞEFFAF FLAMENT DIMMSIZ C35 - DÜZ</v>
          </cell>
          <cell r="F88" t="str">
            <v>8539.52.00.00.00</v>
          </cell>
          <cell r="G88" t="str">
            <v>AMPUL</v>
          </cell>
          <cell r="H88" t="str">
            <v>CE11132D50000</v>
          </cell>
          <cell r="I88" t="str">
            <v>İÇ</v>
          </cell>
          <cell r="J88" t="str">
            <v>AMPUL</v>
          </cell>
          <cell r="K88" t="str">
            <v>ERD-92</v>
          </cell>
          <cell r="L88" t="str">
            <v/>
          </cell>
          <cell r="M88" t="str">
            <v>30.01.2026</v>
          </cell>
          <cell r="N88" t="str">
            <v>ERD-92</v>
          </cell>
          <cell r="O88" t="str">
            <v>HEKA</v>
          </cell>
          <cell r="P88" t="str">
            <v>ADET</v>
          </cell>
          <cell r="Q88" t="str">
            <v>E14</v>
          </cell>
          <cell r="R88" t="str">
            <v>CAM</v>
          </cell>
          <cell r="S88" t="str">
            <v>ŞEFFAF</v>
          </cell>
          <cell r="T88" t="str">
            <v>METAL</v>
          </cell>
          <cell r="V88" t="str">
            <v>D</v>
          </cell>
          <cell r="W88" t="str">
            <v>FLAMENT</v>
          </cell>
          <cell r="X88" t="str">
            <v>220V</v>
          </cell>
          <cell r="Y88" t="str">
            <v>6 WATT</v>
          </cell>
          <cell r="Z88" t="str">
            <v>3000 K</v>
          </cell>
          <cell r="AA88" t="str">
            <v>DIMMSIZ</v>
          </cell>
          <cell r="AB88" t="str">
            <v>801-900</v>
          </cell>
          <cell r="AC88" t="str">
            <v>C35 - DÜZ</v>
          </cell>
          <cell r="AD88" t="str">
            <v>N/A</v>
          </cell>
          <cell r="AF88">
            <v>77</v>
          </cell>
          <cell r="AG88" t="str">
            <v>ADET</v>
          </cell>
          <cell r="AH88">
            <v>0.32900000000000001</v>
          </cell>
          <cell r="AI88" t="str">
            <v>USD</v>
          </cell>
          <cell r="AJ88">
            <v>1.7</v>
          </cell>
          <cell r="AK88" t="str">
            <v>USD</v>
          </cell>
          <cell r="AL88">
            <v>1</v>
          </cell>
          <cell r="AM88" t="str">
            <v>8684127519144</v>
          </cell>
          <cell r="AN88" t="str">
            <v>8684127519151</v>
          </cell>
          <cell r="AO88">
            <v>0</v>
          </cell>
          <cell r="AQ88">
            <v>3.5</v>
          </cell>
          <cell r="AR88" t="str">
            <v>CM</v>
          </cell>
          <cell r="AS88">
            <v>3.5</v>
          </cell>
          <cell r="AT88" t="str">
            <v>CM</v>
          </cell>
          <cell r="AU88">
            <v>0</v>
          </cell>
          <cell r="AW88">
            <v>0</v>
          </cell>
        </row>
        <row r="89">
          <cell r="B89" t="str">
            <v>CK3F3C3M2D5K1</v>
          </cell>
          <cell r="C89" t="str">
            <v>ERD-265 ŞEFFAF 5W 3000K G9 LED AMPUL</v>
          </cell>
          <cell r="D89" t="str">
            <v>ERD-265 CLEAR 5W 3000K G9 LED BULB</v>
          </cell>
          <cell r="E89" t="str">
            <v>CAM METAL ŞEFFAF COB LED DIMMLI KARMA</v>
          </cell>
          <cell r="F89" t="str">
            <v>8539.52.00.00.00</v>
          </cell>
          <cell r="G89" t="str">
            <v>AMPUL</v>
          </cell>
          <cell r="H89" t="str">
            <v>CF33132C51000</v>
          </cell>
          <cell r="I89" t="str">
            <v>İÇ</v>
          </cell>
          <cell r="J89" t="str">
            <v>AMPUL</v>
          </cell>
          <cell r="K89" t="str">
            <v>ERD-265</v>
          </cell>
          <cell r="L89" t="str">
            <v/>
          </cell>
          <cell r="M89" t="str">
            <v/>
          </cell>
          <cell r="N89" t="str">
            <v>ERD-265</v>
          </cell>
          <cell r="O89" t="str">
            <v>HEKA</v>
          </cell>
          <cell r="P89" t="str">
            <v>ADET</v>
          </cell>
          <cell r="Q89" t="str">
            <v>G9</v>
          </cell>
          <cell r="R89" t="str">
            <v>CAM</v>
          </cell>
          <cell r="S89" t="str">
            <v>ŞEFFAF</v>
          </cell>
          <cell r="T89" t="str">
            <v>METAL</v>
          </cell>
          <cell r="V89" t="str">
            <v>G</v>
          </cell>
          <cell r="W89" t="str">
            <v>COB LED</v>
          </cell>
          <cell r="X89" t="str">
            <v>220V</v>
          </cell>
          <cell r="Y89" t="str">
            <v>5 WATT</v>
          </cell>
          <cell r="Z89" t="str">
            <v>3000 K</v>
          </cell>
          <cell r="AA89" t="str">
            <v>DIMMLI</v>
          </cell>
          <cell r="AB89" t="str">
            <v>301-400</v>
          </cell>
          <cell r="AC89" t="str">
            <v>KARMA</v>
          </cell>
          <cell r="AD89" t="str">
            <v>N/A</v>
          </cell>
          <cell r="AF89">
            <v>13</v>
          </cell>
          <cell r="AG89" t="str">
            <v>ADET</v>
          </cell>
          <cell r="AH89">
            <v>3.7</v>
          </cell>
          <cell r="AI89" t="str">
            <v>CNY</v>
          </cell>
          <cell r="AJ89">
            <v>2.2999999999999998</v>
          </cell>
          <cell r="AK89" t="str">
            <v>USD</v>
          </cell>
          <cell r="AL89">
            <v>1</v>
          </cell>
          <cell r="AM89" t="str">
            <v>8684127503242</v>
          </cell>
          <cell r="AN89" t="str">
            <v>8684127500807</v>
          </cell>
          <cell r="AO89">
            <v>0</v>
          </cell>
          <cell r="AQ89">
            <v>1.3</v>
          </cell>
          <cell r="AR89" t="str">
            <v>CM</v>
          </cell>
          <cell r="AS89">
            <v>1.3</v>
          </cell>
          <cell r="AT89" t="str">
            <v>CM</v>
          </cell>
          <cell r="AU89">
            <v>0</v>
          </cell>
          <cell r="AW89">
            <v>0</v>
          </cell>
        </row>
        <row r="90">
          <cell r="B90" t="str">
            <v>CK3G2P4M2B5B1</v>
          </cell>
          <cell r="C90" t="str">
            <v>ERD-263 OPAL 3W 3000K G9 LED AMPUL</v>
          </cell>
          <cell r="D90" t="str">
            <v>ERD-263 OPAL 3W 3000K G9 LED BULB</v>
          </cell>
          <cell r="E90" t="str">
            <v>PLASTİK METAL OPAL SMD LED DIMMLI MISIR</v>
          </cell>
          <cell r="F90" t="str">
            <v>8539.52.00.00.00</v>
          </cell>
          <cell r="G90" t="str">
            <v>AMPUL</v>
          </cell>
          <cell r="H90" t="str">
            <v>CG32242K51000</v>
          </cell>
          <cell r="I90" t="str">
            <v>İÇ</v>
          </cell>
          <cell r="J90" t="str">
            <v>AMPUL</v>
          </cell>
          <cell r="K90" t="str">
            <v>ERD-263</v>
          </cell>
          <cell r="L90" t="str">
            <v/>
          </cell>
          <cell r="M90" t="str">
            <v/>
          </cell>
          <cell r="N90" t="str">
            <v>ERD-263</v>
          </cell>
          <cell r="O90" t="str">
            <v>HEKA</v>
          </cell>
          <cell r="P90" t="str">
            <v>ADET</v>
          </cell>
          <cell r="Q90" t="str">
            <v>G9</v>
          </cell>
          <cell r="R90" t="str">
            <v>PLASTİK</v>
          </cell>
          <cell r="S90" t="str">
            <v>OPAL</v>
          </cell>
          <cell r="T90" t="str">
            <v>METAL</v>
          </cell>
          <cell r="V90" t="str">
            <v>G</v>
          </cell>
          <cell r="W90" t="str">
            <v>SMD LED</v>
          </cell>
          <cell r="X90" t="str">
            <v>220V</v>
          </cell>
          <cell r="Y90" t="str">
            <v>3 WATT</v>
          </cell>
          <cell r="Z90" t="str">
            <v>3000 K</v>
          </cell>
          <cell r="AA90" t="str">
            <v>DIMMLI</v>
          </cell>
          <cell r="AB90" t="str">
            <v>201-300</v>
          </cell>
          <cell r="AC90" t="str">
            <v>MISIR</v>
          </cell>
          <cell r="AD90" t="str">
            <v>N/A</v>
          </cell>
          <cell r="AF90">
            <v>2586</v>
          </cell>
          <cell r="AG90" t="str">
            <v>ADET</v>
          </cell>
          <cell r="AH90">
            <v>2</v>
          </cell>
          <cell r="AI90" t="str">
            <v>CNY</v>
          </cell>
          <cell r="AJ90">
            <v>1.35</v>
          </cell>
          <cell r="AK90" t="str">
            <v>USD</v>
          </cell>
          <cell r="AL90">
            <v>1</v>
          </cell>
          <cell r="AM90" t="str">
            <v>8684127503211</v>
          </cell>
          <cell r="AN90" t="str">
            <v>8684127500418</v>
          </cell>
          <cell r="AO90">
            <v>0</v>
          </cell>
          <cell r="AQ90">
            <v>1.6</v>
          </cell>
          <cell r="AR90" t="str">
            <v>CM</v>
          </cell>
          <cell r="AS90">
            <v>1.6</v>
          </cell>
          <cell r="AT90" t="str">
            <v>CM</v>
          </cell>
          <cell r="AU90">
            <v>0</v>
          </cell>
          <cell r="AW90">
            <v>0</v>
          </cell>
        </row>
        <row r="91">
          <cell r="B91" t="str">
            <v>H1C3JMKECTR-114</v>
          </cell>
          <cell r="C91" t="str">
            <v>KAUNOS 7 BAKIR TOPLU SARKIT 12cm</v>
          </cell>
          <cell r="D91" t="str">
            <v>KAUNOS 7 COPPER BALL PENDANT 12cm</v>
          </cell>
          <cell r="E91" t="str">
            <v xml:space="preserve">METAL CAM  KROM SOFT   </v>
          </cell>
          <cell r="F91" t="str">
            <v>9405.19.90.00.00</v>
          </cell>
          <cell r="G91" t="str">
            <v>AVİZE</v>
          </cell>
          <cell r="H91" t="str">
            <v>T1A3152100-07</v>
          </cell>
          <cell r="I91" t="str">
            <v>İÇ</v>
          </cell>
          <cell r="J91" t="str">
            <v>AVİZE.SARK</v>
          </cell>
          <cell r="K91" t="str">
            <v>KAUNOS</v>
          </cell>
          <cell r="L91" t="str">
            <v/>
          </cell>
          <cell r="M91" t="str">
            <v/>
          </cell>
          <cell r="N91" t="str">
            <v>HK20022</v>
          </cell>
          <cell r="O91" t="str">
            <v>HEKA</v>
          </cell>
          <cell r="P91" t="str">
            <v>ADET</v>
          </cell>
          <cell r="Q91" t="str">
            <v>G9</v>
          </cell>
          <cell r="R91" t="str">
            <v>METAL</v>
          </cell>
          <cell r="S91" t="str">
            <v>KROM</v>
          </cell>
          <cell r="T91" t="str">
            <v>CAM</v>
          </cell>
          <cell r="U91" t="str">
            <v>SOFT</v>
          </cell>
          <cell r="AD91" t="str">
            <v>DAİRE</v>
          </cell>
          <cell r="AE91" t="str">
            <v>02</v>
          </cell>
          <cell r="AF91">
            <v>0</v>
          </cell>
          <cell r="AG91" t="str">
            <v>ADET</v>
          </cell>
          <cell r="AH91">
            <v>51.45</v>
          </cell>
          <cell r="AI91" t="str">
            <v>CNY</v>
          </cell>
          <cell r="AJ91">
            <v>2500</v>
          </cell>
          <cell r="AK91" t="str">
            <v>TL</v>
          </cell>
          <cell r="AL91">
            <v>1</v>
          </cell>
          <cell r="AM91" t="str">
            <v>8684127505482</v>
          </cell>
          <cell r="AO91">
            <v>0</v>
          </cell>
          <cell r="AQ91">
            <v>68</v>
          </cell>
          <cell r="AR91" t="str">
            <v>CM</v>
          </cell>
          <cell r="AS91">
            <v>12</v>
          </cell>
          <cell r="AT91" t="str">
            <v>CM</v>
          </cell>
          <cell r="AU91">
            <v>0</v>
          </cell>
          <cell r="AW91">
            <v>0</v>
          </cell>
        </row>
        <row r="92">
          <cell r="B92" t="str">
            <v>T1C5JMBLCSL-037</v>
          </cell>
          <cell r="C92" t="str">
            <v>DİNANT BAKIR SARKIT</v>
          </cell>
          <cell r="D92" t="str">
            <v>DINANT COPPER PENDANT</v>
          </cell>
          <cell r="E92" t="str">
            <v>METAL PLEKSİ BAKIR ŞEFFAF</v>
          </cell>
          <cell r="F92" t="str">
            <v>9405.19.90.00.00</v>
          </cell>
          <cell r="G92" t="str">
            <v>AVİZE</v>
          </cell>
          <cell r="H92" t="str">
            <v>360BAKIR</v>
          </cell>
          <cell r="I92" t="str">
            <v>İÇ</v>
          </cell>
          <cell r="J92" t="str">
            <v>AVİZE.SARK</v>
          </cell>
          <cell r="K92" t="str">
            <v>DİNANT</v>
          </cell>
          <cell r="L92" t="str">
            <v/>
          </cell>
          <cell r="M92" t="str">
            <v/>
          </cell>
          <cell r="N92" t="str">
            <v/>
          </cell>
          <cell r="O92" t="str">
            <v>HEKA</v>
          </cell>
          <cell r="P92" t="str">
            <v>ADET</v>
          </cell>
          <cell r="Q92" t="str">
            <v>GU10</v>
          </cell>
          <cell r="R92" t="str">
            <v>METAL</v>
          </cell>
          <cell r="S92" t="str">
            <v>BAKIR</v>
          </cell>
          <cell r="T92" t="str">
            <v>PLEKSİ</v>
          </cell>
          <cell r="U92" t="str">
            <v>ŞEFFAF</v>
          </cell>
          <cell r="AD92" t="str">
            <v>DÜZ</v>
          </cell>
          <cell r="AE92" t="str">
            <v>02</v>
          </cell>
          <cell r="AF92">
            <v>0</v>
          </cell>
          <cell r="AG92" t="str">
            <v>ADET</v>
          </cell>
          <cell r="AH92">
            <v>38</v>
          </cell>
          <cell r="AI92" t="str">
            <v>CNY</v>
          </cell>
          <cell r="AJ92">
            <v>500</v>
          </cell>
          <cell r="AK92" t="str">
            <v>TL</v>
          </cell>
          <cell r="AL92">
            <v>1</v>
          </cell>
          <cell r="AM92" t="str">
            <v>8684127505680</v>
          </cell>
          <cell r="AO92">
            <v>0</v>
          </cell>
          <cell r="AQ92">
            <v>6</v>
          </cell>
          <cell r="AR92" t="str">
            <v>CM</v>
          </cell>
          <cell r="AS92">
            <v>37</v>
          </cell>
          <cell r="AT92" t="str">
            <v>CM</v>
          </cell>
          <cell r="AU92">
            <v>0</v>
          </cell>
          <cell r="AW92">
            <v>0</v>
          </cell>
        </row>
        <row r="93">
          <cell r="B93" t="str">
            <v>01.0000.00.00.00</v>
          </cell>
          <cell r="C93" t="str">
            <v>KASA</v>
          </cell>
          <cell r="D93" t="str">
            <v/>
          </cell>
          <cell r="E93" t="str">
            <v/>
          </cell>
          <cell r="F93" t="str">
            <v/>
          </cell>
          <cell r="G93" t="str">
            <v>ZPARCA</v>
          </cell>
          <cell r="H93" t="str">
            <v>01.0000.00.00.00</v>
          </cell>
          <cell r="I93" t="str">
            <v>İÇ</v>
          </cell>
          <cell r="J93" t="str">
            <v>ZPARCA</v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P93" t="str">
            <v>ADET</v>
          </cell>
          <cell r="AF93">
            <v>1</v>
          </cell>
          <cell r="AG93" t="str">
            <v>ADET</v>
          </cell>
          <cell r="AL93">
            <v>0</v>
          </cell>
          <cell r="AM93" t="str">
            <v>01.0000.00.00</v>
          </cell>
          <cell r="AO93">
            <v>0</v>
          </cell>
          <cell r="AQ93">
            <v>0</v>
          </cell>
          <cell r="AS93">
            <v>0</v>
          </cell>
          <cell r="AU93">
            <v>0</v>
          </cell>
          <cell r="AW93">
            <v>0</v>
          </cell>
        </row>
        <row r="94">
          <cell r="B94" t="str">
            <v>H1F4JMEECS0-190</v>
          </cell>
          <cell r="C94" t="str">
            <v>BALL ŞEFFAF CAMLI ESKİTME LAMBADER</v>
          </cell>
          <cell r="D94" t="str">
            <v>BALL CLEAR GLASS BRUSHED BRASS FLOOR LAMP</v>
          </cell>
          <cell r="E94" t="str">
            <v>METAL CAM ESKİTME ŞEFFAF</v>
          </cell>
          <cell r="F94" t="str">
            <v>9405.19.90.00.00</v>
          </cell>
          <cell r="G94" t="str">
            <v>LAMBADER</v>
          </cell>
          <cell r="H94" t="str">
            <v>H1L4112400-02</v>
          </cell>
          <cell r="I94" t="str">
            <v>İÇ</v>
          </cell>
          <cell r="J94" t="str">
            <v>LAMBADER</v>
          </cell>
          <cell r="K94" t="str">
            <v>BALL</v>
          </cell>
          <cell r="L94" t="str">
            <v/>
          </cell>
          <cell r="M94" t="str">
            <v/>
          </cell>
          <cell r="N94" t="str">
            <v/>
          </cell>
          <cell r="O94" t="str">
            <v>HEKA</v>
          </cell>
          <cell r="P94" t="str">
            <v>ADET</v>
          </cell>
          <cell r="Q94" t="str">
            <v>G4</v>
          </cell>
          <cell r="R94" t="str">
            <v>METAL</v>
          </cell>
          <cell r="S94" t="str">
            <v>ESKİTME</v>
          </cell>
          <cell r="T94" t="str">
            <v>CAM</v>
          </cell>
          <cell r="U94" t="str">
            <v>ŞEFFAF</v>
          </cell>
          <cell r="AD94" t="str">
            <v>N/A</v>
          </cell>
          <cell r="AE94" t="str">
            <v>02</v>
          </cell>
          <cell r="AF94">
            <v>0</v>
          </cell>
          <cell r="AG94" t="str">
            <v>ADET</v>
          </cell>
          <cell r="AH94">
            <v>1000</v>
          </cell>
          <cell r="AI94" t="str">
            <v>TL</v>
          </cell>
          <cell r="AJ94">
            <v>3072</v>
          </cell>
          <cell r="AK94" t="str">
            <v>TL</v>
          </cell>
          <cell r="AL94">
            <v>1</v>
          </cell>
          <cell r="AM94" t="str">
            <v>8684127509619</v>
          </cell>
          <cell r="AO94">
            <v>0</v>
          </cell>
          <cell r="AQ94">
            <v>20</v>
          </cell>
          <cell r="AR94" t="str">
            <v>CM</v>
          </cell>
          <cell r="AS94">
            <v>190</v>
          </cell>
          <cell r="AT94" t="str">
            <v>CM</v>
          </cell>
          <cell r="AU94">
            <v>0</v>
          </cell>
          <cell r="AW94">
            <v>0</v>
          </cell>
        </row>
        <row r="95">
          <cell r="B95" t="str">
            <v>T1A4200002O01</v>
          </cell>
          <cell r="C95" t="str">
            <v>*OLD-002* 30 LUK PASLANMAZ SARI RENK *1*</v>
          </cell>
          <cell r="D95" t="str">
            <v/>
          </cell>
          <cell r="E95" t="str">
            <v/>
          </cell>
          <cell r="F95" t="str">
            <v/>
          </cell>
          <cell r="G95" t="str">
            <v>SARKIT</v>
          </cell>
          <cell r="H95" t="str">
            <v>T1A4200002O01</v>
          </cell>
          <cell r="I95" t="str">
            <v>SARKIT</v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P95" t="str">
            <v>ADET</v>
          </cell>
          <cell r="AF95">
            <v>15</v>
          </cell>
          <cell r="AG95" t="str">
            <v>ADET</v>
          </cell>
          <cell r="AH95">
            <v>89</v>
          </cell>
          <cell r="AI95" t="str">
            <v>TL</v>
          </cell>
          <cell r="AJ95">
            <v>1070</v>
          </cell>
          <cell r="AK95" t="str">
            <v>TL</v>
          </cell>
          <cell r="AL95">
            <v>1</v>
          </cell>
          <cell r="AM95" t="str">
            <v>1234567144207</v>
          </cell>
          <cell r="AN95" t="str">
            <v>1234567140100</v>
          </cell>
          <cell r="AO95">
            <v>0</v>
          </cell>
          <cell r="AQ95">
            <v>0</v>
          </cell>
          <cell r="AS95">
            <v>0</v>
          </cell>
          <cell r="AU95">
            <v>0</v>
          </cell>
          <cell r="AW95">
            <v>0</v>
          </cell>
        </row>
        <row r="96">
          <cell r="B96" t="str">
            <v>OLD-005B</v>
          </cell>
          <cell r="C96" t="str">
            <v>*OLD-005* 25 LİK PASLANMAZ BAKIR RENK *1*</v>
          </cell>
          <cell r="D96" t="str">
            <v/>
          </cell>
          <cell r="E96" t="str">
            <v/>
          </cell>
          <cell r="F96" t="str">
            <v/>
          </cell>
          <cell r="G96" t="str">
            <v>AVİZE</v>
          </cell>
          <cell r="H96" t="str">
            <v>OLD-005B</v>
          </cell>
          <cell r="I96" t="str">
            <v>İÇ</v>
          </cell>
          <cell r="J96" t="str">
            <v>AVİZE.SARK</v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>HEKA</v>
          </cell>
          <cell r="P96" t="str">
            <v>ADET</v>
          </cell>
          <cell r="AF96">
            <v>0</v>
          </cell>
          <cell r="AG96" t="str">
            <v>ADET</v>
          </cell>
          <cell r="AH96">
            <v>83</v>
          </cell>
          <cell r="AI96" t="str">
            <v>TL</v>
          </cell>
          <cell r="AJ96">
            <v>960</v>
          </cell>
          <cell r="AK96" t="str">
            <v>TL</v>
          </cell>
          <cell r="AL96">
            <v>1</v>
          </cell>
          <cell r="AM96" t="str">
            <v>1234567144221</v>
          </cell>
          <cell r="AN96" t="str">
            <v>1234567140179</v>
          </cell>
          <cell r="AO96">
            <v>0</v>
          </cell>
          <cell r="AQ96">
            <v>0</v>
          </cell>
          <cell r="AS96">
            <v>0</v>
          </cell>
          <cell r="AU96">
            <v>0</v>
          </cell>
          <cell r="AW96">
            <v>0</v>
          </cell>
        </row>
        <row r="97">
          <cell r="B97" t="str">
            <v>TYH001-3</v>
          </cell>
          <cell r="C97" t="str">
            <v>*TYH001-3*  MİNA BAL CAM BÜYÜK</v>
          </cell>
          <cell r="D97" t="str">
            <v/>
          </cell>
          <cell r="E97" t="str">
            <v/>
          </cell>
          <cell r="F97" t="str">
            <v/>
          </cell>
          <cell r="G97" t="str">
            <v>ZPARCA</v>
          </cell>
          <cell r="H97" t="str">
            <v>TYH001-3</v>
          </cell>
          <cell r="I97" t="str">
            <v>İÇ</v>
          </cell>
          <cell r="J97" t="str">
            <v>ZPARCA</v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P97" t="str">
            <v>ADET</v>
          </cell>
          <cell r="AF97">
            <v>266</v>
          </cell>
          <cell r="AG97" t="str">
            <v>ADET</v>
          </cell>
          <cell r="AH97">
            <v>22</v>
          </cell>
          <cell r="AI97" t="str">
            <v>TL</v>
          </cell>
          <cell r="AL97">
            <v>0</v>
          </cell>
          <cell r="AM97" t="str">
            <v>1234567144375</v>
          </cell>
          <cell r="AN97" t="str">
            <v>1234567140650</v>
          </cell>
          <cell r="AO97">
            <v>0</v>
          </cell>
          <cell r="AQ97">
            <v>0</v>
          </cell>
          <cell r="AS97">
            <v>0</v>
          </cell>
          <cell r="AU97">
            <v>0</v>
          </cell>
          <cell r="AW97">
            <v>0</v>
          </cell>
        </row>
        <row r="98">
          <cell r="B98" t="str">
            <v>H1C2ERFJMER-035</v>
          </cell>
          <cell r="C98" t="str">
            <v>KARATAY FÜME CAM SARKIT 35cm</v>
          </cell>
          <cell r="D98" t="str">
            <v>KARATAY SMOKY COLOR GLASS PENDANT 35cm</v>
          </cell>
          <cell r="E98" t="str">
            <v xml:space="preserve">CAM  METAL FÜME ESKİTME   </v>
          </cell>
          <cell r="F98" t="str">
            <v>9405.19.50.00.19</v>
          </cell>
          <cell r="G98" t="str">
            <v>AVİZE</v>
          </cell>
          <cell r="H98" t="str">
            <v>T1A2221100-35</v>
          </cell>
          <cell r="I98" t="str">
            <v>İÇ</v>
          </cell>
          <cell r="J98" t="str">
            <v>AVİZE.SARK</v>
          </cell>
          <cell r="K98" t="str">
            <v>KARATAY</v>
          </cell>
          <cell r="L98" t="str">
            <v/>
          </cell>
          <cell r="M98" t="str">
            <v/>
          </cell>
          <cell r="N98" t="str">
            <v>MJ-015B-35-S</v>
          </cell>
          <cell r="O98" t="str">
            <v>HEKA</v>
          </cell>
          <cell r="P98" t="str">
            <v>ADET</v>
          </cell>
          <cell r="Q98" t="str">
            <v>E27</v>
          </cell>
          <cell r="R98" t="str">
            <v>CAM</v>
          </cell>
          <cell r="S98" t="str">
            <v>FÜME</v>
          </cell>
          <cell r="T98" t="str">
            <v>METAL</v>
          </cell>
          <cell r="U98" t="str">
            <v>ESKİTME</v>
          </cell>
          <cell r="AD98" t="str">
            <v>DAİRE</v>
          </cell>
          <cell r="AE98" t="str">
            <v>01</v>
          </cell>
          <cell r="AF98">
            <v>35</v>
          </cell>
          <cell r="AG98" t="str">
            <v>ADET</v>
          </cell>
          <cell r="AH98">
            <v>70</v>
          </cell>
          <cell r="AI98" t="str">
            <v>CNY</v>
          </cell>
          <cell r="AJ98">
            <v>6650</v>
          </cell>
          <cell r="AK98" t="str">
            <v>TL</v>
          </cell>
          <cell r="AL98">
            <v>1</v>
          </cell>
          <cell r="AM98" t="str">
            <v>8684127505581</v>
          </cell>
          <cell r="AO98">
            <v>0</v>
          </cell>
          <cell r="AQ98">
            <v>60</v>
          </cell>
          <cell r="AR98" t="str">
            <v>CM</v>
          </cell>
          <cell r="AS98">
            <v>35</v>
          </cell>
          <cell r="AT98" t="str">
            <v>CM</v>
          </cell>
          <cell r="AU98">
            <v>0</v>
          </cell>
          <cell r="AW98">
            <v>0</v>
          </cell>
        </row>
        <row r="99">
          <cell r="B99" t="str">
            <v>OLD-009K</v>
          </cell>
          <cell r="C99" t="str">
            <v>*OLD-009* 40 LUK PASLANMAZ KROM RENK *1*</v>
          </cell>
          <cell r="D99" t="str">
            <v/>
          </cell>
          <cell r="E99" t="str">
            <v/>
          </cell>
          <cell r="F99" t="str">
            <v/>
          </cell>
          <cell r="G99" t="str">
            <v>AVİZE</v>
          </cell>
          <cell r="H99" t="str">
            <v>OLD-009K</v>
          </cell>
          <cell r="I99" t="str">
            <v>İÇ</v>
          </cell>
          <cell r="J99" t="str">
            <v>AVİZE.SARK</v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>HEKA</v>
          </cell>
          <cell r="P99" t="str">
            <v>ADET</v>
          </cell>
          <cell r="AF99">
            <v>1</v>
          </cell>
          <cell r="AG99" t="str">
            <v>ADET</v>
          </cell>
          <cell r="AH99">
            <v>100</v>
          </cell>
          <cell r="AI99" t="str">
            <v>TL</v>
          </cell>
          <cell r="AJ99">
            <v>3094</v>
          </cell>
          <cell r="AK99" t="str">
            <v>TL</v>
          </cell>
          <cell r="AL99">
            <v>0</v>
          </cell>
          <cell r="AM99" t="str">
            <v>1234567144825</v>
          </cell>
          <cell r="AN99" t="str">
            <v>1234567142272</v>
          </cell>
          <cell r="AO99">
            <v>0</v>
          </cell>
          <cell r="AQ99">
            <v>0</v>
          </cell>
          <cell r="AS99">
            <v>0</v>
          </cell>
          <cell r="AU99">
            <v>0</v>
          </cell>
          <cell r="AW99">
            <v>0</v>
          </cell>
        </row>
        <row r="100">
          <cell r="B100" t="str">
            <v>OLD-009T</v>
          </cell>
          <cell r="C100" t="str">
            <v>*OLD-009* 40 LUK PASLANMAZ BAKIR RENK *1*</v>
          </cell>
          <cell r="D100" t="str">
            <v/>
          </cell>
          <cell r="E100" t="str">
            <v/>
          </cell>
          <cell r="F100" t="str">
            <v/>
          </cell>
          <cell r="G100" t="str">
            <v>AVİZE</v>
          </cell>
          <cell r="H100" t="str">
            <v>OLD-009T</v>
          </cell>
          <cell r="I100" t="str">
            <v>İÇ</v>
          </cell>
          <cell r="J100" t="str">
            <v>AVİZE.SARK</v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>HEKA</v>
          </cell>
          <cell r="P100" t="str">
            <v>ADET</v>
          </cell>
          <cell r="AF100">
            <v>0</v>
          </cell>
          <cell r="AG100" t="str">
            <v>ADET</v>
          </cell>
          <cell r="AH100">
            <v>100</v>
          </cell>
          <cell r="AI100" t="str">
            <v>TL</v>
          </cell>
          <cell r="AJ100">
            <v>1300</v>
          </cell>
          <cell r="AK100" t="str">
            <v>TL</v>
          </cell>
          <cell r="AL100">
            <v>0</v>
          </cell>
          <cell r="AM100" t="str">
            <v>1234567144856</v>
          </cell>
          <cell r="AO100">
            <v>0</v>
          </cell>
          <cell r="AQ100">
            <v>0</v>
          </cell>
          <cell r="AS100">
            <v>0</v>
          </cell>
          <cell r="AU100">
            <v>0</v>
          </cell>
          <cell r="AW100">
            <v>0</v>
          </cell>
        </row>
        <row r="101">
          <cell r="B101" t="str">
            <v>H1W2JMEECT0-042</v>
          </cell>
          <cell r="C101" t="str">
            <v>CAPELLA ESKİTME APLİK</v>
          </cell>
          <cell r="D101" t="str">
            <v>CAPELLA BRUSHED BRASS WALL LAMP</v>
          </cell>
          <cell r="E101" t="str">
            <v/>
          </cell>
          <cell r="F101" t="str">
            <v/>
          </cell>
          <cell r="G101" t="str">
            <v>APLİK</v>
          </cell>
          <cell r="H101" t="str">
            <v>H1W2112100-15</v>
          </cell>
          <cell r="I101" t="str">
            <v>İÇ</v>
          </cell>
          <cell r="J101" t="str">
            <v>APLİK</v>
          </cell>
          <cell r="K101" t="str">
            <v>CAPELLA</v>
          </cell>
          <cell r="L101" t="str">
            <v/>
          </cell>
          <cell r="M101" t="str">
            <v/>
          </cell>
          <cell r="N101" t="str">
            <v/>
          </cell>
          <cell r="O101" t="str">
            <v>HEKA</v>
          </cell>
          <cell r="P101" t="str">
            <v>ADET</v>
          </cell>
          <cell r="Q101" t="str">
            <v>E27</v>
          </cell>
          <cell r="R101" t="str">
            <v>METAL</v>
          </cell>
          <cell r="S101" t="str">
            <v>ESKİTME</v>
          </cell>
          <cell r="T101" t="str">
            <v>CAM</v>
          </cell>
          <cell r="U101" t="str">
            <v>SOFT</v>
          </cell>
          <cell r="AE101" t="str">
            <v>02</v>
          </cell>
          <cell r="AF101">
            <v>0</v>
          </cell>
          <cell r="AG101" t="str">
            <v>ADET</v>
          </cell>
          <cell r="AH101">
            <v>150</v>
          </cell>
          <cell r="AI101" t="str">
            <v>TL</v>
          </cell>
          <cell r="AJ101">
            <v>1842</v>
          </cell>
          <cell r="AK101" t="str">
            <v>TL</v>
          </cell>
          <cell r="AL101">
            <v>1</v>
          </cell>
          <cell r="AM101" t="str">
            <v>8684127510127</v>
          </cell>
          <cell r="AO101">
            <v>0</v>
          </cell>
          <cell r="AQ101">
            <v>19</v>
          </cell>
          <cell r="AR101" t="str">
            <v>CM</v>
          </cell>
          <cell r="AS101">
            <v>42</v>
          </cell>
          <cell r="AT101" t="str">
            <v>CM</v>
          </cell>
          <cell r="AU101">
            <v>0</v>
          </cell>
          <cell r="AW101">
            <v>0</v>
          </cell>
        </row>
        <row r="102">
          <cell r="B102" t="str">
            <v>CK3G2P3M2D5H0</v>
          </cell>
          <cell r="C102" t="str">
            <v>ERD-268 ŞEFFAF 5W 3000K G9 LED AMPUL</v>
          </cell>
          <cell r="D102" t="str">
            <v>ERD-268 CLEAR 5W 3000K G9 LED BULB</v>
          </cell>
          <cell r="E102" t="str">
            <v>PLASTİK METAL ŞEFFAF SMD LED DIMMLI MISIR</v>
          </cell>
          <cell r="F102" t="str">
            <v>8539.52.00.00.00</v>
          </cell>
          <cell r="G102" t="str">
            <v>AMPUL</v>
          </cell>
          <cell r="H102" t="str">
            <v>CG32232C50000</v>
          </cell>
          <cell r="I102" t="str">
            <v>İÇ</v>
          </cell>
          <cell r="J102" t="str">
            <v>AMPUL</v>
          </cell>
          <cell r="K102" t="str">
            <v>ERD-268</v>
          </cell>
          <cell r="L102" t="str">
            <v/>
          </cell>
          <cell r="M102" t="str">
            <v>20.03.2026</v>
          </cell>
          <cell r="N102" t="str">
            <v>ERD-268</v>
          </cell>
          <cell r="O102" t="str">
            <v>HEKA</v>
          </cell>
          <cell r="P102" t="str">
            <v>ADET</v>
          </cell>
          <cell r="Q102" t="str">
            <v>G9</v>
          </cell>
          <cell r="R102" t="str">
            <v>PLASTİK</v>
          </cell>
          <cell r="S102" t="str">
            <v>ŞEFFAF</v>
          </cell>
          <cell r="T102" t="str">
            <v>METAL</v>
          </cell>
          <cell r="V102" t="str">
            <v>G</v>
          </cell>
          <cell r="W102" t="str">
            <v>SMD LED</v>
          </cell>
          <cell r="X102" t="str">
            <v>220V</v>
          </cell>
          <cell r="Y102" t="str">
            <v>5 WATT</v>
          </cell>
          <cell r="Z102" t="str">
            <v>3000 K</v>
          </cell>
          <cell r="AA102" t="str">
            <v>DIMMLI</v>
          </cell>
          <cell r="AB102" t="str">
            <v>201-300</v>
          </cell>
          <cell r="AC102" t="str">
            <v>MISIR</v>
          </cell>
          <cell r="AD102" t="str">
            <v>N/A</v>
          </cell>
          <cell r="AF102">
            <v>2163</v>
          </cell>
          <cell r="AG102" t="str">
            <v>ADET</v>
          </cell>
          <cell r="AH102">
            <v>1.7</v>
          </cell>
          <cell r="AI102" t="str">
            <v>CNY</v>
          </cell>
          <cell r="AJ102">
            <v>1.3</v>
          </cell>
          <cell r="AK102" t="str">
            <v>USD</v>
          </cell>
          <cell r="AL102">
            <v>1</v>
          </cell>
          <cell r="AM102" t="str">
            <v>8684127503280</v>
          </cell>
          <cell r="AN102" t="str">
            <v>8684127500609</v>
          </cell>
          <cell r="AO102">
            <v>0</v>
          </cell>
          <cell r="AQ102">
            <v>1.5</v>
          </cell>
          <cell r="AR102" t="str">
            <v>CM</v>
          </cell>
          <cell r="AS102">
            <v>1.5</v>
          </cell>
          <cell r="AT102" t="str">
            <v>CM</v>
          </cell>
          <cell r="AU102">
            <v>0</v>
          </cell>
          <cell r="AW102">
            <v>0</v>
          </cell>
        </row>
        <row r="103">
          <cell r="B103" t="str">
            <v>CG21122F21T00</v>
          </cell>
          <cell r="C103" t="str">
            <v>*ERD-16* HEKA 8 WATT FÜME RENK AMPUL LED *6*</v>
          </cell>
          <cell r="D103" t="str">
            <v/>
          </cell>
          <cell r="E103" t="str">
            <v/>
          </cell>
          <cell r="F103" t="str">
            <v>853950000000</v>
          </cell>
          <cell r="G103" t="str">
            <v>AVİZE</v>
          </cell>
          <cell r="H103" t="str">
            <v>CG21122F21T00</v>
          </cell>
          <cell r="I103" t="str">
            <v>İÇ</v>
          </cell>
          <cell r="J103" t="str">
            <v>AVİZE.SARK</v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 t="str">
            <v>HEKA</v>
          </cell>
          <cell r="P103" t="str">
            <v>ADET</v>
          </cell>
          <cell r="AF103">
            <v>2</v>
          </cell>
          <cell r="AG103" t="str">
            <v>ADET</v>
          </cell>
          <cell r="AH103">
            <v>52.5</v>
          </cell>
          <cell r="AI103" t="str">
            <v>CNY</v>
          </cell>
          <cell r="AJ103">
            <v>1643</v>
          </cell>
          <cell r="AK103" t="str">
            <v>TL</v>
          </cell>
          <cell r="AL103">
            <v>1</v>
          </cell>
          <cell r="AM103" t="str">
            <v>12334567890004</v>
          </cell>
          <cell r="AN103" t="str">
            <v>8699089465133</v>
          </cell>
          <cell r="AO103">
            <v>0</v>
          </cell>
          <cell r="AQ103">
            <v>0</v>
          </cell>
          <cell r="AS103">
            <v>0</v>
          </cell>
          <cell r="AU103">
            <v>0</v>
          </cell>
          <cell r="AW103">
            <v>0</v>
          </cell>
        </row>
        <row r="104">
          <cell r="B104" t="str">
            <v>CG21122F21T01</v>
          </cell>
          <cell r="C104" t="str">
            <v>*ERD-18* HEKA 8 WATT FÜME RENK AMPUL LED *25*</v>
          </cell>
          <cell r="D104" t="str">
            <v/>
          </cell>
          <cell r="E104" t="str">
            <v/>
          </cell>
          <cell r="F104" t="str">
            <v>853950000000</v>
          </cell>
          <cell r="G104" t="str">
            <v>HEKA LED</v>
          </cell>
          <cell r="H104" t="str">
            <v>CG21122F21T01</v>
          </cell>
          <cell r="I104" t="str">
            <v>HEKA LED</v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 t="str">
            <v>ISHI</v>
          </cell>
          <cell r="P104" t="str">
            <v>ADET</v>
          </cell>
          <cell r="AF104">
            <v>0</v>
          </cell>
          <cell r="AG104" t="str">
            <v>ADET</v>
          </cell>
          <cell r="AH104">
            <v>36</v>
          </cell>
          <cell r="AI104" t="str">
            <v>CNY</v>
          </cell>
          <cell r="AL104">
            <v>1</v>
          </cell>
          <cell r="AN104" t="str">
            <v>8699089465138</v>
          </cell>
          <cell r="AO104">
            <v>0</v>
          </cell>
          <cell r="AQ104">
            <v>0</v>
          </cell>
          <cell r="AS104">
            <v>0</v>
          </cell>
          <cell r="AU104">
            <v>0</v>
          </cell>
          <cell r="AW104">
            <v>0</v>
          </cell>
        </row>
        <row r="105">
          <cell r="B105" t="str">
            <v>T1C5JMELCSL-037</v>
          </cell>
          <cell r="C105" t="str">
            <v>DİNANT ESKİTME SARKIT</v>
          </cell>
          <cell r="D105" t="str">
            <v>DINANT BRUSHED BRASS PENDANT</v>
          </cell>
          <cell r="E105" t="str">
            <v>METAL PLEKSİ ESKİTME ŞEFFAF</v>
          </cell>
          <cell r="F105" t="str">
            <v>9405.19.90.00.00</v>
          </cell>
          <cell r="G105" t="str">
            <v>AVİZE</v>
          </cell>
          <cell r="H105" t="str">
            <v>360ESKİTME</v>
          </cell>
          <cell r="I105" t="str">
            <v>İÇ</v>
          </cell>
          <cell r="J105" t="str">
            <v>AVİZE.SARK</v>
          </cell>
          <cell r="K105" t="str">
            <v>DİNANT</v>
          </cell>
          <cell r="L105" t="str">
            <v/>
          </cell>
          <cell r="M105" t="str">
            <v/>
          </cell>
          <cell r="N105" t="str">
            <v/>
          </cell>
          <cell r="O105" t="str">
            <v>HEKA</v>
          </cell>
          <cell r="P105" t="str">
            <v>ADET</v>
          </cell>
          <cell r="Q105" t="str">
            <v>GU10</v>
          </cell>
          <cell r="R105" t="str">
            <v>METAL</v>
          </cell>
          <cell r="S105" t="str">
            <v>ESKİTME</v>
          </cell>
          <cell r="T105" t="str">
            <v>PLEKSİ</v>
          </cell>
          <cell r="U105" t="str">
            <v>ŞEFFAF</v>
          </cell>
          <cell r="AD105" t="str">
            <v>DÜZ</v>
          </cell>
          <cell r="AE105" t="str">
            <v>02</v>
          </cell>
          <cell r="AF105">
            <v>0</v>
          </cell>
          <cell r="AG105" t="str">
            <v>ADET</v>
          </cell>
          <cell r="AH105">
            <v>38</v>
          </cell>
          <cell r="AI105" t="str">
            <v>CNY</v>
          </cell>
          <cell r="AJ105">
            <v>500</v>
          </cell>
          <cell r="AK105" t="str">
            <v>TL</v>
          </cell>
          <cell r="AL105">
            <v>1</v>
          </cell>
          <cell r="AM105" t="str">
            <v>8684127505673</v>
          </cell>
          <cell r="AO105">
            <v>0</v>
          </cell>
          <cell r="AQ105">
            <v>6</v>
          </cell>
          <cell r="AR105" t="str">
            <v>CM</v>
          </cell>
          <cell r="AS105">
            <v>37</v>
          </cell>
          <cell r="AT105" t="str">
            <v>CM</v>
          </cell>
          <cell r="AU105">
            <v>0</v>
          </cell>
          <cell r="AW105">
            <v>0</v>
          </cell>
        </row>
        <row r="106">
          <cell r="B106" t="str">
            <v>T1W4EMBJRS0-018</v>
          </cell>
          <cell r="C106" t="str">
            <v>DENEB UFO CAM BAKIR APLİK</v>
          </cell>
          <cell r="D106" t="str">
            <v>DENEB UFO GLASS COPPER WALL LAMP</v>
          </cell>
          <cell r="E106" t="str">
            <v>CAM METAL BAKIR SİYAH</v>
          </cell>
          <cell r="F106" t="str">
            <v>9405.19.50.00.19</v>
          </cell>
          <cell r="G106" t="str">
            <v>APLİK</v>
          </cell>
          <cell r="H106" t="str">
            <v>T1W2514004-01</v>
          </cell>
          <cell r="I106" t="str">
            <v>İÇ</v>
          </cell>
          <cell r="J106" t="str">
            <v>APLİK</v>
          </cell>
          <cell r="K106" t="str">
            <v>DENEB</v>
          </cell>
          <cell r="L106" t="str">
            <v/>
          </cell>
          <cell r="M106" t="str">
            <v/>
          </cell>
          <cell r="N106" t="str">
            <v>MJ-030A</v>
          </cell>
          <cell r="O106" t="str">
            <v>TOPLAMA</v>
          </cell>
          <cell r="P106" t="str">
            <v>ADET</v>
          </cell>
          <cell r="Q106" t="str">
            <v>G4</v>
          </cell>
          <cell r="R106" t="str">
            <v>CAM</v>
          </cell>
          <cell r="S106" t="str">
            <v>BAKIR</v>
          </cell>
          <cell r="T106" t="str">
            <v>METAL</v>
          </cell>
          <cell r="U106" t="str">
            <v>SİYAH</v>
          </cell>
          <cell r="AD106" t="str">
            <v>N/A</v>
          </cell>
          <cell r="AE106" t="str">
            <v>02</v>
          </cell>
          <cell r="AF106">
            <v>0</v>
          </cell>
          <cell r="AG106" t="str">
            <v>ADET</v>
          </cell>
          <cell r="AH106">
            <v>27</v>
          </cell>
          <cell r="AI106" t="str">
            <v>CNY</v>
          </cell>
          <cell r="AJ106">
            <v>1417</v>
          </cell>
          <cell r="AK106" t="str">
            <v>TL</v>
          </cell>
          <cell r="AL106">
            <v>1</v>
          </cell>
          <cell r="AM106" t="str">
            <v>8684127504683</v>
          </cell>
          <cell r="AO106">
            <v>0</v>
          </cell>
          <cell r="AQ106">
            <v>0</v>
          </cell>
          <cell r="AR106" t="str">
            <v>CM</v>
          </cell>
          <cell r="AS106">
            <v>18</v>
          </cell>
          <cell r="AT106" t="str">
            <v>CM</v>
          </cell>
          <cell r="AU106">
            <v>0</v>
          </cell>
          <cell r="AW106">
            <v>0</v>
          </cell>
        </row>
        <row r="107">
          <cell r="B107" t="str">
            <v>T1C2JMK000L-018</v>
          </cell>
          <cell r="C107" t="str">
            <v>ARBOGA DEKORATİF UZUN KROM DUY</v>
          </cell>
          <cell r="D107" t="str">
            <v>ARBOGA DECORATIVE LONG CHROME LAMP HOLDER</v>
          </cell>
          <cell r="E107" t="str">
            <v>METAL YOK KROM YOK</v>
          </cell>
          <cell r="F107" t="str">
            <v>9405.19.90.00.00</v>
          </cell>
          <cell r="G107" t="str">
            <v>ZPARCA</v>
          </cell>
          <cell r="H107" t="str">
            <v>T1A2130100-01</v>
          </cell>
          <cell r="I107" t="str">
            <v>İÇ</v>
          </cell>
          <cell r="J107" t="str">
            <v>ZPARCA</v>
          </cell>
          <cell r="K107" t="str">
            <v>ARBOGA</v>
          </cell>
          <cell r="L107" t="str">
            <v/>
          </cell>
          <cell r="M107" t="str">
            <v/>
          </cell>
          <cell r="N107" t="str">
            <v>JD01180</v>
          </cell>
          <cell r="O107" t="str">
            <v>HEKA</v>
          </cell>
          <cell r="P107" t="str">
            <v>ADET</v>
          </cell>
          <cell r="Q107" t="str">
            <v>E27</v>
          </cell>
          <cell r="R107" t="str">
            <v>METAL</v>
          </cell>
          <cell r="S107" t="str">
            <v>KROM</v>
          </cell>
          <cell r="T107" t="str">
            <v>YOK</v>
          </cell>
          <cell r="U107" t="str">
            <v>YOK</v>
          </cell>
          <cell r="AD107" t="str">
            <v>DÜZ</v>
          </cell>
          <cell r="AE107" t="str">
            <v>02</v>
          </cell>
          <cell r="AF107">
            <v>310</v>
          </cell>
          <cell r="AG107" t="str">
            <v>ADET</v>
          </cell>
          <cell r="AH107">
            <v>11</v>
          </cell>
          <cell r="AI107" t="str">
            <v>CNY</v>
          </cell>
          <cell r="AJ107">
            <v>995</v>
          </cell>
          <cell r="AK107" t="str">
            <v>TL</v>
          </cell>
          <cell r="AL107">
            <v>1</v>
          </cell>
          <cell r="AM107" t="str">
            <v>8684127505840</v>
          </cell>
          <cell r="AO107">
            <v>0</v>
          </cell>
          <cell r="AQ107">
            <v>6</v>
          </cell>
          <cell r="AR107" t="str">
            <v>CM</v>
          </cell>
          <cell r="AS107">
            <v>18</v>
          </cell>
          <cell r="AT107" t="str">
            <v>CM</v>
          </cell>
          <cell r="AU107">
            <v>0</v>
          </cell>
          <cell r="AW107">
            <v>0</v>
          </cell>
        </row>
        <row r="108">
          <cell r="B108" t="str">
            <v>H1C4JMEECT0-080</v>
          </cell>
          <cell r="C108" t="str">
            <v>KAREN ŞEFFAF CAMLI AVİZE 6 LI</v>
          </cell>
          <cell r="D108" t="str">
            <v>KAREN CLEAR GLASS CHANDELIER 6 BULB</v>
          </cell>
          <cell r="E108" t="str">
            <v>METAL CAM ESKİTME SOFT</v>
          </cell>
          <cell r="F108" t="str">
            <v>9405.19.90.00.00</v>
          </cell>
          <cell r="G108" t="str">
            <v>AVİZE</v>
          </cell>
          <cell r="H108" t="str">
            <v>H1A4112400-06</v>
          </cell>
          <cell r="I108" t="str">
            <v>İÇ</v>
          </cell>
          <cell r="J108" t="str">
            <v>AVİZE.AVİZ</v>
          </cell>
          <cell r="K108" t="str">
            <v>KAREN</v>
          </cell>
          <cell r="L108" t="str">
            <v/>
          </cell>
          <cell r="M108" t="str">
            <v>ÜRTM:15GÜN</v>
          </cell>
          <cell r="N108" t="str">
            <v/>
          </cell>
          <cell r="O108" t="str">
            <v>HEKA</v>
          </cell>
          <cell r="P108" t="str">
            <v>ADET</v>
          </cell>
          <cell r="Q108" t="str">
            <v>G4</v>
          </cell>
          <cell r="R108" t="str">
            <v>METAL</v>
          </cell>
          <cell r="S108" t="str">
            <v>ESKİTME</v>
          </cell>
          <cell r="T108" t="str">
            <v>CAM</v>
          </cell>
          <cell r="U108" t="str">
            <v>SOFT</v>
          </cell>
          <cell r="AD108" t="str">
            <v>N/A</v>
          </cell>
          <cell r="AE108" t="str">
            <v>07</v>
          </cell>
          <cell r="AF108">
            <v>0</v>
          </cell>
          <cell r="AG108" t="str">
            <v>ADET</v>
          </cell>
          <cell r="AH108">
            <v>1000</v>
          </cell>
          <cell r="AI108" t="str">
            <v>TL</v>
          </cell>
          <cell r="AJ108">
            <v>34500</v>
          </cell>
          <cell r="AK108" t="str">
            <v>TL</v>
          </cell>
          <cell r="AL108">
            <v>1</v>
          </cell>
          <cell r="AM108" t="str">
            <v>8684127508360</v>
          </cell>
          <cell r="AO108">
            <v>0</v>
          </cell>
          <cell r="AQ108">
            <v>80</v>
          </cell>
          <cell r="AR108" t="str">
            <v>CM</v>
          </cell>
          <cell r="AS108">
            <v>80</v>
          </cell>
          <cell r="AT108" t="str">
            <v>CM</v>
          </cell>
          <cell r="AU108">
            <v>0</v>
          </cell>
          <cell r="AW108">
            <v>0</v>
          </cell>
        </row>
        <row r="109">
          <cell r="B109" t="str">
            <v>CK2G1C2M2C2F0</v>
          </cell>
          <cell r="C109" t="str">
            <v>ERD-22 FÜME 4W 2200K E27 KAYA LED AMPUL</v>
          </cell>
          <cell r="D109" t="str">
            <v>ERD-22 SMOKY 4W 2200K ROCK E27 LED BULB</v>
          </cell>
          <cell r="E109" t="str">
            <v>CAM METAL FÜME FLAMENT DIMMSIZ KARMA</v>
          </cell>
          <cell r="F109" t="str">
            <v>8539.52.00.00.00</v>
          </cell>
          <cell r="G109" t="str">
            <v>AMPUL</v>
          </cell>
          <cell r="H109" t="str">
            <v>CG21122B21T02</v>
          </cell>
          <cell r="I109" t="str">
            <v>İÇ</v>
          </cell>
          <cell r="J109" t="str">
            <v>AMPUL</v>
          </cell>
          <cell r="K109" t="str">
            <v>ERD-22</v>
          </cell>
          <cell r="L109" t="str">
            <v/>
          </cell>
          <cell r="M109" t="str">
            <v/>
          </cell>
          <cell r="N109" t="str">
            <v>ERD-22</v>
          </cell>
          <cell r="O109" t="str">
            <v>HEKA</v>
          </cell>
          <cell r="P109" t="str">
            <v>ADET</v>
          </cell>
          <cell r="Q109" t="str">
            <v>E27</v>
          </cell>
          <cell r="R109" t="str">
            <v>CAM</v>
          </cell>
          <cell r="S109" t="str">
            <v>FÜME</v>
          </cell>
          <cell r="T109" t="str">
            <v>METAL</v>
          </cell>
          <cell r="V109" t="str">
            <v>G</v>
          </cell>
          <cell r="W109" t="str">
            <v>FLAMENT</v>
          </cell>
          <cell r="X109" t="str">
            <v>220V</v>
          </cell>
          <cell r="Y109" t="str">
            <v>4 WATT</v>
          </cell>
          <cell r="Z109" t="str">
            <v>2200 K</v>
          </cell>
          <cell r="AA109" t="str">
            <v>DIMMSIZ</v>
          </cell>
          <cell r="AB109" t="str">
            <v>201-300</v>
          </cell>
          <cell r="AC109" t="str">
            <v>KARMA</v>
          </cell>
          <cell r="AD109" t="str">
            <v>N/A</v>
          </cell>
          <cell r="AF109">
            <v>86</v>
          </cell>
          <cell r="AG109" t="str">
            <v>ADET</v>
          </cell>
          <cell r="AH109">
            <v>39</v>
          </cell>
          <cell r="AI109" t="str">
            <v>CNY</v>
          </cell>
          <cell r="AJ109">
            <v>44</v>
          </cell>
          <cell r="AK109" t="str">
            <v>USD</v>
          </cell>
          <cell r="AL109">
            <v>1</v>
          </cell>
          <cell r="AM109" t="str">
            <v>8684127504249</v>
          </cell>
          <cell r="AN109" t="str">
            <v>8699089463106</v>
          </cell>
          <cell r="AO109">
            <v>0</v>
          </cell>
          <cell r="AQ109">
            <v>16.5</v>
          </cell>
          <cell r="AR109" t="str">
            <v>CM</v>
          </cell>
          <cell r="AS109">
            <v>16.5</v>
          </cell>
          <cell r="AT109" t="str">
            <v>CM</v>
          </cell>
          <cell r="AU109">
            <v>0</v>
          </cell>
          <cell r="AW109">
            <v>0</v>
          </cell>
        </row>
        <row r="110">
          <cell r="B110" t="str">
            <v>T1C2ERFJRS0-048</v>
          </cell>
          <cell r="C110" t="str">
            <v>REGULUS TEKLİ FÜME CAM AVİZE</v>
          </cell>
          <cell r="D110" t="str">
            <v>REGULUS SINGLE SMOKY GLASS CHANDELIER</v>
          </cell>
          <cell r="E110" t="str">
            <v>CAM METAL FÜME SİYAH</v>
          </cell>
          <cell r="F110" t="str">
            <v>9405.19.50.00.19</v>
          </cell>
          <cell r="G110" t="str">
            <v>AVİZE</v>
          </cell>
          <cell r="H110" t="str">
            <v>T1A2214002B01</v>
          </cell>
          <cell r="I110" t="str">
            <v>İÇ</v>
          </cell>
          <cell r="J110" t="str">
            <v>AVİZE.SARK</v>
          </cell>
          <cell r="K110" t="str">
            <v>REGULUS</v>
          </cell>
          <cell r="L110" t="str">
            <v/>
          </cell>
          <cell r="M110" t="str">
            <v/>
          </cell>
          <cell r="N110" t="str">
            <v>MJ-032B</v>
          </cell>
          <cell r="O110" t="str">
            <v>TOPLAMA</v>
          </cell>
          <cell r="P110" t="str">
            <v>ADET</v>
          </cell>
          <cell r="Q110" t="str">
            <v>E27</v>
          </cell>
          <cell r="R110" t="str">
            <v>CAM</v>
          </cell>
          <cell r="S110" t="str">
            <v>FÜME</v>
          </cell>
          <cell r="T110" t="str">
            <v>METAL</v>
          </cell>
          <cell r="U110" t="str">
            <v>SİYAH</v>
          </cell>
          <cell r="AD110" t="str">
            <v>N/A</v>
          </cell>
          <cell r="AE110" t="str">
            <v>01</v>
          </cell>
          <cell r="AF110">
            <v>18</v>
          </cell>
          <cell r="AG110" t="str">
            <v>ADET</v>
          </cell>
          <cell r="AH110">
            <v>52</v>
          </cell>
          <cell r="AI110" t="str">
            <v>TL</v>
          </cell>
          <cell r="AJ110">
            <v>1655</v>
          </cell>
          <cell r="AK110" t="str">
            <v>TL</v>
          </cell>
          <cell r="AL110">
            <v>1</v>
          </cell>
          <cell r="AM110" t="str">
            <v>8684127504720</v>
          </cell>
          <cell r="AO110">
            <v>0</v>
          </cell>
          <cell r="AQ110">
            <v>0</v>
          </cell>
          <cell r="AR110" t="str">
            <v>CM</v>
          </cell>
          <cell r="AS110">
            <v>48</v>
          </cell>
          <cell r="AT110" t="str">
            <v>CM</v>
          </cell>
          <cell r="AU110">
            <v>0</v>
          </cell>
          <cell r="AW110">
            <v>0</v>
          </cell>
        </row>
        <row r="111">
          <cell r="B111" t="str">
            <v>T1C2ERFJRS0-040</v>
          </cell>
          <cell r="C111" t="str">
            <v>CASTOR TEKLİ FÜME CAM AVİZE</v>
          </cell>
          <cell r="D111" t="str">
            <v>CASTOR SINGLE SMOKY GLASS CHANDELIER</v>
          </cell>
          <cell r="E111" t="str">
            <v>CAM METAL FÜME SİYAH</v>
          </cell>
          <cell r="F111" t="str">
            <v>9405.19.50.00.19</v>
          </cell>
          <cell r="G111" t="str">
            <v>AVİZE</v>
          </cell>
          <cell r="H111" t="str">
            <v>T1A2214002K01</v>
          </cell>
          <cell r="I111" t="str">
            <v>İÇ</v>
          </cell>
          <cell r="J111" t="str">
            <v>AVİZE.SARK</v>
          </cell>
          <cell r="K111" t="str">
            <v>CASTOR</v>
          </cell>
          <cell r="L111" t="str">
            <v/>
          </cell>
          <cell r="M111" t="str">
            <v/>
          </cell>
          <cell r="N111" t="str">
            <v>MJ-033B</v>
          </cell>
          <cell r="O111" t="str">
            <v>TOPLAMA</v>
          </cell>
          <cell r="P111" t="str">
            <v>ADET</v>
          </cell>
          <cell r="Q111" t="str">
            <v>E27</v>
          </cell>
          <cell r="R111" t="str">
            <v>CAM</v>
          </cell>
          <cell r="S111" t="str">
            <v>FÜME</v>
          </cell>
          <cell r="T111" t="str">
            <v>METAL</v>
          </cell>
          <cell r="U111" t="str">
            <v>SİYAH</v>
          </cell>
          <cell r="AD111" t="str">
            <v>N/A</v>
          </cell>
          <cell r="AE111" t="str">
            <v>01</v>
          </cell>
          <cell r="AF111">
            <v>18</v>
          </cell>
          <cell r="AG111" t="str">
            <v>ADET</v>
          </cell>
          <cell r="AH111">
            <v>38</v>
          </cell>
          <cell r="AI111" t="str">
            <v>CNY</v>
          </cell>
          <cell r="AJ111">
            <v>1536</v>
          </cell>
          <cell r="AK111" t="str">
            <v>TL</v>
          </cell>
          <cell r="AL111">
            <v>1</v>
          </cell>
          <cell r="AM111" t="str">
            <v>8684127504744</v>
          </cell>
          <cell r="AO111">
            <v>0</v>
          </cell>
          <cell r="AQ111">
            <v>0</v>
          </cell>
          <cell r="AR111" t="str">
            <v>CM</v>
          </cell>
          <cell r="AS111">
            <v>40</v>
          </cell>
          <cell r="AT111" t="str">
            <v>CM</v>
          </cell>
          <cell r="AU111">
            <v>0</v>
          </cell>
          <cell r="AW111">
            <v>0</v>
          </cell>
        </row>
        <row r="112">
          <cell r="B112" t="str">
            <v>T1W4EMKJRS0-018</v>
          </cell>
          <cell r="C112" t="str">
            <v>DENEB UFO CAM KROM APLİK</v>
          </cell>
          <cell r="D112" t="str">
            <v>DENEB UFO GLASS CHROME WALL LAMP</v>
          </cell>
          <cell r="E112" t="str">
            <v>CAM METAL KROM SİYAH</v>
          </cell>
          <cell r="F112" t="str">
            <v>9405.19.50.00.19</v>
          </cell>
          <cell r="G112" t="str">
            <v>APLİK</v>
          </cell>
          <cell r="H112" t="str">
            <v>T1W2714004-01</v>
          </cell>
          <cell r="I112" t="str">
            <v>İÇ</v>
          </cell>
          <cell r="J112" t="str">
            <v>APLİK</v>
          </cell>
          <cell r="K112" t="str">
            <v>DENEB</v>
          </cell>
          <cell r="L112" t="str">
            <v/>
          </cell>
          <cell r="M112" t="str">
            <v/>
          </cell>
          <cell r="N112" t="str">
            <v>MJ-030B</v>
          </cell>
          <cell r="O112" t="str">
            <v>TOPLAMA</v>
          </cell>
          <cell r="P112" t="str">
            <v>ADET</v>
          </cell>
          <cell r="Q112" t="str">
            <v>G4</v>
          </cell>
          <cell r="R112" t="str">
            <v>CAM</v>
          </cell>
          <cell r="S112" t="str">
            <v>KROM</v>
          </cell>
          <cell r="T112" t="str">
            <v>METAL</v>
          </cell>
          <cell r="U112" t="str">
            <v>SİYAH</v>
          </cell>
          <cell r="AD112" t="str">
            <v>N/A</v>
          </cell>
          <cell r="AE112" t="str">
            <v>02</v>
          </cell>
          <cell r="AF112">
            <v>0</v>
          </cell>
          <cell r="AG112" t="str">
            <v>ADET</v>
          </cell>
          <cell r="AH112">
            <v>27</v>
          </cell>
          <cell r="AI112" t="str">
            <v>CNY</v>
          </cell>
          <cell r="AJ112">
            <v>1417</v>
          </cell>
          <cell r="AK112" t="str">
            <v>TL</v>
          </cell>
          <cell r="AL112">
            <v>1</v>
          </cell>
          <cell r="AM112" t="str">
            <v>8684127504690</v>
          </cell>
          <cell r="AO112">
            <v>0</v>
          </cell>
          <cell r="AQ112">
            <v>0</v>
          </cell>
          <cell r="AR112" t="str">
            <v>CM</v>
          </cell>
          <cell r="AS112">
            <v>18</v>
          </cell>
          <cell r="AT112" t="str">
            <v>CM</v>
          </cell>
          <cell r="AU112">
            <v>0</v>
          </cell>
          <cell r="AW112">
            <v>0</v>
          </cell>
        </row>
        <row r="113">
          <cell r="B113" t="str">
            <v>CE2E1C3M2E8P0</v>
          </cell>
          <cell r="C113" t="str">
            <v>ERD-46 G95 ŞEFFAF 6W 6500K E27 LED AMPUL</v>
          </cell>
          <cell r="D113" t="str">
            <v>ERD-46 G95 CLEAR 6W 6500K E27 LED BULB</v>
          </cell>
          <cell r="E113" t="str">
            <v>CAM METAL ŞEFFAF FLAMENT DIMMSIZ G95-TOP</v>
          </cell>
          <cell r="F113" t="str">
            <v>8539.52.00.00.00</v>
          </cell>
          <cell r="G113" t="str">
            <v>AMPUL</v>
          </cell>
          <cell r="H113" t="str">
            <v>CE21132D80V02</v>
          </cell>
          <cell r="I113" t="str">
            <v>İÇ</v>
          </cell>
          <cell r="J113" t="str">
            <v>AMPUL</v>
          </cell>
          <cell r="K113" t="str">
            <v>ERD-46</v>
          </cell>
          <cell r="L113" t="str">
            <v/>
          </cell>
          <cell r="M113" t="str">
            <v>28.02.2026</v>
          </cell>
          <cell r="N113" t="str">
            <v>ERD-46</v>
          </cell>
          <cell r="O113" t="str">
            <v>HEKA</v>
          </cell>
          <cell r="P113" t="str">
            <v>ADET</v>
          </cell>
          <cell r="Q113" t="str">
            <v>E27</v>
          </cell>
          <cell r="R113" t="str">
            <v>CAM</v>
          </cell>
          <cell r="S113" t="str">
            <v>ŞEFFAF</v>
          </cell>
          <cell r="T113" t="str">
            <v>METAL</v>
          </cell>
          <cell r="V113" t="str">
            <v>E</v>
          </cell>
          <cell r="W113" t="str">
            <v>FLAMENT</v>
          </cell>
          <cell r="X113" t="str">
            <v>220V</v>
          </cell>
          <cell r="Y113" t="str">
            <v>6 WATT</v>
          </cell>
          <cell r="Z113" t="str">
            <v>6500 K</v>
          </cell>
          <cell r="AA113" t="str">
            <v>DIMMSIZ</v>
          </cell>
          <cell r="AB113" t="str">
            <v>601-700</v>
          </cell>
          <cell r="AC113" t="str">
            <v>G95-TOP</v>
          </cell>
          <cell r="AD113" t="str">
            <v>N/A</v>
          </cell>
          <cell r="AF113">
            <v>109</v>
          </cell>
          <cell r="AG113" t="str">
            <v>ADET</v>
          </cell>
          <cell r="AH113">
            <v>0.56000000000000005</v>
          </cell>
          <cell r="AI113" t="str">
            <v>USD</v>
          </cell>
          <cell r="AJ113">
            <v>3.6</v>
          </cell>
          <cell r="AK113" t="str">
            <v>USD</v>
          </cell>
          <cell r="AL113">
            <v>1</v>
          </cell>
          <cell r="AM113" t="str">
            <v>8684127504119</v>
          </cell>
          <cell r="AN113" t="str">
            <v>8684127500692</v>
          </cell>
          <cell r="AO113">
            <v>0</v>
          </cell>
          <cell r="AQ113">
            <v>9.5</v>
          </cell>
          <cell r="AR113" t="str">
            <v>CM</v>
          </cell>
          <cell r="AS113">
            <v>9.5</v>
          </cell>
          <cell r="AT113" t="str">
            <v>CM</v>
          </cell>
          <cell r="AU113">
            <v>0</v>
          </cell>
          <cell r="AW113">
            <v>0</v>
          </cell>
        </row>
        <row r="114">
          <cell r="B114" t="str">
            <v>H1C4JMEECS0-150</v>
          </cell>
          <cell r="C114" t="str">
            <v>KAREN ŞEFFAF CAMLI AVİZE 12 Lİ</v>
          </cell>
          <cell r="D114" t="str">
            <v>KAREN CLEAR GLASS CHANDELIER 12 BULB</v>
          </cell>
          <cell r="E114" t="str">
            <v>METAL CAM ESKİTME ŞEFFAF</v>
          </cell>
          <cell r="F114" t="str">
            <v>9405.19.90.00.00</v>
          </cell>
          <cell r="G114" t="str">
            <v>AVİZE</v>
          </cell>
          <cell r="H114" t="str">
            <v>H1A4112400-12</v>
          </cell>
          <cell r="I114" t="str">
            <v>İÇ</v>
          </cell>
          <cell r="J114" t="str">
            <v>AVİZE.AVİZ</v>
          </cell>
          <cell r="K114" t="str">
            <v>KAREN</v>
          </cell>
          <cell r="L114" t="str">
            <v/>
          </cell>
          <cell r="M114" t="str">
            <v/>
          </cell>
          <cell r="N114" t="str">
            <v/>
          </cell>
          <cell r="O114" t="str">
            <v>HEKA</v>
          </cell>
          <cell r="P114" t="str">
            <v>ADET</v>
          </cell>
          <cell r="Q114" t="str">
            <v>G4</v>
          </cell>
          <cell r="R114" t="str">
            <v>METAL</v>
          </cell>
          <cell r="S114" t="str">
            <v>ESKİTME</v>
          </cell>
          <cell r="T114" t="str">
            <v>CAM</v>
          </cell>
          <cell r="U114" t="str">
            <v>ŞEFFAF</v>
          </cell>
          <cell r="AD114" t="str">
            <v>N/A</v>
          </cell>
          <cell r="AE114" t="str">
            <v>12</v>
          </cell>
          <cell r="AF114">
            <v>0</v>
          </cell>
          <cell r="AG114" t="str">
            <v>ADET</v>
          </cell>
          <cell r="AH114">
            <v>700</v>
          </cell>
          <cell r="AI114" t="str">
            <v>TL</v>
          </cell>
          <cell r="AJ114">
            <v>32300</v>
          </cell>
          <cell r="AK114" t="str">
            <v>TL</v>
          </cell>
          <cell r="AL114">
            <v>1</v>
          </cell>
          <cell r="AM114" t="str">
            <v>8684127509497</v>
          </cell>
          <cell r="AO114">
            <v>0</v>
          </cell>
          <cell r="AQ114">
            <v>90</v>
          </cell>
          <cell r="AR114" t="str">
            <v>CM</v>
          </cell>
          <cell r="AS114">
            <v>150</v>
          </cell>
          <cell r="AT114" t="str">
            <v>CM</v>
          </cell>
          <cell r="AU114">
            <v>0</v>
          </cell>
          <cell r="AW114">
            <v>0</v>
          </cell>
        </row>
        <row r="115">
          <cell r="B115" t="str">
            <v>H1W1JMEECT0-033</v>
          </cell>
          <cell r="C115" t="str">
            <v>MONS TEKLİ GLOP CAMLI ESKİTME SARKIT 15cm</v>
          </cell>
          <cell r="D115" t="str">
            <v>MONS SINGLE GLOBE GLASS BRUSHED BRASS PENDANT 15cm</v>
          </cell>
          <cell r="E115" t="str">
            <v>METAL CAM ESKİTME SOFT</v>
          </cell>
          <cell r="F115" t="str">
            <v>9405.19.90.00.00</v>
          </cell>
          <cell r="G115" t="str">
            <v>AVİZE</v>
          </cell>
          <cell r="H115" t="str">
            <v>T1A1112100-15</v>
          </cell>
          <cell r="I115" t="str">
            <v>İÇ</v>
          </cell>
          <cell r="J115" t="str">
            <v>AVİZE.SARK</v>
          </cell>
          <cell r="K115" t="str">
            <v>MONS</v>
          </cell>
          <cell r="L115" t="str">
            <v/>
          </cell>
          <cell r="M115" t="str">
            <v/>
          </cell>
          <cell r="N115" t="str">
            <v>YD-02E</v>
          </cell>
          <cell r="O115" t="str">
            <v>HEKA</v>
          </cell>
          <cell r="P115" t="str">
            <v>ADET</v>
          </cell>
          <cell r="Q115" t="str">
            <v>E14</v>
          </cell>
          <cell r="R115" t="str">
            <v>METAL</v>
          </cell>
          <cell r="S115" t="str">
            <v>ESKİTME</v>
          </cell>
          <cell r="T115" t="str">
            <v>CAM</v>
          </cell>
          <cell r="U115" t="str">
            <v>SOFT</v>
          </cell>
          <cell r="AD115" t="str">
            <v>N/A</v>
          </cell>
          <cell r="AE115" t="str">
            <v>02</v>
          </cell>
          <cell r="AF115">
            <v>0</v>
          </cell>
          <cell r="AG115" t="str">
            <v>ADET</v>
          </cell>
          <cell r="AJ115">
            <v>1450</v>
          </cell>
          <cell r="AK115" t="str">
            <v>TL</v>
          </cell>
          <cell r="AL115">
            <v>1</v>
          </cell>
          <cell r="AM115" t="str">
            <v>8684127509466</v>
          </cell>
          <cell r="AO115">
            <v>0</v>
          </cell>
          <cell r="AQ115">
            <v>14</v>
          </cell>
          <cell r="AR115" t="str">
            <v>CM</v>
          </cell>
          <cell r="AS115">
            <v>33</v>
          </cell>
          <cell r="AT115" t="str">
            <v>CM</v>
          </cell>
          <cell r="AU115">
            <v>0</v>
          </cell>
          <cell r="AW115">
            <v>0</v>
          </cell>
        </row>
        <row r="116">
          <cell r="B116" t="str">
            <v>T1C2JME000T-010</v>
          </cell>
          <cell r="C116" t="str">
            <v>AVESTA DEKORATİF ESKİTME DUY</v>
          </cell>
          <cell r="D116" t="str">
            <v>AVESTA DECORATIVE BRUSHED BRASS LAMP HOLDER</v>
          </cell>
          <cell r="E116" t="str">
            <v>METAL YOK ESKİTME YOK</v>
          </cell>
          <cell r="F116" t="str">
            <v>9405.19.90.00.00</v>
          </cell>
          <cell r="G116" t="str">
            <v>ZPARCA</v>
          </cell>
          <cell r="H116" t="str">
            <v>T1A2110103-01</v>
          </cell>
          <cell r="I116" t="str">
            <v>İÇ</v>
          </cell>
          <cell r="J116" t="str">
            <v>ZPARCA</v>
          </cell>
          <cell r="K116" t="str">
            <v>AVESTA</v>
          </cell>
          <cell r="L116" t="str">
            <v/>
          </cell>
          <cell r="M116" t="str">
            <v/>
          </cell>
          <cell r="N116" t="str">
            <v>SJ-01E</v>
          </cell>
          <cell r="O116" t="str">
            <v>HEKA</v>
          </cell>
          <cell r="P116" t="str">
            <v>ADET</v>
          </cell>
          <cell r="Q116" t="str">
            <v>E27</v>
          </cell>
          <cell r="R116" t="str">
            <v>METAL</v>
          </cell>
          <cell r="S116" t="str">
            <v>ESKİTME</v>
          </cell>
          <cell r="T116" t="str">
            <v>YOK</v>
          </cell>
          <cell r="U116" t="str">
            <v>YOK</v>
          </cell>
          <cell r="AD116" t="str">
            <v>TIRTIKLI</v>
          </cell>
          <cell r="AE116" t="str">
            <v>02</v>
          </cell>
          <cell r="AF116">
            <v>313</v>
          </cell>
          <cell r="AG116" t="str">
            <v>ADET</v>
          </cell>
          <cell r="AJ116">
            <v>795</v>
          </cell>
          <cell r="AK116" t="str">
            <v>TL</v>
          </cell>
          <cell r="AL116">
            <v>1</v>
          </cell>
          <cell r="AM116" t="str">
            <v>8684127505901</v>
          </cell>
          <cell r="AO116">
            <v>0</v>
          </cell>
          <cell r="AQ116">
            <v>5</v>
          </cell>
          <cell r="AR116" t="str">
            <v>CM</v>
          </cell>
          <cell r="AS116">
            <v>10</v>
          </cell>
          <cell r="AT116" t="str">
            <v>CM</v>
          </cell>
          <cell r="AU116">
            <v>0</v>
          </cell>
          <cell r="AW116">
            <v>0</v>
          </cell>
        </row>
        <row r="117">
          <cell r="B117" t="str">
            <v>T8360</v>
          </cell>
          <cell r="C117" t="str">
            <v>*T8360* MASA LAMBASI</v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>T8360</v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P117" t="str">
            <v>ADET</v>
          </cell>
          <cell r="AF117">
            <v>0</v>
          </cell>
          <cell r="AG117" t="str">
            <v>ADET</v>
          </cell>
          <cell r="AH117">
            <v>150</v>
          </cell>
          <cell r="AI117" t="str">
            <v>TL</v>
          </cell>
          <cell r="AL117">
            <v>0</v>
          </cell>
          <cell r="AO117">
            <v>0</v>
          </cell>
          <cell r="AQ117">
            <v>0</v>
          </cell>
          <cell r="AS117">
            <v>0</v>
          </cell>
          <cell r="AU117">
            <v>0</v>
          </cell>
          <cell r="AW117">
            <v>0</v>
          </cell>
        </row>
        <row r="118">
          <cell r="B118" t="str">
            <v>H1C6JMEWRBR-070</v>
          </cell>
          <cell r="C118" t="str">
            <v>EFES SALON AVİZE YUVARLAK 70CM</v>
          </cell>
          <cell r="D118" t="str">
            <v>EFES ROUND LIVING ROOM CHANDELIER 70CM</v>
          </cell>
          <cell r="E118" t="str">
            <v xml:space="preserve">METAL MERMER ESKİTME BEYAZ   </v>
          </cell>
          <cell r="F118" t="str">
            <v>9405.11.90.00.00</v>
          </cell>
          <cell r="G118" t="str">
            <v>AVİZE</v>
          </cell>
          <cell r="H118" t="str">
            <v>H1A6113101-60</v>
          </cell>
          <cell r="I118" t="str">
            <v>İÇ</v>
          </cell>
          <cell r="J118" t="str">
            <v>AVİZE.AVİZ</v>
          </cell>
          <cell r="K118" t="str">
            <v>EFES</v>
          </cell>
          <cell r="L118" t="str">
            <v>Ç</v>
          </cell>
          <cell r="M118" t="str">
            <v>ÜRTM:25GÜN</v>
          </cell>
          <cell r="N118" t="str">
            <v>HK20006</v>
          </cell>
          <cell r="O118" t="str">
            <v>HEKA</v>
          </cell>
          <cell r="P118" t="str">
            <v>ADET</v>
          </cell>
          <cell r="Q118" t="str">
            <v>LED</v>
          </cell>
          <cell r="R118" t="str">
            <v>METAL</v>
          </cell>
          <cell r="S118" t="str">
            <v>ESKİTME</v>
          </cell>
          <cell r="T118" t="str">
            <v>MERMER</v>
          </cell>
          <cell r="U118" t="str">
            <v>BEYAZ</v>
          </cell>
          <cell r="AD118" t="str">
            <v>DAİRE</v>
          </cell>
          <cell r="AF118">
            <v>2</v>
          </cell>
          <cell r="AG118" t="str">
            <v>ADET</v>
          </cell>
          <cell r="AH118">
            <v>8000</v>
          </cell>
          <cell r="AI118" t="str">
            <v>TL</v>
          </cell>
          <cell r="AJ118">
            <v>174750</v>
          </cell>
          <cell r="AK118" t="str">
            <v>TL</v>
          </cell>
          <cell r="AL118">
            <v>1</v>
          </cell>
          <cell r="AM118" t="str">
            <v>8684127506618</v>
          </cell>
          <cell r="AO118">
            <v>0</v>
          </cell>
          <cell r="AQ118">
            <v>25</v>
          </cell>
          <cell r="AR118" t="str">
            <v>CM</v>
          </cell>
          <cell r="AS118">
            <v>75</v>
          </cell>
          <cell r="AT118" t="str">
            <v>CM</v>
          </cell>
          <cell r="AU118">
            <v>0</v>
          </cell>
          <cell r="AW118">
            <v>0</v>
          </cell>
        </row>
        <row r="119">
          <cell r="B119" t="str">
            <v>CK2G1C1M2E2Z0</v>
          </cell>
          <cell r="C119" t="str">
            <v>ERD-226 BAL 6W 2200K BÜYÜK YAMUK E27 LED AMPUL</v>
          </cell>
          <cell r="D119" t="str">
            <v>ERD-226 AMBER 6W 2200K IRREGULAR BIG E27 LED BULB</v>
          </cell>
          <cell r="E119" t="str">
            <v>CAM METAL BAL FLAMENT DIMMSIZ KARMA</v>
          </cell>
          <cell r="F119" t="str">
            <v>8539.52.00.00.00</v>
          </cell>
          <cell r="G119" t="str">
            <v>AVİZE</v>
          </cell>
          <cell r="H119" t="str">
            <v>CG21112D21T99</v>
          </cell>
          <cell r="I119" t="str">
            <v>İÇ</v>
          </cell>
          <cell r="J119" t="str">
            <v>AMPUL</v>
          </cell>
          <cell r="K119" t="str">
            <v>ERD-226</v>
          </cell>
          <cell r="L119" t="str">
            <v/>
          </cell>
          <cell r="M119" t="str">
            <v/>
          </cell>
          <cell r="N119" t="str">
            <v>ERD-226</v>
          </cell>
          <cell r="O119" t="str">
            <v>HEKA</v>
          </cell>
          <cell r="P119" t="str">
            <v>ADET</v>
          </cell>
          <cell r="Q119" t="str">
            <v>E27</v>
          </cell>
          <cell r="R119" t="str">
            <v>CAM</v>
          </cell>
          <cell r="S119" t="str">
            <v>BAL</v>
          </cell>
          <cell r="T119" t="str">
            <v>METAL</v>
          </cell>
          <cell r="V119" t="str">
            <v>G</v>
          </cell>
          <cell r="W119" t="str">
            <v>FLAMENT</v>
          </cell>
          <cell r="X119" t="str">
            <v>220V</v>
          </cell>
          <cell r="Y119" t="str">
            <v>6 WATT</v>
          </cell>
          <cell r="Z119" t="str">
            <v>2200 K</v>
          </cell>
          <cell r="AA119" t="str">
            <v>DIMMSIZ</v>
          </cell>
          <cell r="AB119" t="str">
            <v>201-300</v>
          </cell>
          <cell r="AC119" t="str">
            <v>KARMA</v>
          </cell>
          <cell r="AD119" t="str">
            <v>N/A</v>
          </cell>
          <cell r="AF119">
            <v>17</v>
          </cell>
          <cell r="AG119" t="str">
            <v>ADET</v>
          </cell>
          <cell r="AH119">
            <v>74</v>
          </cell>
          <cell r="AI119" t="str">
            <v>CNY</v>
          </cell>
          <cell r="AJ119">
            <v>84</v>
          </cell>
          <cell r="AK119" t="str">
            <v>USD</v>
          </cell>
          <cell r="AL119">
            <v>1</v>
          </cell>
          <cell r="AM119" t="str">
            <v>8684127503792</v>
          </cell>
          <cell r="AN119" t="str">
            <v>8699089465125</v>
          </cell>
          <cell r="AO119">
            <v>0</v>
          </cell>
          <cell r="AQ119">
            <v>22</v>
          </cell>
          <cell r="AR119" t="str">
            <v>CM</v>
          </cell>
          <cell r="AS119">
            <v>22</v>
          </cell>
          <cell r="AT119" t="str">
            <v>CM</v>
          </cell>
          <cell r="AU119">
            <v>0</v>
          </cell>
          <cell r="AW119">
            <v>0</v>
          </cell>
        </row>
        <row r="120">
          <cell r="B120" t="str">
            <v>CK2G1C2M2E2Z0</v>
          </cell>
          <cell r="C120" t="str">
            <v>ERD-228 FÜME 6W 2200K ASKI TİPİ E27 LED AMPUL</v>
          </cell>
          <cell r="D120" t="str">
            <v>ERD-228 SMOKY 6W 2200K HANGER TYPE E27 LED BULB</v>
          </cell>
          <cell r="E120" t="str">
            <v>CAM METAL FÜME FLAMENT DIMMSIZ KARMA</v>
          </cell>
          <cell r="F120" t="str">
            <v>8539.52.00.00.00</v>
          </cell>
          <cell r="G120" t="str">
            <v>AVİZE</v>
          </cell>
          <cell r="H120" t="str">
            <v>CG21122D21T01</v>
          </cell>
          <cell r="I120" t="str">
            <v>İÇ</v>
          </cell>
          <cell r="J120" t="str">
            <v>AMPUL</v>
          </cell>
          <cell r="K120" t="str">
            <v>ERD-228</v>
          </cell>
          <cell r="L120" t="str">
            <v/>
          </cell>
          <cell r="M120" t="str">
            <v/>
          </cell>
          <cell r="N120" t="str">
            <v>ERD-228</v>
          </cell>
          <cell r="O120" t="str">
            <v>HEKA</v>
          </cell>
          <cell r="P120" t="str">
            <v>ADET</v>
          </cell>
          <cell r="Q120" t="str">
            <v>E27</v>
          </cell>
          <cell r="R120" t="str">
            <v>CAM</v>
          </cell>
          <cell r="S120" t="str">
            <v>FÜME</v>
          </cell>
          <cell r="T120" t="str">
            <v>METAL</v>
          </cell>
          <cell r="V120" t="str">
            <v>G</v>
          </cell>
          <cell r="W120" t="str">
            <v>FLAMENT</v>
          </cell>
          <cell r="X120" t="str">
            <v>220V</v>
          </cell>
          <cell r="Y120" t="str">
            <v>6 WATT</v>
          </cell>
          <cell r="Z120" t="str">
            <v>2200 K</v>
          </cell>
          <cell r="AA120" t="str">
            <v>DIMMSIZ</v>
          </cell>
          <cell r="AB120" t="str">
            <v>201-300</v>
          </cell>
          <cell r="AC120" t="str">
            <v>KARMA</v>
          </cell>
          <cell r="AD120" t="str">
            <v>N/A</v>
          </cell>
          <cell r="AF120">
            <v>24</v>
          </cell>
          <cell r="AG120" t="str">
            <v>ADET</v>
          </cell>
          <cell r="AH120">
            <v>90</v>
          </cell>
          <cell r="AI120" t="str">
            <v>CNY</v>
          </cell>
          <cell r="AJ120">
            <v>54</v>
          </cell>
          <cell r="AK120" t="str">
            <v>USD</v>
          </cell>
          <cell r="AL120">
            <v>1</v>
          </cell>
          <cell r="AM120" t="str">
            <v>8684127503822</v>
          </cell>
          <cell r="AN120" t="str">
            <v>8699089465122</v>
          </cell>
          <cell r="AO120">
            <v>0</v>
          </cell>
          <cell r="AQ120">
            <v>4</v>
          </cell>
          <cell r="AR120" t="str">
            <v>CM</v>
          </cell>
          <cell r="AS120">
            <v>16</v>
          </cell>
          <cell r="AT120" t="str">
            <v>CM</v>
          </cell>
          <cell r="AU120">
            <v>0</v>
          </cell>
          <cell r="AW120">
            <v>0</v>
          </cell>
        </row>
        <row r="121">
          <cell r="B121" t="str">
            <v>CK4G3S3M3A5A1</v>
          </cell>
          <cell r="C121" t="str">
            <v>ERD-271 ŞEFFAF 12V 2W 3000K G4 LED AMPUL</v>
          </cell>
          <cell r="D121" t="str">
            <v>ERD-271 CLEAR 12V 2W 3000K G4 LED BULB</v>
          </cell>
          <cell r="E121" t="str">
            <v>SİLİKON METAL ŞEFFAF COB LED DIMMLI KARMA</v>
          </cell>
          <cell r="F121" t="str">
            <v>8539.52.00.00.00</v>
          </cell>
          <cell r="G121" t="str">
            <v>AMPUL</v>
          </cell>
          <cell r="H121" t="str">
            <v>CG43233A51000</v>
          </cell>
          <cell r="I121" t="str">
            <v>İÇ</v>
          </cell>
          <cell r="J121" t="str">
            <v>AMPUL</v>
          </cell>
          <cell r="K121" t="str">
            <v>ERD-271</v>
          </cell>
          <cell r="L121" t="str">
            <v/>
          </cell>
          <cell r="M121" t="str">
            <v/>
          </cell>
          <cell r="N121" t="str">
            <v>ERD-271</v>
          </cell>
          <cell r="O121" t="str">
            <v>HEKA</v>
          </cell>
          <cell r="P121" t="str">
            <v>ADET</v>
          </cell>
          <cell r="Q121" t="str">
            <v>G4</v>
          </cell>
          <cell r="R121" t="str">
            <v>SİLİKON</v>
          </cell>
          <cell r="S121" t="str">
            <v>ŞEFFAF</v>
          </cell>
          <cell r="T121" t="str">
            <v>METAL</v>
          </cell>
          <cell r="V121" t="str">
            <v>G</v>
          </cell>
          <cell r="W121" t="str">
            <v>COB LED</v>
          </cell>
          <cell r="X121" t="str">
            <v>12V</v>
          </cell>
          <cell r="Y121" t="str">
            <v>2 WATT</v>
          </cell>
          <cell r="Z121" t="str">
            <v>3000 K</v>
          </cell>
          <cell r="AA121" t="str">
            <v>DIMMLI</v>
          </cell>
          <cell r="AB121" t="str">
            <v>101-200</v>
          </cell>
          <cell r="AC121" t="str">
            <v>KARMA</v>
          </cell>
          <cell r="AD121" t="str">
            <v>N/A</v>
          </cell>
          <cell r="AF121">
            <v>0</v>
          </cell>
          <cell r="AG121" t="str">
            <v>ADET</v>
          </cell>
          <cell r="AH121">
            <v>4.4000000000000004</v>
          </cell>
          <cell r="AI121" t="str">
            <v>CNY</v>
          </cell>
          <cell r="AJ121">
            <v>1.65</v>
          </cell>
          <cell r="AK121" t="str">
            <v>USD</v>
          </cell>
          <cell r="AL121">
            <v>1</v>
          </cell>
          <cell r="AM121" t="str">
            <v>8684127504348</v>
          </cell>
          <cell r="AN121" t="str">
            <v>8684127500715</v>
          </cell>
          <cell r="AO121">
            <v>0</v>
          </cell>
          <cell r="AQ121">
            <v>1.5</v>
          </cell>
          <cell r="AR121" t="str">
            <v>CM</v>
          </cell>
          <cell r="AS121">
            <v>1.5</v>
          </cell>
          <cell r="AT121" t="str">
            <v>CM</v>
          </cell>
          <cell r="AU121">
            <v>0</v>
          </cell>
          <cell r="AW121">
            <v>0</v>
          </cell>
        </row>
        <row r="122">
          <cell r="B122" t="str">
            <v>CK4G2P4M2D5H0</v>
          </cell>
          <cell r="C122" t="str">
            <v>ERD-267 ŞEFFAF 220V 5W 3000K G4 LED AMPUL</v>
          </cell>
          <cell r="D122" t="str">
            <v>ERD-267 CLEAR 220V 5W 3000K G4 LED BULB</v>
          </cell>
          <cell r="E122" t="str">
            <v>PLASTİK METAL ŞEFFAF SMD LED DIMMLI MISIR</v>
          </cell>
          <cell r="F122" t="str">
            <v>8539.52.00.00.00</v>
          </cell>
          <cell r="G122" t="str">
            <v>AMPUL</v>
          </cell>
          <cell r="H122" t="str">
            <v>CG42232C50000</v>
          </cell>
          <cell r="I122" t="str">
            <v>İÇ</v>
          </cell>
          <cell r="J122" t="str">
            <v>AMPUL</v>
          </cell>
          <cell r="K122" t="str">
            <v>ERD-267</v>
          </cell>
          <cell r="L122" t="str">
            <v/>
          </cell>
          <cell r="M122" t="str">
            <v/>
          </cell>
          <cell r="N122" t="str">
            <v>ERD-267</v>
          </cell>
          <cell r="O122" t="str">
            <v>HEKA</v>
          </cell>
          <cell r="P122" t="str">
            <v>ADET</v>
          </cell>
          <cell r="Q122" t="str">
            <v>G4</v>
          </cell>
          <cell r="R122" t="str">
            <v>PLASTİK</v>
          </cell>
          <cell r="S122" t="str">
            <v>ŞEFFAF</v>
          </cell>
          <cell r="T122" t="str">
            <v>METAL</v>
          </cell>
          <cell r="V122" t="str">
            <v>G</v>
          </cell>
          <cell r="W122" t="str">
            <v>SMD LED</v>
          </cell>
          <cell r="X122" t="str">
            <v>220V</v>
          </cell>
          <cell r="Y122" t="str">
            <v>5 WATT</v>
          </cell>
          <cell r="Z122" t="str">
            <v>3000 K</v>
          </cell>
          <cell r="AA122" t="str">
            <v>DIMMLI</v>
          </cell>
          <cell r="AB122" t="str">
            <v>301-400</v>
          </cell>
          <cell r="AC122" t="str">
            <v>MISIR</v>
          </cell>
          <cell r="AD122" t="str">
            <v>N/A</v>
          </cell>
          <cell r="AF122">
            <v>23</v>
          </cell>
          <cell r="AG122" t="str">
            <v>ADET</v>
          </cell>
          <cell r="AH122">
            <v>1.7</v>
          </cell>
          <cell r="AI122" t="str">
            <v>CNY</v>
          </cell>
          <cell r="AJ122">
            <v>1.3</v>
          </cell>
          <cell r="AK122" t="str">
            <v>USD</v>
          </cell>
          <cell r="AL122">
            <v>1</v>
          </cell>
          <cell r="AM122" t="str">
            <v>8684127503273</v>
          </cell>
          <cell r="AN122" t="str">
            <v>8684127500524</v>
          </cell>
          <cell r="AO122">
            <v>0</v>
          </cell>
          <cell r="AQ122">
            <v>1.5</v>
          </cell>
          <cell r="AR122" t="str">
            <v>CM</v>
          </cell>
          <cell r="AS122">
            <v>1.5</v>
          </cell>
          <cell r="AT122" t="str">
            <v>CM</v>
          </cell>
          <cell r="AU122">
            <v>0</v>
          </cell>
          <cell r="AW122">
            <v>0</v>
          </cell>
        </row>
        <row r="123">
          <cell r="B123" t="str">
            <v>CK3F3C3M2B5H0</v>
          </cell>
          <cell r="C123" t="str">
            <v>ERD-264 ŞEFFAF 3W 3000K G9 LED AMPUL</v>
          </cell>
          <cell r="D123" t="str">
            <v>ERD-264 CLEAR 3W 3000K G9 LED BULB</v>
          </cell>
          <cell r="E123" t="str">
            <v>CAM METAL ŞEFFAF COB LED DIMMLI KARMA</v>
          </cell>
          <cell r="F123" t="str">
            <v>9405.19.50.00.19</v>
          </cell>
          <cell r="G123" t="str">
            <v>AMPUL</v>
          </cell>
          <cell r="H123" t="str">
            <v>CE33132K51000</v>
          </cell>
          <cell r="I123" t="str">
            <v>İÇ</v>
          </cell>
          <cell r="J123" t="str">
            <v>AMPUL</v>
          </cell>
          <cell r="K123" t="str">
            <v>ERD-264</v>
          </cell>
          <cell r="L123" t="str">
            <v/>
          </cell>
          <cell r="M123" t="str">
            <v/>
          </cell>
          <cell r="N123" t="str">
            <v>ERD-264</v>
          </cell>
          <cell r="O123" t="str">
            <v>HEKA</v>
          </cell>
          <cell r="P123" t="str">
            <v>ADET</v>
          </cell>
          <cell r="Q123" t="str">
            <v>G9</v>
          </cell>
          <cell r="R123" t="str">
            <v>CAM</v>
          </cell>
          <cell r="S123" t="str">
            <v>ŞEFFAF</v>
          </cell>
          <cell r="T123" t="str">
            <v>METAL</v>
          </cell>
          <cell r="V123" t="str">
            <v>F</v>
          </cell>
          <cell r="W123" t="str">
            <v>COB LED</v>
          </cell>
          <cell r="X123" t="str">
            <v>220V</v>
          </cell>
          <cell r="Y123" t="str">
            <v>3 WATT</v>
          </cell>
          <cell r="Z123" t="str">
            <v>3000 K</v>
          </cell>
          <cell r="AA123" t="str">
            <v>DIMMLI</v>
          </cell>
          <cell r="AB123" t="str">
            <v>301-400</v>
          </cell>
          <cell r="AC123" t="str">
            <v>KARMA</v>
          </cell>
          <cell r="AD123" t="str">
            <v>N/A</v>
          </cell>
          <cell r="AF123">
            <v>4</v>
          </cell>
          <cell r="AG123" t="str">
            <v>ADET</v>
          </cell>
          <cell r="AH123">
            <v>2.7</v>
          </cell>
          <cell r="AI123" t="str">
            <v>CNY</v>
          </cell>
          <cell r="AJ123">
            <v>1.9</v>
          </cell>
          <cell r="AK123" t="str">
            <v>USD</v>
          </cell>
          <cell r="AL123">
            <v>1</v>
          </cell>
          <cell r="AM123" t="str">
            <v>8684127503228</v>
          </cell>
          <cell r="AN123" t="str">
            <v>8684127503235</v>
          </cell>
          <cell r="AO123">
            <v>0</v>
          </cell>
          <cell r="AQ123">
            <v>1.3</v>
          </cell>
          <cell r="AR123" t="str">
            <v>CM</v>
          </cell>
          <cell r="AS123">
            <v>1.3</v>
          </cell>
          <cell r="AT123" t="str">
            <v>CM</v>
          </cell>
          <cell r="AU123">
            <v>0</v>
          </cell>
          <cell r="AW123">
            <v>0</v>
          </cell>
        </row>
        <row r="124">
          <cell r="B124" t="str">
            <v>ERD-8</v>
          </cell>
          <cell r="C124" t="str">
            <v>*ERD-8* HEKA 8 WATT FÜME RENK LED AMPUL *6*</v>
          </cell>
          <cell r="D124" t="str">
            <v/>
          </cell>
          <cell r="E124" t="str">
            <v/>
          </cell>
          <cell r="F124" t="str">
            <v>853950000000</v>
          </cell>
          <cell r="G124" t="str">
            <v>AMPUL</v>
          </cell>
          <cell r="H124" t="str">
            <v>ERD-8</v>
          </cell>
          <cell r="I124" t="str">
            <v>İÇ</v>
          </cell>
          <cell r="J124" t="str">
            <v>AMPUL</v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>HEKA</v>
          </cell>
          <cell r="P124" t="str">
            <v>ADET</v>
          </cell>
          <cell r="AF124">
            <v>1</v>
          </cell>
          <cell r="AG124" t="str">
            <v>ADET</v>
          </cell>
          <cell r="AH124">
            <v>110</v>
          </cell>
          <cell r="AI124" t="str">
            <v>CNY</v>
          </cell>
          <cell r="AJ124">
            <v>1643</v>
          </cell>
          <cell r="AK124" t="str">
            <v>TL</v>
          </cell>
          <cell r="AL124">
            <v>1</v>
          </cell>
          <cell r="AM124" t="str">
            <v>1234567890003</v>
          </cell>
          <cell r="AN124" t="str">
            <v>8699089465132</v>
          </cell>
          <cell r="AO124">
            <v>0</v>
          </cell>
          <cell r="AQ124">
            <v>0</v>
          </cell>
          <cell r="AS124">
            <v>0</v>
          </cell>
          <cell r="AU124">
            <v>0</v>
          </cell>
          <cell r="AW124">
            <v>0</v>
          </cell>
        </row>
        <row r="125">
          <cell r="B125" t="str">
            <v>ERD-10</v>
          </cell>
          <cell r="C125" t="str">
            <v>*ERD-10* HEKA 4 WATT FÜME RENK LED AMPUL *6*</v>
          </cell>
          <cell r="D125" t="str">
            <v/>
          </cell>
          <cell r="E125" t="str">
            <v/>
          </cell>
          <cell r="F125" t="str">
            <v/>
          </cell>
          <cell r="G125" t="str">
            <v>AMPUL</v>
          </cell>
          <cell r="H125" t="str">
            <v>ERD-10</v>
          </cell>
          <cell r="I125" t="str">
            <v>İÇ</v>
          </cell>
          <cell r="J125" t="str">
            <v>AMPUL</v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  <cell r="O125" t="str">
            <v>HEKA</v>
          </cell>
          <cell r="P125" t="str">
            <v>ADET</v>
          </cell>
          <cell r="AF125">
            <v>1</v>
          </cell>
          <cell r="AG125" t="str">
            <v>ADET</v>
          </cell>
          <cell r="AH125">
            <v>75</v>
          </cell>
          <cell r="AI125" t="str">
            <v>CNY</v>
          </cell>
          <cell r="AJ125">
            <v>1643</v>
          </cell>
          <cell r="AK125" t="str">
            <v>TL</v>
          </cell>
          <cell r="AL125">
            <v>1</v>
          </cell>
          <cell r="AM125" t="str">
            <v>1234567890005</v>
          </cell>
          <cell r="AN125" t="str">
            <v>1234567143293</v>
          </cell>
          <cell r="AO125">
            <v>0</v>
          </cell>
          <cell r="AQ125">
            <v>0</v>
          </cell>
          <cell r="AS125">
            <v>0</v>
          </cell>
          <cell r="AU125">
            <v>0</v>
          </cell>
          <cell r="AW125">
            <v>0</v>
          </cell>
        </row>
        <row r="126">
          <cell r="B126" t="str">
            <v>CK2G1C1M2G210</v>
          </cell>
          <cell r="C126" t="str">
            <v>ERD-17 BAL 8W 2200K E27 LED AMPUL</v>
          </cell>
          <cell r="D126" t="str">
            <v>ERD-17 AMBER 8W 2200K E27 LED BULB</v>
          </cell>
          <cell r="E126" t="str">
            <v>CAM METAL BAL FLAMENT DIMMSIZ KARMA</v>
          </cell>
          <cell r="F126" t="str">
            <v>8539.52.00.00.00</v>
          </cell>
          <cell r="G126" t="str">
            <v>AMPUL</v>
          </cell>
          <cell r="H126" t="str">
            <v>CG21112F21T00</v>
          </cell>
          <cell r="I126" t="str">
            <v>İÇ</v>
          </cell>
          <cell r="J126" t="str">
            <v>AMPUL</v>
          </cell>
          <cell r="K126" t="str">
            <v>ERD-17</v>
          </cell>
          <cell r="L126" t="str">
            <v/>
          </cell>
          <cell r="M126" t="str">
            <v/>
          </cell>
          <cell r="N126" t="str">
            <v>ERD-17</v>
          </cell>
          <cell r="O126" t="str">
            <v>HEKA</v>
          </cell>
          <cell r="P126" t="str">
            <v>ADET</v>
          </cell>
          <cell r="Q126" t="str">
            <v>E27</v>
          </cell>
          <cell r="R126" t="str">
            <v>CAM</v>
          </cell>
          <cell r="S126" t="str">
            <v>BAL</v>
          </cell>
          <cell r="T126" t="str">
            <v>METAL</v>
          </cell>
          <cell r="V126" t="str">
            <v>G</v>
          </cell>
          <cell r="W126" t="str">
            <v>FLAMENT</v>
          </cell>
          <cell r="X126" t="str">
            <v>220V</v>
          </cell>
          <cell r="Y126" t="str">
            <v>8 WATT</v>
          </cell>
          <cell r="Z126" t="str">
            <v>2200 K</v>
          </cell>
          <cell r="AA126" t="str">
            <v>DIMMSIZ</v>
          </cell>
          <cell r="AB126" t="str">
            <v>501-600</v>
          </cell>
          <cell r="AC126" t="str">
            <v>KARMA</v>
          </cell>
          <cell r="AD126" t="str">
            <v>N/A</v>
          </cell>
          <cell r="AF126">
            <v>15</v>
          </cell>
          <cell r="AG126" t="str">
            <v>ADET</v>
          </cell>
          <cell r="AH126">
            <v>36</v>
          </cell>
          <cell r="AI126" t="str">
            <v>CNY</v>
          </cell>
          <cell r="AJ126">
            <v>1643</v>
          </cell>
          <cell r="AK126" t="str">
            <v>TL</v>
          </cell>
          <cell r="AL126">
            <v>1</v>
          </cell>
          <cell r="AM126" t="str">
            <v>8684127504225</v>
          </cell>
          <cell r="AN126" t="str">
            <v>8699089465137</v>
          </cell>
          <cell r="AO126">
            <v>0</v>
          </cell>
          <cell r="AQ126">
            <v>8</v>
          </cell>
          <cell r="AR126" t="str">
            <v>CM</v>
          </cell>
          <cell r="AS126">
            <v>8</v>
          </cell>
          <cell r="AT126" t="str">
            <v>CM</v>
          </cell>
          <cell r="AU126">
            <v>0</v>
          </cell>
          <cell r="AW126">
            <v>0</v>
          </cell>
        </row>
        <row r="127">
          <cell r="B127" t="str">
            <v>CG21112B21T01</v>
          </cell>
          <cell r="C127" t="str">
            <v>*ERD-19* HEKA 4 WATT BAL RENK AMPUL LED *8*</v>
          </cell>
          <cell r="D127" t="str">
            <v/>
          </cell>
          <cell r="E127" t="str">
            <v/>
          </cell>
          <cell r="F127" t="str">
            <v/>
          </cell>
          <cell r="G127" t="str">
            <v>AMPUL</v>
          </cell>
          <cell r="H127" t="str">
            <v>CG21112B21T01</v>
          </cell>
          <cell r="I127" t="str">
            <v>İÇ</v>
          </cell>
          <cell r="J127" t="str">
            <v>AMPUL</v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  <cell r="O127" t="str">
            <v>HEKA</v>
          </cell>
          <cell r="P127" t="str">
            <v>ADET</v>
          </cell>
          <cell r="AF127">
            <v>0</v>
          </cell>
          <cell r="AG127" t="str">
            <v>ADET</v>
          </cell>
          <cell r="AH127">
            <v>44</v>
          </cell>
          <cell r="AI127" t="str">
            <v>CNY</v>
          </cell>
          <cell r="AJ127">
            <v>1643</v>
          </cell>
          <cell r="AK127" t="str">
            <v>TL</v>
          </cell>
          <cell r="AL127">
            <v>1</v>
          </cell>
          <cell r="AM127" t="str">
            <v>1234567890007</v>
          </cell>
          <cell r="AN127" t="str">
            <v>1234567143378</v>
          </cell>
          <cell r="AO127">
            <v>0</v>
          </cell>
          <cell r="AQ127">
            <v>0</v>
          </cell>
          <cell r="AS127">
            <v>0</v>
          </cell>
          <cell r="AU127">
            <v>0</v>
          </cell>
          <cell r="AW127">
            <v>0</v>
          </cell>
        </row>
        <row r="128">
          <cell r="B128" t="str">
            <v>T1C2JME000L-018</v>
          </cell>
          <cell r="C128" t="str">
            <v>ARBOGA DEKORATİF UZUN ESKİTME DUY</v>
          </cell>
          <cell r="D128" t="str">
            <v>ARBOGA DECORATIVE LONG BRUSHED BRASS LAMP HOLDER</v>
          </cell>
          <cell r="E128" t="str">
            <v>METAL YOK ESKİTME YOK</v>
          </cell>
          <cell r="F128" t="str">
            <v>9405.19.90.00.00</v>
          </cell>
          <cell r="G128" t="str">
            <v>ZPARCA</v>
          </cell>
          <cell r="H128" t="str">
            <v>T1A2110100-01</v>
          </cell>
          <cell r="I128" t="str">
            <v>İÇ</v>
          </cell>
          <cell r="J128" t="str">
            <v>ZPARCA</v>
          </cell>
          <cell r="K128" t="str">
            <v>ARBOGA</v>
          </cell>
          <cell r="L128" t="str">
            <v/>
          </cell>
          <cell r="M128" t="str">
            <v/>
          </cell>
          <cell r="N128" t="str">
            <v/>
          </cell>
          <cell r="O128" t="str">
            <v>HEKA</v>
          </cell>
          <cell r="P128" t="str">
            <v>ADET</v>
          </cell>
          <cell r="Q128" t="str">
            <v>E27</v>
          </cell>
          <cell r="R128" t="str">
            <v>METAL</v>
          </cell>
          <cell r="S128" t="str">
            <v>ESKİTME</v>
          </cell>
          <cell r="T128" t="str">
            <v>YOK</v>
          </cell>
          <cell r="U128" t="str">
            <v>YOK</v>
          </cell>
          <cell r="AD128" t="str">
            <v>DÜZ</v>
          </cell>
          <cell r="AE128" t="str">
            <v>02</v>
          </cell>
          <cell r="AF128">
            <v>149</v>
          </cell>
          <cell r="AG128" t="str">
            <v>ADET</v>
          </cell>
          <cell r="AH128">
            <v>11</v>
          </cell>
          <cell r="AI128" t="str">
            <v>CNY</v>
          </cell>
          <cell r="AJ128">
            <v>995</v>
          </cell>
          <cell r="AK128" t="str">
            <v>TL</v>
          </cell>
          <cell r="AL128">
            <v>1</v>
          </cell>
          <cell r="AM128" t="str">
            <v>8684127505857</v>
          </cell>
          <cell r="AO128">
            <v>0</v>
          </cell>
          <cell r="AQ128">
            <v>6</v>
          </cell>
          <cell r="AR128" t="str">
            <v>CM</v>
          </cell>
          <cell r="AS128">
            <v>18</v>
          </cell>
          <cell r="AT128" t="str">
            <v>CM</v>
          </cell>
          <cell r="AU128">
            <v>0</v>
          </cell>
          <cell r="AW128">
            <v>0</v>
          </cell>
        </row>
        <row r="129">
          <cell r="B129" t="str">
            <v>H1W2JMR0000-047</v>
          </cell>
          <cell r="C129" t="str">
            <v>BRUBECK KOYU ESKİTME APLİK</v>
          </cell>
          <cell r="D129" t="str">
            <v>BRUBECK RAW BRASS WALL LAMP</v>
          </cell>
          <cell r="E129" t="str">
            <v>METAL YOK KOYU ESKİTME YOK</v>
          </cell>
          <cell r="F129" t="str">
            <v>9405.19.90.00.00</v>
          </cell>
          <cell r="G129" t="str">
            <v>APLİK</v>
          </cell>
          <cell r="H129" t="str">
            <v>H1W2110000-47</v>
          </cell>
          <cell r="I129" t="str">
            <v>İÇ</v>
          </cell>
          <cell r="J129" t="str">
            <v>APLİK</v>
          </cell>
          <cell r="K129" t="str">
            <v>BRUBECK</v>
          </cell>
          <cell r="L129" t="str">
            <v/>
          </cell>
          <cell r="M129" t="str">
            <v>ÜRTM:15GÜN</v>
          </cell>
          <cell r="N129" t="str">
            <v>HK20061</v>
          </cell>
          <cell r="O129" t="str">
            <v>HEKA</v>
          </cell>
          <cell r="P129" t="str">
            <v>ADET</v>
          </cell>
          <cell r="Q129" t="str">
            <v>E27</v>
          </cell>
          <cell r="R129" t="str">
            <v>METAL</v>
          </cell>
          <cell r="S129" t="str">
            <v>KOYU ESKİTME</v>
          </cell>
          <cell r="T129" t="str">
            <v>YOK</v>
          </cell>
          <cell r="U129" t="str">
            <v>YOK</v>
          </cell>
          <cell r="AD129" t="str">
            <v>N/A</v>
          </cell>
          <cell r="AE129" t="str">
            <v>03</v>
          </cell>
          <cell r="AF129">
            <v>0</v>
          </cell>
          <cell r="AG129" t="str">
            <v>ADET</v>
          </cell>
          <cell r="AH129">
            <v>900</v>
          </cell>
          <cell r="AI129" t="str">
            <v>TL</v>
          </cell>
          <cell r="AJ129">
            <v>4998</v>
          </cell>
          <cell r="AK129" t="str">
            <v>TL</v>
          </cell>
          <cell r="AL129">
            <v>1</v>
          </cell>
          <cell r="AM129" t="str">
            <v>8684127509220</v>
          </cell>
          <cell r="AO129">
            <v>0</v>
          </cell>
          <cell r="AQ129">
            <v>0</v>
          </cell>
          <cell r="AR129" t="str">
            <v>CM</v>
          </cell>
          <cell r="AS129">
            <v>0</v>
          </cell>
          <cell r="AT129" t="str">
            <v>CM</v>
          </cell>
          <cell r="AU129">
            <v>0</v>
          </cell>
          <cell r="AW129">
            <v>0</v>
          </cell>
        </row>
        <row r="130">
          <cell r="B130" t="str">
            <v>H1C1JRSJMG0-072</v>
          </cell>
          <cell r="C130" t="str">
            <v>FİONA SİYAH-ALTIN SALON AVİZESİ 13 LÜ</v>
          </cell>
          <cell r="D130" t="str">
            <v>FİONA LIVING ROOM CHANDELIER 13 BULB</v>
          </cell>
          <cell r="E130" t="str">
            <v xml:space="preserve">METAL METAL SİYAH GOLD   </v>
          </cell>
          <cell r="F130" t="str">
            <v>9405.19.90.00.00</v>
          </cell>
          <cell r="G130" t="str">
            <v>AVİZE</v>
          </cell>
          <cell r="H130" t="str">
            <v>H1A1121400-13</v>
          </cell>
          <cell r="I130" t="str">
            <v>İÇ</v>
          </cell>
          <cell r="J130" t="str">
            <v>AVİZE.AVİZ</v>
          </cell>
          <cell r="K130" t="str">
            <v>FİONA</v>
          </cell>
          <cell r="L130" t="str">
            <v/>
          </cell>
          <cell r="M130" t="str">
            <v>ÜRTM:15GÜN</v>
          </cell>
          <cell r="N130" t="str">
            <v>HK20020</v>
          </cell>
          <cell r="O130" t="str">
            <v>HEKA</v>
          </cell>
          <cell r="P130" t="str">
            <v>ADET</v>
          </cell>
          <cell r="Q130" t="str">
            <v>E14</v>
          </cell>
          <cell r="R130" t="str">
            <v>METAL</v>
          </cell>
          <cell r="S130" t="str">
            <v>SİYAH</v>
          </cell>
          <cell r="T130" t="str">
            <v>METAL</v>
          </cell>
          <cell r="U130" t="str">
            <v>GOLD</v>
          </cell>
          <cell r="AD130" t="str">
            <v>N/A</v>
          </cell>
          <cell r="AE130" t="str">
            <v>13</v>
          </cell>
          <cell r="AF130">
            <v>0</v>
          </cell>
          <cell r="AG130" t="str">
            <v>ADET</v>
          </cell>
          <cell r="AH130">
            <v>2500</v>
          </cell>
          <cell r="AI130" t="str">
            <v>TL</v>
          </cell>
          <cell r="AJ130">
            <v>39750</v>
          </cell>
          <cell r="AK130" t="str">
            <v>TL</v>
          </cell>
          <cell r="AL130">
            <v>1</v>
          </cell>
          <cell r="AM130" t="str">
            <v>8684127508957</v>
          </cell>
          <cell r="AO130">
            <v>0</v>
          </cell>
          <cell r="AQ130">
            <v>42</v>
          </cell>
          <cell r="AR130" t="str">
            <v>CM</v>
          </cell>
          <cell r="AS130">
            <v>72</v>
          </cell>
          <cell r="AT130" t="str">
            <v>CM</v>
          </cell>
          <cell r="AU130">
            <v>0</v>
          </cell>
          <cell r="AW130">
            <v>0</v>
          </cell>
        </row>
        <row r="131">
          <cell r="B131" t="str">
            <v>T1C2ERFJRS0-027</v>
          </cell>
          <cell r="C131" t="str">
            <v>ALDEBARAN TEKLİ FÜME CAM AVİZE</v>
          </cell>
          <cell r="D131" t="str">
            <v>ALDEBARAN SINGLE SMOKY GLASS CHANDELIER</v>
          </cell>
          <cell r="E131" t="str">
            <v>CAM METAL FÜME SİYAH</v>
          </cell>
          <cell r="F131" t="str">
            <v>9405.19.50.00.19</v>
          </cell>
          <cell r="G131" t="str">
            <v>AVİZE</v>
          </cell>
          <cell r="H131" t="str">
            <v>MH-08</v>
          </cell>
          <cell r="I131" t="str">
            <v>İÇ</v>
          </cell>
          <cell r="J131" t="str">
            <v>AVİZE.SARK</v>
          </cell>
          <cell r="K131" t="str">
            <v>ALDEBARAN</v>
          </cell>
          <cell r="L131" t="str">
            <v/>
          </cell>
          <cell r="M131" t="str">
            <v/>
          </cell>
          <cell r="N131" t="str">
            <v>MH-08</v>
          </cell>
          <cell r="O131" t="str">
            <v>TOPLAMA</v>
          </cell>
          <cell r="P131" t="str">
            <v>ADET</v>
          </cell>
          <cell r="Q131" t="str">
            <v>E27</v>
          </cell>
          <cell r="R131" t="str">
            <v>CAM</v>
          </cell>
          <cell r="S131" t="str">
            <v>FÜME</v>
          </cell>
          <cell r="T131" t="str">
            <v>METAL</v>
          </cell>
          <cell r="U131" t="str">
            <v>SİYAH</v>
          </cell>
          <cell r="AD131" t="str">
            <v>N/A</v>
          </cell>
          <cell r="AE131" t="str">
            <v>01</v>
          </cell>
          <cell r="AF131">
            <v>33</v>
          </cell>
          <cell r="AG131" t="str">
            <v>ADET</v>
          </cell>
          <cell r="AH131">
            <v>57</v>
          </cell>
          <cell r="AI131" t="str">
            <v>CNY</v>
          </cell>
          <cell r="AJ131">
            <v>3214</v>
          </cell>
          <cell r="AK131" t="str">
            <v>TL</v>
          </cell>
          <cell r="AL131">
            <v>1</v>
          </cell>
          <cell r="AM131" t="str">
            <v>8684127504676</v>
          </cell>
          <cell r="AO131">
            <v>0</v>
          </cell>
          <cell r="AQ131">
            <v>0</v>
          </cell>
          <cell r="AR131" t="str">
            <v>CM</v>
          </cell>
          <cell r="AS131">
            <v>27</v>
          </cell>
          <cell r="AT131" t="str">
            <v>CM</v>
          </cell>
          <cell r="AU131">
            <v>0</v>
          </cell>
          <cell r="AW131">
            <v>0</v>
          </cell>
        </row>
        <row r="132">
          <cell r="B132" t="str">
            <v>H1C2JMEECT0-030</v>
          </cell>
          <cell r="C132" t="str">
            <v>BERDE PİRİNÇ ESKİTME SARKIT 30cm</v>
          </cell>
          <cell r="D132" t="str">
            <v>BERDE BRUSHED BRASS PENDANT 30cm</v>
          </cell>
          <cell r="E132" t="str">
            <v>METAL CAM ESKİTME SOFT</v>
          </cell>
          <cell r="F132" t="str">
            <v>9405.19.90.00.00</v>
          </cell>
          <cell r="G132" t="str">
            <v>AVİZE</v>
          </cell>
          <cell r="H132" t="str">
            <v>H1A2112100-30</v>
          </cell>
          <cell r="I132" t="str">
            <v>İÇ</v>
          </cell>
          <cell r="J132" t="str">
            <v>AVİZE.SARK</v>
          </cell>
          <cell r="K132" t="str">
            <v>BERDE</v>
          </cell>
          <cell r="L132" t="str">
            <v/>
          </cell>
          <cell r="M132" t="str">
            <v/>
          </cell>
          <cell r="N132" t="str">
            <v/>
          </cell>
          <cell r="O132" t="str">
            <v>HEKA</v>
          </cell>
          <cell r="P132" t="str">
            <v>ADET</v>
          </cell>
          <cell r="Q132" t="str">
            <v>E27</v>
          </cell>
          <cell r="R132" t="str">
            <v>METAL</v>
          </cell>
          <cell r="S132" t="str">
            <v>ESKİTME</v>
          </cell>
          <cell r="T132" t="str">
            <v>CAM</v>
          </cell>
          <cell r="U132" t="str">
            <v>SOFT</v>
          </cell>
          <cell r="AD132" t="str">
            <v>N/A</v>
          </cell>
          <cell r="AE132" t="str">
            <v>01</v>
          </cell>
          <cell r="AF132">
            <v>5</v>
          </cell>
          <cell r="AG132" t="str">
            <v>ADET</v>
          </cell>
          <cell r="AH132">
            <v>450</v>
          </cell>
          <cell r="AI132" t="str">
            <v>TL</v>
          </cell>
          <cell r="AJ132">
            <v>4189</v>
          </cell>
          <cell r="AK132" t="str">
            <v>TL</v>
          </cell>
          <cell r="AL132">
            <v>1</v>
          </cell>
          <cell r="AM132" t="str">
            <v>8684127505635</v>
          </cell>
          <cell r="AO132">
            <v>0</v>
          </cell>
          <cell r="AQ132">
            <v>55</v>
          </cell>
          <cell r="AR132" t="str">
            <v>CM</v>
          </cell>
          <cell r="AS132">
            <v>30</v>
          </cell>
          <cell r="AT132" t="str">
            <v>CM</v>
          </cell>
          <cell r="AU132">
            <v>0</v>
          </cell>
          <cell r="AW132">
            <v>0</v>
          </cell>
        </row>
        <row r="133">
          <cell r="B133" t="str">
            <v>H1F2JMEECTR-145</v>
          </cell>
          <cell r="C133" t="str">
            <v>BERDE PİRİNÇ ESKİTME LAMBADER</v>
          </cell>
          <cell r="D133" t="str">
            <v>BERDE BRUSHED BRASS FLOOR LAMP</v>
          </cell>
          <cell r="E133" t="str">
            <v>METAL CAM ESKİTME SOFT</v>
          </cell>
          <cell r="F133" t="str">
            <v>9405.19.90.00.00</v>
          </cell>
          <cell r="G133" t="str">
            <v>LAMBADER</v>
          </cell>
          <cell r="H133" t="str">
            <v>H1L2112100-25</v>
          </cell>
          <cell r="I133" t="str">
            <v>İÇ</v>
          </cell>
          <cell r="J133" t="str">
            <v>LAMBADER</v>
          </cell>
          <cell r="K133" t="str">
            <v>BERDE</v>
          </cell>
          <cell r="L133" t="str">
            <v/>
          </cell>
          <cell r="M133" t="str">
            <v/>
          </cell>
          <cell r="N133" t="str">
            <v/>
          </cell>
          <cell r="O133" t="str">
            <v>HEKA</v>
          </cell>
          <cell r="P133" t="str">
            <v>ADET</v>
          </cell>
          <cell r="Q133" t="str">
            <v>E27</v>
          </cell>
          <cell r="R133" t="str">
            <v>METAL</v>
          </cell>
          <cell r="S133" t="str">
            <v>ESKİTME</v>
          </cell>
          <cell r="T133" t="str">
            <v>CAM</v>
          </cell>
          <cell r="U133" t="str">
            <v>SOFT</v>
          </cell>
          <cell r="AD133" t="str">
            <v>DAİRE</v>
          </cell>
          <cell r="AE133" t="str">
            <v>02</v>
          </cell>
          <cell r="AF133">
            <v>0</v>
          </cell>
          <cell r="AG133" t="str">
            <v>ADET</v>
          </cell>
          <cell r="AJ133">
            <v>2512</v>
          </cell>
          <cell r="AK133" t="str">
            <v>TL</v>
          </cell>
          <cell r="AL133">
            <v>1</v>
          </cell>
          <cell r="AM133" t="str">
            <v>8684127509947</v>
          </cell>
          <cell r="AO133">
            <v>0</v>
          </cell>
          <cell r="AQ133">
            <v>30</v>
          </cell>
          <cell r="AR133" t="str">
            <v>CM</v>
          </cell>
          <cell r="AS133">
            <v>145</v>
          </cell>
          <cell r="AT133" t="str">
            <v>CM</v>
          </cell>
          <cell r="AU133">
            <v>0</v>
          </cell>
          <cell r="AW133">
            <v>0</v>
          </cell>
        </row>
        <row r="134">
          <cell r="B134" t="str">
            <v>HX-1</v>
          </cell>
          <cell r="C134" t="str">
            <v>*HX-1* TEKLİ CAM AVİZE BAL *1*</v>
          </cell>
          <cell r="D134" t="str">
            <v/>
          </cell>
          <cell r="E134" t="str">
            <v/>
          </cell>
          <cell r="F134" t="str">
            <v/>
          </cell>
          <cell r="G134" t="str">
            <v>AVİZE</v>
          </cell>
          <cell r="H134" t="str">
            <v>HX-1</v>
          </cell>
          <cell r="I134" t="str">
            <v>İÇ</v>
          </cell>
          <cell r="J134" t="str">
            <v>AVİZE.SARK</v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  <cell r="O134" t="str">
            <v>HEKA</v>
          </cell>
          <cell r="P134" t="str">
            <v>ADET</v>
          </cell>
          <cell r="AF134">
            <v>29</v>
          </cell>
          <cell r="AG134" t="str">
            <v>ADET</v>
          </cell>
          <cell r="AH134">
            <v>50</v>
          </cell>
          <cell r="AI134" t="str">
            <v>CNY</v>
          </cell>
          <cell r="AJ134">
            <v>2008</v>
          </cell>
          <cell r="AK134" t="str">
            <v>TL</v>
          </cell>
          <cell r="AL134">
            <v>0</v>
          </cell>
          <cell r="AM134" t="str">
            <v>1234567145204</v>
          </cell>
          <cell r="AN134" t="str">
            <v>1234567143569</v>
          </cell>
          <cell r="AO134">
            <v>0</v>
          </cell>
          <cell r="AQ134">
            <v>0</v>
          </cell>
          <cell r="AS134">
            <v>0</v>
          </cell>
          <cell r="AU134">
            <v>0</v>
          </cell>
          <cell r="AW134">
            <v>0</v>
          </cell>
        </row>
        <row r="135">
          <cell r="B135" t="str">
            <v>PARÇA</v>
          </cell>
          <cell r="C135" t="str">
            <v>AVİZE PARÇASI</v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>PARÇA</v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  <cell r="P135" t="str">
            <v>ADET</v>
          </cell>
          <cell r="AF135">
            <v>0</v>
          </cell>
          <cell r="AG135" t="str">
            <v>ADET</v>
          </cell>
          <cell r="AL135">
            <v>0</v>
          </cell>
          <cell r="AO135">
            <v>0</v>
          </cell>
          <cell r="AQ135">
            <v>0</v>
          </cell>
          <cell r="AS135">
            <v>0</v>
          </cell>
          <cell r="AU135">
            <v>0</v>
          </cell>
          <cell r="AW135">
            <v>0</v>
          </cell>
        </row>
        <row r="136">
          <cell r="B136" t="str">
            <v>MJ-010 MASA</v>
          </cell>
          <cell r="C136" t="str">
            <v>KARATAY 25 LİK MASA LAMBASI SİYAH</v>
          </cell>
          <cell r="D136" t="str">
            <v/>
          </cell>
          <cell r="E136" t="str">
            <v/>
          </cell>
          <cell r="F136" t="str">
            <v/>
          </cell>
          <cell r="G136" t="str">
            <v>MASAABAJ</v>
          </cell>
          <cell r="H136" t="str">
            <v>MJ-010 MASA</v>
          </cell>
          <cell r="I136" t="str">
            <v>İÇ</v>
          </cell>
          <cell r="J136" t="str">
            <v>MASAABAJ</v>
          </cell>
          <cell r="K136" t="str">
            <v/>
          </cell>
          <cell r="L136" t="str">
            <v/>
          </cell>
          <cell r="M136" t="str">
            <v/>
          </cell>
          <cell r="N136" t="str">
            <v>MJ-010</v>
          </cell>
          <cell r="O136" t="str">
            <v>HEKA</v>
          </cell>
          <cell r="P136" t="str">
            <v>ADET</v>
          </cell>
          <cell r="AF136">
            <v>6</v>
          </cell>
          <cell r="AG136" t="str">
            <v>ADET</v>
          </cell>
          <cell r="AH136">
            <v>200</v>
          </cell>
          <cell r="AI136" t="str">
            <v>TL</v>
          </cell>
          <cell r="AJ136">
            <v>4450</v>
          </cell>
          <cell r="AK136" t="str">
            <v>TL</v>
          </cell>
          <cell r="AL136">
            <v>0</v>
          </cell>
          <cell r="AM136" t="str">
            <v>123456800001</v>
          </cell>
          <cell r="AO136">
            <v>0</v>
          </cell>
          <cell r="AQ136">
            <v>0</v>
          </cell>
          <cell r="AS136">
            <v>0</v>
          </cell>
          <cell r="AU136">
            <v>0</v>
          </cell>
          <cell r="AW136">
            <v>0</v>
          </cell>
        </row>
        <row r="137">
          <cell r="B137" t="str">
            <v>H1C6WRBJMER-025</v>
          </cell>
          <cell r="C137" t="str">
            <v>ASPENDOS TEKLİ MERMER ESKİTME SARKIT 25cm</v>
          </cell>
          <cell r="D137" t="str">
            <v>ASPENDOS SINGLE MARBLE BRUSHED BRASS PENDANT 25cm</v>
          </cell>
          <cell r="E137" t="str">
            <v xml:space="preserve">MERMER METAL BEYAZ ESKİTME   </v>
          </cell>
          <cell r="F137" t="str">
            <v>9405.11.90.00.00</v>
          </cell>
          <cell r="G137" t="str">
            <v>AVİZE</v>
          </cell>
          <cell r="H137" t="str">
            <v>H1A6314300-25</v>
          </cell>
          <cell r="I137" t="str">
            <v>İÇ</v>
          </cell>
          <cell r="J137" t="str">
            <v>AVİZE.SARK</v>
          </cell>
          <cell r="K137" t="str">
            <v>ASPENDOS</v>
          </cell>
          <cell r="L137" t="str">
            <v/>
          </cell>
          <cell r="M137" t="str">
            <v>05.05.2026</v>
          </cell>
          <cell r="N137" t="str">
            <v>HKA-24094</v>
          </cell>
          <cell r="O137" t="str">
            <v>HEKA</v>
          </cell>
          <cell r="P137" t="str">
            <v>ADET</v>
          </cell>
          <cell r="Q137" t="str">
            <v>LED</v>
          </cell>
          <cell r="R137" t="str">
            <v>MERMER</v>
          </cell>
          <cell r="S137" t="str">
            <v>BEYAZ</v>
          </cell>
          <cell r="T137" t="str">
            <v>METAL</v>
          </cell>
          <cell r="U137" t="str">
            <v>ESKİTME</v>
          </cell>
          <cell r="AD137" t="str">
            <v>DAİRE</v>
          </cell>
          <cell r="AF137">
            <v>76</v>
          </cell>
          <cell r="AG137" t="str">
            <v>ADET</v>
          </cell>
          <cell r="AH137">
            <v>123</v>
          </cell>
          <cell r="AI137" t="str">
            <v>CNY</v>
          </cell>
          <cell r="AJ137">
            <v>9950</v>
          </cell>
          <cell r="AK137" t="str">
            <v>TL</v>
          </cell>
          <cell r="AL137">
            <v>1</v>
          </cell>
          <cell r="AM137" t="str">
            <v>8684127501521</v>
          </cell>
          <cell r="AO137">
            <v>0</v>
          </cell>
          <cell r="AQ137">
            <v>150</v>
          </cell>
          <cell r="AR137" t="str">
            <v>CM</v>
          </cell>
          <cell r="AS137">
            <v>25</v>
          </cell>
          <cell r="AT137" t="str">
            <v>CM</v>
          </cell>
          <cell r="AU137">
            <v>0</v>
          </cell>
          <cell r="AW137">
            <v>0</v>
          </cell>
        </row>
        <row r="138">
          <cell r="B138" t="str">
            <v>H1C6WRBJMER-030</v>
          </cell>
          <cell r="C138" t="str">
            <v>ASPENDOS TEKLİ MERMER ESKİTME SARKIT 30cm</v>
          </cell>
          <cell r="D138" t="str">
            <v>ASPENDOS SINGLE MARBLE BRUSHED BRASS PENDANT 30cm</v>
          </cell>
          <cell r="E138" t="str">
            <v xml:space="preserve">MERMER METAL BEYAZ ESKİTME   </v>
          </cell>
          <cell r="F138" t="str">
            <v>9405.11.90.00.00</v>
          </cell>
          <cell r="G138" t="str">
            <v>AVİZE</v>
          </cell>
          <cell r="H138" t="str">
            <v>H1A6314300-30</v>
          </cell>
          <cell r="I138" t="str">
            <v>İÇ</v>
          </cell>
          <cell r="J138" t="str">
            <v>AVİZE.SARK</v>
          </cell>
          <cell r="K138" t="str">
            <v>ASPENDOS</v>
          </cell>
          <cell r="L138" t="str">
            <v/>
          </cell>
          <cell r="M138" t="str">
            <v>05.05.2026</v>
          </cell>
          <cell r="N138" t="str">
            <v>HKA-24095</v>
          </cell>
          <cell r="O138" t="str">
            <v>HEKA</v>
          </cell>
          <cell r="P138" t="str">
            <v>ADET</v>
          </cell>
          <cell r="Q138" t="str">
            <v>LED</v>
          </cell>
          <cell r="R138" t="str">
            <v>MERMER</v>
          </cell>
          <cell r="S138" t="str">
            <v>BEYAZ</v>
          </cell>
          <cell r="T138" t="str">
            <v>METAL</v>
          </cell>
          <cell r="U138" t="str">
            <v>ESKİTME</v>
          </cell>
          <cell r="AD138" t="str">
            <v>DAİRE</v>
          </cell>
          <cell r="AF138">
            <v>57</v>
          </cell>
          <cell r="AG138" t="str">
            <v>ADET</v>
          </cell>
          <cell r="AH138">
            <v>141</v>
          </cell>
          <cell r="AI138" t="str">
            <v>CNY</v>
          </cell>
          <cell r="AJ138">
            <v>11600</v>
          </cell>
          <cell r="AK138" t="str">
            <v>TL</v>
          </cell>
          <cell r="AL138">
            <v>1</v>
          </cell>
          <cell r="AM138" t="str">
            <v>8684127501538</v>
          </cell>
          <cell r="AO138">
            <v>0</v>
          </cell>
          <cell r="AQ138">
            <v>150</v>
          </cell>
          <cell r="AR138" t="str">
            <v>CM</v>
          </cell>
          <cell r="AS138">
            <v>30</v>
          </cell>
          <cell r="AT138" t="str">
            <v>CM</v>
          </cell>
          <cell r="AU138">
            <v>0</v>
          </cell>
          <cell r="AW138">
            <v>0</v>
          </cell>
        </row>
        <row r="139">
          <cell r="B139" t="str">
            <v>TASARIM4</v>
          </cell>
          <cell r="C139" t="str">
            <v>TASARIM MASA LAMBASI</v>
          </cell>
          <cell r="D139" t="str">
            <v>SPECIAL DESIGN TABLE LAMP</v>
          </cell>
          <cell r="E139" t="str">
            <v/>
          </cell>
          <cell r="F139" t="str">
            <v/>
          </cell>
          <cell r="G139" t="str">
            <v>MASAABAJ</v>
          </cell>
          <cell r="H139" t="str">
            <v>TASARIM4</v>
          </cell>
          <cell r="I139" t="str">
            <v>İÇ</v>
          </cell>
          <cell r="J139" t="str">
            <v>MASAABAJ</v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  <cell r="P139" t="str">
            <v>ADET</v>
          </cell>
          <cell r="AF139">
            <v>0</v>
          </cell>
          <cell r="AG139" t="str">
            <v>ADET</v>
          </cell>
          <cell r="AL139">
            <v>0</v>
          </cell>
          <cell r="AM139" t="str">
            <v>1234567145778</v>
          </cell>
          <cell r="AO139">
            <v>0</v>
          </cell>
          <cell r="AQ139">
            <v>0</v>
          </cell>
          <cell r="AS139">
            <v>0</v>
          </cell>
          <cell r="AU139">
            <v>0</v>
          </cell>
          <cell r="AW139">
            <v>0</v>
          </cell>
        </row>
        <row r="140">
          <cell r="B140" t="str">
            <v>T1C6JMELTB0-050</v>
          </cell>
          <cell r="C140" t="str">
            <v>ŞABRAN PLEKSİ BONCUK SARKIT 50cm</v>
          </cell>
          <cell r="D140" t="str">
            <v>ŞABRAN PLEKSI BEAD PENDANT 50cm</v>
          </cell>
          <cell r="E140" t="str">
            <v>METAL PLEKSİ ESKİTME BONCUK</v>
          </cell>
          <cell r="F140" t="str">
            <v/>
          </cell>
          <cell r="G140" t="str">
            <v>AVİZE</v>
          </cell>
          <cell r="H140" t="str">
            <v>T1A6118500-50</v>
          </cell>
          <cell r="I140" t="str">
            <v>İÇ</v>
          </cell>
          <cell r="J140" t="str">
            <v>AVİZE.SARK</v>
          </cell>
          <cell r="K140" t="str">
            <v>ŞABRAN</v>
          </cell>
          <cell r="L140" t="str">
            <v/>
          </cell>
          <cell r="M140" t="str">
            <v/>
          </cell>
          <cell r="N140" t="str">
            <v>9913/500</v>
          </cell>
          <cell r="O140" t="str">
            <v>HEKA</v>
          </cell>
          <cell r="P140" t="str">
            <v>ADET</v>
          </cell>
          <cell r="Q140" t="str">
            <v>LED</v>
          </cell>
          <cell r="R140" t="str">
            <v>METAL</v>
          </cell>
          <cell r="S140" t="str">
            <v>ESKİTME</v>
          </cell>
          <cell r="T140" t="str">
            <v>PLEKSİ</v>
          </cell>
          <cell r="U140" t="str">
            <v>BONCUK</v>
          </cell>
          <cell r="AF140">
            <v>3</v>
          </cell>
          <cell r="AG140" t="str">
            <v>ADET</v>
          </cell>
          <cell r="AH140">
            <v>390</v>
          </cell>
          <cell r="AI140" t="str">
            <v>CNY</v>
          </cell>
          <cell r="AJ140">
            <v>3094</v>
          </cell>
          <cell r="AK140" t="str">
            <v>TL</v>
          </cell>
          <cell r="AL140">
            <v>1</v>
          </cell>
          <cell r="AM140" t="str">
            <v>8684127504805</v>
          </cell>
          <cell r="AO140">
            <v>0</v>
          </cell>
          <cell r="AQ140">
            <v>0</v>
          </cell>
          <cell r="AR140" t="str">
            <v>CM</v>
          </cell>
          <cell r="AS140">
            <v>0</v>
          </cell>
          <cell r="AT140" t="str">
            <v>CM</v>
          </cell>
          <cell r="AU140">
            <v>0</v>
          </cell>
          <cell r="AW140">
            <v>0</v>
          </cell>
        </row>
        <row r="141">
          <cell r="B141" t="str">
            <v>H1C1ECSJME0-020</v>
          </cell>
          <cell r="C141" t="str">
            <v>MAMURE TEKLİ CAM SARKIT</v>
          </cell>
          <cell r="D141" t="str">
            <v>MAMURE SINGLE GLASS PENDANT</v>
          </cell>
          <cell r="E141" t="str">
            <v xml:space="preserve">CAM  METAL ŞEFFAF ESKİTME   </v>
          </cell>
          <cell r="F141" t="str">
            <v>9405.19.50.00.19</v>
          </cell>
          <cell r="G141" t="str">
            <v>AVİZE</v>
          </cell>
          <cell r="H141" t="str">
            <v>T1A1241100-18</v>
          </cell>
          <cell r="I141" t="str">
            <v>İÇ</v>
          </cell>
          <cell r="J141" t="str">
            <v>AVİZE.SARK</v>
          </cell>
          <cell r="K141" t="str">
            <v>MAMURE</v>
          </cell>
          <cell r="L141" t="str">
            <v/>
          </cell>
          <cell r="M141" t="str">
            <v/>
          </cell>
          <cell r="N141" t="str">
            <v>DD20583-1</v>
          </cell>
          <cell r="O141" t="str">
            <v>HEKA</v>
          </cell>
          <cell r="P141" t="str">
            <v>ADET</v>
          </cell>
          <cell r="Q141" t="str">
            <v>E14</v>
          </cell>
          <cell r="R141" t="str">
            <v>CAM</v>
          </cell>
          <cell r="S141" t="str">
            <v>ŞEFFAF</v>
          </cell>
          <cell r="T141" t="str">
            <v>METAL</v>
          </cell>
          <cell r="U141" t="str">
            <v>ESKİTME</v>
          </cell>
          <cell r="AD141" t="str">
            <v>N/A</v>
          </cell>
          <cell r="AE141" t="str">
            <v>02</v>
          </cell>
          <cell r="AF141">
            <v>0</v>
          </cell>
          <cell r="AG141" t="str">
            <v>ADET</v>
          </cell>
          <cell r="AH141">
            <v>100</v>
          </cell>
          <cell r="AI141" t="str">
            <v>CNY</v>
          </cell>
          <cell r="AJ141">
            <v>3451</v>
          </cell>
          <cell r="AK141" t="str">
            <v>TL</v>
          </cell>
          <cell r="AL141">
            <v>1</v>
          </cell>
          <cell r="AM141" t="str">
            <v>8684127502498</v>
          </cell>
          <cell r="AO141">
            <v>0</v>
          </cell>
          <cell r="AQ141">
            <v>66</v>
          </cell>
          <cell r="AR141" t="str">
            <v>CM</v>
          </cell>
          <cell r="AS141">
            <v>15</v>
          </cell>
          <cell r="AT141" t="str">
            <v>CM</v>
          </cell>
          <cell r="AU141">
            <v>0</v>
          </cell>
          <cell r="AW141">
            <v>0</v>
          </cell>
        </row>
        <row r="142">
          <cell r="B142" t="str">
            <v>T1C2JMK000T-010</v>
          </cell>
          <cell r="C142" t="str">
            <v>AVESTA DEKORATİF KROM DUY</v>
          </cell>
          <cell r="D142" t="str">
            <v>AVESTA DECORATIVE CHROME LAMP HOLDER</v>
          </cell>
          <cell r="E142" t="str">
            <v>METAL YOK KROM YOK</v>
          </cell>
          <cell r="F142" t="str">
            <v>9405.19.90.00.00</v>
          </cell>
          <cell r="G142" t="str">
            <v>ZPARCA</v>
          </cell>
          <cell r="H142" t="str">
            <v>T1A2130101-01</v>
          </cell>
          <cell r="I142" t="str">
            <v>İÇ</v>
          </cell>
          <cell r="J142" t="str">
            <v>ZPARCA</v>
          </cell>
          <cell r="K142" t="str">
            <v>AVESTA</v>
          </cell>
          <cell r="L142" t="str">
            <v/>
          </cell>
          <cell r="M142" t="str">
            <v/>
          </cell>
          <cell r="N142" t="str">
            <v>SJ-01K</v>
          </cell>
          <cell r="O142" t="str">
            <v>HEKA</v>
          </cell>
          <cell r="P142" t="str">
            <v>ADET</v>
          </cell>
          <cell r="Q142" t="str">
            <v>E27</v>
          </cell>
          <cell r="R142" t="str">
            <v>METAL</v>
          </cell>
          <cell r="S142" t="str">
            <v>KROM</v>
          </cell>
          <cell r="T142" t="str">
            <v>YOK</v>
          </cell>
          <cell r="U142" t="str">
            <v>YOK</v>
          </cell>
          <cell r="AD142" t="str">
            <v>TIRTIKLI</v>
          </cell>
          <cell r="AE142" t="str">
            <v>02</v>
          </cell>
          <cell r="AF142">
            <v>473</v>
          </cell>
          <cell r="AG142" t="str">
            <v>ADET</v>
          </cell>
          <cell r="AJ142">
            <v>795</v>
          </cell>
          <cell r="AK142" t="str">
            <v>TL</v>
          </cell>
          <cell r="AL142">
            <v>1</v>
          </cell>
          <cell r="AM142" t="str">
            <v>8684127505918</v>
          </cell>
          <cell r="AO142">
            <v>0</v>
          </cell>
          <cell r="AQ142">
            <v>5</v>
          </cell>
          <cell r="AR142" t="str">
            <v>CM</v>
          </cell>
          <cell r="AS142">
            <v>10</v>
          </cell>
          <cell r="AT142" t="str">
            <v>CM</v>
          </cell>
          <cell r="AU142">
            <v>0</v>
          </cell>
          <cell r="AW142">
            <v>0</v>
          </cell>
        </row>
        <row r="143">
          <cell r="B143" t="str">
            <v>H1C6WRBJMER-040</v>
          </cell>
          <cell r="C143" t="str">
            <v>ASPENDOS TEKLİ MERMER ESKİTME SARKIT 40cm</v>
          </cell>
          <cell r="D143" t="str">
            <v>ASPENDOS SINGLE MARBLE BRUSHED BRASS PENDANT 40cm</v>
          </cell>
          <cell r="E143" t="str">
            <v xml:space="preserve">MERMER METAL BEYAZ ESKİTME   </v>
          </cell>
          <cell r="F143" t="str">
            <v>9405.11.90.00.00</v>
          </cell>
          <cell r="G143" t="str">
            <v>AVİZE</v>
          </cell>
          <cell r="H143" t="str">
            <v>H1A6314300-40</v>
          </cell>
          <cell r="I143" t="str">
            <v>İÇ</v>
          </cell>
          <cell r="J143" t="str">
            <v>AVİZE.SARK</v>
          </cell>
          <cell r="K143" t="str">
            <v>ASPENDOS</v>
          </cell>
          <cell r="L143" t="str">
            <v/>
          </cell>
          <cell r="M143" t="str">
            <v>05.05.2026</v>
          </cell>
          <cell r="N143" t="str">
            <v>HKA-24096</v>
          </cell>
          <cell r="O143" t="str">
            <v>HEKA</v>
          </cell>
          <cell r="P143" t="str">
            <v>ADET</v>
          </cell>
          <cell r="Q143" t="str">
            <v>LED</v>
          </cell>
          <cell r="R143" t="str">
            <v>MERMER</v>
          </cell>
          <cell r="S143" t="str">
            <v>BEYAZ</v>
          </cell>
          <cell r="T143" t="str">
            <v>METAL</v>
          </cell>
          <cell r="U143" t="str">
            <v>ESKİTME</v>
          </cell>
          <cell r="AD143" t="str">
            <v>DAİRE</v>
          </cell>
          <cell r="AF143">
            <v>25</v>
          </cell>
          <cell r="AG143" t="str">
            <v>ADET</v>
          </cell>
          <cell r="AH143">
            <v>181.5</v>
          </cell>
          <cell r="AI143" t="str">
            <v>CNY</v>
          </cell>
          <cell r="AJ143">
            <v>14900</v>
          </cell>
          <cell r="AK143" t="str">
            <v>TL</v>
          </cell>
          <cell r="AL143">
            <v>1</v>
          </cell>
          <cell r="AM143" t="str">
            <v>8684127501545</v>
          </cell>
          <cell r="AO143">
            <v>0</v>
          </cell>
          <cell r="AQ143">
            <v>150</v>
          </cell>
          <cell r="AR143" t="str">
            <v>CM</v>
          </cell>
          <cell r="AS143">
            <v>40</v>
          </cell>
          <cell r="AT143" t="str">
            <v>CM</v>
          </cell>
          <cell r="AU143">
            <v>0</v>
          </cell>
          <cell r="AW143">
            <v>0</v>
          </cell>
        </row>
        <row r="144">
          <cell r="B144" t="str">
            <v>H1W1122400-01</v>
          </cell>
          <cell r="C144" t="str">
            <v xml:space="preserve">CASTRO KARE MODEL APLİK GOLD RENK </v>
          </cell>
          <cell r="D144" t="str">
            <v/>
          </cell>
          <cell r="E144" t="str">
            <v/>
          </cell>
          <cell r="F144" t="str">
            <v/>
          </cell>
          <cell r="G144" t="str">
            <v>SARKIT</v>
          </cell>
          <cell r="H144" t="str">
            <v>H1W1122400-01</v>
          </cell>
          <cell r="I144" t="str">
            <v>SARKIT</v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  <cell r="P144" t="str">
            <v>ADET</v>
          </cell>
          <cell r="AF144">
            <v>2</v>
          </cell>
          <cell r="AG144" t="str">
            <v>ADET</v>
          </cell>
          <cell r="AL144">
            <v>0</v>
          </cell>
          <cell r="AM144" t="str">
            <v>1234567146201</v>
          </cell>
          <cell r="AO144">
            <v>0</v>
          </cell>
          <cell r="AQ144">
            <v>0</v>
          </cell>
          <cell r="AS144">
            <v>0</v>
          </cell>
          <cell r="AU144">
            <v>0</v>
          </cell>
          <cell r="AW144">
            <v>0</v>
          </cell>
        </row>
        <row r="145">
          <cell r="B145" t="str">
            <v>H1M1112400-01</v>
          </cell>
          <cell r="C145" t="str">
            <v xml:space="preserve">CASTRO KARE MODEL MASA LAMBASI ESKİTME RENK </v>
          </cell>
          <cell r="D145" t="str">
            <v/>
          </cell>
          <cell r="E145" t="str">
            <v/>
          </cell>
          <cell r="F145" t="str">
            <v/>
          </cell>
          <cell r="G145" t="str">
            <v>SARKIT</v>
          </cell>
          <cell r="H145" t="str">
            <v>H1M1112400-01</v>
          </cell>
          <cell r="I145" t="str">
            <v>SARKIT</v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  <cell r="P145" t="str">
            <v>ADET</v>
          </cell>
          <cell r="AF145">
            <v>1</v>
          </cell>
          <cell r="AG145" t="str">
            <v>ADET</v>
          </cell>
          <cell r="AL145">
            <v>0</v>
          </cell>
          <cell r="AM145" t="str">
            <v>1234567146218</v>
          </cell>
          <cell r="AO145">
            <v>0</v>
          </cell>
          <cell r="AQ145">
            <v>0</v>
          </cell>
          <cell r="AS145">
            <v>0</v>
          </cell>
          <cell r="AU145">
            <v>0</v>
          </cell>
          <cell r="AW145">
            <v>0</v>
          </cell>
        </row>
        <row r="146">
          <cell r="B146" t="str">
            <v>CE2E1C4M2H5T0</v>
          </cell>
          <cell r="C146" t="str">
            <v>ERD-232 G95 OPAL 9W 3000K E27 LED AMPUL</v>
          </cell>
          <cell r="D146" t="str">
            <v>ERD-232 G95 OPAL 9W 3000K E27 LED BULB</v>
          </cell>
          <cell r="E146" t="str">
            <v>CAM METAL OPAL FLAMENT DIMMSIZ G95-TOP</v>
          </cell>
          <cell r="F146" t="str">
            <v>8539.52.00.00.00</v>
          </cell>
          <cell r="G146" t="str">
            <v>AMPUL</v>
          </cell>
          <cell r="H146" t="str">
            <v>CE21142F50000</v>
          </cell>
          <cell r="I146" t="str">
            <v>İÇ</v>
          </cell>
          <cell r="J146" t="str">
            <v>AMPUL</v>
          </cell>
          <cell r="K146" t="str">
            <v>ERD-232</v>
          </cell>
          <cell r="L146" t="str">
            <v/>
          </cell>
          <cell r="M146" t="str">
            <v/>
          </cell>
          <cell r="N146" t="str">
            <v>ERD-232</v>
          </cell>
          <cell r="O146" t="str">
            <v>HEKA</v>
          </cell>
          <cell r="P146" t="str">
            <v>ADET</v>
          </cell>
          <cell r="Q146" t="str">
            <v>E27</v>
          </cell>
          <cell r="R146" t="str">
            <v>CAM</v>
          </cell>
          <cell r="S146" t="str">
            <v>OPAL</v>
          </cell>
          <cell r="T146" t="str">
            <v>METAL</v>
          </cell>
          <cell r="V146" t="str">
            <v>E</v>
          </cell>
          <cell r="W146" t="str">
            <v>FLAMENT</v>
          </cell>
          <cell r="X146" t="str">
            <v>220V</v>
          </cell>
          <cell r="Y146" t="str">
            <v>9 WATT</v>
          </cell>
          <cell r="Z146" t="str">
            <v>3000 K</v>
          </cell>
          <cell r="AA146" t="str">
            <v>DIMMSIZ</v>
          </cell>
          <cell r="AB146" t="str">
            <v>1001-1100</v>
          </cell>
          <cell r="AC146" t="str">
            <v>G95-TOP</v>
          </cell>
          <cell r="AD146" t="str">
            <v>N/A</v>
          </cell>
          <cell r="AF146">
            <v>3932</v>
          </cell>
          <cell r="AG146" t="str">
            <v>ADET</v>
          </cell>
          <cell r="AH146">
            <v>1.1599999999999999</v>
          </cell>
          <cell r="AI146" t="str">
            <v>USD</v>
          </cell>
          <cell r="AJ146">
            <v>5.5</v>
          </cell>
          <cell r="AK146" t="str">
            <v>USD</v>
          </cell>
          <cell r="AL146">
            <v>1</v>
          </cell>
          <cell r="AM146" t="str">
            <v>8684127503884</v>
          </cell>
          <cell r="AN146" t="str">
            <v>8684127500517</v>
          </cell>
          <cell r="AO146">
            <v>0</v>
          </cell>
          <cell r="AQ146">
            <v>9.5</v>
          </cell>
          <cell r="AR146" t="str">
            <v>CM</v>
          </cell>
          <cell r="AS146">
            <v>9.5</v>
          </cell>
          <cell r="AT146" t="str">
            <v>CM</v>
          </cell>
          <cell r="AU146">
            <v>0</v>
          </cell>
          <cell r="AW146">
            <v>0</v>
          </cell>
        </row>
        <row r="147">
          <cell r="B147" t="str">
            <v>B9901-1</v>
          </cell>
          <cell r="C147" t="str">
            <v>*B9901-1* AKRİLİK APLİK</v>
          </cell>
          <cell r="D147" t="str">
            <v/>
          </cell>
          <cell r="E147" t="str">
            <v/>
          </cell>
          <cell r="F147" t="str">
            <v/>
          </cell>
          <cell r="G147" t="str">
            <v>SARKIT</v>
          </cell>
          <cell r="H147" t="str">
            <v>B9901-1</v>
          </cell>
          <cell r="I147" t="str">
            <v>SARKIT</v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P147" t="str">
            <v>ADET</v>
          </cell>
          <cell r="AF147">
            <v>2</v>
          </cell>
          <cell r="AG147" t="str">
            <v>ADET</v>
          </cell>
          <cell r="AH147">
            <v>130</v>
          </cell>
          <cell r="AI147" t="str">
            <v>CNY</v>
          </cell>
          <cell r="AL147">
            <v>0</v>
          </cell>
          <cell r="AM147" t="str">
            <v>1234567146386</v>
          </cell>
          <cell r="AO147">
            <v>0</v>
          </cell>
          <cell r="AQ147">
            <v>0</v>
          </cell>
          <cell r="AS147">
            <v>0</v>
          </cell>
          <cell r="AU147">
            <v>0</v>
          </cell>
          <cell r="AW147">
            <v>0</v>
          </cell>
        </row>
        <row r="148">
          <cell r="B148" t="str">
            <v>ERD-9</v>
          </cell>
          <cell r="C148" t="str">
            <v>*ERD-9* HEKA 4 WATT BAL RENK LED AMPUL *6*</v>
          </cell>
          <cell r="D148" t="str">
            <v/>
          </cell>
          <cell r="E148" t="str">
            <v/>
          </cell>
          <cell r="F148" t="str">
            <v/>
          </cell>
          <cell r="G148" t="str">
            <v>AMPUL</v>
          </cell>
          <cell r="H148" t="str">
            <v>ERD-9</v>
          </cell>
          <cell r="I148" t="str">
            <v>İÇ</v>
          </cell>
          <cell r="J148" t="str">
            <v>AMPUL</v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  <cell r="O148" t="str">
            <v>HEKA</v>
          </cell>
          <cell r="P148" t="str">
            <v>ADET</v>
          </cell>
          <cell r="AF148">
            <v>0</v>
          </cell>
          <cell r="AG148" t="str">
            <v>ADET</v>
          </cell>
          <cell r="AH148">
            <v>75</v>
          </cell>
          <cell r="AI148" t="str">
            <v>CNY</v>
          </cell>
          <cell r="AJ148">
            <v>1643</v>
          </cell>
          <cell r="AK148" t="str">
            <v>TL</v>
          </cell>
          <cell r="AL148">
            <v>1</v>
          </cell>
          <cell r="AM148" t="str">
            <v>1234567890001</v>
          </cell>
          <cell r="AN148" t="str">
            <v>1234567143286</v>
          </cell>
          <cell r="AO148">
            <v>0</v>
          </cell>
          <cell r="AQ148">
            <v>0</v>
          </cell>
          <cell r="AS148">
            <v>0</v>
          </cell>
          <cell r="AU148">
            <v>0</v>
          </cell>
          <cell r="AW148">
            <v>0</v>
          </cell>
        </row>
        <row r="149">
          <cell r="B149" t="str">
            <v>ERD-20</v>
          </cell>
          <cell r="C149" t="str">
            <v>*ERD-20* HEKA 4 WATT FÜME RENK AMPUL LED *8*</v>
          </cell>
          <cell r="D149" t="str">
            <v/>
          </cell>
          <cell r="E149" t="str">
            <v/>
          </cell>
          <cell r="F149" t="str">
            <v/>
          </cell>
          <cell r="G149" t="str">
            <v>AMPUL</v>
          </cell>
          <cell r="H149" t="str">
            <v>ERD-20</v>
          </cell>
          <cell r="I149" t="str">
            <v>İÇ</v>
          </cell>
          <cell r="J149" t="str">
            <v>AMPUL</v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  <cell r="O149" t="str">
            <v>HEKA</v>
          </cell>
          <cell r="P149" t="str">
            <v>ADET</v>
          </cell>
          <cell r="AF149">
            <v>0</v>
          </cell>
          <cell r="AG149" t="str">
            <v>ADET</v>
          </cell>
          <cell r="AH149">
            <v>44</v>
          </cell>
          <cell r="AI149" t="str">
            <v>CNY</v>
          </cell>
          <cell r="AJ149">
            <v>1643</v>
          </cell>
          <cell r="AK149" t="str">
            <v>TL</v>
          </cell>
          <cell r="AL149">
            <v>1</v>
          </cell>
          <cell r="AM149" t="str">
            <v>1234567890002</v>
          </cell>
          <cell r="AN149" t="str">
            <v>1234567143385</v>
          </cell>
          <cell r="AO149">
            <v>0</v>
          </cell>
          <cell r="AQ149">
            <v>0</v>
          </cell>
          <cell r="AS149">
            <v>0</v>
          </cell>
          <cell r="AU149">
            <v>0</v>
          </cell>
          <cell r="AW149">
            <v>0</v>
          </cell>
        </row>
        <row r="150">
          <cell r="B150" t="str">
            <v>T1C2ERLJRS0-040</v>
          </cell>
          <cell r="C150" t="str">
            <v>CASTOR TEKLİ BAL CAM AVİZE</v>
          </cell>
          <cell r="D150" t="str">
            <v>CASTOR SINGLE AMBER GLASS CHANDELIER</v>
          </cell>
          <cell r="E150" t="str">
            <v>CAM METAL BAL SİYAH</v>
          </cell>
          <cell r="F150" t="str">
            <v>9405.19.50.00.19</v>
          </cell>
          <cell r="G150" t="str">
            <v>AVİZE</v>
          </cell>
          <cell r="H150" t="str">
            <v>T1A2314002K01</v>
          </cell>
          <cell r="I150" t="str">
            <v>İÇ</v>
          </cell>
          <cell r="J150" t="str">
            <v>AVİZE.SARK</v>
          </cell>
          <cell r="K150" t="str">
            <v>CASTOR</v>
          </cell>
          <cell r="L150" t="str">
            <v/>
          </cell>
          <cell r="M150" t="str">
            <v/>
          </cell>
          <cell r="N150" t="str">
            <v>MJ-033A</v>
          </cell>
          <cell r="O150" t="str">
            <v>TOPLAMA</v>
          </cell>
          <cell r="P150" t="str">
            <v>ADET</v>
          </cell>
          <cell r="Q150" t="str">
            <v>E27</v>
          </cell>
          <cell r="R150" t="str">
            <v>CAM</v>
          </cell>
          <cell r="S150" t="str">
            <v>BAL</v>
          </cell>
          <cell r="T150" t="str">
            <v>METAL</v>
          </cell>
          <cell r="U150" t="str">
            <v>SİYAH</v>
          </cell>
          <cell r="AD150" t="str">
            <v>N/A</v>
          </cell>
          <cell r="AE150" t="str">
            <v>01</v>
          </cell>
          <cell r="AF150">
            <v>17</v>
          </cell>
          <cell r="AG150" t="str">
            <v>ADET</v>
          </cell>
          <cell r="AH150">
            <v>38</v>
          </cell>
          <cell r="AI150" t="str">
            <v>CNY</v>
          </cell>
          <cell r="AJ150">
            <v>1536</v>
          </cell>
          <cell r="AK150" t="str">
            <v>TL</v>
          </cell>
          <cell r="AL150">
            <v>1</v>
          </cell>
          <cell r="AM150" t="str">
            <v>8684127504737</v>
          </cell>
          <cell r="AO150">
            <v>0</v>
          </cell>
          <cell r="AQ150">
            <v>0</v>
          </cell>
          <cell r="AR150" t="str">
            <v>CM</v>
          </cell>
          <cell r="AS150">
            <v>40</v>
          </cell>
          <cell r="AT150" t="str">
            <v>CM</v>
          </cell>
          <cell r="AU150">
            <v>0</v>
          </cell>
          <cell r="AW150">
            <v>0</v>
          </cell>
        </row>
        <row r="151">
          <cell r="B151" t="str">
            <v>TESİSAT</v>
          </cell>
          <cell r="C151" t="str">
            <v>TEKLİ TESİSAT</v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>TESİSAT</v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  <cell r="P151" t="str">
            <v>ADET</v>
          </cell>
          <cell r="AF151">
            <v>0</v>
          </cell>
          <cell r="AG151" t="str">
            <v>ADET</v>
          </cell>
          <cell r="AL151">
            <v>0</v>
          </cell>
          <cell r="AM151" t="str">
            <v>1234567145587</v>
          </cell>
          <cell r="AO151">
            <v>0</v>
          </cell>
          <cell r="AQ151">
            <v>0</v>
          </cell>
          <cell r="AS151">
            <v>0</v>
          </cell>
          <cell r="AU151">
            <v>0</v>
          </cell>
          <cell r="AW151">
            <v>0</v>
          </cell>
        </row>
        <row r="152">
          <cell r="B152" t="str">
            <v>H1C2JMEECT0-025</v>
          </cell>
          <cell r="C152" t="str">
            <v>BERDE PİRİNÇ ESKİTME SARKIT 25cm</v>
          </cell>
          <cell r="D152" t="str">
            <v>BERDE BRUSHED BRASS PENDANT 25cm</v>
          </cell>
          <cell r="E152" t="str">
            <v>METAL CAM ESKİTME SOFT</v>
          </cell>
          <cell r="F152" t="str">
            <v>9405.19.90.00.00</v>
          </cell>
          <cell r="G152" t="str">
            <v>AVİZE</v>
          </cell>
          <cell r="H152" t="str">
            <v>H1A2112100-25</v>
          </cell>
          <cell r="I152" t="str">
            <v>İÇ</v>
          </cell>
          <cell r="J152" t="str">
            <v>AVİZE.SARK</v>
          </cell>
          <cell r="K152" t="str">
            <v>BERDE</v>
          </cell>
          <cell r="L152" t="str">
            <v/>
          </cell>
          <cell r="M152" t="str">
            <v/>
          </cell>
          <cell r="N152" t="str">
            <v/>
          </cell>
          <cell r="O152" t="str">
            <v>HEKA</v>
          </cell>
          <cell r="P152" t="str">
            <v>ADET</v>
          </cell>
          <cell r="Q152" t="str">
            <v>E27</v>
          </cell>
          <cell r="R152" t="str">
            <v>METAL</v>
          </cell>
          <cell r="S152" t="str">
            <v>ESKİTME</v>
          </cell>
          <cell r="T152" t="str">
            <v>CAM</v>
          </cell>
          <cell r="U152" t="str">
            <v>SOFT</v>
          </cell>
          <cell r="AD152" t="str">
            <v>N/A</v>
          </cell>
          <cell r="AE152" t="str">
            <v>01</v>
          </cell>
          <cell r="AF152">
            <v>7</v>
          </cell>
          <cell r="AG152" t="str">
            <v>ADET</v>
          </cell>
          <cell r="AH152">
            <v>400</v>
          </cell>
          <cell r="AI152" t="str">
            <v>TL</v>
          </cell>
          <cell r="AJ152">
            <v>3542</v>
          </cell>
          <cell r="AK152" t="str">
            <v>TL</v>
          </cell>
          <cell r="AL152">
            <v>1</v>
          </cell>
          <cell r="AM152" t="str">
            <v>8684127505413</v>
          </cell>
          <cell r="AO152">
            <v>0</v>
          </cell>
          <cell r="AQ152">
            <v>45</v>
          </cell>
          <cell r="AR152" t="str">
            <v>CM</v>
          </cell>
          <cell r="AS152">
            <v>25</v>
          </cell>
          <cell r="AT152" t="str">
            <v>CM</v>
          </cell>
          <cell r="AU152">
            <v>0</v>
          </cell>
          <cell r="AW152">
            <v>0</v>
          </cell>
        </row>
        <row r="153">
          <cell r="B153" t="str">
            <v>NP3023-B</v>
          </cell>
          <cell r="C153" t="str">
            <v>*NP3023-B* 10 TOPLU GERDANLIK SARKIT AYDINLATMA</v>
          </cell>
          <cell r="D153" t="str">
            <v/>
          </cell>
          <cell r="E153" t="str">
            <v/>
          </cell>
          <cell r="F153" t="str">
            <v/>
          </cell>
          <cell r="G153" t="str">
            <v>SARKIT</v>
          </cell>
          <cell r="H153" t="str">
            <v>NP3023-B</v>
          </cell>
          <cell r="I153" t="str">
            <v>SARKIT</v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P153" t="str">
            <v>ADET</v>
          </cell>
          <cell r="AF153">
            <v>1</v>
          </cell>
          <cell r="AG153" t="str">
            <v>ADET</v>
          </cell>
          <cell r="AH153">
            <v>550</v>
          </cell>
          <cell r="AI153" t="str">
            <v>TL</v>
          </cell>
          <cell r="AL153">
            <v>0</v>
          </cell>
          <cell r="AM153" t="str">
            <v>1234567145754</v>
          </cell>
          <cell r="AO153">
            <v>0</v>
          </cell>
          <cell r="AQ153">
            <v>0</v>
          </cell>
          <cell r="AS153">
            <v>0</v>
          </cell>
          <cell r="AU153">
            <v>0</v>
          </cell>
          <cell r="AW153">
            <v>0</v>
          </cell>
        </row>
        <row r="154">
          <cell r="B154" t="str">
            <v>H1C1ECSJME0-018</v>
          </cell>
          <cell r="C154" t="str">
            <v>PIERRE TEKLİ CAM SARKIT</v>
          </cell>
          <cell r="D154" t="str">
            <v>PIERRE SINGLE GLASS PENDANT</v>
          </cell>
          <cell r="E154" t="str">
            <v xml:space="preserve">CAM  METAL ŞEFFAF ESKİTME   </v>
          </cell>
          <cell r="F154" t="str">
            <v>9405.19.50.00.19</v>
          </cell>
          <cell r="G154" t="str">
            <v>AVİZE</v>
          </cell>
          <cell r="H154" t="str">
            <v>T1A1241100-20</v>
          </cell>
          <cell r="I154" t="str">
            <v>İÇ</v>
          </cell>
          <cell r="J154" t="str">
            <v>AVİZE.SARK</v>
          </cell>
          <cell r="K154" t="str">
            <v>PİERRE</v>
          </cell>
          <cell r="L154" t="str">
            <v/>
          </cell>
          <cell r="M154" t="str">
            <v/>
          </cell>
          <cell r="N154" t="str">
            <v xml:space="preserve">DD20583-1A </v>
          </cell>
          <cell r="O154" t="str">
            <v>HEKA</v>
          </cell>
          <cell r="P154" t="str">
            <v>ADET</v>
          </cell>
          <cell r="Q154" t="str">
            <v>E14</v>
          </cell>
          <cell r="R154" t="str">
            <v>CAM</v>
          </cell>
          <cell r="S154" t="str">
            <v>ŞEFFAF</v>
          </cell>
          <cell r="T154" t="str">
            <v>METAL</v>
          </cell>
          <cell r="U154" t="str">
            <v>ESKİTME</v>
          </cell>
          <cell r="AD154" t="str">
            <v>N/A</v>
          </cell>
          <cell r="AE154" t="str">
            <v>02</v>
          </cell>
          <cell r="AF154">
            <v>0</v>
          </cell>
          <cell r="AG154" t="str">
            <v>ADET</v>
          </cell>
          <cell r="AH154">
            <v>93</v>
          </cell>
          <cell r="AI154" t="str">
            <v>CNY</v>
          </cell>
          <cell r="AJ154">
            <v>3451</v>
          </cell>
          <cell r="AK154" t="str">
            <v>TL</v>
          </cell>
          <cell r="AL154">
            <v>1</v>
          </cell>
          <cell r="AM154" t="str">
            <v>8684127502658</v>
          </cell>
          <cell r="AO154">
            <v>0</v>
          </cell>
          <cell r="AQ154">
            <v>72</v>
          </cell>
          <cell r="AR154" t="str">
            <v>CM</v>
          </cell>
          <cell r="AS154">
            <v>16</v>
          </cell>
          <cell r="AT154" t="str">
            <v>CM</v>
          </cell>
          <cell r="AU154">
            <v>0</v>
          </cell>
          <cell r="AW154">
            <v>0</v>
          </cell>
        </row>
        <row r="155">
          <cell r="B155" t="str">
            <v>H1C2JRBERF0-027</v>
          </cell>
          <cell r="C155" t="str">
            <v>BULUT TEKLİ CAM BEYAZ SARKIT</v>
          </cell>
          <cell r="D155" t="str">
            <v>BULUT SINGLE GLASS WHITE PENDANT</v>
          </cell>
          <cell r="E155" t="str">
            <v>METAL CAM BEYAZ FÜME</v>
          </cell>
          <cell r="F155" t="str">
            <v>9405.19.90.00.00</v>
          </cell>
          <cell r="G155" t="str">
            <v>AVİZE</v>
          </cell>
          <cell r="H155" t="str">
            <v>M01-BEYAZ</v>
          </cell>
          <cell r="I155" t="str">
            <v>İÇ</v>
          </cell>
          <cell r="J155" t="str">
            <v>AVİZE.SARK</v>
          </cell>
          <cell r="K155" t="str">
            <v>BULUT</v>
          </cell>
          <cell r="L155" t="str">
            <v/>
          </cell>
          <cell r="M155" t="str">
            <v/>
          </cell>
          <cell r="N155" t="str">
            <v>M01BEY</v>
          </cell>
          <cell r="O155" t="str">
            <v>HEKA</v>
          </cell>
          <cell r="P155" t="str">
            <v>ADET</v>
          </cell>
          <cell r="Q155" t="str">
            <v>E27</v>
          </cell>
          <cell r="R155" t="str">
            <v>METAL</v>
          </cell>
          <cell r="S155" t="str">
            <v>BEYAZ</v>
          </cell>
          <cell r="T155" t="str">
            <v>CAM</v>
          </cell>
          <cell r="U155" t="str">
            <v>FÜME</v>
          </cell>
          <cell r="AD155" t="str">
            <v>N/A</v>
          </cell>
          <cell r="AE155" t="str">
            <v>02</v>
          </cell>
          <cell r="AF155">
            <v>1</v>
          </cell>
          <cell r="AG155" t="str">
            <v>ADET</v>
          </cell>
          <cell r="AH155">
            <v>45</v>
          </cell>
          <cell r="AI155" t="str">
            <v>CNY</v>
          </cell>
          <cell r="AJ155">
            <v>576</v>
          </cell>
          <cell r="AK155" t="str">
            <v>TL</v>
          </cell>
          <cell r="AL155">
            <v>0</v>
          </cell>
          <cell r="AM155" t="str">
            <v>8684127509374</v>
          </cell>
          <cell r="AO155">
            <v>0</v>
          </cell>
          <cell r="AQ155">
            <v>27</v>
          </cell>
          <cell r="AR155" t="str">
            <v>CM</v>
          </cell>
          <cell r="AS155">
            <v>27</v>
          </cell>
          <cell r="AT155" t="str">
            <v>CM</v>
          </cell>
          <cell r="AU155">
            <v>0</v>
          </cell>
          <cell r="AW155">
            <v>0</v>
          </cell>
        </row>
        <row r="156">
          <cell r="B156" t="str">
            <v>H1W3JME000R-030</v>
          </cell>
          <cell r="C156" t="str">
            <v>SALYAN DÖVMELİ ESKİTME APLİK 30cm</v>
          </cell>
          <cell r="D156" t="str">
            <v>SALYAN HAMMERED BRUSHED BRASS WALL LAMP 30cm</v>
          </cell>
          <cell r="E156" t="str">
            <v>METAL YOK ESKİTME YOK</v>
          </cell>
          <cell r="F156" t="str">
            <v>9405.19.90.00.00</v>
          </cell>
          <cell r="G156" t="str">
            <v>APLİK</v>
          </cell>
          <cell r="H156" t="str">
            <v>H1W3110000-30</v>
          </cell>
          <cell r="I156" t="str">
            <v>İÇ</v>
          </cell>
          <cell r="J156" t="str">
            <v>APLİK</v>
          </cell>
          <cell r="K156" t="str">
            <v>SALYAN</v>
          </cell>
          <cell r="L156" t="str">
            <v/>
          </cell>
          <cell r="M156" t="str">
            <v>ÜRTM:15GÜN</v>
          </cell>
          <cell r="N156" t="str">
            <v/>
          </cell>
          <cell r="O156" t="str">
            <v>HEKA</v>
          </cell>
          <cell r="P156" t="str">
            <v>ADET</v>
          </cell>
          <cell r="Q156" t="str">
            <v>G9</v>
          </cell>
          <cell r="R156" t="str">
            <v>METAL</v>
          </cell>
          <cell r="S156" t="str">
            <v>ESKİTME</v>
          </cell>
          <cell r="T156" t="str">
            <v>YOK</v>
          </cell>
          <cell r="U156" t="str">
            <v>YOK</v>
          </cell>
          <cell r="AD156" t="str">
            <v>DAİRE</v>
          </cell>
          <cell r="AE156" t="str">
            <v>07</v>
          </cell>
          <cell r="AF156">
            <v>0</v>
          </cell>
          <cell r="AG156" t="str">
            <v>ADET</v>
          </cell>
          <cell r="AH156">
            <v>1600</v>
          </cell>
          <cell r="AI156" t="str">
            <v>TL</v>
          </cell>
          <cell r="AJ156">
            <v>3094</v>
          </cell>
          <cell r="AK156" t="str">
            <v>TL</v>
          </cell>
          <cell r="AL156">
            <v>1</v>
          </cell>
          <cell r="AM156" t="str">
            <v>8684127505369</v>
          </cell>
          <cell r="AO156">
            <v>0</v>
          </cell>
          <cell r="AQ156">
            <v>30</v>
          </cell>
          <cell r="AR156" t="str">
            <v>CM</v>
          </cell>
          <cell r="AS156">
            <v>30</v>
          </cell>
          <cell r="AT156" t="str">
            <v>CM</v>
          </cell>
          <cell r="AU156">
            <v>0</v>
          </cell>
          <cell r="AW156">
            <v>0</v>
          </cell>
        </row>
        <row r="157">
          <cell r="B157" t="str">
            <v>T1L2721900-01</v>
          </cell>
          <cell r="C157" t="str">
            <v xml:space="preserve">*F8041* LAMBADER </v>
          </cell>
          <cell r="D157" t="str">
            <v/>
          </cell>
          <cell r="E157" t="str">
            <v/>
          </cell>
          <cell r="F157" t="str">
            <v/>
          </cell>
          <cell r="G157" t="str">
            <v>LAMBADER</v>
          </cell>
          <cell r="H157" t="str">
            <v>T1L2721900-01</v>
          </cell>
          <cell r="I157" t="str">
            <v>İÇ</v>
          </cell>
          <cell r="J157" t="str">
            <v>LAMBADER</v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>HEKA</v>
          </cell>
          <cell r="P157" t="str">
            <v>ADET</v>
          </cell>
          <cell r="AF157">
            <v>0</v>
          </cell>
          <cell r="AG157" t="str">
            <v>ADET</v>
          </cell>
          <cell r="AH157">
            <v>175</v>
          </cell>
          <cell r="AI157" t="str">
            <v>TL</v>
          </cell>
          <cell r="AJ157">
            <v>1295</v>
          </cell>
          <cell r="AK157" t="str">
            <v>TL</v>
          </cell>
          <cell r="AL157">
            <v>1</v>
          </cell>
          <cell r="AM157" t="str">
            <v>1234567146089</v>
          </cell>
          <cell r="AO157">
            <v>0</v>
          </cell>
          <cell r="AQ157">
            <v>0</v>
          </cell>
          <cell r="AS157">
            <v>0</v>
          </cell>
          <cell r="AU157">
            <v>0</v>
          </cell>
          <cell r="AW157">
            <v>0</v>
          </cell>
        </row>
        <row r="158">
          <cell r="B158" t="str">
            <v>H1C6JMEWRBD-100</v>
          </cell>
          <cell r="C158" t="str">
            <v>EFES YEMEK MASASI AVİZE 100 CM</v>
          </cell>
          <cell r="D158" t="str">
            <v>EFES DINING ROOM CHANDELIER</v>
          </cell>
          <cell r="E158" t="str">
            <v xml:space="preserve">METAL MERMER ESKİTME BEYAZ   </v>
          </cell>
          <cell r="F158" t="str">
            <v>9405.11.90.00.00</v>
          </cell>
          <cell r="G158" t="str">
            <v>AVİZE</v>
          </cell>
          <cell r="H158" t="str">
            <v>H1A6113100-60</v>
          </cell>
          <cell r="I158" t="str">
            <v>İÇ</v>
          </cell>
          <cell r="J158" t="str">
            <v>AVİZE.AVİZ</v>
          </cell>
          <cell r="K158" t="str">
            <v>EFES</v>
          </cell>
          <cell r="L158" t="str">
            <v/>
          </cell>
          <cell r="M158" t="str">
            <v>ÜRTM:25GÜN</v>
          </cell>
          <cell r="N158" t="str">
            <v>HK20007</v>
          </cell>
          <cell r="O158" t="str">
            <v>HEKA</v>
          </cell>
          <cell r="P158" t="str">
            <v>ADET</v>
          </cell>
          <cell r="Q158" t="str">
            <v>LED</v>
          </cell>
          <cell r="R158" t="str">
            <v>METAL</v>
          </cell>
          <cell r="S158" t="str">
            <v>ESKİTME</v>
          </cell>
          <cell r="T158" t="str">
            <v>MERMER</v>
          </cell>
          <cell r="U158" t="str">
            <v>BEYAZ</v>
          </cell>
          <cell r="AD158" t="str">
            <v>DİKDÖRTGEN</v>
          </cell>
          <cell r="AF158">
            <v>1</v>
          </cell>
          <cell r="AG158" t="str">
            <v>ADET</v>
          </cell>
          <cell r="AH158">
            <v>8000</v>
          </cell>
          <cell r="AI158" t="str">
            <v>TL</v>
          </cell>
          <cell r="AJ158">
            <v>174750</v>
          </cell>
          <cell r="AK158" t="str">
            <v>TL</v>
          </cell>
          <cell r="AL158">
            <v>1</v>
          </cell>
          <cell r="AM158" t="str">
            <v>8684127509732</v>
          </cell>
          <cell r="AO158">
            <v>0</v>
          </cell>
          <cell r="AQ158">
            <v>25</v>
          </cell>
          <cell r="AR158" t="str">
            <v>CM</v>
          </cell>
          <cell r="AS158">
            <v>40</v>
          </cell>
          <cell r="AT158" t="str">
            <v>CM</v>
          </cell>
          <cell r="AU158">
            <v>0</v>
          </cell>
          <cell r="AW158">
            <v>0</v>
          </cell>
        </row>
        <row r="159">
          <cell r="B159" t="str">
            <v>CK2G1C2M2E2B0</v>
          </cell>
          <cell r="C159" t="str">
            <v>ERD-227 FÜME 6W 2200K YAMUK BÜYÜK E27 LED AMPUL</v>
          </cell>
          <cell r="D159" t="str">
            <v>ERD-227 SMOKY 6W 2200K IRREGULAR BIG E27 LED BULB</v>
          </cell>
          <cell r="E159" t="str">
            <v>CAM METAL FÜME FLAMENT DIMMSIZ KARMA</v>
          </cell>
          <cell r="F159" t="str">
            <v>8539.52.00.00.00</v>
          </cell>
          <cell r="G159" t="str">
            <v>AVİZE</v>
          </cell>
          <cell r="H159" t="str">
            <v>CG21122D21T99</v>
          </cell>
          <cell r="I159" t="str">
            <v>İÇ</v>
          </cell>
          <cell r="J159" t="str">
            <v>AMPUL</v>
          </cell>
          <cell r="K159" t="str">
            <v>ERD-227</v>
          </cell>
          <cell r="L159" t="str">
            <v/>
          </cell>
          <cell r="M159" t="str">
            <v/>
          </cell>
          <cell r="N159" t="str">
            <v>ERD-227</v>
          </cell>
          <cell r="O159" t="str">
            <v>HEKA</v>
          </cell>
          <cell r="P159" t="str">
            <v>ADET</v>
          </cell>
          <cell r="Q159" t="str">
            <v>E27</v>
          </cell>
          <cell r="R159" t="str">
            <v>CAM</v>
          </cell>
          <cell r="S159" t="str">
            <v>FÜME</v>
          </cell>
          <cell r="T159" t="str">
            <v>METAL</v>
          </cell>
          <cell r="V159" t="str">
            <v>G</v>
          </cell>
          <cell r="W159" t="str">
            <v>FLAMENT</v>
          </cell>
          <cell r="X159" t="str">
            <v>220V</v>
          </cell>
          <cell r="Y159" t="str">
            <v>6 WATT</v>
          </cell>
          <cell r="Z159" t="str">
            <v>2200 K</v>
          </cell>
          <cell r="AA159" t="str">
            <v>DIMMSIZ</v>
          </cell>
          <cell r="AB159" t="str">
            <v>201-300</v>
          </cell>
          <cell r="AC159" t="str">
            <v>KARMA</v>
          </cell>
          <cell r="AD159" t="str">
            <v>N/A</v>
          </cell>
          <cell r="AF159">
            <v>0</v>
          </cell>
          <cell r="AG159" t="str">
            <v>ADET</v>
          </cell>
          <cell r="AH159">
            <v>76</v>
          </cell>
          <cell r="AI159" t="str">
            <v>CNY</v>
          </cell>
          <cell r="AJ159">
            <v>84</v>
          </cell>
          <cell r="AK159" t="str">
            <v>USD</v>
          </cell>
          <cell r="AL159">
            <v>1</v>
          </cell>
          <cell r="AM159" t="str">
            <v>8684127503785</v>
          </cell>
          <cell r="AN159" t="str">
            <v>8699089465126</v>
          </cell>
          <cell r="AO159">
            <v>0</v>
          </cell>
          <cell r="AQ159">
            <v>22</v>
          </cell>
          <cell r="AR159" t="str">
            <v>CM</v>
          </cell>
          <cell r="AS159">
            <v>22</v>
          </cell>
          <cell r="AT159" t="str">
            <v>CM</v>
          </cell>
          <cell r="AU159">
            <v>0</v>
          </cell>
          <cell r="AW159">
            <v>0</v>
          </cell>
        </row>
        <row r="160">
          <cell r="B160" t="str">
            <v>H1T6JMEWRB0-058</v>
          </cell>
          <cell r="C160" t="str">
            <v>EFES MERMER ESKİTME MASA LAMBASI</v>
          </cell>
          <cell r="D160" t="str">
            <v>EFES MARBLE BRUSHED BRASS TABLE LAMP</v>
          </cell>
          <cell r="E160" t="str">
            <v>METAL MERMER ESKİTME BEYAZ</v>
          </cell>
          <cell r="F160" t="str">
            <v>9405.11.90.00.00</v>
          </cell>
          <cell r="G160" t="str">
            <v>MASA LAMBASI</v>
          </cell>
          <cell r="H160" t="str">
            <v>H1M6113100-24</v>
          </cell>
          <cell r="I160" t="str">
            <v>İÇ</v>
          </cell>
          <cell r="J160" t="str">
            <v>MASAABAJ</v>
          </cell>
          <cell r="K160" t="str">
            <v>EFES</v>
          </cell>
          <cell r="L160" t="str">
            <v/>
          </cell>
          <cell r="M160" t="str">
            <v>ÜRTM:25GÜN</v>
          </cell>
          <cell r="N160" t="str">
            <v/>
          </cell>
          <cell r="O160" t="str">
            <v>HEKA</v>
          </cell>
          <cell r="P160" t="str">
            <v>ADET</v>
          </cell>
          <cell r="Q160" t="str">
            <v>LED</v>
          </cell>
          <cell r="R160" t="str">
            <v>METAL</v>
          </cell>
          <cell r="S160" t="str">
            <v>ESKİTME</v>
          </cell>
          <cell r="T160" t="str">
            <v>MERMER</v>
          </cell>
          <cell r="U160" t="str">
            <v>BEYAZ</v>
          </cell>
          <cell r="AD160" t="str">
            <v>N/A</v>
          </cell>
          <cell r="AF160">
            <v>3</v>
          </cell>
          <cell r="AG160" t="str">
            <v>ADET</v>
          </cell>
          <cell r="AJ160">
            <v>31500</v>
          </cell>
          <cell r="AK160" t="str">
            <v>TL</v>
          </cell>
          <cell r="AL160">
            <v>1</v>
          </cell>
          <cell r="AM160" t="str">
            <v>8684127509855</v>
          </cell>
          <cell r="AO160">
            <v>0</v>
          </cell>
          <cell r="AQ160">
            <v>25</v>
          </cell>
          <cell r="AR160" t="str">
            <v>CM</v>
          </cell>
          <cell r="AS160">
            <v>58</v>
          </cell>
          <cell r="AT160" t="str">
            <v>CM</v>
          </cell>
          <cell r="AU160">
            <v>0</v>
          </cell>
          <cell r="AW160">
            <v>0</v>
          </cell>
        </row>
        <row r="161">
          <cell r="B161" t="str">
            <v>H1C6JMEECTD-095</v>
          </cell>
          <cell r="C161" t="str">
            <v>SOLİ YEMEK MASASI ESKİTME AVİZE 5 Lİ</v>
          </cell>
          <cell r="D161" t="str">
            <v>SOLİ DINNING TABLE BRASS CHANDELIER 5 BULB</v>
          </cell>
          <cell r="E161" t="str">
            <v xml:space="preserve">METAL CAM  ESKİTME SOFT   </v>
          </cell>
          <cell r="F161" t="str">
            <v>9405.11.90.00.00</v>
          </cell>
          <cell r="G161" t="str">
            <v>AVİZE</v>
          </cell>
          <cell r="H161" t="str">
            <v>T1A6112100-05</v>
          </cell>
          <cell r="I161" t="str">
            <v>İÇ</v>
          </cell>
          <cell r="J161" t="str">
            <v>AVİZE.SARK</v>
          </cell>
          <cell r="K161" t="str">
            <v>SOLİ</v>
          </cell>
          <cell r="L161" t="str">
            <v/>
          </cell>
          <cell r="M161" t="str">
            <v/>
          </cell>
          <cell r="N161" t="str">
            <v>JM8009-5-BR</v>
          </cell>
          <cell r="O161" t="str">
            <v>HEKA</v>
          </cell>
          <cell r="P161" t="str">
            <v>ADET</v>
          </cell>
          <cell r="Q161" t="str">
            <v>LED</v>
          </cell>
          <cell r="R161" t="str">
            <v>METAL</v>
          </cell>
          <cell r="S161" t="str">
            <v>ESKİTME</v>
          </cell>
          <cell r="T161" t="str">
            <v>CAM</v>
          </cell>
          <cell r="U161" t="str">
            <v>SOFT</v>
          </cell>
          <cell r="AD161" t="str">
            <v>DİKDÖRTGEN</v>
          </cell>
          <cell r="AE161" t="str">
            <v>01</v>
          </cell>
          <cell r="AF161">
            <v>0</v>
          </cell>
          <cell r="AG161" t="str">
            <v>ADET</v>
          </cell>
          <cell r="AH161">
            <v>425</v>
          </cell>
          <cell r="AI161" t="str">
            <v>CNY</v>
          </cell>
          <cell r="AJ161">
            <v>18500</v>
          </cell>
          <cell r="AK161" t="str">
            <v>TL</v>
          </cell>
          <cell r="AL161">
            <v>1</v>
          </cell>
          <cell r="AM161" t="str">
            <v>8684127502719</v>
          </cell>
          <cell r="AO161">
            <v>0</v>
          </cell>
          <cell r="AQ161">
            <v>65</v>
          </cell>
          <cell r="AR161" t="str">
            <v>CM</v>
          </cell>
          <cell r="AS161">
            <v>7</v>
          </cell>
          <cell r="AT161" t="str">
            <v>CM</v>
          </cell>
          <cell r="AU161">
            <v>0</v>
          </cell>
          <cell r="AW161">
            <v>0</v>
          </cell>
        </row>
        <row r="162">
          <cell r="B162" t="str">
            <v>H1W4JMEECSR-015</v>
          </cell>
          <cell r="C162" t="str">
            <v>BATUR ŞEFFAF SARKIT 15cm</v>
          </cell>
          <cell r="D162" t="str">
            <v>BATUR CLEAR PENDANT 15cm</v>
          </cell>
          <cell r="E162" t="str">
            <v>METAL CAM ESKİTME ŞEFFAF</v>
          </cell>
          <cell r="F162" t="str">
            <v>9405.19.90.00.00</v>
          </cell>
          <cell r="G162" t="str">
            <v>AVİZE</v>
          </cell>
          <cell r="H162" t="str">
            <v>H1A4112400-15</v>
          </cell>
          <cell r="I162" t="str">
            <v>İÇ</v>
          </cell>
          <cell r="J162" t="str">
            <v>AVİZE.SARK</v>
          </cell>
          <cell r="K162" t="str">
            <v>BATUR</v>
          </cell>
          <cell r="L162" t="str">
            <v/>
          </cell>
          <cell r="M162" t="str">
            <v/>
          </cell>
          <cell r="N162" t="str">
            <v>HK20046</v>
          </cell>
          <cell r="O162" t="str">
            <v>HEKA</v>
          </cell>
          <cell r="P162" t="str">
            <v>ADET</v>
          </cell>
          <cell r="Q162" t="str">
            <v>G4</v>
          </cell>
          <cell r="R162" t="str">
            <v>METAL</v>
          </cell>
          <cell r="S162" t="str">
            <v>ESKİTME</v>
          </cell>
          <cell r="T162" t="str">
            <v>CAM</v>
          </cell>
          <cell r="U162" t="str">
            <v>ŞEFFAF</v>
          </cell>
          <cell r="AD162" t="str">
            <v>DAİRE</v>
          </cell>
          <cell r="AE162" t="str">
            <v>02</v>
          </cell>
          <cell r="AF162">
            <v>0</v>
          </cell>
          <cell r="AG162" t="str">
            <v>ADET</v>
          </cell>
          <cell r="AH162">
            <v>75</v>
          </cell>
          <cell r="AI162" t="str">
            <v>TL</v>
          </cell>
          <cell r="AJ162">
            <v>2462</v>
          </cell>
          <cell r="AK162" t="str">
            <v>TL</v>
          </cell>
          <cell r="AL162">
            <v>1</v>
          </cell>
          <cell r="AM162" t="str">
            <v>8684127505987</v>
          </cell>
          <cell r="AO162">
            <v>0</v>
          </cell>
          <cell r="AQ162">
            <v>36</v>
          </cell>
          <cell r="AR162" t="str">
            <v>CM</v>
          </cell>
          <cell r="AS162">
            <v>15</v>
          </cell>
          <cell r="AT162" t="str">
            <v>CM</v>
          </cell>
          <cell r="AU162">
            <v>0</v>
          </cell>
          <cell r="AW162">
            <v>0</v>
          </cell>
        </row>
        <row r="163">
          <cell r="B163" t="str">
            <v>H1W4JMEERLR-020</v>
          </cell>
          <cell r="C163" t="str">
            <v>BATUR BAL SARKIT 20cm</v>
          </cell>
          <cell r="D163" t="str">
            <v>BATUR AMBER PENDANT 20cm</v>
          </cell>
          <cell r="E163" t="str">
            <v>METAL CAM ESKİTME BAL</v>
          </cell>
          <cell r="F163" t="str">
            <v>9405.19.90.00.00</v>
          </cell>
          <cell r="G163" t="str">
            <v>AVİZE</v>
          </cell>
          <cell r="H163" t="str">
            <v>H1A4112300-20</v>
          </cell>
          <cell r="I163" t="str">
            <v>İÇ</v>
          </cell>
          <cell r="J163" t="str">
            <v>AVİZE.SARK</v>
          </cell>
          <cell r="K163" t="str">
            <v>BATUR</v>
          </cell>
          <cell r="L163" t="str">
            <v/>
          </cell>
          <cell r="M163" t="str">
            <v/>
          </cell>
          <cell r="N163" t="str">
            <v>HK20053</v>
          </cell>
          <cell r="O163" t="str">
            <v>HEKA</v>
          </cell>
          <cell r="P163" t="str">
            <v>ADET</v>
          </cell>
          <cell r="Q163" t="str">
            <v>G4</v>
          </cell>
          <cell r="R163" t="str">
            <v>METAL</v>
          </cell>
          <cell r="S163" t="str">
            <v>ESKİTME</v>
          </cell>
          <cell r="T163" t="str">
            <v>CAM</v>
          </cell>
          <cell r="U163" t="str">
            <v>BAL</v>
          </cell>
          <cell r="AD163" t="str">
            <v>DAİRE</v>
          </cell>
          <cell r="AE163" t="str">
            <v>02</v>
          </cell>
          <cell r="AF163">
            <v>1</v>
          </cell>
          <cell r="AG163" t="str">
            <v>ADET</v>
          </cell>
          <cell r="AH163">
            <v>75</v>
          </cell>
          <cell r="AI163" t="str">
            <v>TL</v>
          </cell>
          <cell r="AJ163">
            <v>3120</v>
          </cell>
          <cell r="AK163" t="str">
            <v>TL</v>
          </cell>
          <cell r="AL163">
            <v>1</v>
          </cell>
          <cell r="AM163" t="str">
            <v>8684127505994</v>
          </cell>
          <cell r="AO163">
            <v>0</v>
          </cell>
          <cell r="AQ163">
            <v>41</v>
          </cell>
          <cell r="AR163" t="str">
            <v>CM</v>
          </cell>
          <cell r="AS163">
            <v>20</v>
          </cell>
          <cell r="AT163" t="str">
            <v>CM</v>
          </cell>
          <cell r="AU163">
            <v>0</v>
          </cell>
          <cell r="AW163">
            <v>0</v>
          </cell>
        </row>
        <row r="164">
          <cell r="B164" t="str">
            <v>CK4E3C3M2B5H1</v>
          </cell>
          <cell r="C164" t="str">
            <v>ERD-275 ŞEFFAF 220V 3W 3000K G4 LED AMPUL</v>
          </cell>
          <cell r="D164" t="str">
            <v>ERD-275 CLEAR 220V 3W 3000K G4 LED BULB</v>
          </cell>
          <cell r="E164" t="str">
            <v>CAM METAL ŞEFFAF COB LED DIMMLI KARMA</v>
          </cell>
          <cell r="F164" t="str">
            <v>8539.52.00.00.00</v>
          </cell>
          <cell r="G164" t="str">
            <v>AMPUL</v>
          </cell>
          <cell r="H164" t="str">
            <v>CE43132K51000</v>
          </cell>
          <cell r="I164" t="str">
            <v>İÇ</v>
          </cell>
          <cell r="J164" t="str">
            <v>AMPUL</v>
          </cell>
          <cell r="K164" t="str">
            <v>ERD-275</v>
          </cell>
          <cell r="L164" t="str">
            <v/>
          </cell>
          <cell r="M164" t="str">
            <v/>
          </cell>
          <cell r="N164" t="str">
            <v>ERD-275</v>
          </cell>
          <cell r="O164" t="str">
            <v>HEKA</v>
          </cell>
          <cell r="P164" t="str">
            <v>ADET</v>
          </cell>
          <cell r="Q164" t="str">
            <v>G4</v>
          </cell>
          <cell r="R164" t="str">
            <v>CAM</v>
          </cell>
          <cell r="S164" t="str">
            <v>ŞEFFAF</v>
          </cell>
          <cell r="T164" t="str">
            <v>METAL</v>
          </cell>
          <cell r="V164" t="str">
            <v>E</v>
          </cell>
          <cell r="W164" t="str">
            <v>COB LED</v>
          </cell>
          <cell r="X164" t="str">
            <v>220V</v>
          </cell>
          <cell r="Y164" t="str">
            <v>3 WATT</v>
          </cell>
          <cell r="Z164" t="str">
            <v>3000 K</v>
          </cell>
          <cell r="AA164" t="str">
            <v>DIMMLI</v>
          </cell>
          <cell r="AB164" t="str">
            <v>301-400</v>
          </cell>
          <cell r="AC164" t="str">
            <v>KARMA</v>
          </cell>
          <cell r="AD164" t="str">
            <v>N/A</v>
          </cell>
          <cell r="AF164">
            <v>6</v>
          </cell>
          <cell r="AG164" t="str">
            <v>ADET</v>
          </cell>
          <cell r="AH164">
            <v>2.7</v>
          </cell>
          <cell r="AI164" t="str">
            <v>CNY</v>
          </cell>
          <cell r="AJ164">
            <v>1.8</v>
          </cell>
          <cell r="AK164" t="str">
            <v>USD</v>
          </cell>
          <cell r="AL164">
            <v>1</v>
          </cell>
          <cell r="AM164" t="str">
            <v>8684127504034</v>
          </cell>
          <cell r="AN164" t="str">
            <v>8684127500531</v>
          </cell>
          <cell r="AO164">
            <v>0</v>
          </cell>
          <cell r="AQ164">
            <v>1.5</v>
          </cell>
          <cell r="AR164" t="str">
            <v>CM</v>
          </cell>
          <cell r="AS164">
            <v>1.5</v>
          </cell>
          <cell r="AT164" t="str">
            <v>CM</v>
          </cell>
          <cell r="AU164">
            <v>0</v>
          </cell>
          <cell r="AW164">
            <v>0</v>
          </cell>
        </row>
        <row r="165">
          <cell r="B165" t="str">
            <v>ERD-12</v>
          </cell>
          <cell r="C165" t="str">
            <v>*ERD-12* HEKA 4 WATT BAL RENK LED AMPUL *6*</v>
          </cell>
          <cell r="D165" t="str">
            <v/>
          </cell>
          <cell r="E165" t="str">
            <v/>
          </cell>
          <cell r="F165" t="str">
            <v/>
          </cell>
          <cell r="G165" t="str">
            <v>AMPUL</v>
          </cell>
          <cell r="H165" t="str">
            <v>ERD-12</v>
          </cell>
          <cell r="I165" t="str">
            <v>İÇ</v>
          </cell>
          <cell r="J165" t="str">
            <v>AMPUL</v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  <cell r="O165" t="str">
            <v>HEKA</v>
          </cell>
          <cell r="P165" t="str">
            <v>ADET</v>
          </cell>
          <cell r="AF165">
            <v>8</v>
          </cell>
          <cell r="AG165" t="str">
            <v>ADET</v>
          </cell>
          <cell r="AH165">
            <v>38</v>
          </cell>
          <cell r="AI165" t="str">
            <v>CNY</v>
          </cell>
          <cell r="AJ165">
            <v>1643</v>
          </cell>
          <cell r="AK165" t="str">
            <v>TL</v>
          </cell>
          <cell r="AL165">
            <v>1</v>
          </cell>
          <cell r="AM165" t="str">
            <v>1234567890008</v>
          </cell>
          <cell r="AN165" t="str">
            <v>1234567143316</v>
          </cell>
          <cell r="AO165">
            <v>0</v>
          </cell>
          <cell r="AQ165">
            <v>0</v>
          </cell>
          <cell r="AS165">
            <v>0</v>
          </cell>
          <cell r="AU165">
            <v>0</v>
          </cell>
          <cell r="AW165">
            <v>0</v>
          </cell>
        </row>
        <row r="166">
          <cell r="B166" t="str">
            <v>CG21122B21T01</v>
          </cell>
          <cell r="C166" t="str">
            <v>*ERD-15* HEKA 4 WATT FÜME RENK LED AMPUL *6*</v>
          </cell>
          <cell r="D166" t="str">
            <v/>
          </cell>
          <cell r="E166" t="str">
            <v/>
          </cell>
          <cell r="F166" t="str">
            <v>853950000000</v>
          </cell>
          <cell r="G166" t="str">
            <v>HEKA LED</v>
          </cell>
          <cell r="H166" t="str">
            <v>CG21122B21T01</v>
          </cell>
          <cell r="I166" t="str">
            <v>HEKA LED</v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  <cell r="O166" t="str">
            <v>ISHI</v>
          </cell>
          <cell r="P166" t="str">
            <v>ADET</v>
          </cell>
          <cell r="AF166">
            <v>0</v>
          </cell>
          <cell r="AG166" t="str">
            <v>ADET</v>
          </cell>
          <cell r="AH166">
            <v>66</v>
          </cell>
          <cell r="AI166" t="str">
            <v>CNY</v>
          </cell>
          <cell r="AL166">
            <v>1</v>
          </cell>
          <cell r="AN166" t="str">
            <v>8699089465134</v>
          </cell>
          <cell r="AO166">
            <v>0</v>
          </cell>
          <cell r="AQ166">
            <v>0</v>
          </cell>
          <cell r="AS166">
            <v>0</v>
          </cell>
          <cell r="AU166">
            <v>0</v>
          </cell>
          <cell r="AW166">
            <v>0</v>
          </cell>
        </row>
        <row r="167">
          <cell r="B167" t="str">
            <v>T1C2ERFJRS0-035</v>
          </cell>
          <cell r="C167" t="str">
            <v>SIRIUS TEKLİ FÜME CAM AVİZE</v>
          </cell>
          <cell r="D167" t="str">
            <v>SIRIUS SINGLE SMOKY GLASS CHANDELIER</v>
          </cell>
          <cell r="E167" t="str">
            <v>CAM METAL FÜME SİYAH</v>
          </cell>
          <cell r="F167" t="str">
            <v>9405.19.50.00.19</v>
          </cell>
          <cell r="G167" t="str">
            <v>AVİZE</v>
          </cell>
          <cell r="H167" t="str">
            <v>HX-2F</v>
          </cell>
          <cell r="I167" t="str">
            <v>İÇ</v>
          </cell>
          <cell r="J167" t="str">
            <v>AVİZE</v>
          </cell>
          <cell r="K167" t="str">
            <v>SIRIUS</v>
          </cell>
          <cell r="L167" t="str">
            <v/>
          </cell>
          <cell r="M167" t="str">
            <v/>
          </cell>
          <cell r="N167" t="str">
            <v>HX-2</v>
          </cell>
          <cell r="O167" t="str">
            <v>HEKA</v>
          </cell>
          <cell r="P167" t="str">
            <v>ADET</v>
          </cell>
          <cell r="Q167" t="str">
            <v>E27</v>
          </cell>
          <cell r="R167" t="str">
            <v>CAM</v>
          </cell>
          <cell r="S167" t="str">
            <v>FÜME</v>
          </cell>
          <cell r="T167" t="str">
            <v>METAL</v>
          </cell>
          <cell r="U167" t="str">
            <v>SİYAH</v>
          </cell>
          <cell r="AD167" t="str">
            <v>N/A</v>
          </cell>
          <cell r="AE167" t="str">
            <v>02</v>
          </cell>
          <cell r="AF167">
            <v>1</v>
          </cell>
          <cell r="AG167" t="str">
            <v>ADET</v>
          </cell>
          <cell r="AH167">
            <v>46</v>
          </cell>
          <cell r="AI167" t="str">
            <v>CNY</v>
          </cell>
          <cell r="AJ167">
            <v>2008</v>
          </cell>
          <cell r="AK167" t="str">
            <v>TL</v>
          </cell>
          <cell r="AL167">
            <v>1</v>
          </cell>
          <cell r="AM167" t="str">
            <v>8684127504621</v>
          </cell>
          <cell r="AO167">
            <v>0</v>
          </cell>
          <cell r="AQ167">
            <v>22</v>
          </cell>
          <cell r="AR167" t="str">
            <v>CM</v>
          </cell>
          <cell r="AS167">
            <v>35</v>
          </cell>
          <cell r="AT167" t="str">
            <v>CM</v>
          </cell>
          <cell r="AU167">
            <v>0</v>
          </cell>
          <cell r="AW167">
            <v>0</v>
          </cell>
        </row>
        <row r="168">
          <cell r="B168" t="str">
            <v>H1W3JMEECT0-061</v>
          </cell>
          <cell r="C168" t="str">
            <v>PONTUS DÖRT CAMLI ESKİTME APLİK</v>
          </cell>
          <cell r="D168" t="str">
            <v>PONTUS 4 GLASS BRUSHED BRASS WALL LAMP</v>
          </cell>
          <cell r="E168" t="str">
            <v>METAL CAM ESKİTME SOFT</v>
          </cell>
          <cell r="F168" t="str">
            <v>9405.19.90.00.00</v>
          </cell>
          <cell r="G168" t="str">
            <v>APLİK</v>
          </cell>
          <cell r="H168" t="str">
            <v>H1W3112100-04</v>
          </cell>
          <cell r="I168" t="str">
            <v>İÇ</v>
          </cell>
          <cell r="J168" t="str">
            <v>APLİK</v>
          </cell>
          <cell r="K168" t="str">
            <v>PONTUS</v>
          </cell>
          <cell r="L168" t="str">
            <v/>
          </cell>
          <cell r="M168" t="str">
            <v>ÜRTM:15GÜN</v>
          </cell>
          <cell r="N168" t="str">
            <v>HK20036</v>
          </cell>
          <cell r="O168" t="str">
            <v>HEKA</v>
          </cell>
          <cell r="P168" t="str">
            <v>ADET</v>
          </cell>
          <cell r="Q168" t="str">
            <v>G9</v>
          </cell>
          <cell r="R168" t="str">
            <v>METAL</v>
          </cell>
          <cell r="S168" t="str">
            <v>ESKİTME</v>
          </cell>
          <cell r="T168" t="str">
            <v>CAM</v>
          </cell>
          <cell r="U168" t="str">
            <v>SOFT</v>
          </cell>
          <cell r="AD168" t="str">
            <v>N/A</v>
          </cell>
          <cell r="AE168" t="str">
            <v>04</v>
          </cell>
          <cell r="AF168">
            <v>4</v>
          </cell>
          <cell r="AG168" t="str">
            <v>ADET</v>
          </cell>
          <cell r="AH168">
            <v>600</v>
          </cell>
          <cell r="AI168" t="str">
            <v>TL</v>
          </cell>
          <cell r="AJ168">
            <v>5610</v>
          </cell>
          <cell r="AK168" t="str">
            <v>TL</v>
          </cell>
          <cell r="AL168">
            <v>1</v>
          </cell>
          <cell r="AM168" t="str">
            <v>8684127505291</v>
          </cell>
          <cell r="AO168">
            <v>0</v>
          </cell>
          <cell r="AQ168">
            <v>60</v>
          </cell>
          <cell r="AR168" t="str">
            <v>CM</v>
          </cell>
          <cell r="AS168">
            <v>19</v>
          </cell>
          <cell r="AT168" t="str">
            <v>CM</v>
          </cell>
          <cell r="AU168">
            <v>0</v>
          </cell>
          <cell r="AW168">
            <v>0</v>
          </cell>
        </row>
        <row r="169">
          <cell r="B169" t="str">
            <v>H1W3JMEECT0-090</v>
          </cell>
          <cell r="C169" t="str">
            <v>PONTUS ALTI CAMLI ESKİTME APLİK</v>
          </cell>
          <cell r="D169" t="str">
            <v>PONTUS 6 GLASS BRUSHED BRASS WALL LAMP</v>
          </cell>
          <cell r="E169" t="str">
            <v>METAL CAM ESKİTME SOFT</v>
          </cell>
          <cell r="F169" t="str">
            <v>9405.19.90.00.00</v>
          </cell>
          <cell r="G169" t="str">
            <v>APLİK</v>
          </cell>
          <cell r="H169" t="str">
            <v>H1W3112100-06</v>
          </cell>
          <cell r="I169" t="str">
            <v>İÇ</v>
          </cell>
          <cell r="J169" t="str">
            <v>APLİK</v>
          </cell>
          <cell r="K169" t="str">
            <v>PONTUS</v>
          </cell>
          <cell r="L169" t="str">
            <v/>
          </cell>
          <cell r="M169" t="str">
            <v>ÜRTM:15GÜN</v>
          </cell>
          <cell r="N169" t="str">
            <v>HK20037</v>
          </cell>
          <cell r="O169" t="str">
            <v>HEKA</v>
          </cell>
          <cell r="P169" t="str">
            <v>ADET</v>
          </cell>
          <cell r="Q169" t="str">
            <v>G9</v>
          </cell>
          <cell r="R169" t="str">
            <v>METAL</v>
          </cell>
          <cell r="S169" t="str">
            <v>ESKİTME</v>
          </cell>
          <cell r="T169" t="str">
            <v>CAM</v>
          </cell>
          <cell r="U169" t="str">
            <v>SOFT</v>
          </cell>
          <cell r="AD169" t="str">
            <v>N/A</v>
          </cell>
          <cell r="AE169" t="str">
            <v>06</v>
          </cell>
          <cell r="AF169">
            <v>1</v>
          </cell>
          <cell r="AG169" t="str">
            <v>ADET</v>
          </cell>
          <cell r="AH169">
            <v>800</v>
          </cell>
          <cell r="AI169" t="str">
            <v>TL</v>
          </cell>
          <cell r="AJ169">
            <v>9180</v>
          </cell>
          <cell r="AK169" t="str">
            <v>TL</v>
          </cell>
          <cell r="AL169">
            <v>1</v>
          </cell>
          <cell r="AM169" t="str">
            <v>8684127509190</v>
          </cell>
          <cell r="AO169">
            <v>0</v>
          </cell>
          <cell r="AQ169">
            <v>90</v>
          </cell>
          <cell r="AR169" t="str">
            <v>CM</v>
          </cell>
          <cell r="AS169">
            <v>19</v>
          </cell>
          <cell r="AT169" t="str">
            <v>CM</v>
          </cell>
          <cell r="AU169">
            <v>0</v>
          </cell>
          <cell r="AW169">
            <v>0</v>
          </cell>
        </row>
        <row r="170">
          <cell r="B170" t="str">
            <v>H1W3JME0000-027</v>
          </cell>
          <cell r="C170" t="str">
            <v>GENT UFO ESKİTME APLİK 27cm</v>
          </cell>
          <cell r="D170" t="str">
            <v>GENT BRUSHED BRASS UFO WALL LAMP 27cm</v>
          </cell>
          <cell r="E170" t="str">
            <v>METAL YOK ESKİTME YOK</v>
          </cell>
          <cell r="F170" t="str">
            <v>9405.19.90.00.00</v>
          </cell>
          <cell r="G170" t="str">
            <v>APLİK</v>
          </cell>
          <cell r="H170" t="str">
            <v>H1W3110000-27</v>
          </cell>
          <cell r="I170" t="str">
            <v>İÇ</v>
          </cell>
          <cell r="J170" t="str">
            <v>APLİK</v>
          </cell>
          <cell r="K170" t="str">
            <v>GENT</v>
          </cell>
          <cell r="L170" t="str">
            <v/>
          </cell>
          <cell r="M170" t="str">
            <v/>
          </cell>
          <cell r="N170" t="str">
            <v/>
          </cell>
          <cell r="O170" t="str">
            <v>HEKA</v>
          </cell>
          <cell r="P170" t="str">
            <v>ADET</v>
          </cell>
          <cell r="Q170" t="str">
            <v>G9</v>
          </cell>
          <cell r="R170" t="str">
            <v>METAL</v>
          </cell>
          <cell r="S170" t="str">
            <v>ESKİTME</v>
          </cell>
          <cell r="T170" t="str">
            <v>YOK</v>
          </cell>
          <cell r="U170" t="str">
            <v>YOK</v>
          </cell>
          <cell r="AD170" t="str">
            <v>N/A</v>
          </cell>
          <cell r="AE170" t="str">
            <v>04</v>
          </cell>
          <cell r="AF170">
            <v>0</v>
          </cell>
          <cell r="AG170" t="str">
            <v>ADET</v>
          </cell>
          <cell r="AH170">
            <v>500</v>
          </cell>
          <cell r="AI170" t="str">
            <v>TL</v>
          </cell>
          <cell r="AJ170">
            <v>1100</v>
          </cell>
          <cell r="AK170" t="str">
            <v>TL</v>
          </cell>
          <cell r="AL170">
            <v>1</v>
          </cell>
          <cell r="AM170" t="str">
            <v>8684127506564</v>
          </cell>
          <cell r="AO170">
            <v>0</v>
          </cell>
          <cell r="AQ170">
            <v>7</v>
          </cell>
          <cell r="AR170" t="str">
            <v>CM</v>
          </cell>
          <cell r="AS170">
            <v>27</v>
          </cell>
          <cell r="AT170" t="str">
            <v>CM</v>
          </cell>
          <cell r="AU170">
            <v>0</v>
          </cell>
          <cell r="AW170">
            <v>0</v>
          </cell>
        </row>
        <row r="171">
          <cell r="B171" t="str">
            <v>H1C6WRBJMER-020</v>
          </cell>
          <cell r="C171" t="str">
            <v>ASPENDOS TEKLİ MERMER ESKİTME SARKIT 20cm</v>
          </cell>
          <cell r="D171" t="str">
            <v>ASPENDOS SINGLE MARBLE BRUSHED BRASS PENDANT 20cm</v>
          </cell>
          <cell r="E171" t="str">
            <v xml:space="preserve">MERMER METAL BEYAZ ESKİTME   </v>
          </cell>
          <cell r="F171" t="str">
            <v>9405.11.90.00.00</v>
          </cell>
          <cell r="G171" t="str">
            <v>AVİZE</v>
          </cell>
          <cell r="H171" t="str">
            <v>H1A6314300-20</v>
          </cell>
          <cell r="I171" t="str">
            <v>İÇ</v>
          </cell>
          <cell r="J171" t="str">
            <v>AVİZE.SARK</v>
          </cell>
          <cell r="K171" t="str">
            <v>ASPENDOS</v>
          </cell>
          <cell r="L171" t="str">
            <v/>
          </cell>
          <cell r="M171" t="str">
            <v>05.05.2026</v>
          </cell>
          <cell r="N171" t="str">
            <v>HKA-24093</v>
          </cell>
          <cell r="O171" t="str">
            <v>HEKA</v>
          </cell>
          <cell r="P171" t="str">
            <v>ADET</v>
          </cell>
          <cell r="Q171" t="str">
            <v>LED</v>
          </cell>
          <cell r="R171" t="str">
            <v>MERMER</v>
          </cell>
          <cell r="S171" t="str">
            <v>BEYAZ</v>
          </cell>
          <cell r="T171" t="str">
            <v>METAL</v>
          </cell>
          <cell r="U171" t="str">
            <v>ESKİTME</v>
          </cell>
          <cell r="AD171" t="str">
            <v>DAİRE</v>
          </cell>
          <cell r="AF171">
            <v>61</v>
          </cell>
          <cell r="AG171" t="str">
            <v>ADET</v>
          </cell>
          <cell r="AH171">
            <v>105</v>
          </cell>
          <cell r="AI171" t="str">
            <v>CNY</v>
          </cell>
          <cell r="AJ171">
            <v>8620</v>
          </cell>
          <cell r="AK171" t="str">
            <v>TL</v>
          </cell>
          <cell r="AL171">
            <v>1</v>
          </cell>
          <cell r="AM171" t="str">
            <v>8684127506397</v>
          </cell>
          <cell r="AO171">
            <v>0</v>
          </cell>
          <cell r="AQ171">
            <v>150</v>
          </cell>
          <cell r="AR171" t="str">
            <v>CM</v>
          </cell>
          <cell r="AS171">
            <v>20</v>
          </cell>
          <cell r="AT171" t="str">
            <v>CM</v>
          </cell>
          <cell r="AU171">
            <v>0</v>
          </cell>
          <cell r="AW171">
            <v>0</v>
          </cell>
        </row>
        <row r="172">
          <cell r="B172" t="str">
            <v>T1C6JMELTB0-060</v>
          </cell>
          <cell r="C172" t="str">
            <v>ŞABRAN PLEKSİ BONCUK SARKIT 60cm</v>
          </cell>
          <cell r="D172" t="str">
            <v>ŞABRAN PLEKSI BEAD PENDANT 60cm</v>
          </cell>
          <cell r="E172" t="str">
            <v>METAL PLEKSİ ESKİTME BONCUK</v>
          </cell>
          <cell r="F172" t="str">
            <v/>
          </cell>
          <cell r="G172" t="str">
            <v>AVİZE</v>
          </cell>
          <cell r="H172" t="str">
            <v>T1A6118500-60</v>
          </cell>
          <cell r="I172" t="str">
            <v>İÇ</v>
          </cell>
          <cell r="J172" t="str">
            <v>AVİZE.SARK</v>
          </cell>
          <cell r="K172" t="str">
            <v>ŞABRAN</v>
          </cell>
          <cell r="L172" t="str">
            <v/>
          </cell>
          <cell r="M172" t="str">
            <v/>
          </cell>
          <cell r="N172" t="str">
            <v>9913/600</v>
          </cell>
          <cell r="O172" t="str">
            <v>HEKA</v>
          </cell>
          <cell r="P172" t="str">
            <v>ADET</v>
          </cell>
          <cell r="Q172" t="str">
            <v>LED</v>
          </cell>
          <cell r="R172" t="str">
            <v>METAL</v>
          </cell>
          <cell r="S172" t="str">
            <v>ESKİTME</v>
          </cell>
          <cell r="T172" t="str">
            <v>PLEKSİ</v>
          </cell>
          <cell r="U172" t="str">
            <v>BONCUK</v>
          </cell>
          <cell r="AF172">
            <v>3</v>
          </cell>
          <cell r="AG172" t="str">
            <v>ADET</v>
          </cell>
          <cell r="AH172">
            <v>520</v>
          </cell>
          <cell r="AI172" t="str">
            <v>CNY</v>
          </cell>
          <cell r="AJ172">
            <v>4284</v>
          </cell>
          <cell r="AK172" t="str">
            <v>TL</v>
          </cell>
          <cell r="AL172">
            <v>1</v>
          </cell>
          <cell r="AM172" t="str">
            <v>8684127504812</v>
          </cell>
          <cell r="AO172">
            <v>0</v>
          </cell>
          <cell r="AQ172">
            <v>0</v>
          </cell>
          <cell r="AR172" t="str">
            <v>CM</v>
          </cell>
          <cell r="AS172">
            <v>0</v>
          </cell>
          <cell r="AT172" t="str">
            <v>CM</v>
          </cell>
          <cell r="AU172">
            <v>0</v>
          </cell>
          <cell r="AW172">
            <v>0</v>
          </cell>
        </row>
        <row r="173">
          <cell r="B173" t="str">
            <v>H1W5WRSJME0-027</v>
          </cell>
          <cell r="C173" t="str">
            <v>ERCİYES SİYAH MERMER APLİK</v>
          </cell>
          <cell r="D173" t="str">
            <v>ERCİYES BLACK MARBLE WALL LAMP</v>
          </cell>
          <cell r="E173" t="str">
            <v>MERMER METAL SİYAH ESKİTME</v>
          </cell>
          <cell r="F173" t="str">
            <v>9405.19.90.00.00</v>
          </cell>
          <cell r="G173" t="str">
            <v>APLİK</v>
          </cell>
          <cell r="H173" t="str">
            <v>T1W3211006-01</v>
          </cell>
          <cell r="I173" t="str">
            <v>İÇ</v>
          </cell>
          <cell r="J173" t="str">
            <v>APLİK</v>
          </cell>
          <cell r="K173" t="str">
            <v>ERCİYES</v>
          </cell>
          <cell r="L173" t="str">
            <v>Ç</v>
          </cell>
          <cell r="M173" t="str">
            <v/>
          </cell>
          <cell r="N173" t="str">
            <v>HKA-24103</v>
          </cell>
          <cell r="O173" t="str">
            <v>HEKA</v>
          </cell>
          <cell r="P173" t="str">
            <v>ADET</v>
          </cell>
          <cell r="Q173" t="str">
            <v>LED</v>
          </cell>
          <cell r="R173" t="str">
            <v>POLİÜRETAN</v>
          </cell>
          <cell r="S173" t="str">
            <v>SİYAH</v>
          </cell>
          <cell r="T173" t="str">
            <v>METAL</v>
          </cell>
          <cell r="U173" t="str">
            <v>ESKİTME</v>
          </cell>
          <cell r="AD173" t="str">
            <v>N/A</v>
          </cell>
          <cell r="AF173">
            <v>69</v>
          </cell>
          <cell r="AG173" t="str">
            <v>ADET</v>
          </cell>
          <cell r="AH173">
            <v>85</v>
          </cell>
          <cell r="AI173" t="str">
            <v>CNY</v>
          </cell>
          <cell r="AJ173">
            <v>8950</v>
          </cell>
          <cell r="AK173" t="str">
            <v>TL</v>
          </cell>
          <cell r="AL173">
            <v>1</v>
          </cell>
          <cell r="AM173" t="str">
            <v>8684127501972</v>
          </cell>
          <cell r="AO173">
            <v>0</v>
          </cell>
          <cell r="AQ173">
            <v>40</v>
          </cell>
          <cell r="AR173" t="str">
            <v>CM</v>
          </cell>
          <cell r="AS173">
            <v>10</v>
          </cell>
          <cell r="AT173" t="str">
            <v>CM</v>
          </cell>
          <cell r="AU173">
            <v>0</v>
          </cell>
          <cell r="AW173">
            <v>0</v>
          </cell>
        </row>
        <row r="174">
          <cell r="B174" t="str">
            <v>H1W1112400-01</v>
          </cell>
          <cell r="C174" t="str">
            <v xml:space="preserve">CASTRO KARE MODEL APLİK ESKİTME RENK </v>
          </cell>
          <cell r="D174" t="str">
            <v/>
          </cell>
          <cell r="E174" t="str">
            <v/>
          </cell>
          <cell r="F174" t="str">
            <v/>
          </cell>
          <cell r="G174" t="str">
            <v>SARKIT</v>
          </cell>
          <cell r="H174" t="str">
            <v>H1W1112400-01</v>
          </cell>
          <cell r="I174" t="str">
            <v>SARKIT</v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P174" t="str">
            <v>ADET</v>
          </cell>
          <cell r="AF174">
            <v>1</v>
          </cell>
          <cell r="AG174" t="str">
            <v>ADET</v>
          </cell>
          <cell r="AL174">
            <v>0</v>
          </cell>
          <cell r="AM174" t="str">
            <v>1234567146195</v>
          </cell>
          <cell r="AO174">
            <v>0</v>
          </cell>
          <cell r="AQ174">
            <v>0</v>
          </cell>
          <cell r="AS174">
            <v>0</v>
          </cell>
          <cell r="AU174">
            <v>0</v>
          </cell>
          <cell r="AW174">
            <v>0</v>
          </cell>
        </row>
        <row r="175">
          <cell r="B175" t="str">
            <v>T1C3JMEECT0-114</v>
          </cell>
          <cell r="C175" t="str">
            <v>KAUNOS 7 ESKİTME TOPLU SARKIT 12cm</v>
          </cell>
          <cell r="D175" t="str">
            <v>KAUNOS 7 BRUSHED BRASS BALL PENDANT 12cm</v>
          </cell>
          <cell r="E175" t="str">
            <v>METAL CAM ESKİTME SOFT</v>
          </cell>
          <cell r="F175" t="str">
            <v>9405.19.90.00.00</v>
          </cell>
          <cell r="G175" t="str">
            <v>AVİZE</v>
          </cell>
          <cell r="H175" t="str">
            <v>T1A3112100-07</v>
          </cell>
          <cell r="I175" t="str">
            <v>İÇ</v>
          </cell>
          <cell r="J175" t="str">
            <v>AVİZE.SARK</v>
          </cell>
          <cell r="K175" t="str">
            <v>KAUNOS</v>
          </cell>
          <cell r="L175" t="str">
            <v/>
          </cell>
          <cell r="M175" t="str">
            <v/>
          </cell>
          <cell r="N175" t="str">
            <v/>
          </cell>
          <cell r="O175" t="str">
            <v>HEKA</v>
          </cell>
          <cell r="P175" t="str">
            <v>ADET</v>
          </cell>
          <cell r="Q175" t="str">
            <v>G9</v>
          </cell>
          <cell r="R175" t="str">
            <v>METAL</v>
          </cell>
          <cell r="S175" t="str">
            <v>ESKİTME</v>
          </cell>
          <cell r="T175" t="str">
            <v>CAM</v>
          </cell>
          <cell r="U175" t="str">
            <v>SOFT</v>
          </cell>
          <cell r="AD175" t="str">
            <v>N/A</v>
          </cell>
          <cell r="AE175" t="str">
            <v>02</v>
          </cell>
          <cell r="AF175">
            <v>0</v>
          </cell>
          <cell r="AG175" t="str">
            <v>ADET</v>
          </cell>
          <cell r="AH175">
            <v>67.45</v>
          </cell>
          <cell r="AI175" t="str">
            <v>CNY</v>
          </cell>
          <cell r="AJ175">
            <v>975</v>
          </cell>
          <cell r="AK175" t="str">
            <v>TL</v>
          </cell>
          <cell r="AL175">
            <v>1</v>
          </cell>
          <cell r="AM175" t="str">
            <v>8684127509602</v>
          </cell>
          <cell r="AO175">
            <v>0</v>
          </cell>
          <cell r="AQ175">
            <v>0</v>
          </cell>
          <cell r="AR175" t="str">
            <v>CM</v>
          </cell>
          <cell r="AS175">
            <v>114</v>
          </cell>
          <cell r="AT175" t="str">
            <v>CM</v>
          </cell>
          <cell r="AU175">
            <v>0</v>
          </cell>
          <cell r="AW175">
            <v>0</v>
          </cell>
        </row>
        <row r="176">
          <cell r="B176" t="str">
            <v>T1W4ERAJRS0-018</v>
          </cell>
          <cell r="C176" t="str">
            <v>DENEB UFO CAM SARI APLİK</v>
          </cell>
          <cell r="D176" t="str">
            <v>DENEB UFO GLASS YELLOW WALL LAMP</v>
          </cell>
          <cell r="E176" t="str">
            <v>CAM METAL SARI SİYAH</v>
          </cell>
          <cell r="F176" t="str">
            <v>9405.19.50.00.19</v>
          </cell>
          <cell r="G176" t="str">
            <v>APLİK</v>
          </cell>
          <cell r="H176" t="str">
            <v>T1W2614004-01</v>
          </cell>
          <cell r="I176" t="str">
            <v>İÇ</v>
          </cell>
          <cell r="J176" t="str">
            <v>APLİK</v>
          </cell>
          <cell r="K176" t="str">
            <v>DENEB</v>
          </cell>
          <cell r="L176" t="str">
            <v/>
          </cell>
          <cell r="M176" t="str">
            <v/>
          </cell>
          <cell r="N176" t="str">
            <v>MJ-030C</v>
          </cell>
          <cell r="O176" t="str">
            <v>TOPLAMA</v>
          </cell>
          <cell r="P176" t="str">
            <v>ADET</v>
          </cell>
          <cell r="Q176" t="str">
            <v>G4</v>
          </cell>
          <cell r="R176" t="str">
            <v>CAM</v>
          </cell>
          <cell r="S176" t="str">
            <v>SARI</v>
          </cell>
          <cell r="T176" t="str">
            <v>METAL</v>
          </cell>
          <cell r="U176" t="str">
            <v>SİYAH</v>
          </cell>
          <cell r="AD176" t="str">
            <v>N/A</v>
          </cell>
          <cell r="AE176" t="str">
            <v>02</v>
          </cell>
          <cell r="AF176">
            <v>0</v>
          </cell>
          <cell r="AG176" t="str">
            <v>ADET</v>
          </cell>
          <cell r="AH176">
            <v>27</v>
          </cell>
          <cell r="AI176" t="str">
            <v>CNY</v>
          </cell>
          <cell r="AJ176">
            <v>595</v>
          </cell>
          <cell r="AK176" t="str">
            <v>TL</v>
          </cell>
          <cell r="AL176">
            <v>1</v>
          </cell>
          <cell r="AM176" t="str">
            <v>8684127504706</v>
          </cell>
          <cell r="AO176">
            <v>0</v>
          </cell>
          <cell r="AQ176">
            <v>0</v>
          </cell>
          <cell r="AR176" t="str">
            <v>CM</v>
          </cell>
          <cell r="AS176">
            <v>18</v>
          </cell>
          <cell r="AT176" t="str">
            <v>CM</v>
          </cell>
          <cell r="AU176">
            <v>0</v>
          </cell>
          <cell r="AW176">
            <v>0</v>
          </cell>
        </row>
        <row r="177">
          <cell r="B177" t="str">
            <v>H1T4JMEECS0-058</v>
          </cell>
          <cell r="C177" t="str">
            <v>BALL ŞEFFAF CAMLI ESKİTME MASA LAMBASI</v>
          </cell>
          <cell r="D177" t="str">
            <v>BALL CLEAR GLASS BRUSHED BRASS TABLE LAMP</v>
          </cell>
          <cell r="E177" t="str">
            <v>METAL CAM ESKİTME ŞEFFAF</v>
          </cell>
          <cell r="F177" t="str">
            <v>9405.19.90.00.00</v>
          </cell>
          <cell r="G177" t="str">
            <v>MASA LAMBASI</v>
          </cell>
          <cell r="H177" t="str">
            <v>H1M4112400-02</v>
          </cell>
          <cell r="I177" t="str">
            <v>İÇ</v>
          </cell>
          <cell r="J177" t="str">
            <v>MASAABAJ</v>
          </cell>
          <cell r="K177" t="str">
            <v>BALL</v>
          </cell>
          <cell r="L177" t="str">
            <v/>
          </cell>
          <cell r="M177" t="str">
            <v/>
          </cell>
          <cell r="N177" t="str">
            <v/>
          </cell>
          <cell r="O177" t="str">
            <v>HEKA</v>
          </cell>
          <cell r="P177" t="str">
            <v>ADET</v>
          </cell>
          <cell r="Q177" t="str">
            <v>G4</v>
          </cell>
          <cell r="R177" t="str">
            <v>METAL</v>
          </cell>
          <cell r="S177" t="str">
            <v>ESKİTME</v>
          </cell>
          <cell r="T177" t="str">
            <v>CAM</v>
          </cell>
          <cell r="U177" t="str">
            <v>ŞEFFAF</v>
          </cell>
          <cell r="AD177" t="str">
            <v>N/A</v>
          </cell>
          <cell r="AE177" t="str">
            <v>02</v>
          </cell>
          <cell r="AF177">
            <v>0</v>
          </cell>
          <cell r="AG177" t="str">
            <v>ADET</v>
          </cell>
          <cell r="AH177">
            <v>600</v>
          </cell>
          <cell r="AI177" t="str">
            <v>TL</v>
          </cell>
          <cell r="AJ177">
            <v>1670</v>
          </cell>
          <cell r="AK177" t="str">
            <v>TL</v>
          </cell>
          <cell r="AL177">
            <v>1</v>
          </cell>
          <cell r="AM177" t="str">
            <v>8684127509626</v>
          </cell>
          <cell r="AO177">
            <v>0</v>
          </cell>
          <cell r="AQ177">
            <v>20</v>
          </cell>
          <cell r="AR177" t="str">
            <v>CM</v>
          </cell>
          <cell r="AS177">
            <v>58</v>
          </cell>
          <cell r="AT177" t="str">
            <v>CM</v>
          </cell>
          <cell r="AU177">
            <v>0</v>
          </cell>
          <cell r="AW177">
            <v>0</v>
          </cell>
        </row>
        <row r="178">
          <cell r="B178" t="str">
            <v>T1C2ERBJRS0-027</v>
          </cell>
          <cell r="C178" t="str">
            <v>ALCOR TEKLİ BEYAZ CAM AVİZE</v>
          </cell>
          <cell r="D178" t="str">
            <v>ALCOR SINGLE WHITE GLASS CHANDELIER</v>
          </cell>
          <cell r="E178" t="str">
            <v>CAM METAL BEYAZ SİYAH</v>
          </cell>
          <cell r="F178" t="str">
            <v>9405.19.50.00.19</v>
          </cell>
          <cell r="G178" t="str">
            <v>AVİZE</v>
          </cell>
          <cell r="H178" t="str">
            <v>T1A2414002-01</v>
          </cell>
          <cell r="I178" t="str">
            <v>İÇ</v>
          </cell>
          <cell r="J178" t="str">
            <v>AVİZE.SARK</v>
          </cell>
          <cell r="K178" t="str">
            <v>ALCOR</v>
          </cell>
          <cell r="L178" t="str">
            <v/>
          </cell>
          <cell r="M178" t="str">
            <v/>
          </cell>
          <cell r="N178" t="str">
            <v>MH-07</v>
          </cell>
          <cell r="O178" t="str">
            <v>TOPLAMA</v>
          </cell>
          <cell r="P178" t="str">
            <v>ADET</v>
          </cell>
          <cell r="Q178" t="str">
            <v>E27</v>
          </cell>
          <cell r="R178" t="str">
            <v>CAM</v>
          </cell>
          <cell r="S178" t="str">
            <v>BEYAZ</v>
          </cell>
          <cell r="T178" t="str">
            <v>METAL</v>
          </cell>
          <cell r="U178" t="str">
            <v>SİYAH</v>
          </cell>
          <cell r="AD178" t="str">
            <v>N/A</v>
          </cell>
          <cell r="AE178" t="str">
            <v>02</v>
          </cell>
          <cell r="AF178">
            <v>6</v>
          </cell>
          <cell r="AG178" t="str">
            <v>ADET</v>
          </cell>
          <cell r="AH178">
            <v>57</v>
          </cell>
          <cell r="AI178" t="str">
            <v>CNY</v>
          </cell>
          <cell r="AJ178">
            <v>795</v>
          </cell>
          <cell r="AK178" t="str">
            <v>TL</v>
          </cell>
          <cell r="AL178">
            <v>1</v>
          </cell>
          <cell r="AM178" t="str">
            <v>8684127504751</v>
          </cell>
          <cell r="AO178">
            <v>0</v>
          </cell>
          <cell r="AQ178">
            <v>0</v>
          </cell>
          <cell r="AR178" t="str">
            <v>CM</v>
          </cell>
          <cell r="AS178">
            <v>27</v>
          </cell>
          <cell r="AT178" t="str">
            <v>CM</v>
          </cell>
          <cell r="AU178">
            <v>0</v>
          </cell>
          <cell r="AW178">
            <v>0</v>
          </cell>
        </row>
        <row r="179">
          <cell r="B179" t="str">
            <v>H1C2JMEECT0-020</v>
          </cell>
          <cell r="C179" t="str">
            <v>BERDE PİRİNÇ ESKİTME SARKIT 20cm</v>
          </cell>
          <cell r="D179" t="str">
            <v>BERDE BRUSHED BRASS PENDANT 20cm</v>
          </cell>
          <cell r="E179" t="str">
            <v>METAL CAM ESKİTME SOFT</v>
          </cell>
          <cell r="F179" t="str">
            <v>9405.19.90.00.00</v>
          </cell>
          <cell r="G179" t="str">
            <v>AVİZE</v>
          </cell>
          <cell r="H179" t="str">
            <v>H1A2112100-20</v>
          </cell>
          <cell r="I179" t="str">
            <v>İÇ</v>
          </cell>
          <cell r="J179" t="str">
            <v>AVİZE.SARK</v>
          </cell>
          <cell r="K179" t="str">
            <v>BERDE</v>
          </cell>
          <cell r="L179" t="str">
            <v/>
          </cell>
          <cell r="M179" t="str">
            <v/>
          </cell>
          <cell r="N179" t="str">
            <v/>
          </cell>
          <cell r="O179" t="str">
            <v>HEKA</v>
          </cell>
          <cell r="P179" t="str">
            <v>ADET</v>
          </cell>
          <cell r="Q179" t="str">
            <v>E27</v>
          </cell>
          <cell r="R179" t="str">
            <v>METAL</v>
          </cell>
          <cell r="S179" t="str">
            <v>ESKİTME</v>
          </cell>
          <cell r="T179" t="str">
            <v>CAM</v>
          </cell>
          <cell r="U179" t="str">
            <v>SOFT</v>
          </cell>
          <cell r="AD179" t="str">
            <v>N/A</v>
          </cell>
          <cell r="AE179" t="str">
            <v>02</v>
          </cell>
          <cell r="AF179">
            <v>0</v>
          </cell>
          <cell r="AG179" t="str">
            <v>ADET</v>
          </cell>
          <cell r="AH179">
            <v>300</v>
          </cell>
          <cell r="AI179" t="str">
            <v>TL</v>
          </cell>
          <cell r="AJ179">
            <v>3047</v>
          </cell>
          <cell r="AK179" t="str">
            <v>TL</v>
          </cell>
          <cell r="AL179">
            <v>1</v>
          </cell>
          <cell r="AM179" t="str">
            <v>8684127505406</v>
          </cell>
          <cell r="AO179">
            <v>0</v>
          </cell>
          <cell r="AQ179">
            <v>35</v>
          </cell>
          <cell r="AR179" t="str">
            <v>CM</v>
          </cell>
          <cell r="AS179">
            <v>20</v>
          </cell>
          <cell r="AT179" t="str">
            <v>CM</v>
          </cell>
          <cell r="AU179">
            <v>0</v>
          </cell>
          <cell r="AW179">
            <v>0</v>
          </cell>
        </row>
        <row r="180">
          <cell r="B180" t="str">
            <v>T1C6JMELRBR-055</v>
          </cell>
          <cell r="C180" t="str">
            <v>CULFA ESKİTME YATAY  LED SARKIT 55cm</v>
          </cell>
          <cell r="D180" t="str">
            <v>CULFA BRUSHED BRASS HORIZONTAL LED PENDANT 55cm</v>
          </cell>
          <cell r="E180" t="str">
            <v>METAL PLEKSİ ESKİTME BEYAZ</v>
          </cell>
          <cell r="F180" t="str">
            <v/>
          </cell>
          <cell r="G180" t="str">
            <v>AVİZE</v>
          </cell>
          <cell r="H180" t="str">
            <v>T1A6118100-55</v>
          </cell>
          <cell r="I180" t="str">
            <v>İÇ</v>
          </cell>
          <cell r="J180" t="str">
            <v>AVİZE.SARK</v>
          </cell>
          <cell r="K180" t="str">
            <v>CULFA</v>
          </cell>
          <cell r="L180" t="str">
            <v/>
          </cell>
          <cell r="M180" t="str">
            <v/>
          </cell>
          <cell r="N180" t="str">
            <v>18001/D550A</v>
          </cell>
          <cell r="O180" t="str">
            <v>HEKA</v>
          </cell>
          <cell r="P180" t="str">
            <v>ADET</v>
          </cell>
          <cell r="Q180" t="str">
            <v>LED</v>
          </cell>
          <cell r="R180" t="str">
            <v>METAL</v>
          </cell>
          <cell r="S180" t="str">
            <v>ESKİTME</v>
          </cell>
          <cell r="T180" t="str">
            <v>PLEKSİ</v>
          </cell>
          <cell r="U180" t="str">
            <v>BEYAZ</v>
          </cell>
          <cell r="AD180" t="str">
            <v>DAİRE</v>
          </cell>
          <cell r="AF180">
            <v>4</v>
          </cell>
          <cell r="AG180" t="str">
            <v>ADET</v>
          </cell>
          <cell r="AH180">
            <v>335</v>
          </cell>
          <cell r="AI180" t="str">
            <v>CNY</v>
          </cell>
          <cell r="AJ180">
            <v>6069</v>
          </cell>
          <cell r="AK180" t="str">
            <v>TL</v>
          </cell>
          <cell r="AL180">
            <v>1</v>
          </cell>
          <cell r="AM180" t="str">
            <v>8684127505123</v>
          </cell>
          <cell r="AO180">
            <v>0</v>
          </cell>
          <cell r="AQ180">
            <v>0</v>
          </cell>
          <cell r="AR180" t="str">
            <v>CM</v>
          </cell>
          <cell r="AS180">
            <v>0</v>
          </cell>
          <cell r="AT180" t="str">
            <v>CM</v>
          </cell>
          <cell r="AU180">
            <v>0</v>
          </cell>
          <cell r="AW180">
            <v>0</v>
          </cell>
        </row>
        <row r="181">
          <cell r="B181" t="str">
            <v>H1W2JMG0000-047</v>
          </cell>
          <cell r="C181" t="str">
            <v>BRUBECK ALTIN APLİK</v>
          </cell>
          <cell r="D181" t="str">
            <v>BRUBECK GOLD WALL LAMP</v>
          </cell>
          <cell r="E181" t="str">
            <v>METAL YOK GOLD YOK</v>
          </cell>
          <cell r="F181" t="str">
            <v>9405.19.90.00.00</v>
          </cell>
          <cell r="G181" t="str">
            <v>APLİK</v>
          </cell>
          <cell r="H181" t="str">
            <v>H1W2120000-47</v>
          </cell>
          <cell r="I181" t="str">
            <v>İÇ</v>
          </cell>
          <cell r="J181" t="str">
            <v>APLİK</v>
          </cell>
          <cell r="K181" t="str">
            <v>BRUBECK</v>
          </cell>
          <cell r="L181" t="str">
            <v/>
          </cell>
          <cell r="M181" t="str">
            <v>ÜRTM:15GÜN</v>
          </cell>
          <cell r="N181" t="str">
            <v>HK20064</v>
          </cell>
          <cell r="O181" t="str">
            <v>HEKA</v>
          </cell>
          <cell r="P181" t="str">
            <v>ADET</v>
          </cell>
          <cell r="Q181" t="str">
            <v>E27</v>
          </cell>
          <cell r="R181" t="str">
            <v>METAL</v>
          </cell>
          <cell r="S181" t="str">
            <v>GOLD</v>
          </cell>
          <cell r="T181" t="str">
            <v>YOK</v>
          </cell>
          <cell r="U181" t="str">
            <v>YOK</v>
          </cell>
          <cell r="AD181" t="str">
            <v>N/A</v>
          </cell>
          <cell r="AE181" t="str">
            <v>03</v>
          </cell>
          <cell r="AF181">
            <v>0</v>
          </cell>
          <cell r="AG181" t="str">
            <v>ADET</v>
          </cell>
          <cell r="AH181">
            <v>300</v>
          </cell>
          <cell r="AI181" t="str">
            <v>TL</v>
          </cell>
          <cell r="AJ181">
            <v>2100</v>
          </cell>
          <cell r="AK181" t="str">
            <v>TL</v>
          </cell>
          <cell r="AL181">
            <v>1</v>
          </cell>
          <cell r="AM181" t="str">
            <v>8684127509213</v>
          </cell>
          <cell r="AO181">
            <v>0</v>
          </cell>
          <cell r="AQ181">
            <v>0</v>
          </cell>
          <cell r="AR181" t="str">
            <v>CM</v>
          </cell>
          <cell r="AS181">
            <v>0</v>
          </cell>
          <cell r="AT181" t="str">
            <v>CM</v>
          </cell>
          <cell r="AU181">
            <v>0</v>
          </cell>
          <cell r="AW181">
            <v>0</v>
          </cell>
        </row>
        <row r="182">
          <cell r="B182" t="str">
            <v>T1L2143271-01</v>
          </cell>
          <cell r="C182" t="str">
            <v xml:space="preserve">*F8039* LAMBADER </v>
          </cell>
          <cell r="D182" t="str">
            <v/>
          </cell>
          <cell r="E182" t="str">
            <v/>
          </cell>
          <cell r="F182" t="str">
            <v/>
          </cell>
          <cell r="G182" t="str">
            <v>LAMBADER</v>
          </cell>
          <cell r="H182" t="str">
            <v>T1L2143271-01</v>
          </cell>
          <cell r="I182" t="str">
            <v>İÇ</v>
          </cell>
          <cell r="J182" t="str">
            <v>LAMBADER</v>
          </cell>
          <cell r="K182" t="str">
            <v/>
          </cell>
          <cell r="L182" t="str">
            <v/>
          </cell>
          <cell r="M182" t="str">
            <v/>
          </cell>
          <cell r="N182" t="str">
            <v/>
          </cell>
          <cell r="O182" t="str">
            <v>HEKA</v>
          </cell>
          <cell r="P182" t="str">
            <v>ADET</v>
          </cell>
          <cell r="AF182">
            <v>0</v>
          </cell>
          <cell r="AG182" t="str">
            <v>ADET</v>
          </cell>
          <cell r="AH182">
            <v>340</v>
          </cell>
          <cell r="AI182" t="str">
            <v>TL</v>
          </cell>
          <cell r="AJ182">
            <v>1595</v>
          </cell>
          <cell r="AK182" t="str">
            <v>TL</v>
          </cell>
          <cell r="AL182">
            <v>1</v>
          </cell>
          <cell r="AM182" t="str">
            <v>1234567146058</v>
          </cell>
          <cell r="AO182">
            <v>0</v>
          </cell>
          <cell r="AQ182">
            <v>0</v>
          </cell>
          <cell r="AS182">
            <v>0</v>
          </cell>
          <cell r="AU182">
            <v>0</v>
          </cell>
          <cell r="AW182">
            <v>0</v>
          </cell>
        </row>
        <row r="183">
          <cell r="B183" t="str">
            <v>T1L2141100-02</v>
          </cell>
          <cell r="C183" t="str">
            <v xml:space="preserve">*F264* LAMBADER </v>
          </cell>
          <cell r="D183" t="str">
            <v/>
          </cell>
          <cell r="E183" t="str">
            <v/>
          </cell>
          <cell r="F183" t="str">
            <v/>
          </cell>
          <cell r="G183" t="str">
            <v>LAMBADER</v>
          </cell>
          <cell r="H183" t="str">
            <v>T1L2141100-02</v>
          </cell>
          <cell r="I183" t="str">
            <v>İÇ</v>
          </cell>
          <cell r="J183" t="str">
            <v>LAMBADER</v>
          </cell>
          <cell r="K183" t="str">
            <v/>
          </cell>
          <cell r="L183" t="str">
            <v/>
          </cell>
          <cell r="M183" t="str">
            <v/>
          </cell>
          <cell r="N183" t="str">
            <v/>
          </cell>
          <cell r="O183" t="str">
            <v>HEKA</v>
          </cell>
          <cell r="P183" t="str">
            <v>ADET</v>
          </cell>
          <cell r="AF183">
            <v>0</v>
          </cell>
          <cell r="AG183" t="str">
            <v>ADET</v>
          </cell>
          <cell r="AH183">
            <v>320</v>
          </cell>
          <cell r="AI183" t="str">
            <v>TL</v>
          </cell>
          <cell r="AJ183">
            <v>3797</v>
          </cell>
          <cell r="AK183" t="str">
            <v>TL</v>
          </cell>
          <cell r="AL183">
            <v>1</v>
          </cell>
          <cell r="AM183" t="str">
            <v>1234567146072</v>
          </cell>
          <cell r="AO183">
            <v>0</v>
          </cell>
          <cell r="AQ183">
            <v>0</v>
          </cell>
          <cell r="AS183">
            <v>0</v>
          </cell>
          <cell r="AU183">
            <v>0</v>
          </cell>
          <cell r="AW183">
            <v>0</v>
          </cell>
        </row>
        <row r="184">
          <cell r="B184" t="str">
            <v>H1F6JMEWRB0-161</v>
          </cell>
          <cell r="C184" t="str">
            <v>EFES HELEZON MERMER ESKİTME LAMBADER</v>
          </cell>
          <cell r="D184" t="str">
            <v>EFES SPIRAL MARBLE BRUSHED BRASS FLOOR LAMP</v>
          </cell>
          <cell r="E184" t="str">
            <v>METAL MERMER ESKİTME BEYAZ</v>
          </cell>
          <cell r="F184" t="str">
            <v>9405.11.90.00.00</v>
          </cell>
          <cell r="G184" t="str">
            <v>LAMBADER</v>
          </cell>
          <cell r="H184" t="str">
            <v>H1L6113100-33</v>
          </cell>
          <cell r="I184" t="str">
            <v>İÇ</v>
          </cell>
          <cell r="J184" t="str">
            <v>LAMBADER</v>
          </cell>
          <cell r="K184" t="str">
            <v>EFES</v>
          </cell>
          <cell r="L184" t="str">
            <v>Ç</v>
          </cell>
          <cell r="M184" t="str">
            <v>ÜRTM:15GÜN</v>
          </cell>
          <cell r="N184" t="str">
            <v/>
          </cell>
          <cell r="O184" t="str">
            <v>HEKA</v>
          </cell>
          <cell r="P184" t="str">
            <v>ADET</v>
          </cell>
          <cell r="Q184" t="str">
            <v>LED</v>
          </cell>
          <cell r="R184" t="str">
            <v>METAL</v>
          </cell>
          <cell r="S184" t="str">
            <v>ESKİTME</v>
          </cell>
          <cell r="T184" t="str">
            <v>MERMER</v>
          </cell>
          <cell r="U184" t="str">
            <v>BEYAZ</v>
          </cell>
          <cell r="AD184" t="str">
            <v>N/A</v>
          </cell>
          <cell r="AF184">
            <v>3</v>
          </cell>
          <cell r="AG184" t="str">
            <v>ADET</v>
          </cell>
          <cell r="AJ184">
            <v>34750</v>
          </cell>
          <cell r="AK184" t="str">
            <v>TL</v>
          </cell>
          <cell r="AL184">
            <v>1</v>
          </cell>
          <cell r="AM184" t="str">
            <v>8684127509848</v>
          </cell>
          <cell r="AO184">
            <v>0</v>
          </cell>
          <cell r="AQ184">
            <v>29</v>
          </cell>
          <cell r="AR184" t="str">
            <v>CM</v>
          </cell>
          <cell r="AS184">
            <v>161</v>
          </cell>
          <cell r="AT184" t="str">
            <v>CM</v>
          </cell>
          <cell r="AU184">
            <v>0</v>
          </cell>
          <cell r="AW184">
            <v>0</v>
          </cell>
        </row>
        <row r="185">
          <cell r="B185" t="str">
            <v>H1F6JMEECTR-150</v>
          </cell>
          <cell r="C185" t="str">
            <v>SOLİ ESKİTME LAMBADER</v>
          </cell>
          <cell r="D185" t="str">
            <v>SOLİ BRASS FLOOR LAMP</v>
          </cell>
          <cell r="E185" t="str">
            <v xml:space="preserve">METAL CAM  ESKİTME SOFT   </v>
          </cell>
          <cell r="F185" t="str">
            <v>9405.21.90.00.00</v>
          </cell>
          <cell r="G185" t="str">
            <v>LAMBADER</v>
          </cell>
          <cell r="H185" t="str">
            <v>T1L6112100-03</v>
          </cell>
          <cell r="I185" t="str">
            <v>İÇ</v>
          </cell>
          <cell r="J185" t="str">
            <v>LAMBADER</v>
          </cell>
          <cell r="K185" t="str">
            <v>SOLİ</v>
          </cell>
          <cell r="L185" t="str">
            <v/>
          </cell>
          <cell r="M185" t="str">
            <v/>
          </cell>
          <cell r="N185" t="str">
            <v>JM8009-F</v>
          </cell>
          <cell r="O185" t="str">
            <v>HEKA</v>
          </cell>
          <cell r="P185" t="str">
            <v>ADET</v>
          </cell>
          <cell r="Q185" t="str">
            <v>LED</v>
          </cell>
          <cell r="R185" t="str">
            <v>METAL</v>
          </cell>
          <cell r="S185" t="str">
            <v>ESKİTME</v>
          </cell>
          <cell r="T185" t="str">
            <v>CAM</v>
          </cell>
          <cell r="U185" t="str">
            <v>SOFT</v>
          </cell>
          <cell r="AD185" t="str">
            <v>DAİRE</v>
          </cell>
          <cell r="AE185" t="str">
            <v>01</v>
          </cell>
          <cell r="AF185">
            <v>0</v>
          </cell>
          <cell r="AG185" t="str">
            <v>ADET</v>
          </cell>
          <cell r="AH185">
            <v>350</v>
          </cell>
          <cell r="AI185" t="str">
            <v>CNY</v>
          </cell>
          <cell r="AJ185">
            <v>22750</v>
          </cell>
          <cell r="AK185" t="str">
            <v>TL</v>
          </cell>
          <cell r="AL185">
            <v>1</v>
          </cell>
          <cell r="AM185" t="str">
            <v>8684127506205</v>
          </cell>
          <cell r="AO185">
            <v>0</v>
          </cell>
          <cell r="AQ185">
            <v>171</v>
          </cell>
          <cell r="AR185" t="str">
            <v>CM</v>
          </cell>
          <cell r="AS185">
            <v>20</v>
          </cell>
          <cell r="AT185" t="str">
            <v>CM</v>
          </cell>
          <cell r="AU185">
            <v>0</v>
          </cell>
          <cell r="AW185">
            <v>0</v>
          </cell>
        </row>
        <row r="186">
          <cell r="B186" t="str">
            <v>H1W6JMEECTR-045</v>
          </cell>
          <cell r="C186" t="str">
            <v>URARTU 6 KÜRE CAMLI SARKIT</v>
          </cell>
          <cell r="D186" t="str">
            <v>URARTU 6 GLASS GLOBE PENDANT</v>
          </cell>
          <cell r="E186" t="str">
            <v>METAL CAM ESKİTME SOFT</v>
          </cell>
          <cell r="F186" t="str">
            <v>9405.11.90.00.00</v>
          </cell>
          <cell r="G186" t="str">
            <v>APLİK</v>
          </cell>
          <cell r="H186" t="str">
            <v>T1A6211100-06</v>
          </cell>
          <cell r="I186" t="str">
            <v>İÇ</v>
          </cell>
          <cell r="J186" t="str">
            <v>APLİK</v>
          </cell>
          <cell r="K186" t="str">
            <v>URARTU</v>
          </cell>
          <cell r="L186" t="str">
            <v>Ç</v>
          </cell>
          <cell r="M186" t="str">
            <v/>
          </cell>
          <cell r="N186" t="str">
            <v>JM8010-6</v>
          </cell>
          <cell r="O186" t="str">
            <v>HEKA</v>
          </cell>
          <cell r="P186" t="str">
            <v>ADET</v>
          </cell>
          <cell r="Q186" t="str">
            <v>LED</v>
          </cell>
          <cell r="R186" t="str">
            <v>METAL</v>
          </cell>
          <cell r="S186" t="str">
            <v>ESKİTME</v>
          </cell>
          <cell r="T186" t="str">
            <v>CAM</v>
          </cell>
          <cell r="U186" t="str">
            <v>SOFT</v>
          </cell>
          <cell r="AD186" t="str">
            <v>DAİRE</v>
          </cell>
          <cell r="AE186" t="str">
            <v>01</v>
          </cell>
          <cell r="AF186">
            <v>0</v>
          </cell>
          <cell r="AG186" t="str">
            <v>ADET</v>
          </cell>
          <cell r="AH186">
            <v>140</v>
          </cell>
          <cell r="AI186" t="str">
            <v>CNY</v>
          </cell>
          <cell r="AJ186">
            <v>4641</v>
          </cell>
          <cell r="AK186" t="str">
            <v>TL</v>
          </cell>
          <cell r="AL186">
            <v>1</v>
          </cell>
          <cell r="AM186" t="str">
            <v>8684127504973</v>
          </cell>
          <cell r="AO186">
            <v>0</v>
          </cell>
          <cell r="AQ186">
            <v>60</v>
          </cell>
          <cell r="AR186" t="str">
            <v>CM</v>
          </cell>
          <cell r="AS186">
            <v>10</v>
          </cell>
          <cell r="AT186" t="str">
            <v>CM</v>
          </cell>
          <cell r="AU186">
            <v>0</v>
          </cell>
          <cell r="AW186">
            <v>0</v>
          </cell>
        </row>
        <row r="187">
          <cell r="B187" t="str">
            <v>H1W1JME0000-045</v>
          </cell>
          <cell r="C187" t="str">
            <v>MAHPERİ ESKİTME APLİK BÜYÜK</v>
          </cell>
          <cell r="D187" t="str">
            <v>MAHPERİ BRUSHED BRASS WALL LAMP BIG</v>
          </cell>
          <cell r="E187" t="str">
            <v>METAL YOK ESKİTME YOK</v>
          </cell>
          <cell r="F187" t="str">
            <v>9405.19.90.00.00</v>
          </cell>
          <cell r="G187" t="str">
            <v>APLİK</v>
          </cell>
          <cell r="H187" t="str">
            <v>H1W1110000-45</v>
          </cell>
          <cell r="I187" t="str">
            <v>İÇ</v>
          </cell>
          <cell r="J187" t="str">
            <v>APLİK</v>
          </cell>
          <cell r="K187" t="str">
            <v>MAHPERİ</v>
          </cell>
          <cell r="L187" t="str">
            <v/>
          </cell>
          <cell r="M187" t="str">
            <v>ÜRTM:15GÜN</v>
          </cell>
          <cell r="N187" t="str">
            <v>HK20056</v>
          </cell>
          <cell r="O187" t="str">
            <v>LIGHTIST</v>
          </cell>
          <cell r="P187" t="str">
            <v>ADET</v>
          </cell>
          <cell r="Q187" t="str">
            <v>E14</v>
          </cell>
          <cell r="R187" t="str">
            <v>METAL</v>
          </cell>
          <cell r="S187" t="str">
            <v>ESKİTME</v>
          </cell>
          <cell r="T187" t="str">
            <v>YOK</v>
          </cell>
          <cell r="U187" t="str">
            <v>YOK</v>
          </cell>
          <cell r="AD187" t="str">
            <v>N/A</v>
          </cell>
          <cell r="AE187" t="str">
            <v>02</v>
          </cell>
          <cell r="AF187">
            <v>1</v>
          </cell>
          <cell r="AG187" t="str">
            <v>ADET</v>
          </cell>
          <cell r="AH187">
            <v>450</v>
          </cell>
          <cell r="AI187" t="str">
            <v>TL</v>
          </cell>
          <cell r="AJ187">
            <v>7140</v>
          </cell>
          <cell r="AK187" t="str">
            <v>TL</v>
          </cell>
          <cell r="AL187">
            <v>1</v>
          </cell>
          <cell r="AM187" t="str">
            <v>8684127502467</v>
          </cell>
          <cell r="AO187">
            <v>0</v>
          </cell>
          <cell r="AQ187">
            <v>0</v>
          </cell>
          <cell r="AR187" t="str">
            <v>CM</v>
          </cell>
          <cell r="AS187">
            <v>0</v>
          </cell>
          <cell r="AT187" t="str">
            <v>CM</v>
          </cell>
          <cell r="AU187">
            <v>0</v>
          </cell>
          <cell r="AW187">
            <v>0</v>
          </cell>
        </row>
        <row r="188">
          <cell r="B188" t="str">
            <v>H1W2JMEECT0-032</v>
          </cell>
          <cell r="C188" t="str">
            <v>HUDAT SIVAMA ESKİTME KOLLU APLİK 15cm</v>
          </cell>
          <cell r="D188" t="str">
            <v>HUDAT BURSHED BRASS SLEEVED WALL LAMP 15cm</v>
          </cell>
          <cell r="E188" t="str">
            <v>METAL CAM ESKİTME SOFT</v>
          </cell>
          <cell r="F188" t="str">
            <v>9405.19.90.00.00</v>
          </cell>
          <cell r="G188" t="str">
            <v>APLİK</v>
          </cell>
          <cell r="H188" t="str">
            <v>H1W2211100-15</v>
          </cell>
          <cell r="I188" t="str">
            <v>İÇ</v>
          </cell>
          <cell r="J188" t="str">
            <v>APLİK</v>
          </cell>
          <cell r="K188" t="str">
            <v>HUDAT</v>
          </cell>
          <cell r="L188" t="str">
            <v/>
          </cell>
          <cell r="M188" t="str">
            <v/>
          </cell>
          <cell r="N188" t="str">
            <v/>
          </cell>
          <cell r="O188" t="str">
            <v>HEKA</v>
          </cell>
          <cell r="P188" t="str">
            <v>ADET</v>
          </cell>
          <cell r="Q188" t="str">
            <v>E27</v>
          </cell>
          <cell r="R188" t="str">
            <v>METAL</v>
          </cell>
          <cell r="S188" t="str">
            <v>ESKİTME</v>
          </cell>
          <cell r="T188" t="str">
            <v>CAM</v>
          </cell>
          <cell r="U188" t="str">
            <v>SOFT</v>
          </cell>
          <cell r="AD188" t="str">
            <v>N/A</v>
          </cell>
          <cell r="AE188" t="str">
            <v>02</v>
          </cell>
          <cell r="AF188">
            <v>0</v>
          </cell>
          <cell r="AG188" t="str">
            <v>ADET</v>
          </cell>
          <cell r="AH188">
            <v>150</v>
          </cell>
          <cell r="AI188" t="str">
            <v>TL</v>
          </cell>
          <cell r="AJ188">
            <v>624</v>
          </cell>
          <cell r="AK188" t="str">
            <v>TL</v>
          </cell>
          <cell r="AL188">
            <v>1</v>
          </cell>
          <cell r="AM188" t="str">
            <v>8684127509503</v>
          </cell>
          <cell r="AO188">
            <v>0</v>
          </cell>
          <cell r="AQ188">
            <v>0</v>
          </cell>
          <cell r="AR188" t="str">
            <v>CM</v>
          </cell>
          <cell r="AS188">
            <v>31.5</v>
          </cell>
          <cell r="AT188" t="str">
            <v>CM</v>
          </cell>
          <cell r="AU188">
            <v>0</v>
          </cell>
          <cell r="AW188">
            <v>0</v>
          </cell>
        </row>
        <row r="189">
          <cell r="B189" t="str">
            <v>H1W2JMEECS0-060</v>
          </cell>
          <cell r="C189" t="str">
            <v>SÜMELA ESKİTME APLİK 60cm</v>
          </cell>
          <cell r="D189" t="str">
            <v>SÜMELA BRUSHED BRASS WALL LAMP 60cm</v>
          </cell>
          <cell r="E189" t="str">
            <v>METAL CAM ESKİTME ŞEFFAF</v>
          </cell>
          <cell r="F189" t="str">
            <v>9405.19.90.00.00</v>
          </cell>
          <cell r="G189" t="str">
            <v>APLİK</v>
          </cell>
          <cell r="H189" t="str">
            <v>H1W1112400-60</v>
          </cell>
          <cell r="I189" t="str">
            <v>İÇ</v>
          </cell>
          <cell r="J189" t="str">
            <v>APLİK</v>
          </cell>
          <cell r="K189" t="str">
            <v>SÜMELA</v>
          </cell>
          <cell r="L189" t="str">
            <v/>
          </cell>
          <cell r="M189" t="str">
            <v>ÜRTM:15GÜN</v>
          </cell>
          <cell r="N189" t="str">
            <v>HKA-24072</v>
          </cell>
          <cell r="O189" t="str">
            <v>HEKA</v>
          </cell>
          <cell r="P189" t="str">
            <v>ADET</v>
          </cell>
          <cell r="Q189" t="str">
            <v>E14</v>
          </cell>
          <cell r="R189" t="str">
            <v>METAL</v>
          </cell>
          <cell r="S189" t="str">
            <v>ESKİTME</v>
          </cell>
          <cell r="T189" t="str">
            <v>CAM</v>
          </cell>
          <cell r="U189" t="str">
            <v>ŞEFFAF</v>
          </cell>
          <cell r="AD189" t="str">
            <v>N/A</v>
          </cell>
          <cell r="AE189" t="str">
            <v>02</v>
          </cell>
          <cell r="AF189">
            <v>4</v>
          </cell>
          <cell r="AG189" t="str">
            <v>ADET</v>
          </cell>
          <cell r="AH189">
            <v>95</v>
          </cell>
          <cell r="AI189" t="str">
            <v>CNY</v>
          </cell>
          <cell r="AJ189">
            <v>6256</v>
          </cell>
          <cell r="AK189" t="str">
            <v>TL</v>
          </cell>
          <cell r="AL189">
            <v>1</v>
          </cell>
          <cell r="AM189" t="str">
            <v>8684127504928</v>
          </cell>
          <cell r="AO189">
            <v>0</v>
          </cell>
          <cell r="AQ189">
            <v>0</v>
          </cell>
          <cell r="AR189" t="str">
            <v>CM</v>
          </cell>
          <cell r="AS189">
            <v>0</v>
          </cell>
          <cell r="AT189" t="str">
            <v>CM</v>
          </cell>
          <cell r="AU189">
            <v>0</v>
          </cell>
          <cell r="AW189">
            <v>0</v>
          </cell>
        </row>
        <row r="190">
          <cell r="B190" t="str">
            <v>H1W5WRBJME0-027</v>
          </cell>
          <cell r="C190" t="str">
            <v>ERCİYES BEYAZ MERMER APLİK</v>
          </cell>
          <cell r="D190" t="str">
            <v>ERCİYES WTHITE MARBLE WALL LAMP</v>
          </cell>
          <cell r="E190" t="str">
            <v>MERMER METAL BEYAZ ESKİTME</v>
          </cell>
          <cell r="F190" t="str">
            <v>9405.19.90.00.00</v>
          </cell>
          <cell r="G190" t="str">
            <v>APLİK</v>
          </cell>
          <cell r="H190" t="str">
            <v>T1W3111006-01</v>
          </cell>
          <cell r="I190" t="str">
            <v>İÇ</v>
          </cell>
          <cell r="J190" t="str">
            <v>APLİK</v>
          </cell>
          <cell r="K190" t="str">
            <v>ERCİYES</v>
          </cell>
          <cell r="L190" t="str">
            <v/>
          </cell>
          <cell r="M190" t="str">
            <v/>
          </cell>
          <cell r="N190" t="str">
            <v>HKA-24134</v>
          </cell>
          <cell r="O190" t="str">
            <v>HEKA</v>
          </cell>
          <cell r="P190" t="str">
            <v>ADET</v>
          </cell>
          <cell r="Q190" t="str">
            <v>LED</v>
          </cell>
          <cell r="R190" t="str">
            <v>POLİÜRETAN</v>
          </cell>
          <cell r="S190" t="str">
            <v>BEYAZ</v>
          </cell>
          <cell r="T190" t="str">
            <v>METAL</v>
          </cell>
          <cell r="U190" t="str">
            <v>ESKİTME</v>
          </cell>
          <cell r="AD190" t="str">
            <v>N/A</v>
          </cell>
          <cell r="AF190">
            <v>85</v>
          </cell>
          <cell r="AG190" t="str">
            <v>ADET</v>
          </cell>
          <cell r="AH190">
            <v>85</v>
          </cell>
          <cell r="AI190" t="str">
            <v>CNY</v>
          </cell>
          <cell r="AJ190">
            <v>8950</v>
          </cell>
          <cell r="AK190" t="str">
            <v>TL</v>
          </cell>
          <cell r="AL190">
            <v>1</v>
          </cell>
          <cell r="AM190" t="str">
            <v>8684127501965</v>
          </cell>
          <cell r="AO190">
            <v>0</v>
          </cell>
          <cell r="AQ190">
            <v>40</v>
          </cell>
          <cell r="AR190" t="str">
            <v>CM</v>
          </cell>
          <cell r="AS190">
            <v>10</v>
          </cell>
          <cell r="AT190" t="str">
            <v>CM</v>
          </cell>
          <cell r="AU190">
            <v>0</v>
          </cell>
          <cell r="AW190">
            <v>0</v>
          </cell>
        </row>
        <row r="191">
          <cell r="B191" t="str">
            <v>T1C2ERFJMER-050</v>
          </cell>
          <cell r="C191" t="str">
            <v>KARATAY FÜME CAM SARKIT 50cm</v>
          </cell>
          <cell r="D191" t="str">
            <v>KARATAY SMOKY COLOR GLASS PENDANT 50cm</v>
          </cell>
          <cell r="E191" t="str">
            <v>CAM METAL FÜME ESKİTME</v>
          </cell>
          <cell r="F191" t="str">
            <v>9405.19.50.00.19</v>
          </cell>
          <cell r="G191" t="str">
            <v>AVİZE</v>
          </cell>
          <cell r="H191" t="str">
            <v>T1A2221100-50</v>
          </cell>
          <cell r="I191" t="str">
            <v>İÇ</v>
          </cell>
          <cell r="J191" t="str">
            <v>AVİZE.SARK</v>
          </cell>
          <cell r="K191" t="str">
            <v>KARATAY</v>
          </cell>
          <cell r="L191" t="str">
            <v/>
          </cell>
          <cell r="M191" t="str">
            <v/>
          </cell>
          <cell r="N191" t="str">
            <v>MJ-05B-S</v>
          </cell>
          <cell r="O191" t="str">
            <v>HEKA</v>
          </cell>
          <cell r="P191" t="str">
            <v>ADET</v>
          </cell>
          <cell r="Q191" t="str">
            <v>E27</v>
          </cell>
          <cell r="R191" t="str">
            <v>CAM</v>
          </cell>
          <cell r="S191" t="str">
            <v>FÜME</v>
          </cell>
          <cell r="T191" t="str">
            <v>METAL</v>
          </cell>
          <cell r="U191" t="str">
            <v>ESKİTME</v>
          </cell>
          <cell r="AD191" t="str">
            <v>DAİRE</v>
          </cell>
          <cell r="AE191" t="str">
            <v>01</v>
          </cell>
          <cell r="AF191">
            <v>14</v>
          </cell>
          <cell r="AG191" t="str">
            <v>ADET</v>
          </cell>
          <cell r="AH191">
            <v>295</v>
          </cell>
          <cell r="AI191" t="str">
            <v>CNY</v>
          </cell>
          <cell r="AJ191">
            <v>21500</v>
          </cell>
          <cell r="AK191" t="str">
            <v>TL</v>
          </cell>
          <cell r="AL191">
            <v>1</v>
          </cell>
          <cell r="AM191" t="str">
            <v>8684127505604</v>
          </cell>
          <cell r="AO191">
            <v>0</v>
          </cell>
          <cell r="AQ191">
            <v>80</v>
          </cell>
          <cell r="AR191" t="str">
            <v>CM</v>
          </cell>
          <cell r="AS191">
            <v>50</v>
          </cell>
          <cell r="AT191" t="str">
            <v>CM</v>
          </cell>
          <cell r="AU191">
            <v>0</v>
          </cell>
          <cell r="AW191">
            <v>0</v>
          </cell>
        </row>
        <row r="192">
          <cell r="B192" t="str">
            <v>MD5028-8B</v>
          </cell>
          <cell r="C192" t="str">
            <v xml:space="preserve">*MD5028-8B* AVİZE </v>
          </cell>
          <cell r="D192" t="str">
            <v/>
          </cell>
          <cell r="E192" t="str">
            <v/>
          </cell>
          <cell r="F192" t="str">
            <v/>
          </cell>
          <cell r="G192" t="str">
            <v>AVİZE</v>
          </cell>
          <cell r="H192" t="str">
            <v>MD5028-8B</v>
          </cell>
          <cell r="I192" t="str">
            <v>İÇ</v>
          </cell>
          <cell r="J192" t="str">
            <v>AVİZE.AVİZ</v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>HEKA</v>
          </cell>
          <cell r="P192" t="str">
            <v>ADET</v>
          </cell>
          <cell r="AF192">
            <v>1</v>
          </cell>
          <cell r="AG192" t="str">
            <v>ADET</v>
          </cell>
          <cell r="AH192">
            <v>1500</v>
          </cell>
          <cell r="AI192" t="str">
            <v>TL</v>
          </cell>
          <cell r="AJ192">
            <v>7095</v>
          </cell>
          <cell r="AK192" t="str">
            <v>TL</v>
          </cell>
          <cell r="AL192">
            <v>0</v>
          </cell>
          <cell r="AM192" t="str">
            <v>1234567145976</v>
          </cell>
          <cell r="AO192">
            <v>0</v>
          </cell>
          <cell r="AQ192">
            <v>0</v>
          </cell>
          <cell r="AS192">
            <v>0</v>
          </cell>
          <cell r="AU192">
            <v>0</v>
          </cell>
          <cell r="AW192">
            <v>0</v>
          </cell>
        </row>
        <row r="193">
          <cell r="B193" t="str">
            <v>T1M2711400-01</v>
          </cell>
          <cell r="C193" t="str">
            <v>*T8331* MASA LAMBASI</v>
          </cell>
          <cell r="D193" t="str">
            <v/>
          </cell>
          <cell r="E193" t="str">
            <v/>
          </cell>
          <cell r="F193" t="str">
            <v/>
          </cell>
          <cell r="G193" t="str">
            <v>MASAABAJ</v>
          </cell>
          <cell r="H193" t="str">
            <v>T1M2711400-01</v>
          </cell>
          <cell r="I193" t="str">
            <v>İÇ</v>
          </cell>
          <cell r="J193" t="str">
            <v>MASAABAJ</v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>HEKA</v>
          </cell>
          <cell r="P193" t="str">
            <v>ADET</v>
          </cell>
          <cell r="AF193">
            <v>0</v>
          </cell>
          <cell r="AG193" t="str">
            <v>ADET</v>
          </cell>
          <cell r="AH193">
            <v>150</v>
          </cell>
          <cell r="AI193" t="str">
            <v>TL</v>
          </cell>
          <cell r="AJ193">
            <v>795</v>
          </cell>
          <cell r="AK193" t="str">
            <v>TL</v>
          </cell>
          <cell r="AL193">
            <v>1</v>
          </cell>
          <cell r="AM193" t="str">
            <v>1234567146065</v>
          </cell>
          <cell r="AO193">
            <v>0</v>
          </cell>
          <cell r="AQ193">
            <v>0</v>
          </cell>
          <cell r="AS193">
            <v>0</v>
          </cell>
          <cell r="AU193">
            <v>0</v>
          </cell>
          <cell r="AW193">
            <v>0</v>
          </cell>
        </row>
        <row r="194">
          <cell r="B194" t="str">
            <v>H1T6JMEECTR-057</v>
          </cell>
          <cell r="C194" t="str">
            <v>SOLİ ESKİTME MASA LAMBASI</v>
          </cell>
          <cell r="D194" t="str">
            <v>SOLİ BRASS TABLE LAMP</v>
          </cell>
          <cell r="E194" t="str">
            <v xml:space="preserve">METAL CAM  ESKİTME SOFT   </v>
          </cell>
          <cell r="F194" t="str">
            <v>9405.21.90.00.00</v>
          </cell>
          <cell r="G194" t="str">
            <v>MASA LAMBASI</v>
          </cell>
          <cell r="H194" t="str">
            <v>T1M6112100-01</v>
          </cell>
          <cell r="I194" t="str">
            <v>İÇ</v>
          </cell>
          <cell r="J194" t="str">
            <v>MASAABAJ</v>
          </cell>
          <cell r="K194" t="str">
            <v>SOLİ</v>
          </cell>
          <cell r="L194" t="str">
            <v/>
          </cell>
          <cell r="M194" t="str">
            <v/>
          </cell>
          <cell r="N194" t="str">
            <v>JM8009-T</v>
          </cell>
          <cell r="O194" t="str">
            <v>HEKA</v>
          </cell>
          <cell r="P194" t="str">
            <v>ADET</v>
          </cell>
          <cell r="Q194" t="str">
            <v>LED</v>
          </cell>
          <cell r="R194" t="str">
            <v>METAL</v>
          </cell>
          <cell r="S194" t="str">
            <v>ESKİTME</v>
          </cell>
          <cell r="T194" t="str">
            <v>CAM</v>
          </cell>
          <cell r="U194" t="str">
            <v>SOFT</v>
          </cell>
          <cell r="AD194" t="str">
            <v>DAİRE</v>
          </cell>
          <cell r="AE194" t="str">
            <v>01</v>
          </cell>
          <cell r="AF194">
            <v>0</v>
          </cell>
          <cell r="AG194" t="str">
            <v>ADET</v>
          </cell>
          <cell r="AH194">
            <v>110</v>
          </cell>
          <cell r="AI194" t="str">
            <v>CNY</v>
          </cell>
          <cell r="AJ194">
            <v>2080</v>
          </cell>
          <cell r="AK194" t="str">
            <v>TL</v>
          </cell>
          <cell r="AL194">
            <v>1</v>
          </cell>
          <cell r="AM194" t="str">
            <v>8684127503075</v>
          </cell>
          <cell r="AO194">
            <v>0</v>
          </cell>
          <cell r="AQ194">
            <v>58</v>
          </cell>
          <cell r="AR194" t="str">
            <v>CM</v>
          </cell>
          <cell r="AS194">
            <v>6.5</v>
          </cell>
          <cell r="AT194" t="str">
            <v>CM</v>
          </cell>
          <cell r="AU194">
            <v>0</v>
          </cell>
          <cell r="AW194">
            <v>0</v>
          </cell>
        </row>
        <row r="195">
          <cell r="B195" t="str">
            <v>H1W6JMEECTD-066</v>
          </cell>
          <cell r="C195" t="str">
            <v>SOLİ ESKİTME APLİK</v>
          </cell>
          <cell r="D195" t="str">
            <v>SOLİ BRASS WALL LAMP</v>
          </cell>
          <cell r="E195" t="str">
            <v>METAL CAM ESKİTME SOFT</v>
          </cell>
          <cell r="F195" t="str">
            <v>9405.11.90.00.00</v>
          </cell>
          <cell r="G195" t="str">
            <v>APLİK</v>
          </cell>
          <cell r="H195" t="str">
            <v>T1W6112100-01</v>
          </cell>
          <cell r="I195" t="str">
            <v>İÇ</v>
          </cell>
          <cell r="J195" t="str">
            <v>APLİK</v>
          </cell>
          <cell r="K195" t="str">
            <v>SOLİ</v>
          </cell>
          <cell r="L195" t="str">
            <v/>
          </cell>
          <cell r="M195" t="str">
            <v/>
          </cell>
          <cell r="N195" t="str">
            <v>JM8009-W-BR</v>
          </cell>
          <cell r="O195" t="str">
            <v>HEKA</v>
          </cell>
          <cell r="P195" t="str">
            <v>ADET</v>
          </cell>
          <cell r="Q195" t="str">
            <v>LED</v>
          </cell>
          <cell r="R195" t="str">
            <v>METAL</v>
          </cell>
          <cell r="S195" t="str">
            <v>ESKİTME</v>
          </cell>
          <cell r="T195" t="str">
            <v>CAM</v>
          </cell>
          <cell r="U195" t="str">
            <v>SOFT</v>
          </cell>
          <cell r="AD195" t="str">
            <v>DİKDÖRTGEN</v>
          </cell>
          <cell r="AE195" t="str">
            <v>01</v>
          </cell>
          <cell r="AF195">
            <v>0</v>
          </cell>
          <cell r="AG195" t="str">
            <v>ADET</v>
          </cell>
          <cell r="AH195">
            <v>95</v>
          </cell>
          <cell r="AI195" t="str">
            <v>CNY</v>
          </cell>
          <cell r="AJ195">
            <v>5250</v>
          </cell>
          <cell r="AK195" t="str">
            <v>TL</v>
          </cell>
          <cell r="AL195">
            <v>1</v>
          </cell>
          <cell r="AM195" t="str">
            <v>8684127502900</v>
          </cell>
          <cell r="AO195">
            <v>0</v>
          </cell>
          <cell r="AQ195">
            <v>66</v>
          </cell>
          <cell r="AR195" t="str">
            <v>CM</v>
          </cell>
          <cell r="AS195">
            <v>10</v>
          </cell>
          <cell r="AT195" t="str">
            <v>CM</v>
          </cell>
          <cell r="AU195">
            <v>0</v>
          </cell>
          <cell r="AW195">
            <v>0</v>
          </cell>
        </row>
        <row r="196">
          <cell r="B196" t="str">
            <v>H1C6JMEECTR-070</v>
          </cell>
          <cell r="C196" t="str">
            <v>URARTU 3 KÜRE CAMLI APLİK</v>
          </cell>
          <cell r="D196" t="str">
            <v>URARTU 3 GLASS GLOBE PENDANT</v>
          </cell>
          <cell r="E196" t="str">
            <v xml:space="preserve">METAL CAM  ESKİTME SOFT   </v>
          </cell>
          <cell r="F196" t="str">
            <v>9405.11.90.00.00</v>
          </cell>
          <cell r="G196" t="str">
            <v>APLİK</v>
          </cell>
          <cell r="H196" t="str">
            <v>T1W6211100-03</v>
          </cell>
          <cell r="I196" t="str">
            <v>İÇ</v>
          </cell>
          <cell r="J196" t="str">
            <v>APLİK</v>
          </cell>
          <cell r="K196" t="str">
            <v>URARTU</v>
          </cell>
          <cell r="L196" t="str">
            <v/>
          </cell>
          <cell r="M196" t="str">
            <v/>
          </cell>
          <cell r="N196" t="str">
            <v>JM8010-W-A</v>
          </cell>
          <cell r="O196" t="str">
            <v>HEKA</v>
          </cell>
          <cell r="P196" t="str">
            <v>ADET</v>
          </cell>
          <cell r="Q196" t="str">
            <v>LED</v>
          </cell>
          <cell r="R196" t="str">
            <v>METAL</v>
          </cell>
          <cell r="S196" t="str">
            <v>ESKİTME</v>
          </cell>
          <cell r="T196" t="str">
            <v>CAM</v>
          </cell>
          <cell r="U196" t="str">
            <v>SOFT</v>
          </cell>
          <cell r="AD196" t="str">
            <v>DAİRE</v>
          </cell>
          <cell r="AE196" t="str">
            <v>01</v>
          </cell>
          <cell r="AF196">
            <v>0</v>
          </cell>
          <cell r="AG196" t="str">
            <v>ADET</v>
          </cell>
          <cell r="AH196">
            <v>105</v>
          </cell>
          <cell r="AI196" t="str">
            <v>CNY</v>
          </cell>
          <cell r="AJ196">
            <v>2499</v>
          </cell>
          <cell r="AK196" t="str">
            <v>TL</v>
          </cell>
          <cell r="AL196">
            <v>1</v>
          </cell>
          <cell r="AM196" t="str">
            <v>8684127508810</v>
          </cell>
          <cell r="AO196">
            <v>0</v>
          </cell>
          <cell r="AQ196">
            <v>46</v>
          </cell>
          <cell r="AR196" t="str">
            <v>CM</v>
          </cell>
          <cell r="AS196">
            <v>18</v>
          </cell>
          <cell r="AT196" t="str">
            <v>CM</v>
          </cell>
          <cell r="AU196">
            <v>0</v>
          </cell>
          <cell r="AW196">
            <v>0</v>
          </cell>
        </row>
        <row r="197">
          <cell r="B197" t="str">
            <v>CD1E1C3M2G5T0</v>
          </cell>
          <cell r="C197" t="str">
            <v>ERD-35 C35 ŞEFFAF 8W DÜZ 3000K E14 LED AMPUL</v>
          </cell>
          <cell r="D197" t="str">
            <v>ERD-35 C35 CLEAR 8W CANDLE 3000K E14 LED BULB</v>
          </cell>
          <cell r="E197" t="str">
            <v>CAM METAL ŞEFFAF FLAMENT DIMMSIZ C35 - DÜZ</v>
          </cell>
          <cell r="F197" t="str">
            <v>8539.52.00.00.00</v>
          </cell>
          <cell r="G197" t="str">
            <v>AMPUL</v>
          </cell>
          <cell r="H197" t="str">
            <v>CF11132F50000</v>
          </cell>
          <cell r="I197" t="str">
            <v>İÇ</v>
          </cell>
          <cell r="J197" t="str">
            <v>AMPUL</v>
          </cell>
          <cell r="K197" t="str">
            <v>ERD-35</v>
          </cell>
          <cell r="L197" t="str">
            <v/>
          </cell>
          <cell r="M197" t="str">
            <v/>
          </cell>
          <cell r="N197" t="str">
            <v>ERD-35</v>
          </cell>
          <cell r="O197" t="str">
            <v>HEKA</v>
          </cell>
          <cell r="P197" t="str">
            <v>ADET</v>
          </cell>
          <cell r="Q197" t="str">
            <v>E14</v>
          </cell>
          <cell r="R197" t="str">
            <v>CAM</v>
          </cell>
          <cell r="S197" t="str">
            <v>ŞEFFAF</v>
          </cell>
          <cell r="T197" t="str">
            <v>METAL</v>
          </cell>
          <cell r="V197" t="str">
            <v>E</v>
          </cell>
          <cell r="W197" t="str">
            <v>FLAMENT</v>
          </cell>
          <cell r="X197" t="str">
            <v>220V</v>
          </cell>
          <cell r="Y197" t="str">
            <v>8 WATT</v>
          </cell>
          <cell r="Z197" t="str">
            <v>3000 K</v>
          </cell>
          <cell r="AA197" t="str">
            <v>DIMMSIZ</v>
          </cell>
          <cell r="AB197" t="str">
            <v>1001-1100</v>
          </cell>
          <cell r="AC197" t="str">
            <v>C35 - DÜZ</v>
          </cell>
          <cell r="AD197" t="str">
            <v>N/A</v>
          </cell>
          <cell r="AF197">
            <v>16119</v>
          </cell>
          <cell r="AG197" t="str">
            <v>ADET</v>
          </cell>
          <cell r="AH197">
            <v>0.52</v>
          </cell>
          <cell r="AI197" t="str">
            <v>USD</v>
          </cell>
          <cell r="AJ197">
            <v>3</v>
          </cell>
          <cell r="AK197" t="str">
            <v>USD</v>
          </cell>
          <cell r="AL197">
            <v>1</v>
          </cell>
          <cell r="AM197" t="str">
            <v>8684127500135</v>
          </cell>
          <cell r="AN197" t="str">
            <v>8684127500401</v>
          </cell>
          <cell r="AO197">
            <v>0</v>
          </cell>
          <cell r="AQ197">
            <v>3.5</v>
          </cell>
          <cell r="AR197" t="str">
            <v>CM</v>
          </cell>
          <cell r="AS197">
            <v>3.5</v>
          </cell>
          <cell r="AT197" t="str">
            <v>CM</v>
          </cell>
          <cell r="AU197">
            <v>0</v>
          </cell>
          <cell r="AW197">
            <v>0</v>
          </cell>
        </row>
        <row r="198">
          <cell r="B198" t="str">
            <v>CG2D1C302E5I0</v>
          </cell>
          <cell r="C198" t="str">
            <v>ERD-42 G45 ŞEFFAF 6W 3000K E27 LED AMPUL</v>
          </cell>
          <cell r="D198" t="str">
            <v>ERD-42 G45 CLEAR 6W 3000K E27 LED BULB</v>
          </cell>
          <cell r="E198" t="str">
            <v>CAM METAL ŞEFFAF FLAMENT DIMMSIZ G45</v>
          </cell>
          <cell r="F198" t="str">
            <v>8539.52.00.00.00</v>
          </cell>
          <cell r="G198" t="str">
            <v>AMPUL</v>
          </cell>
          <cell r="H198" t="str">
            <v>CE21132D50V01</v>
          </cell>
          <cell r="I198" t="str">
            <v>İÇ</v>
          </cell>
          <cell r="J198" t="str">
            <v>AMPUL</v>
          </cell>
          <cell r="K198" t="str">
            <v>ERD-42</v>
          </cell>
          <cell r="L198" t="str">
            <v/>
          </cell>
          <cell r="M198" t="str">
            <v/>
          </cell>
          <cell r="N198" t="str">
            <v>ERD-42</v>
          </cell>
          <cell r="O198" t="str">
            <v>HEKA</v>
          </cell>
          <cell r="P198" t="str">
            <v>ADET</v>
          </cell>
          <cell r="Q198" t="str">
            <v>E27</v>
          </cell>
          <cell r="R198" t="str">
            <v>CAM</v>
          </cell>
          <cell r="S198" t="str">
            <v>ŞEFFAF</v>
          </cell>
          <cell r="T198" t="str">
            <v>METAL</v>
          </cell>
          <cell r="V198" t="str">
            <v>D</v>
          </cell>
          <cell r="W198" t="str">
            <v>FLAMENT</v>
          </cell>
          <cell r="X198" t="str">
            <v>220V</v>
          </cell>
          <cell r="Y198" t="str">
            <v>6 WATT</v>
          </cell>
          <cell r="Z198" t="str">
            <v>3000 K</v>
          </cell>
          <cell r="AA198" t="str">
            <v>DIMMSIZ</v>
          </cell>
          <cell r="AB198" t="str">
            <v>801-900</v>
          </cell>
          <cell r="AC198" t="str">
            <v>G45</v>
          </cell>
          <cell r="AD198" t="str">
            <v>N/A</v>
          </cell>
          <cell r="AF198">
            <v>190</v>
          </cell>
          <cell r="AG198" t="str">
            <v>ADET</v>
          </cell>
          <cell r="AH198">
            <v>0.35499999999999998</v>
          </cell>
          <cell r="AI198" t="str">
            <v>USD</v>
          </cell>
          <cell r="AJ198">
            <v>1.9</v>
          </cell>
          <cell r="AK198" t="str">
            <v>USD</v>
          </cell>
          <cell r="AL198">
            <v>1</v>
          </cell>
          <cell r="AM198" t="str">
            <v>8684127519304</v>
          </cell>
          <cell r="AN198" t="str">
            <v>8684127519311</v>
          </cell>
          <cell r="AO198">
            <v>0</v>
          </cell>
          <cell r="AQ198">
            <v>4.5</v>
          </cell>
          <cell r="AR198" t="str">
            <v>CM</v>
          </cell>
          <cell r="AS198">
            <v>4.5</v>
          </cell>
          <cell r="AT198" t="str">
            <v>CM</v>
          </cell>
          <cell r="AU198">
            <v>0</v>
          </cell>
          <cell r="AW198">
            <v>0</v>
          </cell>
        </row>
        <row r="199">
          <cell r="B199" t="str">
            <v>H1C1JMEJMER-040</v>
          </cell>
          <cell r="C199" t="str">
            <v>OLİMPOS KİRPİ AVİZE 40cm</v>
          </cell>
          <cell r="D199" t="str">
            <v>OLIMPOS HEDGEHOG CHANDELIER 40cm</v>
          </cell>
          <cell r="E199" t="str">
            <v xml:space="preserve">METAL METAL ESKİTME ESKİTME   </v>
          </cell>
          <cell r="F199" t="str">
            <v>9405.19.90.00.00</v>
          </cell>
          <cell r="G199" t="str">
            <v>AVİZE</v>
          </cell>
          <cell r="H199" t="str">
            <v>H1A1110000-40</v>
          </cell>
          <cell r="I199" t="str">
            <v>İÇ</v>
          </cell>
          <cell r="J199" t="str">
            <v>AVİZE.AVİZ</v>
          </cell>
          <cell r="K199" t="str">
            <v>OLİMPOS</v>
          </cell>
          <cell r="L199" t="str">
            <v/>
          </cell>
          <cell r="M199" t="str">
            <v/>
          </cell>
          <cell r="N199" t="str">
            <v>HK20013</v>
          </cell>
          <cell r="O199" t="str">
            <v>HEKA</v>
          </cell>
          <cell r="P199" t="str">
            <v>ADET</v>
          </cell>
          <cell r="Q199" t="str">
            <v>E14</v>
          </cell>
          <cell r="R199" t="str">
            <v>METAL</v>
          </cell>
          <cell r="S199" t="str">
            <v>ESKİTME</v>
          </cell>
          <cell r="T199" t="str">
            <v>METAL</v>
          </cell>
          <cell r="U199" t="str">
            <v>ESKİTME</v>
          </cell>
          <cell r="AD199" t="str">
            <v>DAİRE</v>
          </cell>
          <cell r="AE199" t="str">
            <v>07</v>
          </cell>
          <cell r="AF199">
            <v>0</v>
          </cell>
          <cell r="AG199" t="str">
            <v>ADET</v>
          </cell>
          <cell r="AH199">
            <v>350</v>
          </cell>
          <cell r="AI199" t="str">
            <v>TL</v>
          </cell>
          <cell r="AJ199">
            <v>13685</v>
          </cell>
          <cell r="AK199" t="str">
            <v>TL</v>
          </cell>
          <cell r="AL199">
            <v>1</v>
          </cell>
          <cell r="AM199" t="str">
            <v>8684127502603</v>
          </cell>
          <cell r="AO199">
            <v>0</v>
          </cell>
          <cell r="AQ199">
            <v>150</v>
          </cell>
          <cell r="AR199" t="str">
            <v>CM</v>
          </cell>
          <cell r="AS199">
            <v>40</v>
          </cell>
          <cell r="AT199" t="str">
            <v>CM</v>
          </cell>
          <cell r="AU199">
            <v>0</v>
          </cell>
          <cell r="AW199">
            <v>0</v>
          </cell>
        </row>
        <row r="200">
          <cell r="B200" t="str">
            <v>H1C2JMEERFR-055</v>
          </cell>
          <cell r="C200" t="str">
            <v>GALATA SALON AVİZESİ 6 LI</v>
          </cell>
          <cell r="D200" t="str">
            <v>GALATA LIVING ROOM CHANDELIER 6 BULB</v>
          </cell>
          <cell r="E200" t="str">
            <v xml:space="preserve">METAL CAM  ESKİTME FÜME   </v>
          </cell>
          <cell r="F200" t="str">
            <v>9405.19.90.00.00</v>
          </cell>
          <cell r="G200" t="str">
            <v>AVİZE</v>
          </cell>
          <cell r="H200" t="str">
            <v>H1A21122D0-06</v>
          </cell>
          <cell r="I200" t="str">
            <v>İÇ</v>
          </cell>
          <cell r="J200" t="str">
            <v>AVİZE.AVİZ</v>
          </cell>
          <cell r="K200" t="str">
            <v>GALATA</v>
          </cell>
          <cell r="L200" t="str">
            <v/>
          </cell>
          <cell r="M200" t="str">
            <v>ÜRTM:15GÜN</v>
          </cell>
          <cell r="N200" t="str">
            <v>HK20001</v>
          </cell>
          <cell r="O200" t="str">
            <v>HEKA</v>
          </cell>
          <cell r="P200" t="str">
            <v>ADET</v>
          </cell>
          <cell r="Q200" t="str">
            <v>E27</v>
          </cell>
          <cell r="R200" t="str">
            <v>METAL</v>
          </cell>
          <cell r="S200" t="str">
            <v>ESKİTME</v>
          </cell>
          <cell r="T200" t="str">
            <v>CAM</v>
          </cell>
          <cell r="U200" t="str">
            <v>FÜME</v>
          </cell>
          <cell r="AD200" t="str">
            <v>DAİRE</v>
          </cell>
          <cell r="AE200" t="str">
            <v>06</v>
          </cell>
          <cell r="AF200">
            <v>8</v>
          </cell>
          <cell r="AG200" t="str">
            <v>ADET</v>
          </cell>
          <cell r="AH200">
            <v>1000</v>
          </cell>
          <cell r="AI200" t="str">
            <v>TL</v>
          </cell>
          <cell r="AJ200">
            <v>57400</v>
          </cell>
          <cell r="AK200" t="str">
            <v>TL</v>
          </cell>
          <cell r="AL200">
            <v>1</v>
          </cell>
          <cell r="AM200" t="str">
            <v>8684127505215</v>
          </cell>
          <cell r="AO200">
            <v>0</v>
          </cell>
          <cell r="AQ200">
            <v>70</v>
          </cell>
          <cell r="AR200" t="str">
            <v>CM</v>
          </cell>
          <cell r="AS200">
            <v>65</v>
          </cell>
          <cell r="AT200" t="str">
            <v>CM</v>
          </cell>
          <cell r="AU200">
            <v>0</v>
          </cell>
          <cell r="AW200">
            <v>0</v>
          </cell>
        </row>
        <row r="201">
          <cell r="B201" t="str">
            <v>CB2E1C4M2H5T0</v>
          </cell>
          <cell r="C201" t="str">
            <v>ERD-233 G125 OPAL 9W 3000K E27 LED AMPUL</v>
          </cell>
          <cell r="D201" t="str">
            <v>ERD-233 G125 OPAL 9W 3000K E27 LED BULB</v>
          </cell>
          <cell r="E201" t="str">
            <v>CAM METAL OPAL FLAMENT DIMMSIZ G125-BÜYÜK TOP</v>
          </cell>
          <cell r="F201" t="str">
            <v>8539.52.00.00.00</v>
          </cell>
          <cell r="G201" t="str">
            <v>AMPUL</v>
          </cell>
          <cell r="H201" t="str">
            <v>CE21142F50V01</v>
          </cell>
          <cell r="I201" t="str">
            <v>İÇ</v>
          </cell>
          <cell r="J201" t="str">
            <v>AMPUL</v>
          </cell>
          <cell r="K201" t="str">
            <v>ERD-233</v>
          </cell>
          <cell r="L201" t="str">
            <v/>
          </cell>
          <cell r="M201" t="str">
            <v>30.01.2026</v>
          </cell>
          <cell r="N201" t="str">
            <v>ERD-233</v>
          </cell>
          <cell r="O201" t="str">
            <v>HEKA</v>
          </cell>
          <cell r="P201" t="str">
            <v>ADET</v>
          </cell>
          <cell r="Q201" t="str">
            <v>E27</v>
          </cell>
          <cell r="R201" t="str">
            <v>CAM</v>
          </cell>
          <cell r="S201" t="str">
            <v>OPAL</v>
          </cell>
          <cell r="T201" t="str">
            <v>METAL</v>
          </cell>
          <cell r="V201" t="str">
            <v>E</v>
          </cell>
          <cell r="W201" t="str">
            <v>FLAMENT</v>
          </cell>
          <cell r="X201" t="str">
            <v>220V</v>
          </cell>
          <cell r="Y201" t="str">
            <v>9 WATT</v>
          </cell>
          <cell r="Z201" t="str">
            <v>3000 K</v>
          </cell>
          <cell r="AA201" t="str">
            <v>DIMMSIZ</v>
          </cell>
          <cell r="AB201" t="str">
            <v>1001-1100</v>
          </cell>
          <cell r="AC201" t="str">
            <v>G125-BÜYÜK TOP</v>
          </cell>
          <cell r="AD201" t="str">
            <v>N/A</v>
          </cell>
          <cell r="AF201">
            <v>750</v>
          </cell>
          <cell r="AG201" t="str">
            <v>ADET</v>
          </cell>
          <cell r="AH201">
            <v>1.135</v>
          </cell>
          <cell r="AI201" t="str">
            <v>USD</v>
          </cell>
          <cell r="AJ201">
            <v>7.5</v>
          </cell>
          <cell r="AK201" t="str">
            <v>USD</v>
          </cell>
          <cell r="AL201">
            <v>1</v>
          </cell>
          <cell r="AM201" t="str">
            <v>8684127503891</v>
          </cell>
          <cell r="AN201" t="str">
            <v>8684127500623</v>
          </cell>
          <cell r="AO201">
            <v>0</v>
          </cell>
          <cell r="AQ201">
            <v>12.5</v>
          </cell>
          <cell r="AR201" t="str">
            <v>CM</v>
          </cell>
          <cell r="AS201">
            <v>12.5</v>
          </cell>
          <cell r="AT201" t="str">
            <v>CM</v>
          </cell>
          <cell r="AU201">
            <v>0</v>
          </cell>
          <cell r="AW201">
            <v>0</v>
          </cell>
        </row>
        <row r="202">
          <cell r="B202" t="str">
            <v>H1C6JMEECTD-063</v>
          </cell>
          <cell r="C202" t="str">
            <v>SOLİ SALON ESKİTME AVİZE 6 LI</v>
          </cell>
          <cell r="D202" t="str">
            <v>SOLİ LIVING ROOM BRASS CHANDELIER 5 BULB</v>
          </cell>
          <cell r="E202" t="str">
            <v xml:space="preserve">METAL CAM  ESKİTME SOFT   </v>
          </cell>
          <cell r="F202" t="str">
            <v>9405.11.90.00.00</v>
          </cell>
          <cell r="G202" t="str">
            <v>AVİZE</v>
          </cell>
          <cell r="H202" t="str">
            <v>T1A6112100-06</v>
          </cell>
          <cell r="I202" t="str">
            <v>İÇ</v>
          </cell>
          <cell r="J202" t="str">
            <v>AVİZE.SARK</v>
          </cell>
          <cell r="K202" t="str">
            <v>SOLİ</v>
          </cell>
          <cell r="L202" t="str">
            <v/>
          </cell>
          <cell r="M202" t="str">
            <v/>
          </cell>
          <cell r="N202" t="str">
            <v>JM8009-6-BR</v>
          </cell>
          <cell r="O202" t="str">
            <v>HEKA</v>
          </cell>
          <cell r="P202" t="str">
            <v>ADET</v>
          </cell>
          <cell r="Q202" t="str">
            <v>LED</v>
          </cell>
          <cell r="R202" t="str">
            <v>METAL</v>
          </cell>
          <cell r="S202" t="str">
            <v>ESKİTME</v>
          </cell>
          <cell r="T202" t="str">
            <v>CAM</v>
          </cell>
          <cell r="U202" t="str">
            <v>SOFT</v>
          </cell>
          <cell r="AD202" t="str">
            <v>DİKDÖRTGEN</v>
          </cell>
          <cell r="AE202" t="str">
            <v>01</v>
          </cell>
          <cell r="AF202">
            <v>0</v>
          </cell>
          <cell r="AG202" t="str">
            <v>ADET</v>
          </cell>
          <cell r="AH202">
            <v>510</v>
          </cell>
          <cell r="AI202" t="str">
            <v>CNY</v>
          </cell>
          <cell r="AJ202">
            <v>22750</v>
          </cell>
          <cell r="AK202" t="str">
            <v>TL</v>
          </cell>
          <cell r="AL202">
            <v>1</v>
          </cell>
          <cell r="AM202" t="str">
            <v>8684127502726</v>
          </cell>
          <cell r="AO202">
            <v>0</v>
          </cell>
          <cell r="AQ202">
            <v>65</v>
          </cell>
          <cell r="AR202" t="str">
            <v>CM</v>
          </cell>
          <cell r="AS202">
            <v>45</v>
          </cell>
          <cell r="AT202" t="str">
            <v>CM</v>
          </cell>
          <cell r="AU202">
            <v>0</v>
          </cell>
          <cell r="AW202">
            <v>0</v>
          </cell>
        </row>
        <row r="203">
          <cell r="B203" t="str">
            <v>H1W6JMELCTL-100</v>
          </cell>
          <cell r="C203" t="str">
            <v>ASSOS LED ESKİTME APLİK 100cm</v>
          </cell>
          <cell r="D203" t="str">
            <v>ASSOS LED BRUSHED BRASS WALL LAMP 100cm</v>
          </cell>
          <cell r="E203" t="str">
            <v>METAL PLEKSİ ESKİTME SOFT</v>
          </cell>
          <cell r="F203" t="str">
            <v>9405.11.90.00.00</v>
          </cell>
          <cell r="G203" t="str">
            <v>APLİK</v>
          </cell>
          <cell r="H203" t="str">
            <v>T1W611810-100</v>
          </cell>
          <cell r="I203" t="str">
            <v>İÇ</v>
          </cell>
          <cell r="J203" t="str">
            <v>APLİK</v>
          </cell>
          <cell r="K203" t="str">
            <v>ASSOS</v>
          </cell>
          <cell r="L203" t="str">
            <v/>
          </cell>
          <cell r="M203" t="str">
            <v/>
          </cell>
          <cell r="N203" t="str">
            <v>HKA-24386</v>
          </cell>
          <cell r="O203" t="str">
            <v>HEKA</v>
          </cell>
          <cell r="P203" t="str">
            <v>ADET</v>
          </cell>
          <cell r="Q203" t="str">
            <v>LED</v>
          </cell>
          <cell r="R203" t="str">
            <v>METAL</v>
          </cell>
          <cell r="S203" t="str">
            <v>ESKİTME</v>
          </cell>
          <cell r="T203" t="str">
            <v>PLEKSİ</v>
          </cell>
          <cell r="U203" t="str">
            <v>SOFT</v>
          </cell>
          <cell r="AD203" t="str">
            <v>DÜZ</v>
          </cell>
          <cell r="AF203">
            <v>17</v>
          </cell>
          <cell r="AG203" t="str">
            <v>ADET</v>
          </cell>
          <cell r="AH203">
            <v>112</v>
          </cell>
          <cell r="AI203" t="str">
            <v>CNY</v>
          </cell>
          <cell r="AJ203">
            <v>7700</v>
          </cell>
          <cell r="AK203" t="str">
            <v>TL</v>
          </cell>
          <cell r="AL203">
            <v>1</v>
          </cell>
          <cell r="AM203" t="str">
            <v>8684127501552</v>
          </cell>
          <cell r="AO203">
            <v>0</v>
          </cell>
          <cell r="AQ203">
            <v>100</v>
          </cell>
          <cell r="AR203" t="str">
            <v>CM</v>
          </cell>
          <cell r="AS203">
            <v>8</v>
          </cell>
          <cell r="AT203" t="str">
            <v>CM</v>
          </cell>
          <cell r="AU203">
            <v>0</v>
          </cell>
          <cell r="AW203">
            <v>0</v>
          </cell>
        </row>
        <row r="204">
          <cell r="B204" t="str">
            <v>CG2E1C102E3H0</v>
          </cell>
          <cell r="C204" t="str">
            <v>ERD-43 G45 BAL 6W 2500K E27 LED AMPUL</v>
          </cell>
          <cell r="D204" t="str">
            <v>ERD-43 G45 AMBER 6W 2500K E27 LED BULB</v>
          </cell>
          <cell r="E204" t="str">
            <v>CAM METAL BAL FLAMENT DIMMSIZ G45</v>
          </cell>
          <cell r="F204" t="str">
            <v>8539.52.00.00.00</v>
          </cell>
          <cell r="G204" t="str">
            <v>AMPUL</v>
          </cell>
          <cell r="H204" t="str">
            <v>CF21112D30V02</v>
          </cell>
          <cell r="I204" t="str">
            <v>İÇ</v>
          </cell>
          <cell r="J204" t="str">
            <v>AMPUL</v>
          </cell>
          <cell r="K204" t="str">
            <v>ERD-43</v>
          </cell>
          <cell r="L204" t="str">
            <v/>
          </cell>
          <cell r="M204" t="str">
            <v/>
          </cell>
          <cell r="N204" t="str">
            <v>ERD-43</v>
          </cell>
          <cell r="O204" t="str">
            <v>HEKA</v>
          </cell>
          <cell r="P204" t="str">
            <v>ADET</v>
          </cell>
          <cell r="Q204" t="str">
            <v>E27</v>
          </cell>
          <cell r="R204" t="str">
            <v>CAM</v>
          </cell>
          <cell r="S204" t="str">
            <v>BAL</v>
          </cell>
          <cell r="T204" t="str">
            <v>METAL</v>
          </cell>
          <cell r="V204" t="str">
            <v>E</v>
          </cell>
          <cell r="W204" t="str">
            <v>FLAMENT</v>
          </cell>
          <cell r="X204" t="str">
            <v>220V</v>
          </cell>
          <cell r="Y204" t="str">
            <v>6 WATT</v>
          </cell>
          <cell r="Z204" t="str">
            <v>2500 K</v>
          </cell>
          <cell r="AA204" t="str">
            <v>DIMMSIZ</v>
          </cell>
          <cell r="AB204" t="str">
            <v>701-800</v>
          </cell>
          <cell r="AC204" t="str">
            <v>G45</v>
          </cell>
          <cell r="AD204" t="str">
            <v>N/A</v>
          </cell>
          <cell r="AF204">
            <v>2925</v>
          </cell>
          <cell r="AG204" t="str">
            <v>ADET</v>
          </cell>
          <cell r="AH204">
            <v>0.38500000000000001</v>
          </cell>
          <cell r="AI204" t="str">
            <v>USD</v>
          </cell>
          <cell r="AJ204">
            <v>2.1</v>
          </cell>
          <cell r="AK204" t="str">
            <v>USD</v>
          </cell>
          <cell r="AL204">
            <v>1</v>
          </cell>
          <cell r="AM204" t="str">
            <v>8684127519342</v>
          </cell>
          <cell r="AN204" t="str">
            <v>8684127519359</v>
          </cell>
          <cell r="AO204">
            <v>0</v>
          </cell>
          <cell r="AQ204">
            <v>4.5</v>
          </cell>
          <cell r="AR204" t="str">
            <v>CM</v>
          </cell>
          <cell r="AS204">
            <v>4.5</v>
          </cell>
          <cell r="AT204" t="str">
            <v>CM</v>
          </cell>
          <cell r="AU204">
            <v>0</v>
          </cell>
          <cell r="AW204">
            <v>0</v>
          </cell>
        </row>
        <row r="205">
          <cell r="B205" t="str">
            <v>CA2F1C1M2E3M0</v>
          </cell>
          <cell r="C205" t="str">
            <v>ERD-37 A60 BAL 6W 2500K E27 LED AMPUL</v>
          </cell>
          <cell r="D205" t="str">
            <v>ERD-37 A60 AMBER 6W 2500K E27 LED BULB</v>
          </cell>
          <cell r="E205" t="str">
            <v>CAM METAL BAL FLAMENT DIMMSIZ A60</v>
          </cell>
          <cell r="F205" t="str">
            <v>8539.52.00.00.00</v>
          </cell>
          <cell r="G205" t="str">
            <v>AMPUL</v>
          </cell>
          <cell r="H205" t="str">
            <v>CF21112D30000</v>
          </cell>
          <cell r="I205" t="str">
            <v>İÇ</v>
          </cell>
          <cell r="J205" t="str">
            <v>AMPUL</v>
          </cell>
          <cell r="K205" t="str">
            <v>ERD-37</v>
          </cell>
          <cell r="L205" t="str">
            <v/>
          </cell>
          <cell r="M205" t="str">
            <v>30.01.2026</v>
          </cell>
          <cell r="N205" t="str">
            <v>ERD-37</v>
          </cell>
          <cell r="O205" t="str">
            <v>HEKA</v>
          </cell>
          <cell r="P205" t="str">
            <v>ADET</v>
          </cell>
          <cell r="Q205" t="str">
            <v>E27</v>
          </cell>
          <cell r="R205" t="str">
            <v>CAM</v>
          </cell>
          <cell r="S205" t="str">
            <v>BAL</v>
          </cell>
          <cell r="T205" t="str">
            <v>METAL</v>
          </cell>
          <cell r="V205" t="str">
            <v>F</v>
          </cell>
          <cell r="W205" t="str">
            <v>FLAMENT</v>
          </cell>
          <cell r="X205" t="str">
            <v>220V</v>
          </cell>
          <cell r="Y205" t="str">
            <v>6 WATT</v>
          </cell>
          <cell r="Z205" t="str">
            <v>2500 K</v>
          </cell>
          <cell r="AA205" t="str">
            <v>DIMMSIZ</v>
          </cell>
          <cell r="AB205" t="str">
            <v>501-600</v>
          </cell>
          <cell r="AC205" t="str">
            <v>A60</v>
          </cell>
          <cell r="AD205" t="str">
            <v>N/A</v>
          </cell>
          <cell r="AF205">
            <v>1254</v>
          </cell>
          <cell r="AG205" t="str">
            <v>ADET</v>
          </cell>
          <cell r="AH205">
            <v>0.39</v>
          </cell>
          <cell r="AI205" t="str">
            <v>USD</v>
          </cell>
          <cell r="AJ205">
            <v>2.1</v>
          </cell>
          <cell r="AK205" t="str">
            <v>USD</v>
          </cell>
          <cell r="AL205">
            <v>1</v>
          </cell>
          <cell r="AM205" t="str">
            <v>8684127500104</v>
          </cell>
          <cell r="AN205" t="str">
            <v>8684127500500</v>
          </cell>
          <cell r="AO205">
            <v>0</v>
          </cell>
          <cell r="AQ205">
            <v>6</v>
          </cell>
          <cell r="AR205" t="str">
            <v>CM</v>
          </cell>
          <cell r="AS205">
            <v>6</v>
          </cell>
          <cell r="AT205" t="str">
            <v>CM</v>
          </cell>
          <cell r="AU205">
            <v>0</v>
          </cell>
          <cell r="AW205">
            <v>0</v>
          </cell>
        </row>
        <row r="206">
          <cell r="B206" t="str">
            <v>H1T2JMEECTR-056</v>
          </cell>
          <cell r="C206" t="str">
            <v>BERDE PİRİNÇ ESKİTME MASA LAMBASI</v>
          </cell>
          <cell r="D206" t="str">
            <v>BERDE BRUSHED BRASS TABLE LAMP</v>
          </cell>
          <cell r="E206" t="str">
            <v>METAL CAM ESKİTME SOFT</v>
          </cell>
          <cell r="F206" t="str">
            <v>9405.19.90.00.00</v>
          </cell>
          <cell r="G206" t="str">
            <v>MASA LAMBASI</v>
          </cell>
          <cell r="H206" t="str">
            <v>H1N2112100-20</v>
          </cell>
          <cell r="I206" t="str">
            <v>İÇ</v>
          </cell>
          <cell r="J206" t="str">
            <v>MASAABAJ</v>
          </cell>
          <cell r="K206" t="str">
            <v>BERDE</v>
          </cell>
          <cell r="L206" t="str">
            <v/>
          </cell>
          <cell r="M206" t="str">
            <v/>
          </cell>
          <cell r="N206" t="str">
            <v/>
          </cell>
          <cell r="O206" t="str">
            <v>HEKA</v>
          </cell>
          <cell r="P206" t="str">
            <v>ADET</v>
          </cell>
          <cell r="Q206" t="str">
            <v>E27</v>
          </cell>
          <cell r="R206" t="str">
            <v>METAL</v>
          </cell>
          <cell r="S206" t="str">
            <v>ESKİTME</v>
          </cell>
          <cell r="T206" t="str">
            <v>CAM</v>
          </cell>
          <cell r="U206" t="str">
            <v>SOFT</v>
          </cell>
          <cell r="AD206" t="str">
            <v>DAİRE</v>
          </cell>
          <cell r="AE206" t="str">
            <v>02</v>
          </cell>
          <cell r="AF206">
            <v>0</v>
          </cell>
          <cell r="AG206" t="str">
            <v>ADET</v>
          </cell>
          <cell r="AH206">
            <v>160</v>
          </cell>
          <cell r="AI206" t="str">
            <v>TL</v>
          </cell>
          <cell r="AJ206">
            <v>1920</v>
          </cell>
          <cell r="AK206" t="str">
            <v>TL</v>
          </cell>
          <cell r="AL206">
            <v>1</v>
          </cell>
          <cell r="AM206" t="str">
            <v>8684127509961</v>
          </cell>
          <cell r="AO206">
            <v>0</v>
          </cell>
          <cell r="AQ206">
            <v>30</v>
          </cell>
          <cell r="AR206" t="str">
            <v>CM</v>
          </cell>
          <cell r="AS206">
            <v>56</v>
          </cell>
          <cell r="AT206" t="str">
            <v>CM</v>
          </cell>
          <cell r="AU206">
            <v>0</v>
          </cell>
          <cell r="AW206">
            <v>0</v>
          </cell>
        </row>
        <row r="207">
          <cell r="B207" t="str">
            <v>H1C2JMEECTR-015</v>
          </cell>
          <cell r="C207" t="str">
            <v>HUDAT SIVAMA ESKİTME SARKIT 15cm</v>
          </cell>
          <cell r="D207" t="str">
            <v>HUDAT BURSHED BRASS PENDANT 15cm</v>
          </cell>
          <cell r="E207" t="str">
            <v>METAL CAM ESKİTME SOFT</v>
          </cell>
          <cell r="F207" t="str">
            <v>9405.19.90.00.00</v>
          </cell>
          <cell r="G207" t="str">
            <v>AVİZE</v>
          </cell>
          <cell r="H207" t="str">
            <v>H1A2112101-15</v>
          </cell>
          <cell r="I207" t="str">
            <v>İÇ</v>
          </cell>
          <cell r="J207" t="str">
            <v>AVİZE.SARK</v>
          </cell>
          <cell r="K207" t="str">
            <v>HUDAT</v>
          </cell>
          <cell r="L207" t="str">
            <v/>
          </cell>
          <cell r="M207" t="str">
            <v/>
          </cell>
          <cell r="N207" t="str">
            <v/>
          </cell>
          <cell r="O207" t="str">
            <v>HEKA</v>
          </cell>
          <cell r="P207" t="str">
            <v>ADET</v>
          </cell>
          <cell r="Q207" t="str">
            <v>E27</v>
          </cell>
          <cell r="R207" t="str">
            <v>METAL</v>
          </cell>
          <cell r="S207" t="str">
            <v>ESKİTME</v>
          </cell>
          <cell r="T207" t="str">
            <v>CAM</v>
          </cell>
          <cell r="U207" t="str">
            <v>SOFT</v>
          </cell>
          <cell r="AD207" t="str">
            <v>DAİRE</v>
          </cell>
          <cell r="AE207" t="str">
            <v>02</v>
          </cell>
          <cell r="AF207">
            <v>0</v>
          </cell>
          <cell r="AG207" t="str">
            <v>ADET</v>
          </cell>
          <cell r="AH207">
            <v>55</v>
          </cell>
          <cell r="AI207" t="str">
            <v>TL</v>
          </cell>
          <cell r="AJ207">
            <v>560</v>
          </cell>
          <cell r="AK207" t="str">
            <v>TL</v>
          </cell>
          <cell r="AL207">
            <v>1</v>
          </cell>
          <cell r="AM207" t="str">
            <v>8684127509978</v>
          </cell>
          <cell r="AO207">
            <v>0</v>
          </cell>
          <cell r="AQ207">
            <v>0</v>
          </cell>
          <cell r="AR207" t="str">
            <v>CM</v>
          </cell>
          <cell r="AS207">
            <v>15</v>
          </cell>
          <cell r="AT207" t="str">
            <v>CM</v>
          </cell>
          <cell r="AU207">
            <v>0</v>
          </cell>
          <cell r="AW207">
            <v>0</v>
          </cell>
        </row>
        <row r="208">
          <cell r="B208" t="str">
            <v>H1W2JMKECS0-060</v>
          </cell>
          <cell r="C208" t="str">
            <v>SÜMELA KROM APLİK 60cm</v>
          </cell>
          <cell r="D208" t="str">
            <v>SÜMELA CHROME WALL LAMP 60cm</v>
          </cell>
          <cell r="E208" t="str">
            <v>METAL CAM KROM ŞEFFAF</v>
          </cell>
          <cell r="F208" t="str">
            <v>9405.19.90.00.00</v>
          </cell>
          <cell r="G208" t="str">
            <v>APLİK</v>
          </cell>
          <cell r="H208" t="str">
            <v>H1W1132400-60</v>
          </cell>
          <cell r="I208" t="str">
            <v>İÇ</v>
          </cell>
          <cell r="J208" t="str">
            <v>APLİK</v>
          </cell>
          <cell r="K208" t="str">
            <v>SÜMELA</v>
          </cell>
          <cell r="L208" t="str">
            <v/>
          </cell>
          <cell r="M208" t="str">
            <v>ÜRTM:15GÜN</v>
          </cell>
          <cell r="N208" t="str">
            <v>FZ1023-PCH-60</v>
          </cell>
          <cell r="O208" t="str">
            <v>HEKA</v>
          </cell>
          <cell r="P208" t="str">
            <v>ADET</v>
          </cell>
          <cell r="Q208" t="str">
            <v>E14</v>
          </cell>
          <cell r="R208" t="str">
            <v>METAL</v>
          </cell>
          <cell r="S208" t="str">
            <v>KROM</v>
          </cell>
          <cell r="T208" t="str">
            <v>CAM</v>
          </cell>
          <cell r="U208" t="str">
            <v>ŞEFFAF</v>
          </cell>
          <cell r="AD208" t="str">
            <v>N/A</v>
          </cell>
          <cell r="AE208" t="str">
            <v>03</v>
          </cell>
          <cell r="AF208">
            <v>3</v>
          </cell>
          <cell r="AG208" t="str">
            <v>ADET</v>
          </cell>
          <cell r="AH208">
            <v>350</v>
          </cell>
          <cell r="AI208" t="str">
            <v>TL</v>
          </cell>
          <cell r="AJ208">
            <v>6256</v>
          </cell>
          <cell r="AK208" t="str">
            <v>TL</v>
          </cell>
          <cell r="AL208">
            <v>1</v>
          </cell>
          <cell r="AM208" t="str">
            <v>8684127502955</v>
          </cell>
          <cell r="AO208">
            <v>0</v>
          </cell>
          <cell r="AQ208">
            <v>0</v>
          </cell>
          <cell r="AR208" t="str">
            <v>CM</v>
          </cell>
          <cell r="AS208">
            <v>0</v>
          </cell>
          <cell r="AT208" t="str">
            <v>CM</v>
          </cell>
          <cell r="AU208">
            <v>0</v>
          </cell>
          <cell r="AW208">
            <v>0</v>
          </cell>
        </row>
        <row r="209">
          <cell r="B209" t="str">
            <v>CK2G1C2M2E240</v>
          </cell>
          <cell r="C209" t="str">
            <v>ERD-242 FÜME 6W 2200K BOYNUZ BÜYÜK E27 LED AMPUL</v>
          </cell>
          <cell r="D209" t="str">
            <v>ERD-242 SMOKY 6W 2200K HORN BIG E27 LED BULB</v>
          </cell>
          <cell r="E209" t="str">
            <v>CAM METAL FÜME FLAMENT DIMMSIZ KARMA</v>
          </cell>
          <cell r="F209" t="str">
            <v>8539.52.00.00.00</v>
          </cell>
          <cell r="G209" t="str">
            <v>AVİZE</v>
          </cell>
          <cell r="H209" t="str">
            <v>CG21122D21T00</v>
          </cell>
          <cell r="I209" t="str">
            <v>İÇ</v>
          </cell>
          <cell r="J209" t="str">
            <v>AMPUL</v>
          </cell>
          <cell r="K209" t="str">
            <v>ERD-242</v>
          </cell>
          <cell r="L209" t="str">
            <v/>
          </cell>
          <cell r="M209" t="str">
            <v/>
          </cell>
          <cell r="N209" t="str">
            <v>ERD-242</v>
          </cell>
          <cell r="O209" t="str">
            <v>HEKA</v>
          </cell>
          <cell r="P209" t="str">
            <v>ADET</v>
          </cell>
          <cell r="Q209" t="str">
            <v>E27</v>
          </cell>
          <cell r="R209" t="str">
            <v>CAM</v>
          </cell>
          <cell r="S209" t="str">
            <v>FÜME</v>
          </cell>
          <cell r="T209" t="str">
            <v>METAL</v>
          </cell>
          <cell r="V209" t="str">
            <v>G</v>
          </cell>
          <cell r="W209" t="str">
            <v>FLAMENT</v>
          </cell>
          <cell r="X209" t="str">
            <v>220V</v>
          </cell>
          <cell r="Y209" t="str">
            <v>6 WATT</v>
          </cell>
          <cell r="Z209" t="str">
            <v>2200 K</v>
          </cell>
          <cell r="AA209" t="str">
            <v>DIMMSIZ</v>
          </cell>
          <cell r="AB209" t="str">
            <v>101-200</v>
          </cell>
          <cell r="AC209" t="str">
            <v>KARMA</v>
          </cell>
          <cell r="AD209" t="str">
            <v>N/A</v>
          </cell>
          <cell r="AF209">
            <v>269</v>
          </cell>
          <cell r="AG209" t="str">
            <v>ADET</v>
          </cell>
          <cell r="AH209">
            <v>80</v>
          </cell>
          <cell r="AI209" t="str">
            <v>CNY</v>
          </cell>
          <cell r="AJ209">
            <v>64</v>
          </cell>
          <cell r="AK209" t="str">
            <v>USD</v>
          </cell>
          <cell r="AL209">
            <v>1</v>
          </cell>
          <cell r="AM209" t="str">
            <v>8684127503808</v>
          </cell>
          <cell r="AO209">
            <v>0</v>
          </cell>
          <cell r="AQ209">
            <v>4</v>
          </cell>
          <cell r="AR209" t="str">
            <v>CM</v>
          </cell>
          <cell r="AS209">
            <v>21</v>
          </cell>
          <cell r="AT209" t="str">
            <v>CM</v>
          </cell>
          <cell r="AU209">
            <v>0</v>
          </cell>
          <cell r="AW209">
            <v>0</v>
          </cell>
        </row>
        <row r="210">
          <cell r="B210" t="str">
            <v>CK2G1C1A2D2Y1</v>
          </cell>
          <cell r="C210" t="str">
            <v>ERD-1881/1 BAL 5W 2200K K.ATATÜRK E27 LED AMPUL</v>
          </cell>
          <cell r="D210" t="str">
            <v>ERD-1881/1 AMBER 5W 2200K K.ATATÜRK E27 LED BULB</v>
          </cell>
          <cell r="E210" t="str">
            <v>CAM ATATÜRK BAL FLAMENT DIMMLI KARMA</v>
          </cell>
          <cell r="F210" t="str">
            <v>8539.52.00.00.00</v>
          </cell>
          <cell r="G210" t="str">
            <v>AVİZE</v>
          </cell>
          <cell r="H210" t="str">
            <v>CG21112C21T01</v>
          </cell>
          <cell r="I210" t="str">
            <v>İÇ</v>
          </cell>
          <cell r="J210" t="str">
            <v>AMPUL</v>
          </cell>
          <cell r="K210" t="str">
            <v>ERD-1881/1</v>
          </cell>
          <cell r="L210" t="str">
            <v/>
          </cell>
          <cell r="M210" t="str">
            <v/>
          </cell>
          <cell r="N210" t="str">
            <v>ERD-1881/1</v>
          </cell>
          <cell r="O210" t="str">
            <v>HEKA</v>
          </cell>
          <cell r="P210" t="str">
            <v>ADET</v>
          </cell>
          <cell r="Q210" t="str">
            <v>E27</v>
          </cell>
          <cell r="R210" t="str">
            <v>CAM</v>
          </cell>
          <cell r="S210" t="str">
            <v>BAL</v>
          </cell>
          <cell r="T210" t="str">
            <v>ATATÜRK</v>
          </cell>
          <cell r="V210" t="str">
            <v>G</v>
          </cell>
          <cell r="W210" t="str">
            <v>FLAMENT</v>
          </cell>
          <cell r="X210" t="str">
            <v>220V</v>
          </cell>
          <cell r="Y210" t="str">
            <v>5 WATT</v>
          </cell>
          <cell r="Z210" t="str">
            <v>2200 K</v>
          </cell>
          <cell r="AA210" t="str">
            <v>DIMMLI</v>
          </cell>
          <cell r="AB210" t="str">
            <v>101-200</v>
          </cell>
          <cell r="AC210" t="str">
            <v>KARMA</v>
          </cell>
          <cell r="AD210" t="str">
            <v>N/A</v>
          </cell>
          <cell r="AF210">
            <v>269</v>
          </cell>
          <cell r="AG210" t="str">
            <v>ADET</v>
          </cell>
          <cell r="AH210">
            <v>11.65</v>
          </cell>
          <cell r="AI210" t="str">
            <v>USD</v>
          </cell>
          <cell r="AJ210">
            <v>55</v>
          </cell>
          <cell r="AK210" t="str">
            <v>USD</v>
          </cell>
          <cell r="AL210">
            <v>1</v>
          </cell>
          <cell r="AM210" t="str">
            <v>8684127503730</v>
          </cell>
          <cell r="AN210" t="str">
            <v>8684127500838</v>
          </cell>
          <cell r="AO210">
            <v>0</v>
          </cell>
          <cell r="AQ210">
            <v>16</v>
          </cell>
          <cell r="AR210" t="str">
            <v>CM</v>
          </cell>
          <cell r="AS210">
            <v>16</v>
          </cell>
          <cell r="AT210" t="str">
            <v>CM</v>
          </cell>
          <cell r="AU210">
            <v>0</v>
          </cell>
          <cell r="AW210">
            <v>0</v>
          </cell>
        </row>
        <row r="211">
          <cell r="B211" t="str">
            <v>CK2G1C1Y2D2Y1</v>
          </cell>
          <cell r="C211" t="str">
            <v>ERD-1923/1 BAL 5W 2200K AY-YILDIZ E27 LED AMPUL</v>
          </cell>
          <cell r="D211" t="str">
            <v>ERD-1923/1 AMBER 5W 2200K TURKEY FLAG E27 LED BULB</v>
          </cell>
          <cell r="E211" t="str">
            <v>CAM AY-YILDIZ BAL FLAMENT DIMMLI KARMA</v>
          </cell>
          <cell r="F211" t="str">
            <v>8539.52.00.00.00</v>
          </cell>
          <cell r="G211" t="str">
            <v>AVİZE</v>
          </cell>
          <cell r="H211" t="str">
            <v>CG21112C21T03</v>
          </cell>
          <cell r="I211" t="str">
            <v>İÇ</v>
          </cell>
          <cell r="J211" t="str">
            <v>AMPUL</v>
          </cell>
          <cell r="K211" t="str">
            <v>ERD-1923/1</v>
          </cell>
          <cell r="L211" t="str">
            <v/>
          </cell>
          <cell r="M211" t="str">
            <v/>
          </cell>
          <cell r="N211" t="str">
            <v>ERD-1923/1</v>
          </cell>
          <cell r="O211" t="str">
            <v>HEKA</v>
          </cell>
          <cell r="P211" t="str">
            <v>ADET</v>
          </cell>
          <cell r="Q211" t="str">
            <v>E27</v>
          </cell>
          <cell r="R211" t="str">
            <v>CAM</v>
          </cell>
          <cell r="S211" t="str">
            <v>BAL</v>
          </cell>
          <cell r="T211" t="str">
            <v>AY-YILDIZ</v>
          </cell>
          <cell r="V211" t="str">
            <v>G</v>
          </cell>
          <cell r="W211" t="str">
            <v>FLAMENT</v>
          </cell>
          <cell r="X211" t="str">
            <v>220V</v>
          </cell>
          <cell r="Y211" t="str">
            <v>5 WATT</v>
          </cell>
          <cell r="Z211" t="str">
            <v>2200 K</v>
          </cell>
          <cell r="AA211" t="str">
            <v>DIMMLI</v>
          </cell>
          <cell r="AB211" t="str">
            <v>101-200</v>
          </cell>
          <cell r="AC211" t="str">
            <v>KARMA</v>
          </cell>
          <cell r="AD211" t="str">
            <v>N/A</v>
          </cell>
          <cell r="AF211">
            <v>124</v>
          </cell>
          <cell r="AG211" t="str">
            <v>ADET</v>
          </cell>
          <cell r="AH211">
            <v>11.6</v>
          </cell>
          <cell r="AI211" t="str">
            <v>USD</v>
          </cell>
          <cell r="AJ211">
            <v>55</v>
          </cell>
          <cell r="AK211" t="str">
            <v>USD</v>
          </cell>
          <cell r="AL211">
            <v>1</v>
          </cell>
          <cell r="AM211" t="str">
            <v>8684127503693</v>
          </cell>
          <cell r="AN211" t="str">
            <v>8699089462106</v>
          </cell>
          <cell r="AO211">
            <v>0</v>
          </cell>
          <cell r="AQ211">
            <v>16</v>
          </cell>
          <cell r="AR211" t="str">
            <v>CM</v>
          </cell>
          <cell r="AS211">
            <v>16</v>
          </cell>
          <cell r="AT211" t="str">
            <v>CM</v>
          </cell>
          <cell r="AU211">
            <v>0</v>
          </cell>
          <cell r="AW211">
            <v>0</v>
          </cell>
        </row>
        <row r="212">
          <cell r="B212" t="str">
            <v>C5522</v>
          </cell>
          <cell r="C212" t="str">
            <v>1-3 POWER LED TRAFOSU</v>
          </cell>
          <cell r="D212" t="str">
            <v/>
          </cell>
          <cell r="E212" t="str">
            <v/>
          </cell>
          <cell r="F212" t="str">
            <v/>
          </cell>
          <cell r="G212" t="str">
            <v/>
          </cell>
          <cell r="H212" t="str">
            <v>C5522</v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>15.01.2024</v>
          </cell>
          <cell r="N212" t="str">
            <v/>
          </cell>
          <cell r="P212" t="str">
            <v>ADET</v>
          </cell>
          <cell r="AF212">
            <v>0</v>
          </cell>
          <cell r="AG212" t="str">
            <v>ADET</v>
          </cell>
          <cell r="AH212">
            <v>8.0500000000000007</v>
          </cell>
          <cell r="AI212" t="str">
            <v>TL</v>
          </cell>
          <cell r="AL212">
            <v>0</v>
          </cell>
          <cell r="AM212" t="str">
            <v>1234567150741</v>
          </cell>
          <cell r="AO212">
            <v>0</v>
          </cell>
          <cell r="AQ212">
            <v>0</v>
          </cell>
          <cell r="AS212">
            <v>0</v>
          </cell>
          <cell r="AU212">
            <v>0</v>
          </cell>
          <cell r="AW212">
            <v>0</v>
          </cell>
        </row>
        <row r="213">
          <cell r="B213" t="str">
            <v>T1C2ERFJRS0-025</v>
          </cell>
          <cell r="C213" t="str">
            <v>TABIT TEKLİ FÜME CAM AVİZE</v>
          </cell>
          <cell r="D213" t="str">
            <v>TABIT SINGLE SMOKY GLASS CHANDELIER</v>
          </cell>
          <cell r="E213" t="str">
            <v>CAM METAL FÜME SİYAH</v>
          </cell>
          <cell r="F213" t="str">
            <v>9405.19.50.00.19</v>
          </cell>
          <cell r="G213" t="str">
            <v>AVİZE</v>
          </cell>
          <cell r="H213" t="str">
            <v>T1A1422002-01</v>
          </cell>
          <cell r="I213" t="str">
            <v>İÇ</v>
          </cell>
          <cell r="J213" t="str">
            <v>AVİZE.SARK</v>
          </cell>
          <cell r="K213" t="str">
            <v>TABIT</v>
          </cell>
          <cell r="L213" t="str">
            <v/>
          </cell>
          <cell r="M213" t="str">
            <v/>
          </cell>
          <cell r="N213" t="str">
            <v>MH-05</v>
          </cell>
          <cell r="O213" t="str">
            <v>TOPLAMA</v>
          </cell>
          <cell r="P213" t="str">
            <v>ADET</v>
          </cell>
          <cell r="Q213" t="str">
            <v>E27</v>
          </cell>
          <cell r="R213" t="str">
            <v>CAM</v>
          </cell>
          <cell r="S213" t="str">
            <v>FÜME</v>
          </cell>
          <cell r="T213" t="str">
            <v>METAL</v>
          </cell>
          <cell r="U213" t="str">
            <v>SİYAH</v>
          </cell>
          <cell r="AD213" t="str">
            <v>N/A</v>
          </cell>
          <cell r="AE213" t="str">
            <v>01</v>
          </cell>
          <cell r="AF213">
            <v>9</v>
          </cell>
          <cell r="AG213" t="str">
            <v>ADET</v>
          </cell>
          <cell r="AH213">
            <v>61</v>
          </cell>
          <cell r="AI213" t="str">
            <v>CNY</v>
          </cell>
          <cell r="AJ213">
            <v>3214</v>
          </cell>
          <cell r="AK213" t="str">
            <v>TL</v>
          </cell>
          <cell r="AL213">
            <v>1</v>
          </cell>
          <cell r="AM213" t="str">
            <v>8684127504775</v>
          </cell>
          <cell r="AO213">
            <v>0</v>
          </cell>
          <cell r="AQ213">
            <v>0</v>
          </cell>
          <cell r="AR213" t="str">
            <v>CM</v>
          </cell>
          <cell r="AS213">
            <v>25</v>
          </cell>
          <cell r="AT213" t="str">
            <v>CM</v>
          </cell>
          <cell r="AU213">
            <v>0</v>
          </cell>
          <cell r="AW213">
            <v>0</v>
          </cell>
        </row>
        <row r="214">
          <cell r="B214" t="str">
            <v>T1C2ERLJRS0-027</v>
          </cell>
          <cell r="C214" t="str">
            <v>SUBRA TEKLİ BAL CAM AVİZE</v>
          </cell>
          <cell r="D214" t="str">
            <v>SUBRA SINGLE AMBER GLASS CHANDELIER</v>
          </cell>
          <cell r="E214" t="str">
            <v>CAM METAL BAL SİYAH</v>
          </cell>
          <cell r="F214" t="str">
            <v>9405.19.50.00.19</v>
          </cell>
          <cell r="G214" t="str">
            <v>AVİZE</v>
          </cell>
          <cell r="H214" t="str">
            <v>T1A2314002-01</v>
          </cell>
          <cell r="I214" t="str">
            <v>İÇ</v>
          </cell>
          <cell r="J214" t="str">
            <v>AVİZE.SARK</v>
          </cell>
          <cell r="K214" t="str">
            <v>SUBRA</v>
          </cell>
          <cell r="L214" t="str">
            <v/>
          </cell>
          <cell r="M214" t="str">
            <v/>
          </cell>
          <cell r="N214" t="str">
            <v>MH-09</v>
          </cell>
          <cell r="O214" t="str">
            <v>TOPLAMA</v>
          </cell>
          <cell r="P214" t="str">
            <v>ADET</v>
          </cell>
          <cell r="Q214" t="str">
            <v>E27</v>
          </cell>
          <cell r="R214" t="str">
            <v>CAM</v>
          </cell>
          <cell r="S214" t="str">
            <v>BAL</v>
          </cell>
          <cell r="T214" t="str">
            <v>METAL</v>
          </cell>
          <cell r="U214" t="str">
            <v>SİYAH</v>
          </cell>
          <cell r="AD214" t="str">
            <v>N/A</v>
          </cell>
          <cell r="AE214" t="str">
            <v>01</v>
          </cell>
          <cell r="AF214">
            <v>11</v>
          </cell>
          <cell r="AG214" t="str">
            <v>ADET</v>
          </cell>
          <cell r="AH214">
            <v>57</v>
          </cell>
          <cell r="AI214" t="str">
            <v>CNY</v>
          </cell>
          <cell r="AJ214">
            <v>1190</v>
          </cell>
          <cell r="AK214" t="str">
            <v>TL</v>
          </cell>
          <cell r="AL214">
            <v>1</v>
          </cell>
          <cell r="AM214" t="str">
            <v>8684127504768</v>
          </cell>
          <cell r="AO214">
            <v>0</v>
          </cell>
          <cell r="AQ214">
            <v>0</v>
          </cell>
          <cell r="AR214" t="str">
            <v>CM</v>
          </cell>
          <cell r="AS214">
            <v>27</v>
          </cell>
          <cell r="AT214" t="str">
            <v>CM</v>
          </cell>
          <cell r="AU214">
            <v>0</v>
          </cell>
          <cell r="AW214">
            <v>0</v>
          </cell>
        </row>
        <row r="215">
          <cell r="B215" t="str">
            <v>H1W2JMEECTR-020</v>
          </cell>
          <cell r="C215" t="str">
            <v>BERDE PİRİNÇ ESKİTME APLİK 20cm</v>
          </cell>
          <cell r="D215" t="str">
            <v>BERDE BRUSHED BRASS WALL LAMP 20cm</v>
          </cell>
          <cell r="E215" t="str">
            <v>METAL CAM ESKİTME SOFT</v>
          </cell>
          <cell r="F215" t="str">
            <v>9405.19.90.00.00</v>
          </cell>
          <cell r="G215" t="str">
            <v>APLİK</v>
          </cell>
          <cell r="H215" t="str">
            <v>H1W2112100-20</v>
          </cell>
          <cell r="I215" t="str">
            <v>İÇ</v>
          </cell>
          <cell r="J215" t="str">
            <v>APLİK</v>
          </cell>
          <cell r="K215" t="str">
            <v>BERDE</v>
          </cell>
          <cell r="L215" t="str">
            <v/>
          </cell>
          <cell r="M215" t="str">
            <v/>
          </cell>
          <cell r="N215" t="str">
            <v/>
          </cell>
          <cell r="O215" t="str">
            <v>HEKA</v>
          </cell>
          <cell r="P215" t="str">
            <v>ADET</v>
          </cell>
          <cell r="Q215" t="str">
            <v>E27</v>
          </cell>
          <cell r="R215" t="str">
            <v>METAL</v>
          </cell>
          <cell r="S215" t="str">
            <v>ESKİTME</v>
          </cell>
          <cell r="T215" t="str">
            <v>CAM</v>
          </cell>
          <cell r="U215" t="str">
            <v>SOFT</v>
          </cell>
          <cell r="AD215" t="str">
            <v>DAİRE</v>
          </cell>
          <cell r="AE215" t="str">
            <v>01</v>
          </cell>
          <cell r="AF215">
            <v>4</v>
          </cell>
          <cell r="AG215" t="str">
            <v>ADET</v>
          </cell>
          <cell r="AH215">
            <v>300</v>
          </cell>
          <cell r="AI215" t="str">
            <v>TL</v>
          </cell>
          <cell r="AJ215">
            <v>2971</v>
          </cell>
          <cell r="AK215" t="str">
            <v>TL</v>
          </cell>
          <cell r="AL215">
            <v>1</v>
          </cell>
          <cell r="AM215" t="str">
            <v>8684127505130</v>
          </cell>
          <cell r="AO215">
            <v>0</v>
          </cell>
          <cell r="AQ215">
            <v>20</v>
          </cell>
          <cell r="AR215" t="str">
            <v>CM</v>
          </cell>
          <cell r="AS215">
            <v>20</v>
          </cell>
          <cell r="AT215" t="str">
            <v>CM</v>
          </cell>
          <cell r="AU215">
            <v>0</v>
          </cell>
          <cell r="AW215">
            <v>0</v>
          </cell>
        </row>
        <row r="216">
          <cell r="B216" t="str">
            <v>T1A6112100-03</v>
          </cell>
          <cell r="C216" t="str">
            <v xml:space="preserve">*XYF-6968-3* 3 LÜ SARKIT AYDINLATMA </v>
          </cell>
          <cell r="D216" t="str">
            <v/>
          </cell>
          <cell r="E216" t="str">
            <v/>
          </cell>
          <cell r="F216" t="str">
            <v/>
          </cell>
          <cell r="G216" t="str">
            <v>AVİZE</v>
          </cell>
          <cell r="H216" t="str">
            <v>T1A6112100-03</v>
          </cell>
          <cell r="I216" t="str">
            <v>İÇ</v>
          </cell>
          <cell r="J216" t="str">
            <v>AVİZE.SARK</v>
          </cell>
          <cell r="K216" t="str">
            <v/>
          </cell>
          <cell r="L216" t="str">
            <v/>
          </cell>
          <cell r="M216" t="str">
            <v/>
          </cell>
          <cell r="N216" t="str">
            <v>6968</v>
          </cell>
          <cell r="O216" t="str">
            <v>HEKA</v>
          </cell>
          <cell r="P216" t="str">
            <v>ADET</v>
          </cell>
          <cell r="AF216">
            <v>0</v>
          </cell>
          <cell r="AG216" t="str">
            <v>ADET</v>
          </cell>
          <cell r="AH216">
            <v>850</v>
          </cell>
          <cell r="AI216" t="str">
            <v>TL</v>
          </cell>
          <cell r="AJ216">
            <v>5900</v>
          </cell>
          <cell r="AK216" t="str">
            <v>TL</v>
          </cell>
          <cell r="AL216">
            <v>1</v>
          </cell>
          <cell r="AM216" t="str">
            <v>1234567145761</v>
          </cell>
          <cell r="AO216">
            <v>0</v>
          </cell>
          <cell r="AQ216">
            <v>0</v>
          </cell>
          <cell r="AS216">
            <v>0</v>
          </cell>
          <cell r="AU216">
            <v>0</v>
          </cell>
          <cell r="AW216">
            <v>0</v>
          </cell>
        </row>
        <row r="217">
          <cell r="B217" t="str">
            <v>T1C2ERLJMER-050</v>
          </cell>
          <cell r="C217" t="str">
            <v>KARATAY BAL RENK CAM SARKIT 50cm</v>
          </cell>
          <cell r="D217" t="str">
            <v>KARATAY AMBER COLOR GLASS PENDANT 50cm</v>
          </cell>
          <cell r="E217" t="str">
            <v>CAM METAL BAL ESKİTME</v>
          </cell>
          <cell r="F217" t="str">
            <v>9405.19.50.00.19</v>
          </cell>
          <cell r="G217" t="str">
            <v>AVİZE</v>
          </cell>
          <cell r="H217" t="str">
            <v>T1A2231100-50</v>
          </cell>
          <cell r="I217" t="str">
            <v>İÇ</v>
          </cell>
          <cell r="J217" t="str">
            <v>AVİZE.SARK</v>
          </cell>
          <cell r="K217" t="str">
            <v>KARATAY</v>
          </cell>
          <cell r="L217" t="str">
            <v/>
          </cell>
          <cell r="M217" t="str">
            <v/>
          </cell>
          <cell r="N217" t="str">
            <v>MJ-05A-A</v>
          </cell>
          <cell r="O217" t="str">
            <v>HEKA</v>
          </cell>
          <cell r="P217" t="str">
            <v>ADET</v>
          </cell>
          <cell r="Q217" t="str">
            <v>E27</v>
          </cell>
          <cell r="R217" t="str">
            <v>CAM</v>
          </cell>
          <cell r="S217" t="str">
            <v>BAL</v>
          </cell>
          <cell r="T217" t="str">
            <v>METAL</v>
          </cell>
          <cell r="U217" t="str">
            <v>ESKİTME</v>
          </cell>
          <cell r="AD217" t="str">
            <v>DAİRE</v>
          </cell>
          <cell r="AE217" t="str">
            <v>01</v>
          </cell>
          <cell r="AF217">
            <v>11</v>
          </cell>
          <cell r="AG217" t="str">
            <v>ADET</v>
          </cell>
          <cell r="AH217">
            <v>295</v>
          </cell>
          <cell r="AI217" t="str">
            <v>CNY</v>
          </cell>
          <cell r="AJ217">
            <v>21500</v>
          </cell>
          <cell r="AK217" t="str">
            <v>TL</v>
          </cell>
          <cell r="AL217">
            <v>1</v>
          </cell>
          <cell r="AM217" t="str">
            <v>8684127505598</v>
          </cell>
          <cell r="AO217">
            <v>0</v>
          </cell>
          <cell r="AQ217">
            <v>80</v>
          </cell>
          <cell r="AR217" t="str">
            <v>CM</v>
          </cell>
          <cell r="AS217">
            <v>50</v>
          </cell>
          <cell r="AT217" t="str">
            <v>CM</v>
          </cell>
          <cell r="AU217">
            <v>0</v>
          </cell>
          <cell r="AW217">
            <v>0</v>
          </cell>
        </row>
        <row r="218">
          <cell r="B218" t="str">
            <v>T1C6ERFJMK0-048</v>
          </cell>
          <cell r="C218" t="str">
            <v>NİVA 5 Lİ FÜME CAM SARKIT</v>
          </cell>
          <cell r="D218" t="str">
            <v>NIVA QUINTET SMOKY GLASS PENDANT</v>
          </cell>
          <cell r="E218" t="str">
            <v>CAM METAL FÜME KROM</v>
          </cell>
          <cell r="F218" t="str">
            <v>9405.11.50.00.19</v>
          </cell>
          <cell r="G218" t="str">
            <v>AVİZE</v>
          </cell>
          <cell r="H218" t="str">
            <v>T1A6221300-05</v>
          </cell>
          <cell r="I218" t="str">
            <v>İÇ</v>
          </cell>
          <cell r="J218" t="str">
            <v>AVİZE.SARK</v>
          </cell>
          <cell r="K218" t="str">
            <v>NİVA</v>
          </cell>
          <cell r="L218" t="str">
            <v/>
          </cell>
          <cell r="M218" t="str">
            <v/>
          </cell>
          <cell r="N218" t="str">
            <v>MJ-01</v>
          </cell>
          <cell r="O218" t="str">
            <v>TOPLAMA</v>
          </cell>
          <cell r="P218" t="str">
            <v>ADET</v>
          </cell>
          <cell r="Q218" t="str">
            <v>LED</v>
          </cell>
          <cell r="R218" t="str">
            <v>CAM</v>
          </cell>
          <cell r="S218" t="str">
            <v>FÜME</v>
          </cell>
          <cell r="T218" t="str">
            <v>METAL</v>
          </cell>
          <cell r="U218" t="str">
            <v>KROM</v>
          </cell>
          <cell r="AD218" t="str">
            <v>N/A</v>
          </cell>
          <cell r="AF218">
            <v>0</v>
          </cell>
          <cell r="AG218" t="str">
            <v>ADET</v>
          </cell>
          <cell r="AH218">
            <v>92</v>
          </cell>
          <cell r="AI218" t="str">
            <v>CNY</v>
          </cell>
          <cell r="AJ218">
            <v>3013</v>
          </cell>
          <cell r="AK218" t="str">
            <v>TL</v>
          </cell>
          <cell r="AL218">
            <v>1</v>
          </cell>
          <cell r="AM218" t="str">
            <v>8684127505505</v>
          </cell>
          <cell r="AO218">
            <v>0</v>
          </cell>
          <cell r="AQ218">
            <v>30</v>
          </cell>
          <cell r="AR218" t="str">
            <v>CM</v>
          </cell>
          <cell r="AS218">
            <v>48</v>
          </cell>
          <cell r="AT218" t="str">
            <v>CM</v>
          </cell>
          <cell r="AU218">
            <v>0</v>
          </cell>
          <cell r="AW218">
            <v>0</v>
          </cell>
        </row>
        <row r="219">
          <cell r="B219" t="str">
            <v>H1C2JMKERF0-027</v>
          </cell>
          <cell r="C219" t="str">
            <v>BULUT TEKLİ CAM KROM SARKIT</v>
          </cell>
          <cell r="D219" t="str">
            <v>BULUT SINGLE GLASS KROM PENDANT</v>
          </cell>
          <cell r="E219" t="str">
            <v>METAL CAM KROM FÜME</v>
          </cell>
          <cell r="F219" t="str">
            <v>9405.19.90.00.00</v>
          </cell>
          <cell r="G219" t="str">
            <v>AVİZE</v>
          </cell>
          <cell r="H219" t="str">
            <v>M01-KROM</v>
          </cell>
          <cell r="I219" t="str">
            <v>İÇ</v>
          </cell>
          <cell r="J219" t="str">
            <v>AVİZE.SARK</v>
          </cell>
          <cell r="K219" t="str">
            <v>BULUT</v>
          </cell>
          <cell r="L219" t="str">
            <v/>
          </cell>
          <cell r="M219" t="str">
            <v/>
          </cell>
          <cell r="N219" t="str">
            <v>M01KR</v>
          </cell>
          <cell r="O219" t="str">
            <v>HEKA</v>
          </cell>
          <cell r="P219" t="str">
            <v>ADET</v>
          </cell>
          <cell r="Q219" t="str">
            <v>E27</v>
          </cell>
          <cell r="R219" t="str">
            <v>METAL</v>
          </cell>
          <cell r="S219" t="str">
            <v>KROM</v>
          </cell>
          <cell r="T219" t="str">
            <v>CAM</v>
          </cell>
          <cell r="U219" t="str">
            <v>FÜME</v>
          </cell>
          <cell r="AD219" t="str">
            <v>N/A</v>
          </cell>
          <cell r="AE219" t="str">
            <v>01</v>
          </cell>
          <cell r="AF219">
            <v>1</v>
          </cell>
          <cell r="AG219" t="str">
            <v>ADET</v>
          </cell>
          <cell r="AH219">
            <v>45</v>
          </cell>
          <cell r="AI219" t="str">
            <v>CNY</v>
          </cell>
          <cell r="AJ219">
            <v>1371</v>
          </cell>
          <cell r="AK219" t="str">
            <v>TL</v>
          </cell>
          <cell r="AL219">
            <v>0</v>
          </cell>
          <cell r="AM219" t="str">
            <v>8684127509381</v>
          </cell>
          <cell r="AO219">
            <v>0</v>
          </cell>
          <cell r="AQ219">
            <v>27</v>
          </cell>
          <cell r="AR219" t="str">
            <v>CM</v>
          </cell>
          <cell r="AS219">
            <v>27</v>
          </cell>
          <cell r="AT219" t="str">
            <v>CM</v>
          </cell>
          <cell r="AU219">
            <v>0</v>
          </cell>
          <cell r="AW219">
            <v>0</v>
          </cell>
        </row>
        <row r="220">
          <cell r="B220" t="str">
            <v>F8378</v>
          </cell>
          <cell r="C220" t="str">
            <v>*F8378* LAMBADER</v>
          </cell>
          <cell r="D220" t="str">
            <v/>
          </cell>
          <cell r="E220" t="str">
            <v/>
          </cell>
          <cell r="F220" t="str">
            <v/>
          </cell>
          <cell r="G220" t="str">
            <v>LAMBADER</v>
          </cell>
          <cell r="H220" t="str">
            <v>F8378</v>
          </cell>
          <cell r="I220" t="str">
            <v>İÇ</v>
          </cell>
          <cell r="J220" t="str">
            <v>LAMBADER</v>
          </cell>
          <cell r="K220" t="str">
            <v/>
          </cell>
          <cell r="L220" t="str">
            <v/>
          </cell>
          <cell r="M220" t="str">
            <v/>
          </cell>
          <cell r="N220" t="str">
            <v/>
          </cell>
          <cell r="O220" t="str">
            <v>HEKA</v>
          </cell>
          <cell r="P220" t="str">
            <v>ADET</v>
          </cell>
          <cell r="AF220">
            <v>4</v>
          </cell>
          <cell r="AG220" t="str">
            <v>ADET</v>
          </cell>
          <cell r="AH220">
            <v>420</v>
          </cell>
          <cell r="AI220" t="str">
            <v>TL</v>
          </cell>
          <cell r="AJ220">
            <v>1795</v>
          </cell>
          <cell r="AK220" t="str">
            <v>TL</v>
          </cell>
          <cell r="AL220">
            <v>0</v>
          </cell>
          <cell r="AM220" t="str">
            <v>1234567146041</v>
          </cell>
          <cell r="AO220">
            <v>0</v>
          </cell>
          <cell r="AQ220">
            <v>0</v>
          </cell>
          <cell r="AS220">
            <v>0</v>
          </cell>
          <cell r="AU220">
            <v>0</v>
          </cell>
          <cell r="AW220">
            <v>0</v>
          </cell>
        </row>
        <row r="221">
          <cell r="B221" t="str">
            <v>H1W6JMELCTL-070</v>
          </cell>
          <cell r="C221" t="str">
            <v>ASSOS LED ESKİTME APLİK 70cm</v>
          </cell>
          <cell r="D221" t="str">
            <v>ASSOS LED BRUSHED BRASS WALL LAMP 70cm</v>
          </cell>
          <cell r="E221" t="str">
            <v>METAL PLEKSİ ESKİTME SOFT</v>
          </cell>
          <cell r="F221" t="str">
            <v>9405.11.90.00.00</v>
          </cell>
          <cell r="G221" t="str">
            <v>APLİK</v>
          </cell>
          <cell r="H221" t="str">
            <v>T1W6118100-70</v>
          </cell>
          <cell r="I221" t="str">
            <v>İÇ</v>
          </cell>
          <cell r="J221" t="str">
            <v>APLİK</v>
          </cell>
          <cell r="K221" t="str">
            <v>ASSOS</v>
          </cell>
          <cell r="L221" t="str">
            <v/>
          </cell>
          <cell r="M221" t="str">
            <v/>
          </cell>
          <cell r="N221" t="str">
            <v>HKA-24116</v>
          </cell>
          <cell r="O221" t="str">
            <v>HEKA</v>
          </cell>
          <cell r="P221" t="str">
            <v>ADET</v>
          </cell>
          <cell r="Q221" t="str">
            <v>LED</v>
          </cell>
          <cell r="R221" t="str">
            <v>METAL</v>
          </cell>
          <cell r="S221" t="str">
            <v>ESKİTME</v>
          </cell>
          <cell r="T221" t="str">
            <v>PLEKSİ</v>
          </cell>
          <cell r="U221" t="str">
            <v>SOFT</v>
          </cell>
          <cell r="AD221" t="str">
            <v>DÜZ</v>
          </cell>
          <cell r="AF221">
            <v>47</v>
          </cell>
          <cell r="AG221" t="str">
            <v>ADET</v>
          </cell>
          <cell r="AH221">
            <v>81.2</v>
          </cell>
          <cell r="AI221" t="str">
            <v>CNY</v>
          </cell>
          <cell r="AJ221">
            <v>5600</v>
          </cell>
          <cell r="AK221" t="str">
            <v>TL</v>
          </cell>
          <cell r="AL221">
            <v>1</v>
          </cell>
          <cell r="AM221" t="str">
            <v>8684127501606</v>
          </cell>
          <cell r="AO221">
            <v>0</v>
          </cell>
          <cell r="AQ221">
            <v>70</v>
          </cell>
          <cell r="AR221" t="str">
            <v>CM</v>
          </cell>
          <cell r="AS221">
            <v>8</v>
          </cell>
          <cell r="AT221" t="str">
            <v>CM</v>
          </cell>
          <cell r="AU221">
            <v>0</v>
          </cell>
          <cell r="AW221">
            <v>0</v>
          </cell>
        </row>
        <row r="222">
          <cell r="B222" t="str">
            <v>H1W1JM20000-045</v>
          </cell>
          <cell r="C222" t="str">
            <v>MAHPERİ BAKIR APLİK BÜYÜK</v>
          </cell>
          <cell r="D222" t="str">
            <v>MAHPERİ COPPER WALL LAMP BIG</v>
          </cell>
          <cell r="E222" t="str">
            <v>METAL YOK BAKIR ESKİTME YOK</v>
          </cell>
          <cell r="F222" t="str">
            <v>9405.19.90.00.00</v>
          </cell>
          <cell r="G222" t="str">
            <v>APLİK</v>
          </cell>
          <cell r="H222" t="str">
            <v>H1W1170000-45</v>
          </cell>
          <cell r="I222" t="str">
            <v>İÇ</v>
          </cell>
          <cell r="J222" t="str">
            <v>APLİK</v>
          </cell>
          <cell r="K222" t="str">
            <v>MAHPERİ</v>
          </cell>
          <cell r="L222" t="str">
            <v/>
          </cell>
          <cell r="M222" t="str">
            <v>ÜRTM:15GÜN</v>
          </cell>
          <cell r="N222" t="str">
            <v>HK20058</v>
          </cell>
          <cell r="O222" t="str">
            <v>LIGHTIST</v>
          </cell>
          <cell r="P222" t="str">
            <v>ADET</v>
          </cell>
          <cell r="Q222" t="str">
            <v>E14</v>
          </cell>
          <cell r="R222" t="str">
            <v>METAL</v>
          </cell>
          <cell r="S222" t="str">
            <v>BAKIR ESKİTME</v>
          </cell>
          <cell r="T222" t="str">
            <v>YOK</v>
          </cell>
          <cell r="U222" t="str">
            <v>YOK</v>
          </cell>
          <cell r="AD222" t="str">
            <v>N/A</v>
          </cell>
          <cell r="AE222" t="str">
            <v>02</v>
          </cell>
          <cell r="AF222">
            <v>0</v>
          </cell>
          <cell r="AG222" t="str">
            <v>ADET</v>
          </cell>
          <cell r="AH222">
            <v>450</v>
          </cell>
          <cell r="AI222" t="str">
            <v>TL</v>
          </cell>
          <cell r="AJ222">
            <v>7140</v>
          </cell>
          <cell r="AK222" t="str">
            <v>TL</v>
          </cell>
          <cell r="AL222">
            <v>1</v>
          </cell>
          <cell r="AM222" t="str">
            <v>8684127502450</v>
          </cell>
          <cell r="AO222">
            <v>0</v>
          </cell>
          <cell r="AQ222">
            <v>0</v>
          </cell>
          <cell r="AR222" t="str">
            <v>CM</v>
          </cell>
          <cell r="AS222">
            <v>0</v>
          </cell>
          <cell r="AT222" t="str">
            <v>CM</v>
          </cell>
          <cell r="AU222">
            <v>0</v>
          </cell>
          <cell r="AW222">
            <v>0</v>
          </cell>
        </row>
        <row r="223">
          <cell r="B223" t="str">
            <v>H1C6JMEECT0-064</v>
          </cell>
          <cell r="C223" t="str">
            <v>SOLİ TEKLİ ESKİTME SARKIT</v>
          </cell>
          <cell r="D223" t="str">
            <v>SOLİ SINGLE BRUSHED BRASS PENDANT</v>
          </cell>
          <cell r="E223" t="str">
            <v>METAL CAM ESKİTME SOFT</v>
          </cell>
          <cell r="F223" t="str">
            <v>9405.11.90.00.00</v>
          </cell>
          <cell r="G223" t="str">
            <v>AVİZE</v>
          </cell>
          <cell r="H223" t="str">
            <v>T1A6112100-01</v>
          </cell>
          <cell r="I223" t="str">
            <v>İÇ</v>
          </cell>
          <cell r="J223" t="str">
            <v>AVİZE.SARK</v>
          </cell>
          <cell r="K223" t="str">
            <v>SOLİ</v>
          </cell>
          <cell r="L223" t="str">
            <v/>
          </cell>
          <cell r="M223" t="str">
            <v/>
          </cell>
          <cell r="N223" t="str">
            <v>JM8009-1E</v>
          </cell>
          <cell r="O223" t="str">
            <v>HEKA</v>
          </cell>
          <cell r="P223" t="str">
            <v>ADET</v>
          </cell>
          <cell r="Q223" t="str">
            <v>LED</v>
          </cell>
          <cell r="R223" t="str">
            <v>METAL</v>
          </cell>
          <cell r="S223" t="str">
            <v>ESKİTME</v>
          </cell>
          <cell r="T223" t="str">
            <v>CAM</v>
          </cell>
          <cell r="U223" t="str">
            <v>SOFT</v>
          </cell>
          <cell r="AD223" t="str">
            <v>N/A</v>
          </cell>
          <cell r="AE223" t="str">
            <v>02</v>
          </cell>
          <cell r="AF223">
            <v>0</v>
          </cell>
          <cell r="AG223" t="str">
            <v>ADET</v>
          </cell>
          <cell r="AJ223">
            <v>3250</v>
          </cell>
          <cell r="AK223" t="str">
            <v>TL</v>
          </cell>
          <cell r="AL223">
            <v>1</v>
          </cell>
          <cell r="AM223" t="str">
            <v>8684127506571</v>
          </cell>
          <cell r="AO223">
            <v>0</v>
          </cell>
          <cell r="AQ223">
            <v>0</v>
          </cell>
          <cell r="AR223" t="str">
            <v>CM</v>
          </cell>
          <cell r="AS223">
            <v>64</v>
          </cell>
          <cell r="AT223" t="str">
            <v>CM</v>
          </cell>
          <cell r="AU223">
            <v>0</v>
          </cell>
          <cell r="AW223">
            <v>0</v>
          </cell>
        </row>
        <row r="224">
          <cell r="B224" t="str">
            <v>CD1E1C102E3H0</v>
          </cell>
          <cell r="C224" t="str">
            <v>ERD-34 C35 BAL 6W DÜZ 2500K E14 LED AMPUL</v>
          </cell>
          <cell r="D224" t="str">
            <v>ERD-34 C35 AMBER 6W CANDLE 2500K E14 LED BULB</v>
          </cell>
          <cell r="E224" t="str">
            <v>CAM METAL BAL FLAMENT DIMMSIZ C35 - DÜZ</v>
          </cell>
          <cell r="F224" t="str">
            <v>8539.52.00.00.00</v>
          </cell>
          <cell r="G224" t="str">
            <v>AMPUL</v>
          </cell>
          <cell r="H224" t="str">
            <v>CF11112D30000</v>
          </cell>
          <cell r="I224" t="str">
            <v>İÇ</v>
          </cell>
          <cell r="J224" t="str">
            <v>AMPUL</v>
          </cell>
          <cell r="K224" t="str">
            <v>ERD-34</v>
          </cell>
          <cell r="L224" t="str">
            <v/>
          </cell>
          <cell r="M224" t="str">
            <v/>
          </cell>
          <cell r="N224" t="str">
            <v>ERD-34</v>
          </cell>
          <cell r="O224" t="str">
            <v>HEKA</v>
          </cell>
          <cell r="P224" t="str">
            <v>ADET</v>
          </cell>
          <cell r="Q224" t="str">
            <v>E14</v>
          </cell>
          <cell r="R224" t="str">
            <v>CAM</v>
          </cell>
          <cell r="S224" t="str">
            <v>BAL</v>
          </cell>
          <cell r="T224" t="str">
            <v>METAL</v>
          </cell>
          <cell r="V224" t="str">
            <v>E</v>
          </cell>
          <cell r="W224" t="str">
            <v>FLAMENT</v>
          </cell>
          <cell r="X224" t="str">
            <v>220V</v>
          </cell>
          <cell r="Y224" t="str">
            <v>6 WATT</v>
          </cell>
          <cell r="Z224" t="str">
            <v>2500 K</v>
          </cell>
          <cell r="AA224" t="str">
            <v>DIMMSIZ</v>
          </cell>
          <cell r="AB224" t="str">
            <v>701-800</v>
          </cell>
          <cell r="AC224" t="str">
            <v>C35 - DÜZ</v>
          </cell>
          <cell r="AD224" t="str">
            <v>N/A</v>
          </cell>
          <cell r="AF224">
            <v>10889</v>
          </cell>
          <cell r="AG224" t="str">
            <v>ADET</v>
          </cell>
          <cell r="AH224">
            <v>0.35399999999999998</v>
          </cell>
          <cell r="AI224" t="str">
            <v>USD</v>
          </cell>
          <cell r="AJ224">
            <v>1.9</v>
          </cell>
          <cell r="AK224" t="str">
            <v>USD</v>
          </cell>
          <cell r="AL224">
            <v>1</v>
          </cell>
          <cell r="AM224" t="str">
            <v>8684127519229</v>
          </cell>
          <cell r="AN224" t="str">
            <v>8684127519236</v>
          </cell>
          <cell r="AO224">
            <v>0</v>
          </cell>
          <cell r="AQ224">
            <v>3.5</v>
          </cell>
          <cell r="AR224" t="str">
            <v>CM</v>
          </cell>
          <cell r="AS224">
            <v>3.5</v>
          </cell>
          <cell r="AT224" t="str">
            <v>CM</v>
          </cell>
          <cell r="AU224">
            <v>0</v>
          </cell>
          <cell r="AW224">
            <v>0</v>
          </cell>
        </row>
        <row r="225">
          <cell r="B225" t="str">
            <v>CR2F1C1M2E3M0</v>
          </cell>
          <cell r="C225" t="str">
            <v>ERD-45 T45 BAL 6W 2500K E27 LED AMPUL</v>
          </cell>
          <cell r="D225" t="str">
            <v>ERD-45 T45 AMBER 6W 2500K E27 LED BULB</v>
          </cell>
          <cell r="E225" t="str">
            <v>CAM METAL BAL FLAMENT DIMMSIZ T45-GEMİCİ</v>
          </cell>
          <cell r="F225" t="str">
            <v>8539.52.00.00.00</v>
          </cell>
          <cell r="G225" t="str">
            <v>AMPUL</v>
          </cell>
          <cell r="H225" t="str">
            <v>CF21112D30V06</v>
          </cell>
          <cell r="I225" t="str">
            <v>İÇ</v>
          </cell>
          <cell r="J225" t="str">
            <v>AMPUL</v>
          </cell>
          <cell r="K225" t="str">
            <v>ERD-45</v>
          </cell>
          <cell r="L225" t="str">
            <v/>
          </cell>
          <cell r="M225" t="str">
            <v>30.01.2026</v>
          </cell>
          <cell r="N225" t="str">
            <v>ERD-45</v>
          </cell>
          <cell r="O225" t="str">
            <v>HEKA</v>
          </cell>
          <cell r="P225" t="str">
            <v>ADET</v>
          </cell>
          <cell r="Q225" t="str">
            <v>E27</v>
          </cell>
          <cell r="R225" t="str">
            <v>CAM</v>
          </cell>
          <cell r="S225" t="str">
            <v>BAL</v>
          </cell>
          <cell r="T225" t="str">
            <v>METAL</v>
          </cell>
          <cell r="V225" t="str">
            <v>F</v>
          </cell>
          <cell r="W225" t="str">
            <v>FLAMENT</v>
          </cell>
          <cell r="X225" t="str">
            <v>220V</v>
          </cell>
          <cell r="Y225" t="str">
            <v>6 WATT</v>
          </cell>
          <cell r="Z225" t="str">
            <v>2500 K</v>
          </cell>
          <cell r="AA225" t="str">
            <v>DIMMSIZ</v>
          </cell>
          <cell r="AB225" t="str">
            <v>501-600</v>
          </cell>
          <cell r="AC225" t="str">
            <v>T45-GEMİCİ</v>
          </cell>
          <cell r="AD225" t="str">
            <v>N/A</v>
          </cell>
          <cell r="AF225">
            <v>2910</v>
          </cell>
          <cell r="AG225" t="str">
            <v>ADET</v>
          </cell>
          <cell r="AH225">
            <v>0.42199999999999999</v>
          </cell>
          <cell r="AI225" t="str">
            <v>USD</v>
          </cell>
          <cell r="AJ225">
            <v>2.2999999999999998</v>
          </cell>
          <cell r="AK225" t="str">
            <v>USD</v>
          </cell>
          <cell r="AL225">
            <v>1</v>
          </cell>
          <cell r="AM225" t="str">
            <v>8684127504102</v>
          </cell>
          <cell r="AN225" t="str">
            <v>8684127500340</v>
          </cell>
          <cell r="AO225">
            <v>0</v>
          </cell>
          <cell r="AQ225">
            <v>4.5</v>
          </cell>
          <cell r="AR225" t="str">
            <v>CM</v>
          </cell>
          <cell r="AS225">
            <v>4.5</v>
          </cell>
          <cell r="AT225" t="str">
            <v>CM</v>
          </cell>
          <cell r="AU225">
            <v>0</v>
          </cell>
          <cell r="AW225">
            <v>0</v>
          </cell>
        </row>
        <row r="226">
          <cell r="B226" t="str">
            <v>CG1D1C302E5I0</v>
          </cell>
          <cell r="C226" t="str">
            <v>ERD-44 G45 ŞEFFAF 6W 3000K E14 LED AMPUL</v>
          </cell>
          <cell r="D226" t="str">
            <v>ERD-44 G45 CLEAR 6W 3000K E14 LED BULB</v>
          </cell>
          <cell r="E226" t="str">
            <v>CAM METAL ŞEFFAF FLAMENT DIMMSIZ G45</v>
          </cell>
          <cell r="F226" t="str">
            <v>8539.52.00.00.00</v>
          </cell>
          <cell r="G226" t="str">
            <v>AMPUL</v>
          </cell>
          <cell r="H226" t="str">
            <v>CE11132D50V02</v>
          </cell>
          <cell r="I226" t="str">
            <v>İÇ</v>
          </cell>
          <cell r="J226" t="str">
            <v>AMPUL</v>
          </cell>
          <cell r="K226" t="str">
            <v>ERD-44</v>
          </cell>
          <cell r="L226" t="str">
            <v/>
          </cell>
          <cell r="M226" t="str">
            <v/>
          </cell>
          <cell r="N226" t="str">
            <v>ERD-44</v>
          </cell>
          <cell r="O226" t="str">
            <v>HEKA</v>
          </cell>
          <cell r="P226" t="str">
            <v>ADET</v>
          </cell>
          <cell r="Q226" t="str">
            <v>E14</v>
          </cell>
          <cell r="R226" t="str">
            <v>CAM</v>
          </cell>
          <cell r="S226" t="str">
            <v>ŞEFFAF</v>
          </cell>
          <cell r="T226" t="str">
            <v>METAL</v>
          </cell>
          <cell r="V226" t="str">
            <v>D</v>
          </cell>
          <cell r="W226" t="str">
            <v>FLAMENT</v>
          </cell>
          <cell r="X226" t="str">
            <v>220V</v>
          </cell>
          <cell r="Y226" t="str">
            <v>6 WATT</v>
          </cell>
          <cell r="Z226" t="str">
            <v>3000 K</v>
          </cell>
          <cell r="AA226" t="str">
            <v>DIMMSIZ</v>
          </cell>
          <cell r="AB226" t="str">
            <v>801-900</v>
          </cell>
          <cell r="AC226" t="str">
            <v>G45</v>
          </cell>
          <cell r="AD226" t="str">
            <v>N/A</v>
          </cell>
          <cell r="AF226">
            <v>11213</v>
          </cell>
          <cell r="AG226" t="str">
            <v>ADET</v>
          </cell>
          <cell r="AH226">
            <v>0.32500000000000001</v>
          </cell>
          <cell r="AI226" t="str">
            <v>USD</v>
          </cell>
          <cell r="AJ226">
            <v>1.9</v>
          </cell>
          <cell r="AK226" t="str">
            <v>USD</v>
          </cell>
          <cell r="AL226">
            <v>1</v>
          </cell>
          <cell r="AM226" t="str">
            <v>8684127519281</v>
          </cell>
          <cell r="AN226" t="str">
            <v>8684127519298</v>
          </cell>
          <cell r="AO226">
            <v>0</v>
          </cell>
          <cell r="AQ226">
            <v>4.5</v>
          </cell>
          <cell r="AR226" t="str">
            <v>CM</v>
          </cell>
          <cell r="AS226">
            <v>4.5</v>
          </cell>
          <cell r="AT226" t="str">
            <v>CM</v>
          </cell>
          <cell r="AU226">
            <v>0</v>
          </cell>
          <cell r="AW226">
            <v>0</v>
          </cell>
        </row>
        <row r="227">
          <cell r="B227" t="str">
            <v>H1C1JMEJMER-080</v>
          </cell>
          <cell r="C227" t="str">
            <v>OLİMPOS KİRPİ AVİZE 80cm</v>
          </cell>
          <cell r="D227" t="str">
            <v>OLIMPOS HEDGEHOG CHANDELIER 80cm</v>
          </cell>
          <cell r="E227" t="str">
            <v xml:space="preserve">METAL METAL ESKİTME ESKİTME   </v>
          </cell>
          <cell r="F227" t="str">
            <v>9405.19.90.00.00</v>
          </cell>
          <cell r="G227" t="str">
            <v>AVİZE</v>
          </cell>
          <cell r="H227" t="str">
            <v>H1A1110000-80</v>
          </cell>
          <cell r="I227" t="str">
            <v>İÇ</v>
          </cell>
          <cell r="J227" t="str">
            <v>AVİZE.AVİZ</v>
          </cell>
          <cell r="K227" t="str">
            <v>OLİMPOS</v>
          </cell>
          <cell r="L227" t="str">
            <v/>
          </cell>
          <cell r="M227" t="str">
            <v/>
          </cell>
          <cell r="N227" t="str">
            <v>HK20017</v>
          </cell>
          <cell r="O227" t="str">
            <v>HEKA</v>
          </cell>
          <cell r="P227" t="str">
            <v>ADET</v>
          </cell>
          <cell r="Q227" t="str">
            <v>E14</v>
          </cell>
          <cell r="R227" t="str">
            <v>METAL</v>
          </cell>
          <cell r="S227" t="str">
            <v>ESKİTME</v>
          </cell>
          <cell r="T227" t="str">
            <v>METAL</v>
          </cell>
          <cell r="U227" t="str">
            <v>ESKİTME</v>
          </cell>
          <cell r="AD227" t="str">
            <v>DAİRE</v>
          </cell>
          <cell r="AE227" t="str">
            <v>09</v>
          </cell>
          <cell r="AF227">
            <v>0</v>
          </cell>
          <cell r="AG227" t="str">
            <v>ADET</v>
          </cell>
          <cell r="AH227">
            <v>1500</v>
          </cell>
          <cell r="AI227" t="str">
            <v>TL</v>
          </cell>
          <cell r="AJ227">
            <v>8750</v>
          </cell>
          <cell r="AK227" t="str">
            <v>TL</v>
          </cell>
          <cell r="AL227">
            <v>2</v>
          </cell>
          <cell r="AM227" t="str">
            <v>8684127509015</v>
          </cell>
          <cell r="AO227">
            <v>0</v>
          </cell>
          <cell r="AQ227">
            <v>150</v>
          </cell>
          <cell r="AR227" t="str">
            <v>CM</v>
          </cell>
          <cell r="AS227">
            <v>80</v>
          </cell>
          <cell r="AT227" t="str">
            <v>CM</v>
          </cell>
          <cell r="AU227">
            <v>0</v>
          </cell>
          <cell r="AW227">
            <v>0</v>
          </cell>
        </row>
        <row r="228">
          <cell r="B228" t="str">
            <v>CN1F1C4M2E5M0</v>
          </cell>
          <cell r="C228" t="str">
            <v>ERD-236 C35 OPAL 6W KIVRIK 3000K E14 LED AMPUL</v>
          </cell>
          <cell r="D228" t="str">
            <v>ERD-236 C35 OPAL 6W CANDLE ANGULAR 3000K E14 BULB</v>
          </cell>
          <cell r="E228" t="str">
            <v>CAM METAL OPAL FLAMENT DIMMSIZ T35 - KIVRIK</v>
          </cell>
          <cell r="F228" t="str">
            <v>8539.52.00.00.00</v>
          </cell>
          <cell r="G228" t="str">
            <v>AMPUL</v>
          </cell>
          <cell r="H228" t="str">
            <v>CF11142D50V01</v>
          </cell>
          <cell r="I228" t="str">
            <v>İÇ</v>
          </cell>
          <cell r="J228" t="str">
            <v>AMPUL</v>
          </cell>
          <cell r="K228" t="str">
            <v>ERD-236</v>
          </cell>
          <cell r="L228" t="str">
            <v/>
          </cell>
          <cell r="M228" t="str">
            <v/>
          </cell>
          <cell r="N228" t="str">
            <v>ERD-236</v>
          </cell>
          <cell r="O228" t="str">
            <v>HEKA</v>
          </cell>
          <cell r="P228" t="str">
            <v>ADET</v>
          </cell>
          <cell r="Q228" t="str">
            <v>E14</v>
          </cell>
          <cell r="R228" t="str">
            <v>CAM</v>
          </cell>
          <cell r="S228" t="str">
            <v>OPAL</v>
          </cell>
          <cell r="T228" t="str">
            <v>METAL</v>
          </cell>
          <cell r="V228" t="str">
            <v>F</v>
          </cell>
          <cell r="W228" t="str">
            <v>FLAMENT</v>
          </cell>
          <cell r="X228" t="str">
            <v>220V</v>
          </cell>
          <cell r="Y228" t="str">
            <v>6 WATT</v>
          </cell>
          <cell r="Z228" t="str">
            <v>3000 K</v>
          </cell>
          <cell r="AA228" t="str">
            <v>DIMMSIZ</v>
          </cell>
          <cell r="AB228" t="str">
            <v>501-600</v>
          </cell>
          <cell r="AC228" t="str">
            <v>T35 - KIVRIK</v>
          </cell>
          <cell r="AD228" t="str">
            <v>N/A</v>
          </cell>
          <cell r="AF228">
            <v>0</v>
          </cell>
          <cell r="AG228" t="str">
            <v>ADET</v>
          </cell>
          <cell r="AH228">
            <v>0.47499999999999998</v>
          </cell>
          <cell r="AI228" t="str">
            <v>USD</v>
          </cell>
          <cell r="AJ228">
            <v>38.799999999999997</v>
          </cell>
          <cell r="AK228" t="str">
            <v>TL</v>
          </cell>
          <cell r="AL228">
            <v>1</v>
          </cell>
          <cell r="AM228" t="str">
            <v>8684127504300</v>
          </cell>
          <cell r="AO228">
            <v>0</v>
          </cell>
          <cell r="AQ228">
            <v>3.5</v>
          </cell>
          <cell r="AR228" t="str">
            <v>CM</v>
          </cell>
          <cell r="AS228">
            <v>3.5</v>
          </cell>
          <cell r="AT228" t="str">
            <v>CM</v>
          </cell>
          <cell r="AU228">
            <v>0</v>
          </cell>
          <cell r="AW228">
            <v>0</v>
          </cell>
        </row>
        <row r="229">
          <cell r="B229" t="str">
            <v>CA2F1C4M2E5M0</v>
          </cell>
          <cell r="C229" t="str">
            <v>ERD-235 A60 OPAL 6W 3000K E27 LED AMPUL</v>
          </cell>
          <cell r="D229" t="str">
            <v>ERD-235 A60 OPAL 6W 3000K E27 LED BULB</v>
          </cell>
          <cell r="E229" t="str">
            <v>CAM METAL OPAL FLAMENT DIMMSIZ A60</v>
          </cell>
          <cell r="F229" t="str">
            <v>8539.52.00.00.00</v>
          </cell>
          <cell r="G229" t="str">
            <v>AMPUL</v>
          </cell>
          <cell r="H229" t="str">
            <v>CF21142D50000</v>
          </cell>
          <cell r="I229" t="str">
            <v>İÇ</v>
          </cell>
          <cell r="J229" t="str">
            <v>AMPUL</v>
          </cell>
          <cell r="K229" t="str">
            <v>ERD-235</v>
          </cell>
          <cell r="L229" t="str">
            <v/>
          </cell>
          <cell r="M229" t="str">
            <v/>
          </cell>
          <cell r="N229" t="str">
            <v>ERD-235</v>
          </cell>
          <cell r="O229" t="str">
            <v>HEKA</v>
          </cell>
          <cell r="P229" t="str">
            <v>ADET</v>
          </cell>
          <cell r="Q229" t="str">
            <v>E27</v>
          </cell>
          <cell r="R229" t="str">
            <v>CAM</v>
          </cell>
          <cell r="S229" t="str">
            <v>OPAL</v>
          </cell>
          <cell r="T229" t="str">
            <v>METAL</v>
          </cell>
          <cell r="V229" t="str">
            <v>F</v>
          </cell>
          <cell r="W229" t="str">
            <v>FLAMENT</v>
          </cell>
          <cell r="X229" t="str">
            <v>220V</v>
          </cell>
          <cell r="Y229" t="str">
            <v>6 WATT</v>
          </cell>
          <cell r="Z229" t="str">
            <v>3000 K</v>
          </cell>
          <cell r="AA229" t="str">
            <v>DIMMSIZ</v>
          </cell>
          <cell r="AB229" t="str">
            <v>501-600</v>
          </cell>
          <cell r="AC229" t="str">
            <v>A60</v>
          </cell>
          <cell r="AD229" t="str">
            <v>N/A</v>
          </cell>
          <cell r="AF229">
            <v>2</v>
          </cell>
          <cell r="AG229" t="str">
            <v>ADET</v>
          </cell>
          <cell r="AH229">
            <v>6.01</v>
          </cell>
          <cell r="AI229" t="str">
            <v>TL</v>
          </cell>
          <cell r="AJ229">
            <v>2.1</v>
          </cell>
          <cell r="AK229" t="str">
            <v>USD</v>
          </cell>
          <cell r="AL229">
            <v>1</v>
          </cell>
          <cell r="AM229" t="str">
            <v>8684127503914</v>
          </cell>
          <cell r="AN229" t="str">
            <v>8684127500616</v>
          </cell>
          <cell r="AO229">
            <v>0</v>
          </cell>
          <cell r="AQ229">
            <v>6</v>
          </cell>
          <cell r="AR229" t="str">
            <v>CM</v>
          </cell>
          <cell r="AS229">
            <v>6</v>
          </cell>
          <cell r="AT229" t="str">
            <v>CM</v>
          </cell>
          <cell r="AU229">
            <v>0</v>
          </cell>
          <cell r="AW229">
            <v>0</v>
          </cell>
        </row>
        <row r="230">
          <cell r="B230" t="str">
            <v>H1W1JMEJMER-050</v>
          </cell>
          <cell r="C230" t="str">
            <v>OLİMPOS KİRPİ ESKİTME APLİK 50cm</v>
          </cell>
          <cell r="D230" t="str">
            <v>OLIMPOS HEDGEHOG BRUSHED BRASS WALL LAMP 50cm</v>
          </cell>
          <cell r="E230" t="str">
            <v>METAL METAL ESKİTME ESKİTME</v>
          </cell>
          <cell r="F230" t="str">
            <v>9405.19.90.00.00</v>
          </cell>
          <cell r="G230" t="str">
            <v>APLİK</v>
          </cell>
          <cell r="H230" t="str">
            <v>H1W1110000-50</v>
          </cell>
          <cell r="I230" t="str">
            <v>İÇ</v>
          </cell>
          <cell r="J230" t="str">
            <v>APLİK</v>
          </cell>
          <cell r="K230" t="str">
            <v>OLİMPOS</v>
          </cell>
          <cell r="L230" t="str">
            <v/>
          </cell>
          <cell r="M230" t="str">
            <v/>
          </cell>
          <cell r="N230" t="str">
            <v>HK20018</v>
          </cell>
          <cell r="O230" t="str">
            <v>HEKA</v>
          </cell>
          <cell r="P230" t="str">
            <v>ADET</v>
          </cell>
          <cell r="Q230" t="str">
            <v>E14</v>
          </cell>
          <cell r="R230" t="str">
            <v>METAL</v>
          </cell>
          <cell r="S230" t="str">
            <v>ESKİTME</v>
          </cell>
          <cell r="T230" t="str">
            <v>METAL</v>
          </cell>
          <cell r="U230" t="str">
            <v>ESKİTME</v>
          </cell>
          <cell r="AD230" t="str">
            <v>DAİRE</v>
          </cell>
          <cell r="AE230" t="str">
            <v>04</v>
          </cell>
          <cell r="AF230">
            <v>0</v>
          </cell>
          <cell r="AG230" t="str">
            <v>ADET</v>
          </cell>
          <cell r="AH230">
            <v>1200</v>
          </cell>
          <cell r="AI230" t="str">
            <v>TL</v>
          </cell>
          <cell r="AJ230">
            <v>11305</v>
          </cell>
          <cell r="AK230" t="str">
            <v>TL</v>
          </cell>
          <cell r="AL230">
            <v>1</v>
          </cell>
          <cell r="AM230" t="str">
            <v>8684127505307</v>
          </cell>
          <cell r="AO230">
            <v>0</v>
          </cell>
          <cell r="AQ230">
            <v>25</v>
          </cell>
          <cell r="AR230" t="str">
            <v>CM</v>
          </cell>
          <cell r="AS230">
            <v>50</v>
          </cell>
          <cell r="AT230" t="str">
            <v>CM</v>
          </cell>
          <cell r="AU230">
            <v>0</v>
          </cell>
          <cell r="AW230">
            <v>0</v>
          </cell>
        </row>
        <row r="231">
          <cell r="B231" t="str">
            <v>H1W3JMEECT0-060</v>
          </cell>
          <cell r="C231" t="str">
            <v>CELSUS İKİ CAMLI U MODEL ESKİTME APLİK</v>
          </cell>
          <cell r="D231" t="str">
            <v>CELSUS 2 GLASS U MODEL BRUSHED BRASS WALL LAMP</v>
          </cell>
          <cell r="E231" t="str">
            <v>METAL CAM ESKİTME SOFT</v>
          </cell>
          <cell r="F231" t="str">
            <v>9405.19.90.00.00</v>
          </cell>
          <cell r="G231" t="str">
            <v>APLİK</v>
          </cell>
          <cell r="H231" t="str">
            <v>H1W3112101-02</v>
          </cell>
          <cell r="I231" t="str">
            <v>İÇ</v>
          </cell>
          <cell r="J231" t="str">
            <v>APLİK</v>
          </cell>
          <cell r="K231" t="str">
            <v>CELSUS</v>
          </cell>
          <cell r="L231" t="str">
            <v/>
          </cell>
          <cell r="M231" t="str">
            <v>ÜRTM:15GÜN</v>
          </cell>
          <cell r="N231" t="str">
            <v>HK20033</v>
          </cell>
          <cell r="O231" t="str">
            <v>HEKA</v>
          </cell>
          <cell r="P231" t="str">
            <v>ADET</v>
          </cell>
          <cell r="Q231" t="str">
            <v>G9</v>
          </cell>
          <cell r="R231" t="str">
            <v>METAL</v>
          </cell>
          <cell r="S231" t="str">
            <v>ESKİTME</v>
          </cell>
          <cell r="T231" t="str">
            <v>CAM</v>
          </cell>
          <cell r="U231" t="str">
            <v>SOFT</v>
          </cell>
          <cell r="AD231" t="str">
            <v>N/A</v>
          </cell>
          <cell r="AE231" t="str">
            <v>02</v>
          </cell>
          <cell r="AF231">
            <v>3</v>
          </cell>
          <cell r="AG231" t="str">
            <v>ADET</v>
          </cell>
          <cell r="AH231">
            <v>350</v>
          </cell>
          <cell r="AI231" t="str">
            <v>TL</v>
          </cell>
          <cell r="AJ231">
            <v>4403</v>
          </cell>
          <cell r="AK231" t="str">
            <v>TL</v>
          </cell>
          <cell r="AL231">
            <v>1</v>
          </cell>
          <cell r="AM231" t="str">
            <v>8684127505079</v>
          </cell>
          <cell r="AO231">
            <v>0</v>
          </cell>
          <cell r="AQ231">
            <v>60</v>
          </cell>
          <cell r="AR231" t="str">
            <v>CM</v>
          </cell>
          <cell r="AS231">
            <v>15</v>
          </cell>
          <cell r="AT231" t="str">
            <v>CM</v>
          </cell>
          <cell r="AU231">
            <v>0</v>
          </cell>
          <cell r="AW231">
            <v>0</v>
          </cell>
        </row>
        <row r="232">
          <cell r="B232" t="str">
            <v>H1F3JMEECT0-169</v>
          </cell>
          <cell r="C232" t="str">
            <v>TAZA 10 GLOP CAMLI ZİKZAK LAMBADER</v>
          </cell>
          <cell r="D232" t="str">
            <v>TAZA 10 GLOBE GLASS ZIGZAG FLOOR LAMP</v>
          </cell>
          <cell r="E232" t="str">
            <v>METAL CAM ESKİTME SOFT</v>
          </cell>
          <cell r="F232" t="str">
            <v>9405.19.90.00.00</v>
          </cell>
          <cell r="G232" t="str">
            <v>LAMBADER</v>
          </cell>
          <cell r="H232" t="str">
            <v>H1L3112101-10</v>
          </cell>
          <cell r="I232" t="str">
            <v>İÇ</v>
          </cell>
          <cell r="J232" t="str">
            <v>LAMBADER</v>
          </cell>
          <cell r="K232" t="str">
            <v>TAZA</v>
          </cell>
          <cell r="L232" t="str">
            <v/>
          </cell>
          <cell r="M232" t="str">
            <v/>
          </cell>
          <cell r="N232" t="str">
            <v/>
          </cell>
          <cell r="O232" t="str">
            <v>HEKA</v>
          </cell>
          <cell r="P232" t="str">
            <v>ADET</v>
          </cell>
          <cell r="Q232" t="str">
            <v>G9</v>
          </cell>
          <cell r="R232" t="str">
            <v>METAL</v>
          </cell>
          <cell r="S232" t="str">
            <v>ESKİTME</v>
          </cell>
          <cell r="T232" t="str">
            <v>CAM</v>
          </cell>
          <cell r="U232" t="str">
            <v>SOFT</v>
          </cell>
          <cell r="AD232" t="str">
            <v>N/A</v>
          </cell>
          <cell r="AE232" t="str">
            <v>10</v>
          </cell>
          <cell r="AF232">
            <v>0</v>
          </cell>
          <cell r="AG232" t="str">
            <v>ADET</v>
          </cell>
          <cell r="AH232">
            <v>1500</v>
          </cell>
          <cell r="AI232" t="str">
            <v>TL</v>
          </cell>
          <cell r="AJ232">
            <v>3770</v>
          </cell>
          <cell r="AK232" t="str">
            <v>TL</v>
          </cell>
          <cell r="AL232">
            <v>1</v>
          </cell>
          <cell r="AM232" t="str">
            <v>8684127509473</v>
          </cell>
          <cell r="AO232">
            <v>0</v>
          </cell>
          <cell r="AQ232">
            <v>30</v>
          </cell>
          <cell r="AR232" t="str">
            <v>CM</v>
          </cell>
          <cell r="AS232">
            <v>169</v>
          </cell>
          <cell r="AT232" t="str">
            <v>CM</v>
          </cell>
          <cell r="AU232">
            <v>0</v>
          </cell>
          <cell r="AW232">
            <v>0</v>
          </cell>
        </row>
        <row r="233">
          <cell r="B233" t="str">
            <v>H1C3JMEECTD-155</v>
          </cell>
          <cell r="C233" t="str">
            <v>DEMET ESKİTME YEMEK MASASI AVİZESİ 13 LÜ</v>
          </cell>
          <cell r="D233" t="str">
            <v>DEMET DINING TABLE BRUSHED BRASS CHANDELIER 13 BULB</v>
          </cell>
          <cell r="E233" t="str">
            <v xml:space="preserve">METAL CAM  ESKİTME SOFT   </v>
          </cell>
          <cell r="F233" t="str">
            <v>9405.19.90.00.00</v>
          </cell>
          <cell r="G233" t="str">
            <v>AVİZE</v>
          </cell>
          <cell r="H233" t="str">
            <v>H1A3112100-13</v>
          </cell>
          <cell r="I233" t="str">
            <v>İÇ</v>
          </cell>
          <cell r="J233" t="str">
            <v>AVİZE.AVİZ</v>
          </cell>
          <cell r="K233" t="str">
            <v>DEMET</v>
          </cell>
          <cell r="L233" t="str">
            <v/>
          </cell>
          <cell r="M233" t="str">
            <v>ÜRTM:15GÜN</v>
          </cell>
          <cell r="N233" t="str">
            <v>HK20010</v>
          </cell>
          <cell r="O233" t="str">
            <v>HEKA</v>
          </cell>
          <cell r="P233" t="str">
            <v>ADET</v>
          </cell>
          <cell r="Q233" t="str">
            <v>G9</v>
          </cell>
          <cell r="R233" t="str">
            <v>METAL</v>
          </cell>
          <cell r="S233" t="str">
            <v>ESKİTME</v>
          </cell>
          <cell r="T233" t="str">
            <v>CAM</v>
          </cell>
          <cell r="U233" t="str">
            <v>SOFT</v>
          </cell>
          <cell r="AD233" t="str">
            <v>DİKDÖRTGEN</v>
          </cell>
          <cell r="AE233" t="str">
            <v>13</v>
          </cell>
          <cell r="AF233">
            <v>2</v>
          </cell>
          <cell r="AG233" t="str">
            <v>ADET</v>
          </cell>
          <cell r="AH233">
            <v>2000</v>
          </cell>
          <cell r="AI233" t="str">
            <v>TL</v>
          </cell>
          <cell r="AJ233">
            <v>31200</v>
          </cell>
          <cell r="AK233" t="str">
            <v>TL</v>
          </cell>
          <cell r="AL233">
            <v>1</v>
          </cell>
          <cell r="AM233" t="str">
            <v>8684127506069</v>
          </cell>
          <cell r="AO233">
            <v>0</v>
          </cell>
          <cell r="AQ233">
            <v>25</v>
          </cell>
          <cell r="AR233" t="str">
            <v>CM</v>
          </cell>
          <cell r="AS233">
            <v>30</v>
          </cell>
          <cell r="AT233" t="str">
            <v>CM</v>
          </cell>
          <cell r="AU233">
            <v>0</v>
          </cell>
          <cell r="AW233">
            <v>0</v>
          </cell>
        </row>
        <row r="234">
          <cell r="B234" t="str">
            <v>CK3G2P3M1D5H0</v>
          </cell>
          <cell r="C234" t="str">
            <v>ERD-902 ŞEFFAF 110V 5W 3000K G9 LED AMPUL</v>
          </cell>
          <cell r="D234" t="str">
            <v>ERD-902 CLEAR 110V 5W 3000K G9 LED BULB</v>
          </cell>
          <cell r="E234" t="str">
            <v>PLASTİK METAL ŞEFFAF SMD LED DIMMSIZ MISIR</v>
          </cell>
          <cell r="F234" t="str">
            <v>8539.52.00.00.00</v>
          </cell>
          <cell r="G234" t="str">
            <v>AMPUL</v>
          </cell>
          <cell r="H234" t="str">
            <v>CG32231C50000</v>
          </cell>
          <cell r="I234" t="str">
            <v>İÇ</v>
          </cell>
          <cell r="J234" t="str">
            <v>AMPUL</v>
          </cell>
          <cell r="K234" t="str">
            <v>ERD-902</v>
          </cell>
          <cell r="L234" t="str">
            <v/>
          </cell>
          <cell r="M234" t="str">
            <v/>
          </cell>
          <cell r="N234" t="str">
            <v>ERD-902</v>
          </cell>
          <cell r="O234" t="str">
            <v>HEKA</v>
          </cell>
          <cell r="P234" t="str">
            <v>ADET</v>
          </cell>
          <cell r="Q234" t="str">
            <v>G9</v>
          </cell>
          <cell r="R234" t="str">
            <v>PLASTİK</v>
          </cell>
          <cell r="S234" t="str">
            <v>ŞEFFAF</v>
          </cell>
          <cell r="T234" t="str">
            <v>METAL</v>
          </cell>
          <cell r="V234" t="str">
            <v>G</v>
          </cell>
          <cell r="W234" t="str">
            <v>SMD LED</v>
          </cell>
          <cell r="X234" t="str">
            <v>110V</v>
          </cell>
          <cell r="Y234" t="str">
            <v>5 WATT</v>
          </cell>
          <cell r="Z234" t="str">
            <v>3000 K</v>
          </cell>
          <cell r="AA234" t="str">
            <v>DIMMSIZ</v>
          </cell>
          <cell r="AB234" t="str">
            <v>301-400</v>
          </cell>
          <cell r="AC234" t="str">
            <v>MISIR</v>
          </cell>
          <cell r="AD234" t="str">
            <v>N/A</v>
          </cell>
          <cell r="AF234">
            <v>823</v>
          </cell>
          <cell r="AG234" t="str">
            <v>ADET</v>
          </cell>
          <cell r="AH234">
            <v>2.2999999999999998</v>
          </cell>
          <cell r="AI234" t="str">
            <v>CNY</v>
          </cell>
          <cell r="AJ234">
            <v>2.5</v>
          </cell>
          <cell r="AK234" t="str">
            <v>USD</v>
          </cell>
          <cell r="AL234">
            <v>1</v>
          </cell>
          <cell r="AM234" t="str">
            <v>8684127504218</v>
          </cell>
          <cell r="AN234" t="str">
            <v>8684127505512</v>
          </cell>
          <cell r="AO234">
            <v>0</v>
          </cell>
          <cell r="AQ234">
            <v>1.5</v>
          </cell>
          <cell r="AR234" t="str">
            <v>CM</v>
          </cell>
          <cell r="AS234">
            <v>1.5</v>
          </cell>
          <cell r="AT234" t="str">
            <v>CM</v>
          </cell>
          <cell r="AU234">
            <v>0</v>
          </cell>
          <cell r="AW234">
            <v>0</v>
          </cell>
        </row>
        <row r="235">
          <cell r="B235" t="str">
            <v>CK1G2P3M1D5H0</v>
          </cell>
          <cell r="C235" t="str">
            <v>ERD-908 MISIR ŞEFFAF DÜZ 110V 5W 3000K E14 AMPUL</v>
          </cell>
          <cell r="D235" t="str">
            <v>ERD-908 CORN CLEAR CANDLE 110V 5W 3000K E14 BULB</v>
          </cell>
          <cell r="E235" t="str">
            <v>PLASTİK METAL ŞEFFAF SMD LED DIMMSIZ MISIR</v>
          </cell>
          <cell r="F235" t="str">
            <v>8539.52.00.00.00</v>
          </cell>
          <cell r="G235" t="str">
            <v>AMPUL</v>
          </cell>
          <cell r="H235" t="str">
            <v>CG12231C50000</v>
          </cell>
          <cell r="I235" t="str">
            <v>İÇ</v>
          </cell>
          <cell r="J235" t="str">
            <v>AMPUL</v>
          </cell>
          <cell r="K235" t="str">
            <v>ERD-908</v>
          </cell>
          <cell r="L235" t="str">
            <v/>
          </cell>
          <cell r="M235" t="str">
            <v/>
          </cell>
          <cell r="N235" t="str">
            <v>ERD-908</v>
          </cell>
          <cell r="O235" t="str">
            <v>HEKA</v>
          </cell>
          <cell r="P235" t="str">
            <v>ADET</v>
          </cell>
          <cell r="Q235" t="str">
            <v>E14</v>
          </cell>
          <cell r="R235" t="str">
            <v>PLASTİK</v>
          </cell>
          <cell r="S235" t="str">
            <v>ŞEFFAF</v>
          </cell>
          <cell r="T235" t="str">
            <v>METAL</v>
          </cell>
          <cell r="V235" t="str">
            <v>G</v>
          </cell>
          <cell r="W235" t="str">
            <v>SMD LED</v>
          </cell>
          <cell r="X235" t="str">
            <v>110V</v>
          </cell>
          <cell r="Y235" t="str">
            <v>5 WATT</v>
          </cell>
          <cell r="Z235" t="str">
            <v>3000 K</v>
          </cell>
          <cell r="AA235" t="str">
            <v>DIMMSIZ</v>
          </cell>
          <cell r="AB235" t="str">
            <v>301-400</v>
          </cell>
          <cell r="AC235" t="str">
            <v>MISIR</v>
          </cell>
          <cell r="AD235" t="str">
            <v>N/A</v>
          </cell>
          <cell r="AF235">
            <v>471</v>
          </cell>
          <cell r="AG235" t="str">
            <v>ADET</v>
          </cell>
          <cell r="AJ235">
            <v>2.5</v>
          </cell>
          <cell r="AK235" t="str">
            <v>USD</v>
          </cell>
          <cell r="AL235">
            <v>1</v>
          </cell>
          <cell r="AM235" t="str">
            <v>8684127504201</v>
          </cell>
          <cell r="AN235" t="str">
            <v>8684127500746</v>
          </cell>
          <cell r="AO235">
            <v>0</v>
          </cell>
          <cell r="AQ235">
            <v>1.5</v>
          </cell>
          <cell r="AR235" t="str">
            <v>CM</v>
          </cell>
          <cell r="AS235">
            <v>1.5</v>
          </cell>
          <cell r="AT235" t="str">
            <v>CM</v>
          </cell>
          <cell r="AU235">
            <v>0</v>
          </cell>
          <cell r="AW235">
            <v>0</v>
          </cell>
        </row>
        <row r="236">
          <cell r="B236" t="str">
            <v>H1W2JMKECS0-040</v>
          </cell>
          <cell r="C236" t="str">
            <v>SÜMELA KROM APLİK 40cm</v>
          </cell>
          <cell r="D236" t="str">
            <v>SÜMELA CHROME WALL LAMP 40cm</v>
          </cell>
          <cell r="E236" t="str">
            <v>METAL CAM KROM ŞEFFAF</v>
          </cell>
          <cell r="F236" t="str">
            <v>9405.19.90.00.00</v>
          </cell>
          <cell r="G236" t="str">
            <v>APLİK</v>
          </cell>
          <cell r="H236" t="str">
            <v>H1W1113400-40</v>
          </cell>
          <cell r="I236" t="str">
            <v>İÇ</v>
          </cell>
          <cell r="J236" t="str">
            <v>APLİK</v>
          </cell>
          <cell r="K236" t="str">
            <v>SÜMELA</v>
          </cell>
          <cell r="L236" t="str">
            <v/>
          </cell>
          <cell r="M236" t="str">
            <v>ÜRTM:15GÜN</v>
          </cell>
          <cell r="N236" t="str">
            <v>FZ1023-PCH-40</v>
          </cell>
          <cell r="O236" t="str">
            <v>HEKA</v>
          </cell>
          <cell r="P236" t="str">
            <v>ADET</v>
          </cell>
          <cell r="Q236" t="str">
            <v>E14</v>
          </cell>
          <cell r="R236" t="str">
            <v>METAL</v>
          </cell>
          <cell r="S236" t="str">
            <v>KROM</v>
          </cell>
          <cell r="T236" t="str">
            <v>CAM</v>
          </cell>
          <cell r="U236" t="str">
            <v>ŞEFFAF</v>
          </cell>
          <cell r="AD236" t="str">
            <v>N/A</v>
          </cell>
          <cell r="AE236" t="str">
            <v>03</v>
          </cell>
          <cell r="AF236">
            <v>10</v>
          </cell>
          <cell r="AG236" t="str">
            <v>ADET</v>
          </cell>
          <cell r="AH236">
            <v>300</v>
          </cell>
          <cell r="AI236" t="str">
            <v>TL</v>
          </cell>
          <cell r="AJ236">
            <v>4964</v>
          </cell>
          <cell r="AK236" t="str">
            <v>TL</v>
          </cell>
          <cell r="AL236">
            <v>1</v>
          </cell>
          <cell r="AM236" t="str">
            <v>8684127502924</v>
          </cell>
          <cell r="AO236">
            <v>0</v>
          </cell>
          <cell r="AQ236">
            <v>0</v>
          </cell>
          <cell r="AR236" t="str">
            <v>CM</v>
          </cell>
          <cell r="AS236">
            <v>0</v>
          </cell>
          <cell r="AT236" t="str">
            <v>CM</v>
          </cell>
          <cell r="AU236">
            <v>0</v>
          </cell>
          <cell r="AW236">
            <v>0</v>
          </cell>
        </row>
        <row r="237">
          <cell r="B237" t="str">
            <v>H1W2JM10000-047</v>
          </cell>
          <cell r="C237" t="str">
            <v>BRUBECK ESKİTME APLİK</v>
          </cell>
          <cell r="D237" t="str">
            <v>BRUBECK BRUSHED BRASS WALL LAMP</v>
          </cell>
          <cell r="E237" t="str">
            <v>METAL YOK AÇIK ESKİTME YOK</v>
          </cell>
          <cell r="F237" t="str">
            <v>9405.19.90.00.00</v>
          </cell>
          <cell r="G237" t="str">
            <v>APLİK</v>
          </cell>
          <cell r="H237" t="str">
            <v>H1W2180000-47</v>
          </cell>
          <cell r="I237" t="str">
            <v>İÇ</v>
          </cell>
          <cell r="J237" t="str">
            <v>APLİK</v>
          </cell>
          <cell r="K237" t="str">
            <v>BRUBECK</v>
          </cell>
          <cell r="L237" t="str">
            <v/>
          </cell>
          <cell r="M237" t="str">
            <v>ÜRTM:15GÜN</v>
          </cell>
          <cell r="N237" t="str">
            <v>HK20062</v>
          </cell>
          <cell r="O237" t="str">
            <v>HEKA</v>
          </cell>
          <cell r="P237" t="str">
            <v>ADET</v>
          </cell>
          <cell r="Q237" t="str">
            <v>E27</v>
          </cell>
          <cell r="R237" t="str">
            <v>METAL</v>
          </cell>
          <cell r="S237" t="str">
            <v>AÇIK ESKİTME</v>
          </cell>
          <cell r="T237" t="str">
            <v>YOK</v>
          </cell>
          <cell r="U237" t="str">
            <v>YOK</v>
          </cell>
          <cell r="AD237" t="str">
            <v>N/A</v>
          </cell>
          <cell r="AE237" t="str">
            <v>02</v>
          </cell>
          <cell r="AF237">
            <v>10</v>
          </cell>
          <cell r="AG237" t="str">
            <v>ADET</v>
          </cell>
          <cell r="AH237">
            <v>300</v>
          </cell>
          <cell r="AI237" t="str">
            <v>TL</v>
          </cell>
          <cell r="AJ237">
            <v>4998</v>
          </cell>
          <cell r="AK237" t="str">
            <v>TL</v>
          </cell>
          <cell r="AL237">
            <v>1</v>
          </cell>
          <cell r="AM237" t="str">
            <v>8684127501675</v>
          </cell>
          <cell r="AO237">
            <v>0</v>
          </cell>
          <cell r="AQ237">
            <v>0</v>
          </cell>
          <cell r="AR237" t="str">
            <v>CM</v>
          </cell>
          <cell r="AS237">
            <v>0</v>
          </cell>
          <cell r="AT237" t="str">
            <v>CM</v>
          </cell>
          <cell r="AU237">
            <v>0</v>
          </cell>
          <cell r="AW237">
            <v>0</v>
          </cell>
        </row>
        <row r="238">
          <cell r="B238" t="str">
            <v>H1W3JME000R-060</v>
          </cell>
          <cell r="C238" t="str">
            <v>SALYAN DÖVMELİ ESKİTME APLİK 60cm</v>
          </cell>
          <cell r="D238" t="str">
            <v>SALYAN HAMMERED BRUSHED BRASS WALL LAMP 60cm</v>
          </cell>
          <cell r="E238" t="str">
            <v>METAL YOK ESKİTME YOK</v>
          </cell>
          <cell r="F238" t="str">
            <v>9405.19.90.00.00</v>
          </cell>
          <cell r="G238" t="str">
            <v>APLİK</v>
          </cell>
          <cell r="H238" t="str">
            <v>H1W3110000-60</v>
          </cell>
          <cell r="I238" t="str">
            <v>İÇ</v>
          </cell>
          <cell r="J238" t="str">
            <v>APLİK</v>
          </cell>
          <cell r="K238" t="str">
            <v>SALYAN</v>
          </cell>
          <cell r="L238" t="str">
            <v/>
          </cell>
          <cell r="M238" t="str">
            <v/>
          </cell>
          <cell r="N238" t="str">
            <v/>
          </cell>
          <cell r="O238" t="str">
            <v>HEKA</v>
          </cell>
          <cell r="P238" t="str">
            <v>ADET</v>
          </cell>
          <cell r="Q238" t="str">
            <v>G9</v>
          </cell>
          <cell r="R238" t="str">
            <v>METAL</v>
          </cell>
          <cell r="S238" t="str">
            <v>ESKİTME</v>
          </cell>
          <cell r="T238" t="str">
            <v>YOK</v>
          </cell>
          <cell r="U238" t="str">
            <v>YOK</v>
          </cell>
          <cell r="AD238" t="str">
            <v>DAİRE</v>
          </cell>
          <cell r="AE238" t="str">
            <v>07</v>
          </cell>
          <cell r="AF238">
            <v>0</v>
          </cell>
          <cell r="AG238" t="str">
            <v>ADET</v>
          </cell>
          <cell r="AH238">
            <v>3250</v>
          </cell>
          <cell r="AI238" t="str">
            <v>TL</v>
          </cell>
          <cell r="AJ238">
            <v>2200</v>
          </cell>
          <cell r="AK238" t="str">
            <v>TL</v>
          </cell>
          <cell r="AL238">
            <v>1</v>
          </cell>
          <cell r="AM238" t="str">
            <v>8684127509718</v>
          </cell>
          <cell r="AO238">
            <v>0</v>
          </cell>
          <cell r="AQ238">
            <v>60</v>
          </cell>
          <cell r="AR238" t="str">
            <v>CM</v>
          </cell>
          <cell r="AS238">
            <v>60</v>
          </cell>
          <cell r="AT238" t="str">
            <v>CM</v>
          </cell>
          <cell r="AU238">
            <v>0</v>
          </cell>
          <cell r="AW238">
            <v>0</v>
          </cell>
        </row>
        <row r="239">
          <cell r="B239" t="str">
            <v>CN1E1C3M2G5T0</v>
          </cell>
          <cell r="C239" t="str">
            <v>ERD-36 T35 ŞEFFAF KIVRIK 8W 3000K E14 LED AMPUL</v>
          </cell>
          <cell r="D239" t="str">
            <v>ERD-36 T35 CLEAR CANDLE ANGULAR 8W 3000K E14 BULB</v>
          </cell>
          <cell r="E239" t="str">
            <v>CAM METAL ŞEFFAF FLAMENT DIMMSIZ T35 - KIVRIK</v>
          </cell>
          <cell r="F239" t="str">
            <v>8539.52.00.00.00</v>
          </cell>
          <cell r="G239" t="str">
            <v>AMPUL</v>
          </cell>
          <cell r="H239" t="str">
            <v>CF11132F50V01</v>
          </cell>
          <cell r="I239" t="str">
            <v>İÇ</v>
          </cell>
          <cell r="J239" t="str">
            <v>AMPUL</v>
          </cell>
          <cell r="K239" t="str">
            <v>ERD-36</v>
          </cell>
          <cell r="L239" t="str">
            <v/>
          </cell>
          <cell r="M239" t="str">
            <v/>
          </cell>
          <cell r="N239" t="str">
            <v>ERD-36</v>
          </cell>
          <cell r="O239" t="str">
            <v>HEKA</v>
          </cell>
          <cell r="P239" t="str">
            <v>ADET</v>
          </cell>
          <cell r="Q239" t="str">
            <v>E14</v>
          </cell>
          <cell r="R239" t="str">
            <v>CAM</v>
          </cell>
          <cell r="S239" t="str">
            <v>ŞEFFAF</v>
          </cell>
          <cell r="T239" t="str">
            <v>METAL</v>
          </cell>
          <cell r="V239" t="str">
            <v>E</v>
          </cell>
          <cell r="W239" t="str">
            <v>FLAMENT</v>
          </cell>
          <cell r="X239" t="str">
            <v>220V</v>
          </cell>
          <cell r="Y239" t="str">
            <v>8 WATT</v>
          </cell>
          <cell r="Z239" t="str">
            <v>3000 K</v>
          </cell>
          <cell r="AA239" t="str">
            <v>DIMMSIZ</v>
          </cell>
          <cell r="AB239" t="str">
            <v>1001-1100</v>
          </cell>
          <cell r="AC239" t="str">
            <v>T35 - KIVRIK</v>
          </cell>
          <cell r="AD239" t="str">
            <v>N/A</v>
          </cell>
          <cell r="AF239">
            <v>7992</v>
          </cell>
          <cell r="AG239" t="str">
            <v>ADET</v>
          </cell>
          <cell r="AH239">
            <v>0.53</v>
          </cell>
          <cell r="AI239" t="str">
            <v>USD</v>
          </cell>
          <cell r="AJ239">
            <v>3</v>
          </cell>
          <cell r="AK239" t="str">
            <v>USD</v>
          </cell>
          <cell r="AL239">
            <v>1</v>
          </cell>
          <cell r="AM239" t="str">
            <v>8684127500043</v>
          </cell>
          <cell r="AN239" t="str">
            <v>8684127500630</v>
          </cell>
          <cell r="AO239">
            <v>0</v>
          </cell>
          <cell r="AQ239">
            <v>3.5</v>
          </cell>
          <cell r="AR239" t="str">
            <v>CM</v>
          </cell>
          <cell r="AS239">
            <v>3.5</v>
          </cell>
          <cell r="AT239" t="str">
            <v>CM</v>
          </cell>
          <cell r="AU239">
            <v>0</v>
          </cell>
          <cell r="AW239">
            <v>0</v>
          </cell>
        </row>
        <row r="240">
          <cell r="B240" t="str">
            <v>H1C1JMEJMER-070</v>
          </cell>
          <cell r="C240" t="str">
            <v>OLİMPOS KİRPİ AVİZE 70cm</v>
          </cell>
          <cell r="D240" t="str">
            <v>OLIMPOS HEDGEHOG CHANDELIER 70cm</v>
          </cell>
          <cell r="E240" t="str">
            <v xml:space="preserve">METAL METAL ESKİTME ESKİTME   </v>
          </cell>
          <cell r="F240" t="str">
            <v>9405.19.90.00.00</v>
          </cell>
          <cell r="G240" t="str">
            <v>AVİZE</v>
          </cell>
          <cell r="H240" t="str">
            <v>H1A1110000-70</v>
          </cell>
          <cell r="I240" t="str">
            <v>İÇ</v>
          </cell>
          <cell r="J240" t="str">
            <v>AVİZE.AVİZ</v>
          </cell>
          <cell r="K240" t="str">
            <v>OLİMPOS</v>
          </cell>
          <cell r="L240" t="str">
            <v/>
          </cell>
          <cell r="M240" t="str">
            <v/>
          </cell>
          <cell r="N240" t="str">
            <v>HK20016</v>
          </cell>
          <cell r="O240" t="str">
            <v>HEKA</v>
          </cell>
          <cell r="P240" t="str">
            <v>ADET</v>
          </cell>
          <cell r="Q240" t="str">
            <v>E14</v>
          </cell>
          <cell r="R240" t="str">
            <v>METAL</v>
          </cell>
          <cell r="S240" t="str">
            <v>ESKİTME</v>
          </cell>
          <cell r="T240" t="str">
            <v>METAL</v>
          </cell>
          <cell r="U240" t="str">
            <v>ESKİTME</v>
          </cell>
          <cell r="AD240" t="str">
            <v>DAİRE</v>
          </cell>
          <cell r="AE240" t="str">
            <v>09</v>
          </cell>
          <cell r="AG240" t="str">
            <v>ADET</v>
          </cell>
          <cell r="AH240">
            <v>800</v>
          </cell>
          <cell r="AI240" t="str">
            <v>TL</v>
          </cell>
          <cell r="AJ240">
            <v>8250</v>
          </cell>
          <cell r="AK240" t="str">
            <v>TL</v>
          </cell>
          <cell r="AL240">
            <v>1</v>
          </cell>
          <cell r="AM240" t="str">
            <v>8684127509008</v>
          </cell>
          <cell r="AO240">
            <v>0</v>
          </cell>
          <cell r="AQ240">
            <v>150</v>
          </cell>
          <cell r="AR240" t="str">
            <v>CM</v>
          </cell>
          <cell r="AS240">
            <v>70</v>
          </cell>
          <cell r="AT240" t="str">
            <v>CM</v>
          </cell>
          <cell r="AU240">
            <v>0</v>
          </cell>
          <cell r="AW240">
            <v>0</v>
          </cell>
        </row>
        <row r="241">
          <cell r="B241" t="str">
            <v>LGHT-AP11</v>
          </cell>
          <cell r="C241" t="str">
            <v>3 LÜ KÜP APLİK GOLD</v>
          </cell>
          <cell r="D241" t="str">
            <v/>
          </cell>
          <cell r="E241" t="str">
            <v/>
          </cell>
          <cell r="F241" t="str">
            <v/>
          </cell>
          <cell r="G241" t="str">
            <v>SARKIT</v>
          </cell>
          <cell r="H241" t="str">
            <v>LGHT-AP11</v>
          </cell>
          <cell r="I241" t="str">
            <v>SARKIT</v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  <cell r="P241" t="str">
            <v>ADET</v>
          </cell>
          <cell r="AF241">
            <v>1</v>
          </cell>
          <cell r="AG241" t="str">
            <v>ADET</v>
          </cell>
          <cell r="AH241">
            <v>800</v>
          </cell>
          <cell r="AI241" t="str">
            <v>TL</v>
          </cell>
          <cell r="AL241">
            <v>0</v>
          </cell>
          <cell r="AM241" t="str">
            <v>1234567149851</v>
          </cell>
          <cell r="AO241">
            <v>0</v>
          </cell>
          <cell r="AQ241">
            <v>0</v>
          </cell>
          <cell r="AS241">
            <v>0</v>
          </cell>
          <cell r="AU241">
            <v>0</v>
          </cell>
          <cell r="AW241">
            <v>0</v>
          </cell>
        </row>
        <row r="242">
          <cell r="B242" t="str">
            <v>H1W2JM3ECT0-042</v>
          </cell>
          <cell r="C242" t="str">
            <v>CAPELLA MAT KROM APLİK</v>
          </cell>
          <cell r="D242" t="str">
            <v>CAPELLA BRUSHED CHROME WALL LAMP</v>
          </cell>
          <cell r="E242" t="str">
            <v/>
          </cell>
          <cell r="F242" t="str">
            <v/>
          </cell>
          <cell r="G242" t="str">
            <v>APLİK</v>
          </cell>
          <cell r="H242" t="str">
            <v>H1W2162100-15</v>
          </cell>
          <cell r="I242" t="str">
            <v>İÇ</v>
          </cell>
          <cell r="J242" t="str">
            <v>APLİK</v>
          </cell>
          <cell r="K242" t="str">
            <v>CAPELLA</v>
          </cell>
          <cell r="L242" t="str">
            <v/>
          </cell>
          <cell r="M242" t="str">
            <v/>
          </cell>
          <cell r="N242" t="str">
            <v/>
          </cell>
          <cell r="O242" t="str">
            <v>HEKA</v>
          </cell>
          <cell r="P242" t="str">
            <v>ADET</v>
          </cell>
          <cell r="Q242" t="str">
            <v>E27</v>
          </cell>
          <cell r="R242" t="str">
            <v>METAL</v>
          </cell>
          <cell r="S242" t="str">
            <v>MAT KROM</v>
          </cell>
          <cell r="T242" t="str">
            <v>CAM</v>
          </cell>
          <cell r="U242" t="str">
            <v>SOFT</v>
          </cell>
          <cell r="AE242" t="str">
            <v>01</v>
          </cell>
          <cell r="AF242">
            <v>6</v>
          </cell>
          <cell r="AG242" t="str">
            <v>ADET</v>
          </cell>
          <cell r="AH242">
            <v>150</v>
          </cell>
          <cell r="AI242" t="str">
            <v>TL</v>
          </cell>
          <cell r="AJ242">
            <v>1842</v>
          </cell>
          <cell r="AK242" t="str">
            <v>TL</v>
          </cell>
          <cell r="AL242">
            <v>1</v>
          </cell>
          <cell r="AM242" t="str">
            <v>8684127510141</v>
          </cell>
          <cell r="AO242">
            <v>0</v>
          </cell>
          <cell r="AQ242">
            <v>19</v>
          </cell>
          <cell r="AR242" t="str">
            <v>CM</v>
          </cell>
          <cell r="AS242">
            <v>42</v>
          </cell>
          <cell r="AT242" t="str">
            <v>CM</v>
          </cell>
          <cell r="AU242">
            <v>0</v>
          </cell>
          <cell r="AW242">
            <v>0</v>
          </cell>
        </row>
        <row r="243">
          <cell r="B243" t="str">
            <v>H1W3JMEECTR-068</v>
          </cell>
          <cell r="C243" t="str">
            <v>DEMET ESKİTME APLİK 10 LU</v>
          </cell>
          <cell r="D243" t="str">
            <v>DEMET BRASS WALL LAMP 10 BULB</v>
          </cell>
          <cell r="E243" t="str">
            <v>METAL CAM ESKİTME SOFT</v>
          </cell>
          <cell r="F243" t="str">
            <v>9405.19.90.00.00</v>
          </cell>
          <cell r="G243" t="str">
            <v>APLİK</v>
          </cell>
          <cell r="H243" t="str">
            <v>H1W3112100-10</v>
          </cell>
          <cell r="I243" t="str">
            <v>İÇ</v>
          </cell>
          <cell r="J243" t="str">
            <v>APLİK</v>
          </cell>
          <cell r="K243" t="str">
            <v>DEMET</v>
          </cell>
          <cell r="L243" t="str">
            <v/>
          </cell>
          <cell r="M243" t="str">
            <v>ÜRTM:15GÜN</v>
          </cell>
          <cell r="N243" t="str">
            <v>HK20011</v>
          </cell>
          <cell r="O243" t="str">
            <v>HEKA</v>
          </cell>
          <cell r="P243" t="str">
            <v>ADET</v>
          </cell>
          <cell r="Q243" t="str">
            <v>G9</v>
          </cell>
          <cell r="R243" t="str">
            <v>METAL</v>
          </cell>
          <cell r="S243" t="str">
            <v>ESKİTME</v>
          </cell>
          <cell r="T243" t="str">
            <v>CAM</v>
          </cell>
          <cell r="U243" t="str">
            <v>SOFT</v>
          </cell>
          <cell r="AD243" t="str">
            <v>DAİRE</v>
          </cell>
          <cell r="AE243" t="str">
            <v>10</v>
          </cell>
          <cell r="AF243">
            <v>1</v>
          </cell>
          <cell r="AG243" t="str">
            <v>ADET</v>
          </cell>
          <cell r="AH243">
            <v>750</v>
          </cell>
          <cell r="AI243" t="str">
            <v>TL</v>
          </cell>
          <cell r="AJ243">
            <v>23600</v>
          </cell>
          <cell r="AK243" t="str">
            <v>TL</v>
          </cell>
          <cell r="AL243">
            <v>1</v>
          </cell>
          <cell r="AM243" t="str">
            <v>8684127501934</v>
          </cell>
          <cell r="AO243">
            <v>0</v>
          </cell>
          <cell r="AQ243">
            <v>60</v>
          </cell>
          <cell r="AR243" t="str">
            <v>CM</v>
          </cell>
          <cell r="AS243">
            <v>25</v>
          </cell>
          <cell r="AT243" t="str">
            <v>CM</v>
          </cell>
          <cell r="AU243">
            <v>0</v>
          </cell>
          <cell r="AW243">
            <v>0</v>
          </cell>
        </row>
        <row r="244">
          <cell r="B244" t="str">
            <v>H1W6JMELCTL-050</v>
          </cell>
          <cell r="C244" t="str">
            <v>ASSOS LED ESKİTME APLİK 50cm</v>
          </cell>
          <cell r="D244" t="str">
            <v>ASSOS LED BRUSHED BRASS WALL LAMP 50cm</v>
          </cell>
          <cell r="E244" t="str">
            <v>METAL PLEKSİ ESKİTME SOFT</v>
          </cell>
          <cell r="F244" t="str">
            <v>9405.11.90.00.00</v>
          </cell>
          <cell r="G244" t="str">
            <v>APLİK</v>
          </cell>
          <cell r="H244" t="str">
            <v>T1W6118100-50</v>
          </cell>
          <cell r="I244" t="str">
            <v>İÇ</v>
          </cell>
          <cell r="J244" t="str">
            <v>APLİK</v>
          </cell>
          <cell r="K244" t="str">
            <v>ASSOS</v>
          </cell>
          <cell r="L244" t="str">
            <v/>
          </cell>
          <cell r="M244" t="str">
            <v/>
          </cell>
          <cell r="N244" t="str">
            <v>HKA-24385</v>
          </cell>
          <cell r="O244" t="str">
            <v>HEKA</v>
          </cell>
          <cell r="P244" t="str">
            <v>ADET</v>
          </cell>
          <cell r="Q244" t="str">
            <v>LED</v>
          </cell>
          <cell r="R244" t="str">
            <v>METAL</v>
          </cell>
          <cell r="S244" t="str">
            <v>ESKİTME</v>
          </cell>
          <cell r="T244" t="str">
            <v>PLEKSİ</v>
          </cell>
          <cell r="U244" t="str">
            <v>SOFT</v>
          </cell>
          <cell r="AD244" t="str">
            <v>DÜZ</v>
          </cell>
          <cell r="AF244">
            <v>40</v>
          </cell>
          <cell r="AG244" t="str">
            <v>ADET</v>
          </cell>
          <cell r="AH244">
            <v>60.5</v>
          </cell>
          <cell r="AI244" t="str">
            <v>CNY</v>
          </cell>
          <cell r="AJ244">
            <v>4200</v>
          </cell>
          <cell r="AK244" t="str">
            <v>TL</v>
          </cell>
          <cell r="AL244">
            <v>1</v>
          </cell>
          <cell r="AM244" t="str">
            <v>8684127501576</v>
          </cell>
          <cell r="AO244">
            <v>0</v>
          </cell>
          <cell r="AQ244">
            <v>50</v>
          </cell>
          <cell r="AR244" t="str">
            <v>CM</v>
          </cell>
          <cell r="AS244">
            <v>8</v>
          </cell>
          <cell r="AT244" t="str">
            <v>CM</v>
          </cell>
          <cell r="AU244">
            <v>0</v>
          </cell>
          <cell r="AW244">
            <v>0</v>
          </cell>
        </row>
        <row r="245">
          <cell r="B245" t="str">
            <v>CK2G1C2Y2D2Y1</v>
          </cell>
          <cell r="C245" t="str">
            <v>ERD-1923/2 FÜME 5W 2200K AY-YILDIZ E27 LED AMPUL</v>
          </cell>
          <cell r="D245" t="str">
            <v>ERD-1923/2 SMOKY 5W 2200K TURKEY FLAG E27 LED BULB</v>
          </cell>
          <cell r="E245" t="str">
            <v>CAM AY-YILDIZ FÜME FLAMENT DIMMLI KARMA</v>
          </cell>
          <cell r="F245" t="str">
            <v>8539.52.00.00.00</v>
          </cell>
          <cell r="G245" t="str">
            <v>AVİZE</v>
          </cell>
          <cell r="H245" t="str">
            <v>CG21122C21T03</v>
          </cell>
          <cell r="I245" t="str">
            <v>İÇ</v>
          </cell>
          <cell r="J245" t="str">
            <v>AMPUL</v>
          </cell>
          <cell r="K245" t="str">
            <v>ERD-1923/2</v>
          </cell>
          <cell r="L245" t="str">
            <v/>
          </cell>
          <cell r="M245" t="str">
            <v/>
          </cell>
          <cell r="N245" t="str">
            <v>ERD-1923/2</v>
          </cell>
          <cell r="O245" t="str">
            <v>HEKA</v>
          </cell>
          <cell r="P245" t="str">
            <v>ADET</v>
          </cell>
          <cell r="Q245" t="str">
            <v>E27</v>
          </cell>
          <cell r="R245" t="str">
            <v>CAM</v>
          </cell>
          <cell r="S245" t="str">
            <v>FÜME</v>
          </cell>
          <cell r="T245" t="str">
            <v>AY-YILDIZ</v>
          </cell>
          <cell r="V245" t="str">
            <v>G</v>
          </cell>
          <cell r="W245" t="str">
            <v>FLAMENT</v>
          </cell>
          <cell r="X245" t="str">
            <v>220V</v>
          </cell>
          <cell r="Y245" t="str">
            <v>5 WATT</v>
          </cell>
          <cell r="Z245" t="str">
            <v>2200 K</v>
          </cell>
          <cell r="AA245" t="str">
            <v>DIMMLI</v>
          </cell>
          <cell r="AB245" t="str">
            <v>101-200</v>
          </cell>
          <cell r="AC245" t="str">
            <v>KARMA</v>
          </cell>
          <cell r="AD245" t="str">
            <v>N/A</v>
          </cell>
          <cell r="AF245">
            <v>171</v>
          </cell>
          <cell r="AG245" t="str">
            <v>ADET</v>
          </cell>
          <cell r="AH245">
            <v>11.2</v>
          </cell>
          <cell r="AI245" t="str">
            <v>USD</v>
          </cell>
          <cell r="AJ245">
            <v>55</v>
          </cell>
          <cell r="AK245" t="str">
            <v>USD</v>
          </cell>
          <cell r="AL245">
            <v>1</v>
          </cell>
          <cell r="AM245" t="str">
            <v>8684127503709</v>
          </cell>
          <cell r="AN245" t="str">
            <v>8684127500845</v>
          </cell>
          <cell r="AO245">
            <v>0</v>
          </cell>
          <cell r="AQ245">
            <v>16</v>
          </cell>
          <cell r="AR245" t="str">
            <v>CM</v>
          </cell>
          <cell r="AS245">
            <v>16</v>
          </cell>
          <cell r="AT245" t="str">
            <v>CM</v>
          </cell>
          <cell r="AU245">
            <v>0</v>
          </cell>
          <cell r="AW245">
            <v>0</v>
          </cell>
        </row>
        <row r="246">
          <cell r="B246" t="str">
            <v>CK2G1C1V2D2Y1</v>
          </cell>
          <cell r="C246" t="str">
            <v>ERD-2015/8 BAL 5W 2200K VAV E27 LED AMPUL</v>
          </cell>
          <cell r="D246" t="str">
            <v>ERD-2015/8 AMBER 5W 2200K VAV E27 LED BULB</v>
          </cell>
          <cell r="E246" t="str">
            <v>CAM VAV BAL FLAMENT DIMMLI KARMA</v>
          </cell>
          <cell r="F246" t="str">
            <v>8539.52.00.00.00</v>
          </cell>
          <cell r="G246" t="str">
            <v>AVİZE</v>
          </cell>
          <cell r="H246" t="str">
            <v>CG21112C21T04</v>
          </cell>
          <cell r="I246" t="str">
            <v>İÇ</v>
          </cell>
          <cell r="J246" t="str">
            <v>AMPUL</v>
          </cell>
          <cell r="K246" t="str">
            <v>ERD-2015/8</v>
          </cell>
          <cell r="L246" t="str">
            <v/>
          </cell>
          <cell r="M246" t="str">
            <v/>
          </cell>
          <cell r="N246" t="str">
            <v>ERD-2015/8</v>
          </cell>
          <cell r="O246" t="str">
            <v>HEKA</v>
          </cell>
          <cell r="P246" t="str">
            <v>ADET</v>
          </cell>
          <cell r="Q246" t="str">
            <v>E27</v>
          </cell>
          <cell r="R246" t="str">
            <v>CAM</v>
          </cell>
          <cell r="S246" t="str">
            <v>BAL</v>
          </cell>
          <cell r="T246" t="str">
            <v>VAV</v>
          </cell>
          <cell r="V246" t="str">
            <v>G</v>
          </cell>
          <cell r="W246" t="str">
            <v>FLAMENT</v>
          </cell>
          <cell r="X246" t="str">
            <v>220V</v>
          </cell>
          <cell r="Y246" t="str">
            <v>5 WATT</v>
          </cell>
          <cell r="Z246" t="str">
            <v>2200 K</v>
          </cell>
          <cell r="AA246" t="str">
            <v>DIMMLI</v>
          </cell>
          <cell r="AB246" t="str">
            <v>101-200</v>
          </cell>
          <cell r="AC246" t="str">
            <v>KARMA</v>
          </cell>
          <cell r="AD246" t="str">
            <v>N/A</v>
          </cell>
          <cell r="AF246">
            <v>305</v>
          </cell>
          <cell r="AG246" t="str">
            <v>ADET</v>
          </cell>
          <cell r="AH246">
            <v>11.35</v>
          </cell>
          <cell r="AI246" t="str">
            <v>USD</v>
          </cell>
          <cell r="AJ246">
            <v>55</v>
          </cell>
          <cell r="AK246" t="str">
            <v>USD</v>
          </cell>
          <cell r="AL246">
            <v>1</v>
          </cell>
          <cell r="AM246" t="str">
            <v>8684127503716</v>
          </cell>
          <cell r="AN246" t="str">
            <v>8684127500814</v>
          </cell>
          <cell r="AO246">
            <v>0</v>
          </cell>
          <cell r="AQ246">
            <v>16</v>
          </cell>
          <cell r="AR246" t="str">
            <v>CM</v>
          </cell>
          <cell r="AS246">
            <v>16</v>
          </cell>
          <cell r="AT246" t="str">
            <v>CM</v>
          </cell>
          <cell r="AU246">
            <v>0</v>
          </cell>
          <cell r="AW246">
            <v>0</v>
          </cell>
        </row>
        <row r="247">
          <cell r="B247" t="str">
            <v>T1C6JMEWRBR-016</v>
          </cell>
          <cell r="C247" t="str">
            <v>*MD6349* BEYAZ 16 CM ÇAPINDA MERMER SARKIT</v>
          </cell>
          <cell r="D247" t="str">
            <v>N/A</v>
          </cell>
          <cell r="E247" t="str">
            <v>METAL MERMER ESKİTME BEYAZ</v>
          </cell>
          <cell r="F247" t="str">
            <v>9405.11.90.00.00</v>
          </cell>
          <cell r="G247" t="str">
            <v>AVİZE</v>
          </cell>
          <cell r="H247" t="str">
            <v>T1A6113100-16</v>
          </cell>
          <cell r="I247" t="str">
            <v>İÇ</v>
          </cell>
          <cell r="J247" t="str">
            <v>SARKIT</v>
          </cell>
          <cell r="K247" t="str">
            <v>MD6349B</v>
          </cell>
          <cell r="L247" t="str">
            <v/>
          </cell>
          <cell r="M247" t="str">
            <v/>
          </cell>
          <cell r="N247" t="str">
            <v>MD6349B</v>
          </cell>
          <cell r="O247" t="str">
            <v>HEKA</v>
          </cell>
          <cell r="P247" t="str">
            <v>ADET</v>
          </cell>
          <cell r="Q247" t="str">
            <v>LED</v>
          </cell>
          <cell r="R247" t="str">
            <v>METAL</v>
          </cell>
          <cell r="S247" t="str">
            <v>ESKİTME</v>
          </cell>
          <cell r="T247" t="str">
            <v>MERMER</v>
          </cell>
          <cell r="U247" t="str">
            <v>BEYAZ</v>
          </cell>
          <cell r="AD247" t="str">
            <v>DAİRE</v>
          </cell>
          <cell r="AE247" t="str">
            <v>01</v>
          </cell>
          <cell r="AF247">
            <v>0</v>
          </cell>
          <cell r="AG247" t="str">
            <v>ADET</v>
          </cell>
          <cell r="AH247">
            <v>135</v>
          </cell>
          <cell r="AI247" t="str">
            <v>CNY</v>
          </cell>
          <cell r="AJ247">
            <v>990</v>
          </cell>
          <cell r="AK247" t="str">
            <v>TL</v>
          </cell>
          <cell r="AL247">
            <v>1</v>
          </cell>
          <cell r="AM247" t="str">
            <v>8684127509398</v>
          </cell>
          <cell r="AO247">
            <v>0</v>
          </cell>
          <cell r="AQ247">
            <v>25</v>
          </cell>
          <cell r="AR247" t="str">
            <v>CM</v>
          </cell>
          <cell r="AS247">
            <v>16</v>
          </cell>
          <cell r="AT247" t="str">
            <v>CM</v>
          </cell>
          <cell r="AU247">
            <v>0</v>
          </cell>
          <cell r="AW247">
            <v>0</v>
          </cell>
        </row>
        <row r="248">
          <cell r="B248" t="str">
            <v>CK2G1C1I2D2Y1</v>
          </cell>
          <cell r="C248" t="str">
            <v>ERD-1453/1 BAL 5W 2200K İSTANBUL E27 LED AMPUL</v>
          </cell>
          <cell r="D248" t="str">
            <v>ERD-1453/1 AMBER 5W 2200K İSTANBUL E27 LED BULB</v>
          </cell>
          <cell r="E248" t="str">
            <v>CAM İSTANBUL BAL FLAMENT DIMMLI KARMA</v>
          </cell>
          <cell r="F248" t="str">
            <v>8539.52.00.00.00</v>
          </cell>
          <cell r="G248" t="str">
            <v>AVİZE</v>
          </cell>
          <cell r="H248" t="str">
            <v>CG21112C21T00</v>
          </cell>
          <cell r="I248" t="str">
            <v>İÇ</v>
          </cell>
          <cell r="J248" t="str">
            <v>AMPUL</v>
          </cell>
          <cell r="K248" t="str">
            <v>ERD-1453/1</v>
          </cell>
          <cell r="L248" t="str">
            <v/>
          </cell>
          <cell r="M248" t="str">
            <v/>
          </cell>
          <cell r="N248" t="str">
            <v>ERD-1453/1</v>
          </cell>
          <cell r="O248" t="str">
            <v>HEKA</v>
          </cell>
          <cell r="P248" t="str">
            <v>ADET</v>
          </cell>
          <cell r="Q248" t="str">
            <v>E27</v>
          </cell>
          <cell r="R248" t="str">
            <v>CAM</v>
          </cell>
          <cell r="S248" t="str">
            <v>BAL</v>
          </cell>
          <cell r="T248" t="str">
            <v>İSTANBUL</v>
          </cell>
          <cell r="V248" t="str">
            <v>G</v>
          </cell>
          <cell r="W248" t="str">
            <v>FLAMENT</v>
          </cell>
          <cell r="X248" t="str">
            <v>220V</v>
          </cell>
          <cell r="Y248" t="str">
            <v>5 WATT</v>
          </cell>
          <cell r="Z248" t="str">
            <v>2200 K</v>
          </cell>
          <cell r="AA248" t="str">
            <v>DIMMLI</v>
          </cell>
          <cell r="AB248" t="str">
            <v>101-200</v>
          </cell>
          <cell r="AC248" t="str">
            <v>KARMA</v>
          </cell>
          <cell r="AD248" t="str">
            <v>N/A</v>
          </cell>
          <cell r="AF248">
            <v>160</v>
          </cell>
          <cell r="AG248" t="str">
            <v>ADET</v>
          </cell>
          <cell r="AH248">
            <v>12.45</v>
          </cell>
          <cell r="AI248" t="str">
            <v>USD</v>
          </cell>
          <cell r="AJ248">
            <v>55</v>
          </cell>
          <cell r="AK248" t="str">
            <v>USD</v>
          </cell>
          <cell r="AL248">
            <v>1</v>
          </cell>
          <cell r="AM248" t="str">
            <v>8684127503655</v>
          </cell>
          <cell r="AN248" t="str">
            <v>8684127500869</v>
          </cell>
          <cell r="AO248">
            <v>0</v>
          </cell>
          <cell r="AQ248">
            <v>16</v>
          </cell>
          <cell r="AR248" t="str">
            <v>CM</v>
          </cell>
          <cell r="AS248">
            <v>16</v>
          </cell>
          <cell r="AT248" t="str">
            <v>CM</v>
          </cell>
          <cell r="AU248">
            <v>0</v>
          </cell>
          <cell r="AW248">
            <v>0</v>
          </cell>
        </row>
        <row r="249">
          <cell r="B249" t="str">
            <v>CK2G1C1L2D2Y1</v>
          </cell>
          <cell r="C249" t="str">
            <v>ERD-1922/1 BAL 5W 2200K LONDON E27 LED AMPUL</v>
          </cell>
          <cell r="D249" t="str">
            <v>ERD-1922/1 AMBER 5W 2200K LONDON E27 LED BULB</v>
          </cell>
          <cell r="E249" t="str">
            <v>CAM LONDON BAL FLAMENT DIMMLI KARMA</v>
          </cell>
          <cell r="F249" t="str">
            <v>8539.52.00.00.00</v>
          </cell>
          <cell r="G249" t="str">
            <v>AVİZE</v>
          </cell>
          <cell r="H249" t="str">
            <v>CG21112C21T02</v>
          </cell>
          <cell r="I249" t="str">
            <v>İÇ</v>
          </cell>
          <cell r="J249" t="str">
            <v>AMPUL</v>
          </cell>
          <cell r="K249" t="str">
            <v>ERD-1922/1</v>
          </cell>
          <cell r="L249" t="str">
            <v/>
          </cell>
          <cell r="M249" t="str">
            <v/>
          </cell>
          <cell r="N249" t="str">
            <v>ERD-1922/1</v>
          </cell>
          <cell r="O249" t="str">
            <v>HEKA</v>
          </cell>
          <cell r="P249" t="str">
            <v>ADET</v>
          </cell>
          <cell r="Q249" t="str">
            <v>E27</v>
          </cell>
          <cell r="R249" t="str">
            <v>CAM</v>
          </cell>
          <cell r="S249" t="str">
            <v>BAL</v>
          </cell>
          <cell r="T249" t="str">
            <v>LONDON</v>
          </cell>
          <cell r="V249" t="str">
            <v>G</v>
          </cell>
          <cell r="W249" t="str">
            <v>FLAMENT</v>
          </cell>
          <cell r="X249" t="str">
            <v>220V</v>
          </cell>
          <cell r="Y249" t="str">
            <v>5 WATT</v>
          </cell>
          <cell r="Z249" t="str">
            <v>2200 K</v>
          </cell>
          <cell r="AA249" t="str">
            <v>DIMMLI</v>
          </cell>
          <cell r="AB249" t="str">
            <v>101-200</v>
          </cell>
          <cell r="AC249" t="str">
            <v>KARMA</v>
          </cell>
          <cell r="AD249" t="str">
            <v>N/A</v>
          </cell>
          <cell r="AF249">
            <v>421</v>
          </cell>
          <cell r="AG249" t="str">
            <v>ADET</v>
          </cell>
          <cell r="AH249">
            <v>12.5</v>
          </cell>
          <cell r="AI249" t="str">
            <v>USD</v>
          </cell>
          <cell r="AJ249">
            <v>55</v>
          </cell>
          <cell r="AK249" t="str">
            <v>USD</v>
          </cell>
          <cell r="AL249">
            <v>1</v>
          </cell>
          <cell r="AM249" t="str">
            <v>8684127503679</v>
          </cell>
          <cell r="AN249" t="str">
            <v>8684127500784</v>
          </cell>
          <cell r="AO249">
            <v>0</v>
          </cell>
          <cell r="AQ249">
            <v>16</v>
          </cell>
          <cell r="AR249" t="str">
            <v>CM</v>
          </cell>
          <cell r="AS249">
            <v>16</v>
          </cell>
          <cell r="AT249" t="str">
            <v>CM</v>
          </cell>
          <cell r="AU249">
            <v>0</v>
          </cell>
          <cell r="AW249">
            <v>0</v>
          </cell>
        </row>
        <row r="250">
          <cell r="B250" t="str">
            <v>T1C6JMELTB0-070</v>
          </cell>
          <cell r="C250" t="str">
            <v>ŞABRAN PLEKSİ BONCUK SARKIT 70cm</v>
          </cell>
          <cell r="D250" t="str">
            <v>ŞABRAN PLEKSI BEAD PENDANT 70cm</v>
          </cell>
          <cell r="E250" t="str">
            <v>METAL PLEKSİ ESKİTME BONCUK</v>
          </cell>
          <cell r="F250" t="str">
            <v/>
          </cell>
          <cell r="G250" t="str">
            <v>AVİZE</v>
          </cell>
          <cell r="H250" t="str">
            <v>T1A6118500-70</v>
          </cell>
          <cell r="I250" t="str">
            <v>İÇ</v>
          </cell>
          <cell r="J250" t="str">
            <v>AVİZE.SARK</v>
          </cell>
          <cell r="K250" t="str">
            <v>ŞABRAN</v>
          </cell>
          <cell r="L250" t="str">
            <v/>
          </cell>
          <cell r="M250" t="str">
            <v/>
          </cell>
          <cell r="N250" t="str">
            <v>9913/700</v>
          </cell>
          <cell r="O250" t="str">
            <v>HEKA</v>
          </cell>
          <cell r="P250" t="str">
            <v>ADET</v>
          </cell>
          <cell r="Q250" t="str">
            <v>LED</v>
          </cell>
          <cell r="R250" t="str">
            <v>METAL</v>
          </cell>
          <cell r="S250" t="str">
            <v>ESKİTME</v>
          </cell>
          <cell r="T250" t="str">
            <v>PLEKSİ</v>
          </cell>
          <cell r="U250" t="str">
            <v>BONCUK</v>
          </cell>
          <cell r="AF250">
            <v>3</v>
          </cell>
          <cell r="AG250" t="str">
            <v>ADET</v>
          </cell>
          <cell r="AH250">
            <v>780</v>
          </cell>
          <cell r="AI250" t="str">
            <v>CNY</v>
          </cell>
          <cell r="AJ250">
            <v>6188</v>
          </cell>
          <cell r="AK250" t="str">
            <v>TL</v>
          </cell>
          <cell r="AL250">
            <v>1</v>
          </cell>
          <cell r="AM250" t="str">
            <v>8684127504829</v>
          </cell>
          <cell r="AO250">
            <v>0</v>
          </cell>
          <cell r="AQ250">
            <v>0</v>
          </cell>
          <cell r="AR250" t="str">
            <v>CM</v>
          </cell>
          <cell r="AS250">
            <v>0</v>
          </cell>
          <cell r="AT250" t="str">
            <v>CM</v>
          </cell>
          <cell r="AU250">
            <v>0</v>
          </cell>
          <cell r="AW250">
            <v>0</v>
          </cell>
        </row>
        <row r="251">
          <cell r="B251" t="str">
            <v>H1C2JMBERF0-027</v>
          </cell>
          <cell r="C251" t="str">
            <v>BULUT TEKLİ CAM BAKIR SARKIT</v>
          </cell>
          <cell r="D251" t="str">
            <v>BULUT SINGLE GLASS COPPER PENDANT</v>
          </cell>
          <cell r="E251" t="str">
            <v>METAL CAM BAKIR FÜME</v>
          </cell>
          <cell r="F251" t="str">
            <v>9405.19.90.00.00</v>
          </cell>
          <cell r="G251" t="str">
            <v>AVİZE</v>
          </cell>
          <cell r="H251" t="str">
            <v>M01-BAKIR</v>
          </cell>
          <cell r="I251" t="str">
            <v>İÇ</v>
          </cell>
          <cell r="J251" t="str">
            <v>AVİZE.SARK</v>
          </cell>
          <cell r="K251" t="str">
            <v>BULUT</v>
          </cell>
          <cell r="L251" t="str">
            <v/>
          </cell>
          <cell r="M251" t="str">
            <v/>
          </cell>
          <cell r="N251" t="str">
            <v>M01BAK</v>
          </cell>
          <cell r="O251" t="str">
            <v>HEKA</v>
          </cell>
          <cell r="P251" t="str">
            <v>ADET</v>
          </cell>
          <cell r="Q251" t="str">
            <v>E27</v>
          </cell>
          <cell r="R251" t="str">
            <v>METAL</v>
          </cell>
          <cell r="S251" t="str">
            <v>BAKIR</v>
          </cell>
          <cell r="T251" t="str">
            <v>CAM</v>
          </cell>
          <cell r="U251" t="str">
            <v>FÜME</v>
          </cell>
          <cell r="AD251" t="str">
            <v>N/A</v>
          </cell>
          <cell r="AE251" t="str">
            <v>01</v>
          </cell>
          <cell r="AF251">
            <v>7</v>
          </cell>
          <cell r="AG251" t="str">
            <v>ADET</v>
          </cell>
          <cell r="AH251">
            <v>45</v>
          </cell>
          <cell r="AI251" t="str">
            <v>CNY</v>
          </cell>
          <cell r="AJ251">
            <v>1371</v>
          </cell>
          <cell r="AK251" t="str">
            <v>TL</v>
          </cell>
          <cell r="AL251">
            <v>0</v>
          </cell>
          <cell r="AM251" t="str">
            <v>8684127509367</v>
          </cell>
          <cell r="AO251">
            <v>0</v>
          </cell>
          <cell r="AQ251">
            <v>27</v>
          </cell>
          <cell r="AR251" t="str">
            <v>CM</v>
          </cell>
          <cell r="AS251">
            <v>27</v>
          </cell>
          <cell r="AT251" t="str">
            <v>CM</v>
          </cell>
          <cell r="AU251">
            <v>0</v>
          </cell>
          <cell r="AW251">
            <v>0</v>
          </cell>
        </row>
        <row r="252">
          <cell r="B252" t="str">
            <v>H1W6JMEWRBR-048</v>
          </cell>
          <cell r="C252" t="str">
            <v>EFES ESKİTME MERMER APLİK</v>
          </cell>
          <cell r="D252" t="str">
            <v>EFES MARBLE BRUSHES BRASS WALL LAMP</v>
          </cell>
          <cell r="E252" t="str">
            <v>METAL MERMER ESKİTME BEYAZ</v>
          </cell>
          <cell r="F252" t="str">
            <v>9405.11.90.00.00</v>
          </cell>
          <cell r="G252" t="str">
            <v>APLİK</v>
          </cell>
          <cell r="H252" t="str">
            <v>H1W6113100-04</v>
          </cell>
          <cell r="I252" t="str">
            <v>İÇ</v>
          </cell>
          <cell r="J252" t="str">
            <v>APLİK</v>
          </cell>
          <cell r="K252" t="str">
            <v>EFES</v>
          </cell>
          <cell r="L252" t="str">
            <v/>
          </cell>
          <cell r="M252" t="str">
            <v>ÜRTM:25GÜN</v>
          </cell>
          <cell r="N252" t="str">
            <v>HK20008</v>
          </cell>
          <cell r="O252" t="str">
            <v>HEKA</v>
          </cell>
          <cell r="P252" t="str">
            <v>ADET</v>
          </cell>
          <cell r="Q252" t="str">
            <v>LED</v>
          </cell>
          <cell r="R252" t="str">
            <v>METAL</v>
          </cell>
          <cell r="S252" t="str">
            <v>ESKİTME</v>
          </cell>
          <cell r="T252" t="str">
            <v>MERMER</v>
          </cell>
          <cell r="U252" t="str">
            <v>BEYAZ</v>
          </cell>
          <cell r="AD252" t="str">
            <v>DAİRE</v>
          </cell>
          <cell r="AF252">
            <v>2</v>
          </cell>
          <cell r="AG252" t="str">
            <v>ADET</v>
          </cell>
          <cell r="AH252">
            <v>250</v>
          </cell>
          <cell r="AI252" t="str">
            <v>TL</v>
          </cell>
          <cell r="AJ252">
            <v>11650</v>
          </cell>
          <cell r="AK252" t="str">
            <v>TL</v>
          </cell>
          <cell r="AL252">
            <v>1</v>
          </cell>
          <cell r="AM252" t="str">
            <v>8684127509749</v>
          </cell>
          <cell r="AO252">
            <v>0</v>
          </cell>
          <cell r="AQ252">
            <v>19</v>
          </cell>
          <cell r="AR252" t="str">
            <v>CM</v>
          </cell>
          <cell r="AS252">
            <v>9</v>
          </cell>
          <cell r="AT252" t="str">
            <v>CM</v>
          </cell>
          <cell r="AU252">
            <v>0</v>
          </cell>
          <cell r="AW252">
            <v>0</v>
          </cell>
        </row>
        <row r="253">
          <cell r="B253" t="str">
            <v>H1W1JM20000-035</v>
          </cell>
          <cell r="C253" t="str">
            <v>MAHPERİ BAKIR APLİK KÜÇÜK</v>
          </cell>
          <cell r="D253" t="str">
            <v>MAHPERİ COPPER WALL LAMP SMALL</v>
          </cell>
          <cell r="E253" t="str">
            <v>METAL YOK BAKIR ESKİTME YOK</v>
          </cell>
          <cell r="F253" t="str">
            <v>9405.19.90.00.00</v>
          </cell>
          <cell r="G253" t="str">
            <v>APLİK</v>
          </cell>
          <cell r="H253" t="str">
            <v>H1W1170000-35</v>
          </cell>
          <cell r="I253" t="str">
            <v>İÇ</v>
          </cell>
          <cell r="J253" t="str">
            <v>APLİK</v>
          </cell>
          <cell r="K253" t="str">
            <v>MAHPERİ</v>
          </cell>
          <cell r="L253" t="str">
            <v/>
          </cell>
          <cell r="M253" t="str">
            <v>ÜRTM:15GÜN</v>
          </cell>
          <cell r="N253" t="str">
            <v>HK20057</v>
          </cell>
          <cell r="O253" t="str">
            <v>LIGHTIST</v>
          </cell>
          <cell r="P253" t="str">
            <v>ADET</v>
          </cell>
          <cell r="Q253" t="str">
            <v>E14</v>
          </cell>
          <cell r="R253" t="str">
            <v>METAL</v>
          </cell>
          <cell r="S253" t="str">
            <v>BAKIR ESKİTME</v>
          </cell>
          <cell r="T253" t="str">
            <v>YOK</v>
          </cell>
          <cell r="U253" t="str">
            <v>YOK</v>
          </cell>
          <cell r="AD253" t="str">
            <v>N/A</v>
          </cell>
          <cell r="AE253" t="str">
            <v>02</v>
          </cell>
          <cell r="AF253">
            <v>2</v>
          </cell>
          <cell r="AG253" t="str">
            <v>ADET</v>
          </cell>
          <cell r="AH253">
            <v>200</v>
          </cell>
          <cell r="AI253" t="str">
            <v>TL</v>
          </cell>
          <cell r="AJ253">
            <v>2400</v>
          </cell>
          <cell r="AK253" t="str">
            <v>TL</v>
          </cell>
          <cell r="AL253">
            <v>1</v>
          </cell>
          <cell r="AM253" t="str">
            <v>8684127502474</v>
          </cell>
          <cell r="AO253">
            <v>0</v>
          </cell>
          <cell r="AQ253">
            <v>0</v>
          </cell>
          <cell r="AR253" t="str">
            <v>CM</v>
          </cell>
          <cell r="AS253">
            <v>0</v>
          </cell>
          <cell r="AT253" t="str">
            <v>CM</v>
          </cell>
          <cell r="AU253">
            <v>0</v>
          </cell>
          <cell r="AW253">
            <v>0</v>
          </cell>
        </row>
        <row r="254">
          <cell r="B254" t="str">
            <v>H1W3JME000R-040</v>
          </cell>
          <cell r="C254" t="str">
            <v>SALYAN DÖVMELİ ESKİTME APLİK 40cm</v>
          </cell>
          <cell r="D254" t="str">
            <v>SALYAN HAMMERED BRUSHED BRASS WALL LAMP 40cm</v>
          </cell>
          <cell r="E254" t="str">
            <v>METAL YOK ESKİTME YOK</v>
          </cell>
          <cell r="F254" t="str">
            <v>9405.19.90.00.00</v>
          </cell>
          <cell r="G254" t="str">
            <v>APLİK</v>
          </cell>
          <cell r="H254" t="str">
            <v>H1W3110000-40</v>
          </cell>
          <cell r="I254" t="str">
            <v>İÇ</v>
          </cell>
          <cell r="J254" t="str">
            <v>APLİK</v>
          </cell>
          <cell r="K254" t="str">
            <v>SALYAN</v>
          </cell>
          <cell r="L254" t="str">
            <v/>
          </cell>
          <cell r="M254" t="str">
            <v/>
          </cell>
          <cell r="N254" t="str">
            <v/>
          </cell>
          <cell r="O254" t="str">
            <v>HEKA</v>
          </cell>
          <cell r="P254" t="str">
            <v>ADET</v>
          </cell>
          <cell r="Q254" t="str">
            <v>G9</v>
          </cell>
          <cell r="R254" t="str">
            <v>METAL</v>
          </cell>
          <cell r="S254" t="str">
            <v>ESKİTME</v>
          </cell>
          <cell r="T254" t="str">
            <v>YOK</v>
          </cell>
          <cell r="U254" t="str">
            <v>YOK</v>
          </cell>
          <cell r="AD254" t="str">
            <v>DAİRE</v>
          </cell>
          <cell r="AE254" t="str">
            <v>07</v>
          </cell>
          <cell r="AF254">
            <v>0</v>
          </cell>
          <cell r="AG254" t="str">
            <v>ADET</v>
          </cell>
          <cell r="AH254">
            <v>2000</v>
          </cell>
          <cell r="AI254" t="str">
            <v>TL</v>
          </cell>
          <cell r="AJ254">
            <v>1600</v>
          </cell>
          <cell r="AK254" t="str">
            <v>TL</v>
          </cell>
          <cell r="AL254">
            <v>1</v>
          </cell>
          <cell r="AM254" t="str">
            <v>8684127509695</v>
          </cell>
          <cell r="AO254">
            <v>0</v>
          </cell>
          <cell r="AQ254">
            <v>40</v>
          </cell>
          <cell r="AR254" t="str">
            <v>CM</v>
          </cell>
          <cell r="AS254">
            <v>40</v>
          </cell>
          <cell r="AT254" t="str">
            <v>CM</v>
          </cell>
          <cell r="AU254">
            <v>0</v>
          </cell>
          <cell r="AW254">
            <v>0</v>
          </cell>
        </row>
        <row r="255">
          <cell r="B255" t="str">
            <v>H1C1JMEJMER-050</v>
          </cell>
          <cell r="C255" t="str">
            <v>OLİMPOS KİRPİ AVİZE 50cm</v>
          </cell>
          <cell r="D255" t="str">
            <v>OLIMPOS HEDGEHOG CHANDELIER 50cm</v>
          </cell>
          <cell r="E255" t="str">
            <v xml:space="preserve">METAL METAL ESKİTME ESKİTME   </v>
          </cell>
          <cell r="F255" t="str">
            <v>9405.19.90.00.00</v>
          </cell>
          <cell r="G255" t="str">
            <v>AVİZE</v>
          </cell>
          <cell r="H255" t="str">
            <v>H1A1110000-50</v>
          </cell>
          <cell r="I255" t="str">
            <v>İÇ</v>
          </cell>
          <cell r="J255" t="str">
            <v>AVİZE.AVİZ</v>
          </cell>
          <cell r="K255" t="str">
            <v>OLİMPOS</v>
          </cell>
          <cell r="L255" t="str">
            <v/>
          </cell>
          <cell r="M255" t="str">
            <v/>
          </cell>
          <cell r="N255" t="str">
            <v>HK20014</v>
          </cell>
          <cell r="O255" t="str">
            <v>HEKA</v>
          </cell>
          <cell r="P255" t="str">
            <v>ADET</v>
          </cell>
          <cell r="Q255" t="str">
            <v>E14</v>
          </cell>
          <cell r="R255" t="str">
            <v>METAL</v>
          </cell>
          <cell r="S255" t="str">
            <v>ESKİTME</v>
          </cell>
          <cell r="T255" t="str">
            <v>METAL</v>
          </cell>
          <cell r="U255" t="str">
            <v>ESKİTME</v>
          </cell>
          <cell r="AD255" t="str">
            <v>DAİRE</v>
          </cell>
          <cell r="AE255" t="str">
            <v>07</v>
          </cell>
          <cell r="AF255">
            <v>0</v>
          </cell>
          <cell r="AG255" t="str">
            <v>ADET</v>
          </cell>
          <cell r="AH255">
            <v>650</v>
          </cell>
          <cell r="AI255" t="str">
            <v>TL</v>
          </cell>
          <cell r="AJ255">
            <v>6250</v>
          </cell>
          <cell r="AK255" t="str">
            <v>TL</v>
          </cell>
          <cell r="AL255">
            <v>1</v>
          </cell>
          <cell r="AM255" t="str">
            <v>8684127508964</v>
          </cell>
          <cell r="AO255">
            <v>0</v>
          </cell>
          <cell r="AQ255">
            <v>150</v>
          </cell>
          <cell r="AR255" t="str">
            <v>CM</v>
          </cell>
          <cell r="AS255">
            <v>50</v>
          </cell>
          <cell r="AT255" t="str">
            <v>CM</v>
          </cell>
          <cell r="AU255">
            <v>0</v>
          </cell>
          <cell r="AW255">
            <v>0</v>
          </cell>
        </row>
        <row r="256">
          <cell r="B256" t="str">
            <v>H1W1JMEHRR0-050</v>
          </cell>
          <cell r="C256" t="str">
            <v>KAZAH ABAJUR ESKİTME APLİK</v>
          </cell>
          <cell r="D256" t="str">
            <v>KAZAH LAMPSHADE BRUSHED BRASS WALL LAMP</v>
          </cell>
          <cell r="E256" t="str">
            <v>METAL KUMAŞ ESKİTME KREM</v>
          </cell>
          <cell r="F256" t="str">
            <v>9405.19.90.00.00</v>
          </cell>
          <cell r="G256" t="str">
            <v>APLİK</v>
          </cell>
          <cell r="H256" t="str">
            <v>H1W1119200-50</v>
          </cell>
          <cell r="I256" t="str">
            <v>İÇ</v>
          </cell>
          <cell r="J256" t="str">
            <v>APLİK</v>
          </cell>
          <cell r="K256" t="str">
            <v>KAZAH</v>
          </cell>
          <cell r="L256" t="str">
            <v/>
          </cell>
          <cell r="M256" t="str">
            <v/>
          </cell>
          <cell r="N256" t="str">
            <v>MRT-01E</v>
          </cell>
          <cell r="O256" t="str">
            <v>HEKA</v>
          </cell>
          <cell r="P256" t="str">
            <v>ADET</v>
          </cell>
          <cell r="Q256" t="str">
            <v>E14</v>
          </cell>
          <cell r="R256" t="str">
            <v>METAL</v>
          </cell>
          <cell r="S256" t="str">
            <v>ESKİTME</v>
          </cell>
          <cell r="T256" t="str">
            <v>KUMAŞ</v>
          </cell>
          <cell r="U256" t="str">
            <v>KREM</v>
          </cell>
          <cell r="AD256" t="str">
            <v>N/A</v>
          </cell>
          <cell r="AE256" t="str">
            <v>02</v>
          </cell>
          <cell r="AF256">
            <v>7</v>
          </cell>
          <cell r="AG256" t="str">
            <v>ADET</v>
          </cell>
          <cell r="AH256">
            <v>150</v>
          </cell>
          <cell r="AI256" t="str">
            <v>TL</v>
          </cell>
          <cell r="AJ256">
            <v>395</v>
          </cell>
          <cell r="AK256" t="str">
            <v>TL</v>
          </cell>
          <cell r="AL256">
            <v>1</v>
          </cell>
          <cell r="AM256" t="str">
            <v>8684127505383</v>
          </cell>
          <cell r="AO256">
            <v>0</v>
          </cell>
          <cell r="AQ256">
            <v>21</v>
          </cell>
          <cell r="AR256" t="str">
            <v>CM</v>
          </cell>
          <cell r="AS256">
            <v>50</v>
          </cell>
          <cell r="AT256" t="str">
            <v>CM</v>
          </cell>
          <cell r="AU256">
            <v>0</v>
          </cell>
          <cell r="AW256">
            <v>0</v>
          </cell>
        </row>
        <row r="257">
          <cell r="B257" t="str">
            <v>H1W6JMEECS0-020</v>
          </cell>
          <cell r="C257" t="str">
            <v>ROMA TEK CAMLI ESKİTME APLİK</v>
          </cell>
          <cell r="D257" t="str">
            <v>ROMA SINGLE GLASS BRUSHED BRASS WALL LAMP</v>
          </cell>
          <cell r="E257" t="str">
            <v>CAM  METAL ŞEFFAF ESKİTME</v>
          </cell>
          <cell r="F257" t="str">
            <v/>
          </cell>
          <cell r="G257" t="str">
            <v>APLİK</v>
          </cell>
          <cell r="H257" t="str">
            <v>ROMA-4</v>
          </cell>
          <cell r="I257" t="str">
            <v>İÇ</v>
          </cell>
          <cell r="J257" t="str">
            <v>APLİK</v>
          </cell>
          <cell r="K257" t="str">
            <v>ROMA</v>
          </cell>
          <cell r="L257" t="str">
            <v/>
          </cell>
          <cell r="M257" t="str">
            <v/>
          </cell>
          <cell r="N257" t="str">
            <v/>
          </cell>
          <cell r="O257" t="str">
            <v>HEKA</v>
          </cell>
          <cell r="P257" t="str">
            <v>ADET</v>
          </cell>
          <cell r="AF257">
            <v>0</v>
          </cell>
          <cell r="AG257" t="str">
            <v>ADET</v>
          </cell>
          <cell r="AH257">
            <v>450</v>
          </cell>
          <cell r="AI257" t="str">
            <v>TL</v>
          </cell>
          <cell r="AJ257">
            <v>3273</v>
          </cell>
          <cell r="AK257" t="str">
            <v>TL</v>
          </cell>
          <cell r="AL257">
            <v>0</v>
          </cell>
          <cell r="AM257" t="str">
            <v>8684127510547</v>
          </cell>
          <cell r="AO257">
            <v>0</v>
          </cell>
          <cell r="AQ257">
            <v>0</v>
          </cell>
          <cell r="AS257">
            <v>0</v>
          </cell>
          <cell r="AU257">
            <v>0</v>
          </cell>
          <cell r="AW257">
            <v>0</v>
          </cell>
        </row>
        <row r="258">
          <cell r="B258" t="str">
            <v>A1211-30</v>
          </cell>
          <cell r="C258" t="str">
            <v>E14 DÜZ DUY SYH GEÇMELİ</v>
          </cell>
          <cell r="D258" t="str">
            <v/>
          </cell>
          <cell r="E258" t="str">
            <v/>
          </cell>
          <cell r="F258" t="str">
            <v/>
          </cell>
          <cell r="G258" t="str">
            <v/>
          </cell>
          <cell r="H258" t="str">
            <v>A1211-30</v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 t="str">
            <v/>
          </cell>
          <cell r="P258" t="str">
            <v>ADET</v>
          </cell>
          <cell r="AF258">
            <v>0</v>
          </cell>
          <cell r="AG258" t="str">
            <v>ADET</v>
          </cell>
          <cell r="AH258">
            <v>1.4350000000000001</v>
          </cell>
          <cell r="AI258" t="str">
            <v>TL</v>
          </cell>
          <cell r="AL258">
            <v>0</v>
          </cell>
          <cell r="AM258" t="str">
            <v>1234567149332</v>
          </cell>
          <cell r="AO258">
            <v>0</v>
          </cell>
          <cell r="AQ258">
            <v>0</v>
          </cell>
          <cell r="AS258">
            <v>0</v>
          </cell>
          <cell r="AU258">
            <v>0</v>
          </cell>
          <cell r="AW258">
            <v>0</v>
          </cell>
        </row>
        <row r="259">
          <cell r="B259" t="str">
            <v>H1F1JMG0000-170</v>
          </cell>
          <cell r="C259" t="str">
            <v>ASTARA ALTIN GİNGKO YAPRAK LAMBADER</v>
          </cell>
          <cell r="D259" t="str">
            <v>ASTARA GOLD GINKO LEAF FLOOR LAMP</v>
          </cell>
          <cell r="E259" t="str">
            <v>METAL YOK GOLD YOK</v>
          </cell>
          <cell r="F259" t="str">
            <v>9405.19.90.00.00</v>
          </cell>
          <cell r="G259" t="str">
            <v>LAMBADER</v>
          </cell>
          <cell r="H259" t="str">
            <v>H1L1120003-90</v>
          </cell>
          <cell r="I259" t="str">
            <v>İÇ</v>
          </cell>
          <cell r="J259" t="str">
            <v>LAMBADER</v>
          </cell>
          <cell r="K259" t="str">
            <v>ASTARA</v>
          </cell>
          <cell r="L259" t="str">
            <v/>
          </cell>
          <cell r="M259" t="str">
            <v/>
          </cell>
          <cell r="N259" t="str">
            <v/>
          </cell>
          <cell r="O259" t="str">
            <v>LIGHTIST</v>
          </cell>
          <cell r="P259" t="str">
            <v>ADET</v>
          </cell>
          <cell r="Q259" t="str">
            <v>E14</v>
          </cell>
          <cell r="R259" t="str">
            <v>METAL</v>
          </cell>
          <cell r="S259" t="str">
            <v>GOLD</v>
          </cell>
          <cell r="T259" t="str">
            <v>YOK</v>
          </cell>
          <cell r="U259" t="str">
            <v>YOK</v>
          </cell>
          <cell r="AD259" t="str">
            <v>N/A</v>
          </cell>
          <cell r="AE259" t="str">
            <v>04</v>
          </cell>
          <cell r="AF259">
            <v>1</v>
          </cell>
          <cell r="AG259" t="str">
            <v>ADET</v>
          </cell>
          <cell r="AH259">
            <v>7250</v>
          </cell>
          <cell r="AI259" t="str">
            <v>TL</v>
          </cell>
          <cell r="AJ259">
            <v>38500</v>
          </cell>
          <cell r="AK259" t="str">
            <v>TL</v>
          </cell>
          <cell r="AL259">
            <v>1</v>
          </cell>
          <cell r="AM259" t="str">
            <v>8684127505628</v>
          </cell>
          <cell r="AO259">
            <v>0</v>
          </cell>
          <cell r="AQ259">
            <v>14</v>
          </cell>
          <cell r="AR259" t="str">
            <v>CM</v>
          </cell>
          <cell r="AS259">
            <v>177</v>
          </cell>
          <cell r="AT259" t="str">
            <v>CM</v>
          </cell>
          <cell r="AU259">
            <v>0</v>
          </cell>
          <cell r="AW259">
            <v>0</v>
          </cell>
        </row>
        <row r="260">
          <cell r="B260" t="str">
            <v>H1T2JMEERFR-060</v>
          </cell>
          <cell r="C260" t="str">
            <v>GALATA MASA LAMBASI</v>
          </cell>
          <cell r="D260" t="str">
            <v>GALATA TABLE LAMP</v>
          </cell>
          <cell r="E260" t="str">
            <v xml:space="preserve">METAL CAM  ESKİTME FÜME   </v>
          </cell>
          <cell r="F260" t="str">
            <v>9405.29.90.00.00</v>
          </cell>
          <cell r="G260" t="str">
            <v>MASA LAMBASI</v>
          </cell>
          <cell r="H260" t="str">
            <v>H1M21122D0-02</v>
          </cell>
          <cell r="I260" t="str">
            <v>İÇ</v>
          </cell>
          <cell r="J260" t="str">
            <v>MASAABAJ</v>
          </cell>
          <cell r="K260" t="str">
            <v>GALATA</v>
          </cell>
          <cell r="L260" t="str">
            <v/>
          </cell>
          <cell r="M260" t="str">
            <v>ÜRTM:15GÜN</v>
          </cell>
          <cell r="N260" t="str">
            <v>HK20004</v>
          </cell>
          <cell r="O260" t="str">
            <v>HEKA</v>
          </cell>
          <cell r="P260" t="str">
            <v>ADET</v>
          </cell>
          <cell r="Q260" t="str">
            <v>E27</v>
          </cell>
          <cell r="R260" t="str">
            <v>METAL</v>
          </cell>
          <cell r="S260" t="str">
            <v>ESKİTME</v>
          </cell>
          <cell r="T260" t="str">
            <v>CAM</v>
          </cell>
          <cell r="U260" t="str">
            <v>FÜME</v>
          </cell>
          <cell r="AD260" t="str">
            <v>DAİRE</v>
          </cell>
          <cell r="AE260" t="str">
            <v>02</v>
          </cell>
          <cell r="AF260">
            <v>1</v>
          </cell>
          <cell r="AG260" t="str">
            <v>ADET</v>
          </cell>
          <cell r="AH260">
            <v>650</v>
          </cell>
          <cell r="AI260" t="str">
            <v>TL</v>
          </cell>
          <cell r="AJ260">
            <v>21200</v>
          </cell>
          <cell r="AK260" t="str">
            <v>TL</v>
          </cell>
          <cell r="AL260">
            <v>1</v>
          </cell>
          <cell r="AM260" t="str">
            <v>8684127508520</v>
          </cell>
          <cell r="AO260">
            <v>0</v>
          </cell>
          <cell r="AQ260">
            <v>56</v>
          </cell>
          <cell r="AR260" t="str">
            <v>CM</v>
          </cell>
          <cell r="AS260">
            <v>8</v>
          </cell>
          <cell r="AT260" t="str">
            <v>CM</v>
          </cell>
          <cell r="AU260">
            <v>0</v>
          </cell>
          <cell r="AW260">
            <v>0</v>
          </cell>
        </row>
        <row r="261">
          <cell r="B261" t="str">
            <v>T1A6311100-16</v>
          </cell>
          <cell r="C261" t="str">
            <v>PERTEK BEYAZ GEZEGEN MERMER SARKIT 16cm</v>
          </cell>
          <cell r="D261" t="str">
            <v/>
          </cell>
          <cell r="E261" t="str">
            <v/>
          </cell>
          <cell r="F261" t="str">
            <v/>
          </cell>
          <cell r="G261" t="str">
            <v>SARKIT</v>
          </cell>
          <cell r="H261" t="str">
            <v>T1A6311100-16</v>
          </cell>
          <cell r="I261" t="str">
            <v>SARKIT</v>
          </cell>
          <cell r="J261" t="str">
            <v>ETSY</v>
          </cell>
          <cell r="K261" t="str">
            <v/>
          </cell>
          <cell r="L261" t="str">
            <v/>
          </cell>
          <cell r="M261" t="str">
            <v/>
          </cell>
          <cell r="N261" t="str">
            <v>1999</v>
          </cell>
          <cell r="P261" t="str">
            <v>ADET</v>
          </cell>
          <cell r="AF261">
            <v>0</v>
          </cell>
          <cell r="AG261" t="str">
            <v>ADET</v>
          </cell>
          <cell r="AH261">
            <v>205</v>
          </cell>
          <cell r="AI261" t="str">
            <v>CNY</v>
          </cell>
          <cell r="AL261">
            <v>1</v>
          </cell>
          <cell r="AM261" t="str">
            <v>1234567150833</v>
          </cell>
          <cell r="AO261">
            <v>0</v>
          </cell>
          <cell r="AQ261">
            <v>0</v>
          </cell>
          <cell r="AS261">
            <v>0</v>
          </cell>
          <cell r="AU261">
            <v>0</v>
          </cell>
          <cell r="AW261">
            <v>0</v>
          </cell>
        </row>
        <row r="262">
          <cell r="B262" t="str">
            <v>H1C6JMKECTD-095</v>
          </cell>
          <cell r="C262" t="str">
            <v>SOLİ YEMEK MASASI KROM AVİZE 5 Lİ</v>
          </cell>
          <cell r="D262" t="str">
            <v>SOLİ DINNING TABLE CHROME CHANDELIER 5 BULB</v>
          </cell>
          <cell r="E262" t="str">
            <v>METAL CAM KROM SOFT</v>
          </cell>
          <cell r="F262" t="str">
            <v>9405.11.90.00.00</v>
          </cell>
          <cell r="G262" t="str">
            <v>AVİZE</v>
          </cell>
          <cell r="H262" t="str">
            <v>T1A6132100-05</v>
          </cell>
          <cell r="I262" t="str">
            <v>İÇ</v>
          </cell>
          <cell r="J262" t="str">
            <v>AVİZE.AVİZ</v>
          </cell>
          <cell r="K262" t="str">
            <v>SOLİ</v>
          </cell>
          <cell r="L262" t="str">
            <v/>
          </cell>
          <cell r="M262" t="str">
            <v/>
          </cell>
          <cell r="N262" t="str">
            <v>JM8009-5-CH</v>
          </cell>
          <cell r="O262" t="str">
            <v>HEKA</v>
          </cell>
          <cell r="P262" t="str">
            <v>ADET</v>
          </cell>
          <cell r="Q262" t="str">
            <v>LED</v>
          </cell>
          <cell r="R262" t="str">
            <v>METAL</v>
          </cell>
          <cell r="S262" t="str">
            <v>KROM</v>
          </cell>
          <cell r="T262" t="str">
            <v>CAM</v>
          </cell>
          <cell r="U262" t="str">
            <v>SOFT</v>
          </cell>
          <cell r="AD262" t="str">
            <v>DİKDÖRTGEN</v>
          </cell>
          <cell r="AE262" t="str">
            <v>01</v>
          </cell>
          <cell r="AF262">
            <v>0</v>
          </cell>
          <cell r="AG262" t="str">
            <v>ADET</v>
          </cell>
          <cell r="AH262">
            <v>425</v>
          </cell>
          <cell r="AI262" t="str">
            <v>CNY</v>
          </cell>
          <cell r="AJ262">
            <v>5950</v>
          </cell>
          <cell r="AK262" t="str">
            <v>TL</v>
          </cell>
          <cell r="AL262">
            <v>1</v>
          </cell>
          <cell r="AM262" t="str">
            <v>8684127504409</v>
          </cell>
          <cell r="AO262">
            <v>0</v>
          </cell>
          <cell r="AQ262">
            <v>0</v>
          </cell>
          <cell r="AR262" t="str">
            <v>CM</v>
          </cell>
          <cell r="AS262">
            <v>0</v>
          </cell>
          <cell r="AT262" t="str">
            <v>CM</v>
          </cell>
          <cell r="AU262">
            <v>0</v>
          </cell>
          <cell r="AW262">
            <v>0</v>
          </cell>
        </row>
        <row r="263">
          <cell r="B263" t="str">
            <v>CR-076</v>
          </cell>
          <cell r="C263" t="str">
            <v>ROZANS</v>
          </cell>
          <cell r="D263" t="str">
            <v/>
          </cell>
          <cell r="E263" t="str">
            <v/>
          </cell>
          <cell r="F263" t="str">
            <v/>
          </cell>
          <cell r="G263" t="str">
            <v/>
          </cell>
          <cell r="H263" t="str">
            <v>CR-076</v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 t="str">
            <v>HKA-ROZANS-YP</v>
          </cell>
          <cell r="P263" t="str">
            <v>ADET</v>
          </cell>
          <cell r="AF263">
            <v>7</v>
          </cell>
          <cell r="AG263" t="str">
            <v>ADET</v>
          </cell>
          <cell r="AH263">
            <v>1.6</v>
          </cell>
          <cell r="AI263" t="str">
            <v>TL</v>
          </cell>
          <cell r="AL263">
            <v>0</v>
          </cell>
          <cell r="AM263" t="str">
            <v>1234567148878</v>
          </cell>
          <cell r="AO263">
            <v>0</v>
          </cell>
          <cell r="AQ263">
            <v>0</v>
          </cell>
          <cell r="AS263">
            <v>0</v>
          </cell>
          <cell r="AU263">
            <v>0</v>
          </cell>
          <cell r="AW263">
            <v>0</v>
          </cell>
        </row>
        <row r="264">
          <cell r="B264" t="str">
            <v>H1W1JMG0000-087</v>
          </cell>
          <cell r="C264" t="str">
            <v>ASTARA ALTIN İKİLİ GİNGKO YAPRAK APLİK</v>
          </cell>
          <cell r="D264" t="str">
            <v>ASTARA DOUBLE GOLD GINGKO LEAF WALL LAMP</v>
          </cell>
          <cell r="E264" t="str">
            <v>METAL YOK GOLD YOK</v>
          </cell>
          <cell r="F264" t="str">
            <v>9405.19.90.00.00</v>
          </cell>
          <cell r="G264" t="str">
            <v>APLİK</v>
          </cell>
          <cell r="H264" t="str">
            <v>H1W1120002-87</v>
          </cell>
          <cell r="I264" t="str">
            <v>İÇ</v>
          </cell>
          <cell r="J264" t="str">
            <v>APLİK</v>
          </cell>
          <cell r="K264" t="str">
            <v>ASTARA</v>
          </cell>
          <cell r="L264" t="str">
            <v/>
          </cell>
          <cell r="M264" t="str">
            <v/>
          </cell>
          <cell r="N264" t="str">
            <v/>
          </cell>
          <cell r="O264" t="str">
            <v>LIGHTIST</v>
          </cell>
          <cell r="P264" t="str">
            <v>ADET</v>
          </cell>
          <cell r="Q264" t="str">
            <v>E14</v>
          </cell>
          <cell r="R264" t="str">
            <v>METAL</v>
          </cell>
          <cell r="S264" t="str">
            <v>GOLD</v>
          </cell>
          <cell r="T264" t="str">
            <v>YOK</v>
          </cell>
          <cell r="U264" t="str">
            <v>YOK</v>
          </cell>
          <cell r="AD264" t="str">
            <v>N/A</v>
          </cell>
          <cell r="AE264" t="str">
            <v>03</v>
          </cell>
          <cell r="AF264">
            <v>0</v>
          </cell>
          <cell r="AG264" t="str">
            <v>ADET</v>
          </cell>
          <cell r="AH264">
            <v>3500</v>
          </cell>
          <cell r="AI264" t="str">
            <v>TL</v>
          </cell>
          <cell r="AJ264">
            <v>24500</v>
          </cell>
          <cell r="AK264" t="str">
            <v>TL</v>
          </cell>
          <cell r="AL264">
            <v>1</v>
          </cell>
          <cell r="AM264" t="str">
            <v>8684127505611</v>
          </cell>
          <cell r="AO264">
            <v>0</v>
          </cell>
          <cell r="AQ264">
            <v>0</v>
          </cell>
          <cell r="AR264" t="str">
            <v>CM</v>
          </cell>
          <cell r="AS264">
            <v>87</v>
          </cell>
          <cell r="AT264" t="str">
            <v>CM</v>
          </cell>
          <cell r="AU264">
            <v>0</v>
          </cell>
          <cell r="AW264">
            <v>0</v>
          </cell>
        </row>
        <row r="265">
          <cell r="B265" t="str">
            <v>CD1E1C402E5H0</v>
          </cell>
          <cell r="C265" t="str">
            <v>ERD-237 C35 OPAL 6W DÜZ 3000K E14 LED AMPUL</v>
          </cell>
          <cell r="D265" t="str">
            <v>ERD-237 C35 OPAL 6W CANDLE 3000K E14 LED BULB</v>
          </cell>
          <cell r="E265" t="str">
            <v>CAM METAL OPAL FLAMENT DIMMSIZ C35 - DÜZ</v>
          </cell>
          <cell r="F265" t="str">
            <v>8539.52.00.00.00</v>
          </cell>
          <cell r="G265" t="str">
            <v>AMPUL</v>
          </cell>
          <cell r="H265" t="str">
            <v>CF11142D50000</v>
          </cell>
          <cell r="I265" t="str">
            <v>İÇ</v>
          </cell>
          <cell r="J265" t="str">
            <v>AMPUL</v>
          </cell>
          <cell r="K265" t="str">
            <v>ERD-237</v>
          </cell>
          <cell r="L265" t="str">
            <v/>
          </cell>
          <cell r="M265" t="str">
            <v>28.02.2026</v>
          </cell>
          <cell r="N265" t="str">
            <v>ERD-237</v>
          </cell>
          <cell r="O265" t="str">
            <v>HEKA</v>
          </cell>
          <cell r="P265" t="str">
            <v>ADET</v>
          </cell>
          <cell r="Q265" t="str">
            <v>E14</v>
          </cell>
          <cell r="R265" t="str">
            <v>CAM</v>
          </cell>
          <cell r="S265" t="str">
            <v>OPAL</v>
          </cell>
          <cell r="T265" t="str">
            <v>METAL</v>
          </cell>
          <cell r="V265" t="str">
            <v>E</v>
          </cell>
          <cell r="W265" t="str">
            <v>FLAMENT</v>
          </cell>
          <cell r="X265" t="str">
            <v>220V</v>
          </cell>
          <cell r="Y265" t="str">
            <v>6 WATT</v>
          </cell>
          <cell r="Z265" t="str">
            <v>3000 K</v>
          </cell>
          <cell r="AA265" t="str">
            <v>DIMMSIZ</v>
          </cell>
          <cell r="AB265" t="str">
            <v>701-800</v>
          </cell>
          <cell r="AC265" t="str">
            <v>C35 - DÜZ</v>
          </cell>
          <cell r="AD265" t="str">
            <v>N/A</v>
          </cell>
          <cell r="AF265">
            <v>3178</v>
          </cell>
          <cell r="AG265" t="str">
            <v>ADET</v>
          </cell>
          <cell r="AH265">
            <v>0.36299999999999999</v>
          </cell>
          <cell r="AI265" t="str">
            <v>USD</v>
          </cell>
          <cell r="AJ265">
            <v>1.9</v>
          </cell>
          <cell r="AK265" t="str">
            <v>USD</v>
          </cell>
          <cell r="AL265">
            <v>1</v>
          </cell>
          <cell r="AM265" t="str">
            <v>8684127519205</v>
          </cell>
          <cell r="AN265" t="str">
            <v>8684127519212</v>
          </cell>
          <cell r="AO265">
            <v>0</v>
          </cell>
          <cell r="AQ265">
            <v>3.5</v>
          </cell>
          <cell r="AR265" t="str">
            <v>CM</v>
          </cell>
          <cell r="AS265">
            <v>3.5</v>
          </cell>
          <cell r="AT265" t="str">
            <v>CM</v>
          </cell>
          <cell r="AU265">
            <v>0</v>
          </cell>
          <cell r="AW265">
            <v>0</v>
          </cell>
        </row>
        <row r="266">
          <cell r="B266" t="str">
            <v>CG2E1C402E5H0</v>
          </cell>
          <cell r="C266" t="str">
            <v>ERD-239 G45 OPAL 6W 3000K E27 LED AMPUL</v>
          </cell>
          <cell r="D266" t="str">
            <v>ERD-239 G45 OPAL 6W 3000K E27 LED BULB</v>
          </cell>
          <cell r="E266" t="str">
            <v>CAM METAL OPAL FLAMENT DIMMSIZ G45</v>
          </cell>
          <cell r="F266" t="str">
            <v>8539.52.00.00.00</v>
          </cell>
          <cell r="G266" t="str">
            <v>AMPUL</v>
          </cell>
          <cell r="H266" t="str">
            <v>CF21142D50V01</v>
          </cell>
          <cell r="I266" t="str">
            <v>İÇ</v>
          </cell>
          <cell r="J266" t="str">
            <v>AMPUL</v>
          </cell>
          <cell r="K266" t="str">
            <v>ERD-239</v>
          </cell>
          <cell r="L266" t="str">
            <v/>
          </cell>
          <cell r="M266" t="str">
            <v/>
          </cell>
          <cell r="N266" t="str">
            <v>ERD-239</v>
          </cell>
          <cell r="O266" t="str">
            <v>HEKA</v>
          </cell>
          <cell r="P266" t="str">
            <v>ADET</v>
          </cell>
          <cell r="Q266" t="str">
            <v>E27</v>
          </cell>
          <cell r="R266" t="str">
            <v>CAM</v>
          </cell>
          <cell r="S266" t="str">
            <v>OPAL</v>
          </cell>
          <cell r="T266" t="str">
            <v>METAL</v>
          </cell>
          <cell r="V266" t="str">
            <v>E</v>
          </cell>
          <cell r="W266" t="str">
            <v>FLAMENT</v>
          </cell>
          <cell r="X266" t="str">
            <v>220V</v>
          </cell>
          <cell r="Y266" t="str">
            <v>6 WATT</v>
          </cell>
          <cell r="Z266" t="str">
            <v>3000 K</v>
          </cell>
          <cell r="AA266" t="str">
            <v>DIMMSIZ</v>
          </cell>
          <cell r="AB266" t="str">
            <v>701-800</v>
          </cell>
          <cell r="AC266" t="str">
            <v>G45</v>
          </cell>
          <cell r="AD266" t="str">
            <v>N/A</v>
          </cell>
          <cell r="AF266">
            <v>3294</v>
          </cell>
          <cell r="AG266" t="str">
            <v>ADET</v>
          </cell>
          <cell r="AH266">
            <v>16.600000000000001</v>
          </cell>
          <cell r="AI266" t="str">
            <v>TL</v>
          </cell>
          <cell r="AJ266">
            <v>2.1</v>
          </cell>
          <cell r="AK266" t="str">
            <v>USD</v>
          </cell>
          <cell r="AL266">
            <v>1</v>
          </cell>
          <cell r="AM266" t="str">
            <v>8684127519366</v>
          </cell>
          <cell r="AN266" t="str">
            <v>8684127519373</v>
          </cell>
          <cell r="AO266">
            <v>0</v>
          </cell>
          <cell r="AQ266">
            <v>4.5</v>
          </cell>
          <cell r="AR266" t="str">
            <v>CM</v>
          </cell>
          <cell r="AS266">
            <v>4.5</v>
          </cell>
          <cell r="AT266" t="str">
            <v>CM</v>
          </cell>
          <cell r="AU266">
            <v>0</v>
          </cell>
          <cell r="AW266">
            <v>0</v>
          </cell>
        </row>
        <row r="267">
          <cell r="B267" t="str">
            <v>H1W3JMEECT0-043</v>
          </cell>
          <cell r="C267" t="str">
            <v>YOROS İKİ CAMLI ESKİTME APLİK</v>
          </cell>
          <cell r="D267" t="str">
            <v>YOROS 2 GLASS BRUSHED BRASS WALL LAMP</v>
          </cell>
          <cell r="E267" t="str">
            <v>METAL CAM ESKİTME SOFT</v>
          </cell>
          <cell r="F267" t="str">
            <v>9405.19.90.00.00</v>
          </cell>
          <cell r="G267" t="str">
            <v>APLİK</v>
          </cell>
          <cell r="H267" t="str">
            <v>H1W3112100-02</v>
          </cell>
          <cell r="I267" t="str">
            <v>İÇ</v>
          </cell>
          <cell r="J267" t="str">
            <v>APLİK</v>
          </cell>
          <cell r="K267" t="str">
            <v>YOROS</v>
          </cell>
          <cell r="L267" t="str">
            <v/>
          </cell>
          <cell r="M267" t="str">
            <v>ÜRTM:15GÜN</v>
          </cell>
          <cell r="N267" t="str">
            <v>HK20023</v>
          </cell>
          <cell r="O267" t="str">
            <v>HEKA</v>
          </cell>
          <cell r="P267" t="str">
            <v>ADET</v>
          </cell>
          <cell r="Q267" t="str">
            <v>G9</v>
          </cell>
          <cell r="R267" t="str">
            <v>METAL</v>
          </cell>
          <cell r="S267" t="str">
            <v>ESKİTME</v>
          </cell>
          <cell r="T267" t="str">
            <v>CAM</v>
          </cell>
          <cell r="U267" t="str">
            <v>SOFT</v>
          </cell>
          <cell r="AD267" t="str">
            <v>N/A</v>
          </cell>
          <cell r="AE267" t="str">
            <v>03</v>
          </cell>
          <cell r="AF267">
            <v>1</v>
          </cell>
          <cell r="AG267" t="str">
            <v>ADET</v>
          </cell>
          <cell r="AH267">
            <v>150</v>
          </cell>
          <cell r="AI267" t="str">
            <v>TL</v>
          </cell>
          <cell r="AJ267">
            <v>4250</v>
          </cell>
          <cell r="AK267" t="str">
            <v>TL</v>
          </cell>
          <cell r="AL267">
            <v>1</v>
          </cell>
          <cell r="AM267" t="str">
            <v>8684127503013</v>
          </cell>
          <cell r="AO267">
            <v>0</v>
          </cell>
          <cell r="AQ267">
            <v>17</v>
          </cell>
          <cell r="AR267" t="str">
            <v>CM</v>
          </cell>
          <cell r="AS267">
            <v>43</v>
          </cell>
          <cell r="AT267" t="str">
            <v>CM</v>
          </cell>
          <cell r="AU267">
            <v>0</v>
          </cell>
          <cell r="AW267">
            <v>0</v>
          </cell>
        </row>
        <row r="268">
          <cell r="B268" t="str">
            <v>H1W3JMEECT0-052</v>
          </cell>
          <cell r="C268" t="str">
            <v>MELİD İKİ CAMLI L MODEL ESKİTME APLİK</v>
          </cell>
          <cell r="D268" t="str">
            <v>MELİD 2 GLASS L MODEL BRUSHED BRASS WALL LAMP</v>
          </cell>
          <cell r="E268" t="str">
            <v>METAL CAM ESKİTME SOFT</v>
          </cell>
          <cell r="F268" t="str">
            <v>9405.19.90.00.00</v>
          </cell>
          <cell r="G268" t="str">
            <v>APLİK</v>
          </cell>
          <cell r="H268" t="str">
            <v>H1W3211100-02</v>
          </cell>
          <cell r="I268" t="str">
            <v>İÇ</v>
          </cell>
          <cell r="J268" t="str">
            <v>APLİK</v>
          </cell>
          <cell r="K268" t="str">
            <v>MELİD</v>
          </cell>
          <cell r="L268" t="str">
            <v/>
          </cell>
          <cell r="M268" t="str">
            <v>ÜRTM:15GÜN</v>
          </cell>
          <cell r="N268" t="str">
            <v>HK20031</v>
          </cell>
          <cell r="O268" t="str">
            <v>HEKA</v>
          </cell>
          <cell r="P268" t="str">
            <v>ADET</v>
          </cell>
          <cell r="Q268" t="str">
            <v>G9</v>
          </cell>
          <cell r="R268" t="str">
            <v>METAL</v>
          </cell>
          <cell r="S268" t="str">
            <v>ESKİTME</v>
          </cell>
          <cell r="T268" t="str">
            <v>CAM</v>
          </cell>
          <cell r="U268" t="str">
            <v>SOFT</v>
          </cell>
          <cell r="AD268" t="str">
            <v>N/A</v>
          </cell>
          <cell r="AE268" t="str">
            <v>03</v>
          </cell>
          <cell r="AF268">
            <v>0</v>
          </cell>
          <cell r="AG268" t="str">
            <v>ADET</v>
          </cell>
          <cell r="AH268">
            <v>250</v>
          </cell>
          <cell r="AI268" t="str">
            <v>TL</v>
          </cell>
          <cell r="AJ268">
            <v>4403</v>
          </cell>
          <cell r="AK268" t="str">
            <v>TL</v>
          </cell>
          <cell r="AL268">
            <v>1</v>
          </cell>
          <cell r="AM268" t="str">
            <v>8684127505260</v>
          </cell>
          <cell r="AO268">
            <v>0</v>
          </cell>
          <cell r="AQ268">
            <v>50</v>
          </cell>
          <cell r="AR268" t="str">
            <v>CM</v>
          </cell>
          <cell r="AS268">
            <v>18</v>
          </cell>
          <cell r="AT268" t="str">
            <v>CM</v>
          </cell>
          <cell r="AU268">
            <v>0</v>
          </cell>
          <cell r="AW268">
            <v>0</v>
          </cell>
        </row>
        <row r="269">
          <cell r="B269" t="str">
            <v>H1C6JMKECT0-064</v>
          </cell>
          <cell r="C269" t="str">
            <v>SOLİ TEKLİ KROM SARKIT</v>
          </cell>
          <cell r="D269" t="str">
            <v>SOLİ SINGLE CHROME PENDANT</v>
          </cell>
          <cell r="E269" t="str">
            <v>METAL CAM KROM SOFT</v>
          </cell>
          <cell r="F269" t="str">
            <v>9405.11.90.00.00</v>
          </cell>
          <cell r="G269" t="str">
            <v>AVİZE</v>
          </cell>
          <cell r="H269" t="str">
            <v>T1A6132100-01</v>
          </cell>
          <cell r="I269" t="str">
            <v>İÇ</v>
          </cell>
          <cell r="J269" t="str">
            <v>AVİZE.SARK</v>
          </cell>
          <cell r="K269" t="str">
            <v>SOLİ</v>
          </cell>
          <cell r="L269" t="str">
            <v/>
          </cell>
          <cell r="M269" t="str">
            <v/>
          </cell>
          <cell r="N269" t="str">
            <v>JM8009-1K</v>
          </cell>
          <cell r="O269" t="str">
            <v>HEKA</v>
          </cell>
          <cell r="P269" t="str">
            <v>ADET</v>
          </cell>
          <cell r="Q269" t="str">
            <v>LED</v>
          </cell>
          <cell r="R269" t="str">
            <v>METAL</v>
          </cell>
          <cell r="S269" t="str">
            <v>KROM</v>
          </cell>
          <cell r="T269" t="str">
            <v>CAM</v>
          </cell>
          <cell r="U269" t="str">
            <v>SOFT</v>
          </cell>
          <cell r="AD269" t="str">
            <v>N/A</v>
          </cell>
          <cell r="AE269" t="str">
            <v>01</v>
          </cell>
          <cell r="AF269">
            <v>0</v>
          </cell>
          <cell r="AG269" t="str">
            <v>ADET</v>
          </cell>
          <cell r="AJ269">
            <v>2499</v>
          </cell>
          <cell r="AK269" t="str">
            <v>TL</v>
          </cell>
          <cell r="AL269">
            <v>1</v>
          </cell>
          <cell r="AM269" t="str">
            <v>8684127506588</v>
          </cell>
          <cell r="AO269">
            <v>0</v>
          </cell>
          <cell r="AQ269">
            <v>0</v>
          </cell>
          <cell r="AR269" t="str">
            <v>CM</v>
          </cell>
          <cell r="AS269">
            <v>64</v>
          </cell>
          <cell r="AT269" t="str">
            <v>CM</v>
          </cell>
          <cell r="AU269">
            <v>0</v>
          </cell>
          <cell r="AW269">
            <v>0</v>
          </cell>
        </row>
        <row r="270">
          <cell r="B270" t="str">
            <v>H1C6JMEBCS0-020</v>
          </cell>
          <cell r="C270" t="str">
            <v>LETOON AKRİLİK YAPRAK SARKIT</v>
          </cell>
          <cell r="D270" t="str">
            <v>LETOON ACRYLIC LEAF PENDANT</v>
          </cell>
          <cell r="E270" t="str">
            <v xml:space="preserve">METAL AKRİLİK ESKİTME ŞEFFAF   </v>
          </cell>
          <cell r="F270" t="str">
            <v>9405.11.90.00.00</v>
          </cell>
          <cell r="G270" t="str">
            <v>AVİZE</v>
          </cell>
          <cell r="H270" t="str">
            <v>T1A6116200-01</v>
          </cell>
          <cell r="I270" t="str">
            <v>İÇ</v>
          </cell>
          <cell r="J270" t="str">
            <v>AVİZE.SARK</v>
          </cell>
          <cell r="K270" t="str">
            <v>LETOON</v>
          </cell>
          <cell r="L270" t="str">
            <v/>
          </cell>
          <cell r="M270" t="str">
            <v/>
          </cell>
          <cell r="N270" t="str">
            <v>MB6313-1Y</v>
          </cell>
          <cell r="O270" t="str">
            <v>HEKA</v>
          </cell>
          <cell r="P270" t="str">
            <v>ADET</v>
          </cell>
          <cell r="Q270" t="str">
            <v>LED</v>
          </cell>
          <cell r="R270" t="str">
            <v>METAL</v>
          </cell>
          <cell r="S270" t="str">
            <v>ESKİTME</v>
          </cell>
          <cell r="T270" t="str">
            <v>AKRİLİK</v>
          </cell>
          <cell r="U270" t="str">
            <v>ŞEFFAF</v>
          </cell>
          <cell r="AD270" t="str">
            <v>N/A</v>
          </cell>
          <cell r="AF270">
            <v>40</v>
          </cell>
          <cell r="AG270" t="str">
            <v>ADET</v>
          </cell>
          <cell r="AH270">
            <v>55</v>
          </cell>
          <cell r="AI270" t="str">
            <v>CNY</v>
          </cell>
          <cell r="AJ270">
            <v>2083</v>
          </cell>
          <cell r="AK270" t="str">
            <v>TL</v>
          </cell>
          <cell r="AL270">
            <v>1</v>
          </cell>
          <cell r="AM270" t="str">
            <v>8684127504935</v>
          </cell>
          <cell r="AO270">
            <v>0</v>
          </cell>
          <cell r="AQ270">
            <v>20</v>
          </cell>
          <cell r="AR270" t="str">
            <v>CM</v>
          </cell>
          <cell r="AS270">
            <v>1.5</v>
          </cell>
          <cell r="AT270" t="str">
            <v>CM</v>
          </cell>
          <cell r="AU270">
            <v>0</v>
          </cell>
          <cell r="AW270">
            <v>0</v>
          </cell>
        </row>
        <row r="271">
          <cell r="B271" t="str">
            <v>H1W6JMELCS0-050</v>
          </cell>
          <cell r="C271" t="str">
            <v>MADRİD MEŞALE ESKİTME APLİK</v>
          </cell>
          <cell r="D271" t="str">
            <v>MADRİD TORCH BURSHED BRASS WALL LAMP</v>
          </cell>
          <cell r="E271" t="str">
            <v>METAL PLEKSİ ESKİTME ŞEFFAF</v>
          </cell>
          <cell r="F271" t="str">
            <v>9405.11.90.00.00</v>
          </cell>
          <cell r="G271" t="str">
            <v>APLİK</v>
          </cell>
          <cell r="H271" t="str">
            <v>T1W6118400-01</v>
          </cell>
          <cell r="I271" t="str">
            <v>İÇ</v>
          </cell>
          <cell r="J271" t="str">
            <v>APLİK</v>
          </cell>
          <cell r="K271" t="str">
            <v>MADRİD</v>
          </cell>
          <cell r="L271" t="str">
            <v/>
          </cell>
          <cell r="M271" t="str">
            <v>30.01.2026</v>
          </cell>
          <cell r="N271" t="str">
            <v>HKA-24115</v>
          </cell>
          <cell r="O271" t="str">
            <v>HEKA</v>
          </cell>
          <cell r="P271" t="str">
            <v>ADET</v>
          </cell>
          <cell r="Q271" t="str">
            <v>LED</v>
          </cell>
          <cell r="R271" t="str">
            <v>METAL</v>
          </cell>
          <cell r="S271" t="str">
            <v>ESKİTME</v>
          </cell>
          <cell r="T271" t="str">
            <v>PLEKSİ</v>
          </cell>
          <cell r="U271" t="str">
            <v>ŞEFFAF</v>
          </cell>
          <cell r="AD271" t="str">
            <v>N/A</v>
          </cell>
          <cell r="AF271">
            <v>6</v>
          </cell>
          <cell r="AG271" t="str">
            <v>ADET</v>
          </cell>
          <cell r="AH271">
            <v>60</v>
          </cell>
          <cell r="AI271" t="str">
            <v>CNY</v>
          </cell>
          <cell r="AJ271">
            <v>4475</v>
          </cell>
          <cell r="AK271" t="str">
            <v>TL</v>
          </cell>
          <cell r="AL271">
            <v>1</v>
          </cell>
          <cell r="AM271" t="str">
            <v>8684127502443</v>
          </cell>
          <cell r="AO271">
            <v>0</v>
          </cell>
          <cell r="AQ271">
            <v>56</v>
          </cell>
          <cell r="AR271" t="str">
            <v>CM</v>
          </cell>
          <cell r="AS271">
            <v>12</v>
          </cell>
          <cell r="AT271" t="str">
            <v>CM</v>
          </cell>
          <cell r="AU271">
            <v>0</v>
          </cell>
          <cell r="AW271">
            <v>0</v>
          </cell>
        </row>
        <row r="272">
          <cell r="B272" t="str">
            <v>H1W2JM3ECS0-040</v>
          </cell>
          <cell r="C272" t="str">
            <v>SÜMELA MAT KROM APLİK 40cm</v>
          </cell>
          <cell r="D272" t="str">
            <v>SÜMELA BRUSHED CHROME WALL LAMP 40cm</v>
          </cell>
          <cell r="E272" t="str">
            <v>METAL CAM MAT KROM ŞEFFAF</v>
          </cell>
          <cell r="F272" t="str">
            <v>9405.19.90.00.00</v>
          </cell>
          <cell r="G272" t="str">
            <v>APLİK</v>
          </cell>
          <cell r="H272" t="str">
            <v>H1W1116400-40</v>
          </cell>
          <cell r="I272" t="str">
            <v>İÇ</v>
          </cell>
          <cell r="J272" t="str">
            <v>APLİK</v>
          </cell>
          <cell r="K272" t="str">
            <v>SÜMELA</v>
          </cell>
          <cell r="L272" t="str">
            <v/>
          </cell>
          <cell r="M272" t="str">
            <v/>
          </cell>
          <cell r="N272" t="str">
            <v>FZ1023-BCH-40</v>
          </cell>
          <cell r="O272" t="str">
            <v>HEKA</v>
          </cell>
          <cell r="P272" t="str">
            <v>ADET</v>
          </cell>
          <cell r="Q272" t="str">
            <v>E14</v>
          </cell>
          <cell r="R272" t="str">
            <v>METAL</v>
          </cell>
          <cell r="S272" t="str">
            <v>MAT KROM</v>
          </cell>
          <cell r="T272" t="str">
            <v>CAM</v>
          </cell>
          <cell r="U272" t="str">
            <v>ŞEFFAF</v>
          </cell>
          <cell r="AD272" t="str">
            <v>N/A</v>
          </cell>
          <cell r="AE272" t="str">
            <v>03</v>
          </cell>
          <cell r="AF272">
            <v>0</v>
          </cell>
          <cell r="AG272" t="str">
            <v>ADET</v>
          </cell>
          <cell r="AH272">
            <v>300</v>
          </cell>
          <cell r="AI272" t="str">
            <v>TL</v>
          </cell>
          <cell r="AJ272">
            <v>4964</v>
          </cell>
          <cell r="AK272" t="str">
            <v>TL</v>
          </cell>
          <cell r="AL272">
            <v>1</v>
          </cell>
          <cell r="AM272" t="str">
            <v>8684127502931</v>
          </cell>
          <cell r="AO272">
            <v>0</v>
          </cell>
          <cell r="AQ272">
            <v>0</v>
          </cell>
          <cell r="AR272" t="str">
            <v>CM</v>
          </cell>
          <cell r="AS272">
            <v>0</v>
          </cell>
          <cell r="AT272" t="str">
            <v>CM</v>
          </cell>
          <cell r="AU272">
            <v>0</v>
          </cell>
          <cell r="AW272">
            <v>0</v>
          </cell>
        </row>
        <row r="273">
          <cell r="B273" t="str">
            <v>H1C2JMEERL0-206</v>
          </cell>
          <cell r="C273" t="str">
            <v>GALATA GALERİ BOŞLUĞU AVİZE ÜÇ KATLI 19 LU</v>
          </cell>
          <cell r="D273" t="str">
            <v>GALATA GALLERY SPACE CHANDELIER TRIPLEX 19 BULB</v>
          </cell>
          <cell r="E273" t="str">
            <v>METAL CAM ESKİTME BAL</v>
          </cell>
          <cell r="F273" t="str">
            <v>9405.19.90.00.00</v>
          </cell>
          <cell r="G273" t="str">
            <v>AVİZE</v>
          </cell>
          <cell r="H273" t="str">
            <v>H1A21122D0-21</v>
          </cell>
          <cell r="I273" t="str">
            <v>İÇ</v>
          </cell>
          <cell r="J273" t="str">
            <v>AVİZE.AVİZ</v>
          </cell>
          <cell r="K273" t="str">
            <v>GALATA</v>
          </cell>
          <cell r="L273" t="str">
            <v/>
          </cell>
          <cell r="M273" t="str">
            <v>ÜRTM:15GÜN</v>
          </cell>
          <cell r="N273" t="str">
            <v/>
          </cell>
          <cell r="O273" t="str">
            <v>HEKA</v>
          </cell>
          <cell r="P273" t="str">
            <v>ADET</v>
          </cell>
          <cell r="Q273" t="str">
            <v>E27</v>
          </cell>
          <cell r="R273" t="str">
            <v>METAL</v>
          </cell>
          <cell r="S273" t="str">
            <v>ESKİTME</v>
          </cell>
          <cell r="T273" t="str">
            <v>CAM</v>
          </cell>
          <cell r="U273" t="str">
            <v>BAL</v>
          </cell>
          <cell r="AD273" t="str">
            <v>N/A</v>
          </cell>
          <cell r="AE273" t="str">
            <v>19</v>
          </cell>
          <cell r="AF273">
            <v>1</v>
          </cell>
          <cell r="AG273" t="str">
            <v>ADET</v>
          </cell>
          <cell r="AJ273">
            <v>179900</v>
          </cell>
          <cell r="AK273" t="str">
            <v>TL</v>
          </cell>
          <cell r="AL273">
            <v>1</v>
          </cell>
          <cell r="AM273" t="str">
            <v>8684127509558</v>
          </cell>
          <cell r="AO273">
            <v>0</v>
          </cell>
          <cell r="AQ273">
            <v>0</v>
          </cell>
          <cell r="AR273" t="str">
            <v>CM</v>
          </cell>
          <cell r="AS273">
            <v>206</v>
          </cell>
          <cell r="AT273" t="str">
            <v>CM</v>
          </cell>
          <cell r="AU273">
            <v>0</v>
          </cell>
          <cell r="AW273">
            <v>0</v>
          </cell>
        </row>
        <row r="274">
          <cell r="B274" t="str">
            <v>H1W6JMEERL0-048</v>
          </cell>
          <cell r="C274" t="str">
            <v>BANGU ESKİTME APLİK</v>
          </cell>
          <cell r="D274" t="str">
            <v>BANGU BRUSHED BRASS WALL LAMP</v>
          </cell>
          <cell r="E274" t="str">
            <v>METAL CAM ESKİTME BAL</v>
          </cell>
          <cell r="F274" t="str">
            <v>9405.11.90.00.00</v>
          </cell>
          <cell r="G274" t="str">
            <v>APLİK</v>
          </cell>
          <cell r="H274" t="str">
            <v>T1W6116200-48</v>
          </cell>
          <cell r="I274" t="str">
            <v>İÇ</v>
          </cell>
          <cell r="J274" t="str">
            <v>APLİK</v>
          </cell>
          <cell r="K274" t="str">
            <v>BANGU</v>
          </cell>
          <cell r="L274" t="str">
            <v/>
          </cell>
          <cell r="M274" t="str">
            <v/>
          </cell>
          <cell r="N274" t="str">
            <v>FA-356</v>
          </cell>
          <cell r="O274" t="str">
            <v>HEKA</v>
          </cell>
          <cell r="P274" t="str">
            <v>ADET</v>
          </cell>
          <cell r="Q274" t="str">
            <v>LED</v>
          </cell>
          <cell r="R274" t="str">
            <v>METAL</v>
          </cell>
          <cell r="S274" t="str">
            <v>ESKİTME</v>
          </cell>
          <cell r="T274" t="str">
            <v>CAM</v>
          </cell>
          <cell r="U274" t="str">
            <v>BAL</v>
          </cell>
          <cell r="AD274" t="str">
            <v>N/A</v>
          </cell>
          <cell r="AE274" t="str">
            <v>01</v>
          </cell>
          <cell r="AF274">
            <v>0</v>
          </cell>
          <cell r="AG274" t="str">
            <v>ADET</v>
          </cell>
          <cell r="AH274">
            <v>260</v>
          </cell>
          <cell r="AI274" t="str">
            <v>CNY</v>
          </cell>
          <cell r="AJ274">
            <v>3328</v>
          </cell>
          <cell r="AK274" t="str">
            <v>TL</v>
          </cell>
          <cell r="AL274">
            <v>1</v>
          </cell>
          <cell r="AM274" t="str">
            <v>8684127509176</v>
          </cell>
          <cell r="AO274">
            <v>0</v>
          </cell>
          <cell r="AQ274">
            <v>48</v>
          </cell>
          <cell r="AR274" t="str">
            <v>CM</v>
          </cell>
          <cell r="AS274">
            <v>9</v>
          </cell>
          <cell r="AT274" t="str">
            <v>CM</v>
          </cell>
          <cell r="AU274">
            <v>0</v>
          </cell>
          <cell r="AW274">
            <v>0</v>
          </cell>
        </row>
        <row r="275">
          <cell r="B275" t="str">
            <v>H1W6LRUERLR-030</v>
          </cell>
          <cell r="C275" t="str">
            <v>TİLLE ALTIN APLİK 30cm</v>
          </cell>
          <cell r="D275" t="str">
            <v>TİLLE GOLD WALL LAMP 30cm</v>
          </cell>
          <cell r="E275" t="str">
            <v>PLEKSİ CAM GÜMÜŞ BAL</v>
          </cell>
          <cell r="F275" t="str">
            <v>9405.11.40.00.00</v>
          </cell>
          <cell r="G275" t="str">
            <v>APLİK</v>
          </cell>
          <cell r="H275" t="str">
            <v>T1W6830000-30</v>
          </cell>
          <cell r="I275" t="str">
            <v>İÇ</v>
          </cell>
          <cell r="J275" t="str">
            <v>APLİK</v>
          </cell>
          <cell r="K275" t="str">
            <v>TİLLE</v>
          </cell>
          <cell r="L275" t="str">
            <v/>
          </cell>
          <cell r="M275" t="str">
            <v/>
          </cell>
          <cell r="N275" t="str">
            <v>VK-029</v>
          </cell>
          <cell r="O275" t="str">
            <v>HEKA</v>
          </cell>
          <cell r="P275" t="str">
            <v>ADET</v>
          </cell>
          <cell r="Q275" t="str">
            <v>LED</v>
          </cell>
          <cell r="R275" t="str">
            <v>PLEKSİ</v>
          </cell>
          <cell r="S275" t="str">
            <v>GÜMÜŞ</v>
          </cell>
          <cell r="T275" t="str">
            <v>CAM</v>
          </cell>
          <cell r="U275" t="str">
            <v>BAL</v>
          </cell>
          <cell r="AD275" t="str">
            <v>DAİRE</v>
          </cell>
          <cell r="AE275" t="str">
            <v>01</v>
          </cell>
          <cell r="AF275">
            <v>0</v>
          </cell>
          <cell r="AG275" t="str">
            <v>ADET</v>
          </cell>
          <cell r="AH275">
            <v>110</v>
          </cell>
          <cell r="AI275" t="str">
            <v>CNY</v>
          </cell>
          <cell r="AJ275">
            <v>2450</v>
          </cell>
          <cell r="AK275" t="str">
            <v>TL</v>
          </cell>
          <cell r="AL275">
            <v>1</v>
          </cell>
          <cell r="AM275" t="str">
            <v>8684127502993</v>
          </cell>
          <cell r="AO275">
            <v>0</v>
          </cell>
          <cell r="AQ275">
            <v>28</v>
          </cell>
          <cell r="AR275" t="str">
            <v>CM</v>
          </cell>
          <cell r="AS275">
            <v>5.5</v>
          </cell>
          <cell r="AT275" t="str">
            <v>CM</v>
          </cell>
          <cell r="AU275">
            <v>0</v>
          </cell>
          <cell r="AW275">
            <v>0</v>
          </cell>
        </row>
        <row r="276">
          <cell r="B276" t="str">
            <v>H1F6JMELCTL-125</v>
          </cell>
          <cell r="C276" t="str">
            <v>ASSOS LED ESKİTME LAMBADER</v>
          </cell>
          <cell r="D276" t="str">
            <v>ASSOS LED BRUSHED BRASS FLOOR LAMP</v>
          </cell>
          <cell r="E276" t="str">
            <v xml:space="preserve">METAL PLEKSİ ESKİTME SOFT   </v>
          </cell>
          <cell r="F276" t="str">
            <v>9405.21.90.00.00</v>
          </cell>
          <cell r="G276" t="str">
            <v>LAMBADER</v>
          </cell>
          <cell r="H276" t="str">
            <v>T1L6118101-25</v>
          </cell>
          <cell r="I276" t="str">
            <v>İÇ</v>
          </cell>
          <cell r="J276" t="str">
            <v>LAMBADER</v>
          </cell>
          <cell r="K276" t="str">
            <v>ASSOS</v>
          </cell>
          <cell r="L276" t="str">
            <v/>
          </cell>
          <cell r="M276" t="str">
            <v/>
          </cell>
          <cell r="N276" t="str">
            <v>F9905-1</v>
          </cell>
          <cell r="O276" t="str">
            <v>HEKA</v>
          </cell>
          <cell r="P276" t="str">
            <v>ADET</v>
          </cell>
          <cell r="Q276" t="str">
            <v>LED</v>
          </cell>
          <cell r="R276" t="str">
            <v>METAL</v>
          </cell>
          <cell r="S276" t="str">
            <v>ESKİTME</v>
          </cell>
          <cell r="T276" t="str">
            <v>PLEKSİ</v>
          </cell>
          <cell r="U276" t="str">
            <v>SOFT</v>
          </cell>
          <cell r="AD276" t="str">
            <v>DÜZ</v>
          </cell>
          <cell r="AF276">
            <v>0</v>
          </cell>
          <cell r="AG276" t="str">
            <v>ADET</v>
          </cell>
          <cell r="AH276">
            <v>125</v>
          </cell>
          <cell r="AI276" t="str">
            <v>CNY</v>
          </cell>
          <cell r="AJ276">
            <v>1450</v>
          </cell>
          <cell r="AK276" t="str">
            <v>TL</v>
          </cell>
          <cell r="AL276">
            <v>1</v>
          </cell>
          <cell r="AM276" t="str">
            <v>8684127508384</v>
          </cell>
          <cell r="AO276">
            <v>0</v>
          </cell>
          <cell r="AQ276">
            <v>125</v>
          </cell>
          <cell r="AR276" t="str">
            <v>CM</v>
          </cell>
          <cell r="AS276">
            <v>20</v>
          </cell>
          <cell r="AT276" t="str">
            <v>CM</v>
          </cell>
          <cell r="AU276">
            <v>0</v>
          </cell>
          <cell r="AW276">
            <v>0</v>
          </cell>
        </row>
        <row r="277">
          <cell r="B277" t="str">
            <v>H1W1JME0000-035</v>
          </cell>
          <cell r="C277" t="str">
            <v>MAHPERİ ESKİTME APLİK KÜÇÜK</v>
          </cell>
          <cell r="D277" t="str">
            <v>MAHPERİ BRUSHED BRASS WALL LAMP SMALL</v>
          </cell>
          <cell r="E277" t="str">
            <v>METAL YOK ESKİTME YOK</v>
          </cell>
          <cell r="F277" t="str">
            <v>9405.19.90.00.00</v>
          </cell>
          <cell r="G277" t="str">
            <v>APLİK</v>
          </cell>
          <cell r="H277" t="str">
            <v>H1W1110000-35</v>
          </cell>
          <cell r="I277" t="str">
            <v>İÇ</v>
          </cell>
          <cell r="J277" t="str">
            <v>APLİK</v>
          </cell>
          <cell r="K277" t="str">
            <v>MAHPERİ</v>
          </cell>
          <cell r="L277" t="str">
            <v/>
          </cell>
          <cell r="M277" t="str">
            <v>ÜRTM:15GÜN</v>
          </cell>
          <cell r="N277" t="str">
            <v>HK20055</v>
          </cell>
          <cell r="O277" t="str">
            <v>LIGHTIST</v>
          </cell>
          <cell r="P277" t="str">
            <v>ADET</v>
          </cell>
          <cell r="Q277" t="str">
            <v>E14</v>
          </cell>
          <cell r="R277" t="str">
            <v>METAL</v>
          </cell>
          <cell r="S277" t="str">
            <v>ESKİTME</v>
          </cell>
          <cell r="T277" t="str">
            <v>YOK</v>
          </cell>
          <cell r="U277" t="str">
            <v>YOK</v>
          </cell>
          <cell r="AD277" t="str">
            <v>N/A</v>
          </cell>
          <cell r="AE277" t="str">
            <v>02</v>
          </cell>
          <cell r="AF277">
            <v>0</v>
          </cell>
          <cell r="AG277" t="str">
            <v>ADET</v>
          </cell>
          <cell r="AH277">
            <v>350</v>
          </cell>
          <cell r="AI277" t="str">
            <v>TL</v>
          </cell>
          <cell r="AJ277">
            <v>2400</v>
          </cell>
          <cell r="AK277" t="str">
            <v>TL</v>
          </cell>
          <cell r="AL277">
            <v>1</v>
          </cell>
          <cell r="AM277" t="str">
            <v>8684127502481</v>
          </cell>
          <cell r="AO277">
            <v>0</v>
          </cell>
          <cell r="AQ277">
            <v>0</v>
          </cell>
          <cell r="AR277" t="str">
            <v>CM</v>
          </cell>
          <cell r="AS277">
            <v>0</v>
          </cell>
          <cell r="AT277" t="str">
            <v>CM</v>
          </cell>
          <cell r="AU277">
            <v>0</v>
          </cell>
          <cell r="AW277">
            <v>0</v>
          </cell>
        </row>
        <row r="278">
          <cell r="B278" t="str">
            <v>H1W3JME000R-050</v>
          </cell>
          <cell r="C278" t="str">
            <v>SALYAN DÖVMELİ ESKİTME APLİK 50cm</v>
          </cell>
          <cell r="D278" t="str">
            <v>SALYAN HAMMERED BRUSHED BRASS WALL LAMP 50cm</v>
          </cell>
          <cell r="E278" t="str">
            <v>METAL YOK ESKİTME YOK</v>
          </cell>
          <cell r="F278" t="str">
            <v>9405.19.90.00.00</v>
          </cell>
          <cell r="G278" t="str">
            <v>APLİK</v>
          </cell>
          <cell r="H278" t="str">
            <v>H1W3110000-50</v>
          </cell>
          <cell r="I278" t="str">
            <v>İÇ</v>
          </cell>
          <cell r="J278" t="str">
            <v>APLİK</v>
          </cell>
          <cell r="K278" t="str">
            <v>SALYAN</v>
          </cell>
          <cell r="L278" t="str">
            <v/>
          </cell>
          <cell r="M278" t="str">
            <v/>
          </cell>
          <cell r="N278" t="str">
            <v/>
          </cell>
          <cell r="O278" t="str">
            <v>HEKA</v>
          </cell>
          <cell r="P278" t="str">
            <v>ADET</v>
          </cell>
          <cell r="Q278" t="str">
            <v>G9</v>
          </cell>
          <cell r="R278" t="str">
            <v>METAL</v>
          </cell>
          <cell r="S278" t="str">
            <v>ESKİTME</v>
          </cell>
          <cell r="T278" t="str">
            <v>YOK</v>
          </cell>
          <cell r="U278" t="str">
            <v>YOK</v>
          </cell>
          <cell r="AD278" t="str">
            <v>DAİRE</v>
          </cell>
          <cell r="AE278" t="str">
            <v>07</v>
          </cell>
          <cell r="AG278" t="str">
            <v>ADET</v>
          </cell>
          <cell r="AH278">
            <v>2750</v>
          </cell>
          <cell r="AI278" t="str">
            <v>TL</v>
          </cell>
          <cell r="AJ278">
            <v>1850</v>
          </cell>
          <cell r="AK278" t="str">
            <v>TL</v>
          </cell>
          <cell r="AL278">
            <v>1</v>
          </cell>
          <cell r="AM278" t="str">
            <v>8684127509701</v>
          </cell>
          <cell r="AO278">
            <v>0</v>
          </cell>
          <cell r="AQ278">
            <v>50</v>
          </cell>
          <cell r="AR278" t="str">
            <v>CM</v>
          </cell>
          <cell r="AS278">
            <v>50</v>
          </cell>
          <cell r="AT278" t="str">
            <v>CM</v>
          </cell>
          <cell r="AU278">
            <v>0</v>
          </cell>
          <cell r="AW278">
            <v>0</v>
          </cell>
        </row>
        <row r="279">
          <cell r="B279" t="str">
            <v>A4120</v>
          </cell>
          <cell r="C279" t="str">
            <v>KABLO ARASI DİMMER 600W</v>
          </cell>
          <cell r="D279" t="str">
            <v/>
          </cell>
          <cell r="E279" t="str">
            <v/>
          </cell>
          <cell r="F279" t="str">
            <v/>
          </cell>
          <cell r="G279" t="str">
            <v>ZPARCA</v>
          </cell>
          <cell r="H279" t="str">
            <v>A4120</v>
          </cell>
          <cell r="I279" t="str">
            <v>İÇ</v>
          </cell>
          <cell r="J279" t="str">
            <v>ZPARCA</v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P279" t="str">
            <v>ADET</v>
          </cell>
          <cell r="AF279">
            <v>20</v>
          </cell>
          <cell r="AG279" t="str">
            <v>ADET</v>
          </cell>
          <cell r="AH279">
            <v>65</v>
          </cell>
          <cell r="AI279" t="str">
            <v>TL</v>
          </cell>
          <cell r="AL279">
            <v>0</v>
          </cell>
          <cell r="AM279" t="str">
            <v>DIMM600W001</v>
          </cell>
          <cell r="AO279">
            <v>0</v>
          </cell>
          <cell r="AQ279">
            <v>0</v>
          </cell>
          <cell r="AS279">
            <v>0</v>
          </cell>
          <cell r="AU279">
            <v>0</v>
          </cell>
          <cell r="AW279">
            <v>0</v>
          </cell>
        </row>
        <row r="280">
          <cell r="B280" t="str">
            <v>H1W2JMEERFR-035</v>
          </cell>
          <cell r="C280" t="str">
            <v>GALATA APLİK 2 Lİ</v>
          </cell>
          <cell r="D280" t="str">
            <v>GALATA WALL LAMP 2 BULB</v>
          </cell>
          <cell r="E280" t="str">
            <v>METAL CAM ESKİTME FÜME</v>
          </cell>
          <cell r="F280" t="str">
            <v>9405.19.90.00.00</v>
          </cell>
          <cell r="G280" t="str">
            <v>APLİK</v>
          </cell>
          <cell r="H280" t="str">
            <v>H1W21122D0-02</v>
          </cell>
          <cell r="I280" t="str">
            <v>İÇ</v>
          </cell>
          <cell r="J280" t="str">
            <v>APLİK</v>
          </cell>
          <cell r="K280" t="str">
            <v>GALATA</v>
          </cell>
          <cell r="L280" t="str">
            <v/>
          </cell>
          <cell r="M280" t="str">
            <v>ÜRTM:15GÜN</v>
          </cell>
          <cell r="N280" t="str">
            <v>HK20003</v>
          </cell>
          <cell r="O280" t="str">
            <v>HEKA</v>
          </cell>
          <cell r="P280" t="str">
            <v>ADET</v>
          </cell>
          <cell r="Q280" t="str">
            <v>E27</v>
          </cell>
          <cell r="R280" t="str">
            <v>METAL</v>
          </cell>
          <cell r="S280" t="str">
            <v>ESKİTME</v>
          </cell>
          <cell r="T280" t="str">
            <v>CAM</v>
          </cell>
          <cell r="U280" t="str">
            <v>FÜME</v>
          </cell>
          <cell r="AD280" t="str">
            <v>DAİRE</v>
          </cell>
          <cell r="AE280" t="str">
            <v>02</v>
          </cell>
          <cell r="AF280">
            <v>0</v>
          </cell>
          <cell r="AG280" t="str">
            <v>ADET</v>
          </cell>
          <cell r="AH280">
            <v>450</v>
          </cell>
          <cell r="AI280" t="str">
            <v>TL</v>
          </cell>
          <cell r="AJ280">
            <v>17900</v>
          </cell>
          <cell r="AK280" t="str">
            <v>TL</v>
          </cell>
          <cell r="AL280">
            <v>1</v>
          </cell>
          <cell r="AM280" t="str">
            <v>8684127505277</v>
          </cell>
          <cell r="AO280">
            <v>0</v>
          </cell>
          <cell r="AQ280">
            <v>40</v>
          </cell>
          <cell r="AR280" t="str">
            <v>CM</v>
          </cell>
          <cell r="AS280">
            <v>15</v>
          </cell>
          <cell r="AT280" t="str">
            <v>CM</v>
          </cell>
          <cell r="AU280">
            <v>0</v>
          </cell>
          <cell r="AW280">
            <v>0</v>
          </cell>
        </row>
        <row r="281">
          <cell r="B281" t="str">
            <v>H1F2JMEERFR-180</v>
          </cell>
          <cell r="C281" t="str">
            <v>GALATA LAMBADER 4 LÜ</v>
          </cell>
          <cell r="D281" t="str">
            <v>GALATA FLOOR LAMP 4 BULB</v>
          </cell>
          <cell r="E281" t="str">
            <v xml:space="preserve">METAL CAM  ESKİTME FÜME   </v>
          </cell>
          <cell r="F281" t="str">
            <v>9405.29.90.00.00</v>
          </cell>
          <cell r="G281" t="str">
            <v>LAMBADER</v>
          </cell>
          <cell r="H281" t="str">
            <v>H1L21122D0-04</v>
          </cell>
          <cell r="I281" t="str">
            <v>İÇ</v>
          </cell>
          <cell r="J281" t="str">
            <v>LAMBADER</v>
          </cell>
          <cell r="K281" t="str">
            <v>GALATA</v>
          </cell>
          <cell r="L281" t="str">
            <v/>
          </cell>
          <cell r="M281" t="str">
            <v>ÜRTM:15GÜN</v>
          </cell>
          <cell r="N281" t="str">
            <v>HK20005</v>
          </cell>
          <cell r="O281" t="str">
            <v>HEKA</v>
          </cell>
          <cell r="P281" t="str">
            <v>ADET</v>
          </cell>
          <cell r="Q281" t="str">
            <v>E27</v>
          </cell>
          <cell r="R281" t="str">
            <v>METAL</v>
          </cell>
          <cell r="S281" t="str">
            <v>ESKİTME</v>
          </cell>
          <cell r="T281" t="str">
            <v>CAM</v>
          </cell>
          <cell r="U281" t="str">
            <v>FÜME</v>
          </cell>
          <cell r="AD281" t="str">
            <v>DAİRE</v>
          </cell>
          <cell r="AE281" t="str">
            <v>04</v>
          </cell>
          <cell r="AF281">
            <v>1</v>
          </cell>
          <cell r="AG281" t="str">
            <v>ADET</v>
          </cell>
          <cell r="AH281">
            <v>800</v>
          </cell>
          <cell r="AI281" t="str">
            <v>TL</v>
          </cell>
          <cell r="AJ281">
            <v>42400</v>
          </cell>
          <cell r="AK281" t="str">
            <v>TL</v>
          </cell>
          <cell r="AL281">
            <v>1</v>
          </cell>
          <cell r="AM281" t="str">
            <v>8684127508551</v>
          </cell>
          <cell r="AO281">
            <v>0</v>
          </cell>
          <cell r="AQ281">
            <v>178</v>
          </cell>
          <cell r="AR281" t="str">
            <v>CM</v>
          </cell>
          <cell r="AS281">
            <v>63</v>
          </cell>
          <cell r="AT281" t="str">
            <v>CM</v>
          </cell>
          <cell r="AU281">
            <v>0</v>
          </cell>
          <cell r="AW281">
            <v>0</v>
          </cell>
        </row>
        <row r="282">
          <cell r="B282" t="str">
            <v>H1W6JMKLCTL-070</v>
          </cell>
          <cell r="C282" t="str">
            <v>ASSOS LED KROM APLİK 70cm</v>
          </cell>
          <cell r="D282" t="str">
            <v>ASSOS LED CHROME WALL LAMP 70cm</v>
          </cell>
          <cell r="E282" t="str">
            <v>METAL PLEKSİ KROM SOFT</v>
          </cell>
          <cell r="F282" t="str">
            <v>9405.11.90.00.00</v>
          </cell>
          <cell r="G282" t="str">
            <v>APLİK</v>
          </cell>
          <cell r="H282" t="str">
            <v>T1W6138100-70</v>
          </cell>
          <cell r="I282" t="str">
            <v>İÇ</v>
          </cell>
          <cell r="J282" t="str">
            <v>APLİK</v>
          </cell>
          <cell r="K282" t="str">
            <v>ASSOS</v>
          </cell>
          <cell r="L282" t="str">
            <v/>
          </cell>
          <cell r="M282" t="str">
            <v/>
          </cell>
          <cell r="N282" t="str">
            <v>*B9905-CH-70</v>
          </cell>
          <cell r="O282" t="str">
            <v>HEKA</v>
          </cell>
          <cell r="P282" t="str">
            <v>ADET</v>
          </cell>
          <cell r="Q282" t="str">
            <v>LED</v>
          </cell>
          <cell r="R282" t="str">
            <v>METAL</v>
          </cell>
          <cell r="S282" t="str">
            <v>KROM</v>
          </cell>
          <cell r="T282" t="str">
            <v>PLEKSİ</v>
          </cell>
          <cell r="U282" t="str">
            <v>SOFT</v>
          </cell>
          <cell r="AD282" t="str">
            <v>DÜZ</v>
          </cell>
          <cell r="AF282">
            <v>1</v>
          </cell>
          <cell r="AG282" t="str">
            <v>ADET</v>
          </cell>
          <cell r="AH282">
            <v>68.2</v>
          </cell>
          <cell r="AI282" t="str">
            <v>CNY</v>
          </cell>
          <cell r="AJ282">
            <v>5600</v>
          </cell>
          <cell r="AK282" t="str">
            <v>TL</v>
          </cell>
          <cell r="AL282">
            <v>1</v>
          </cell>
          <cell r="AM282" t="str">
            <v>8684127501613</v>
          </cell>
          <cell r="AO282">
            <v>0</v>
          </cell>
          <cell r="AQ282">
            <v>70</v>
          </cell>
          <cell r="AR282" t="str">
            <v>CM</v>
          </cell>
          <cell r="AS282">
            <v>8</v>
          </cell>
          <cell r="AT282" t="str">
            <v>CM</v>
          </cell>
          <cell r="AU282">
            <v>0</v>
          </cell>
          <cell r="AW282">
            <v>0</v>
          </cell>
        </row>
        <row r="283">
          <cell r="B283" t="str">
            <v>CK2G1C2A2D2Y1</v>
          </cell>
          <cell r="C283" t="str">
            <v>ERD-1881/2 FÜME 5W 2200K K.ATATÜRK E27 LED AMPUL</v>
          </cell>
          <cell r="D283" t="str">
            <v>ERD-1881/2 SMOKY 5W 2200K K.ATATÜRK E27 LED BULB</v>
          </cell>
          <cell r="E283" t="str">
            <v>CAM ATATÜRK FÜME FLAMENT DIMMLI KARMA</v>
          </cell>
          <cell r="F283" t="str">
            <v>8539.52.00.00.00</v>
          </cell>
          <cell r="G283" t="str">
            <v>AVİZE</v>
          </cell>
          <cell r="H283" t="str">
            <v>CG21122C21T01</v>
          </cell>
          <cell r="I283" t="str">
            <v>İÇ</v>
          </cell>
          <cell r="J283" t="str">
            <v>AMPUL</v>
          </cell>
          <cell r="K283" t="str">
            <v>ERD-1881/2</v>
          </cell>
          <cell r="L283" t="str">
            <v/>
          </cell>
          <cell r="M283" t="str">
            <v/>
          </cell>
          <cell r="N283" t="str">
            <v>ERD-1881/2</v>
          </cell>
          <cell r="O283" t="str">
            <v>HEKA</v>
          </cell>
          <cell r="P283" t="str">
            <v>ADET</v>
          </cell>
          <cell r="Q283" t="str">
            <v>E27</v>
          </cell>
          <cell r="R283" t="str">
            <v>CAM</v>
          </cell>
          <cell r="S283" t="str">
            <v>FÜME</v>
          </cell>
          <cell r="T283" t="str">
            <v>ATATÜRK</v>
          </cell>
          <cell r="V283" t="str">
            <v>G</v>
          </cell>
          <cell r="W283" t="str">
            <v>FLAMENT</v>
          </cell>
          <cell r="X283" t="str">
            <v>220V</v>
          </cell>
          <cell r="Y283" t="str">
            <v>5 WATT</v>
          </cell>
          <cell r="Z283" t="str">
            <v>2200 K</v>
          </cell>
          <cell r="AA283" t="str">
            <v>DIMMLI</v>
          </cell>
          <cell r="AB283" t="str">
            <v>101-200</v>
          </cell>
          <cell r="AC283" t="str">
            <v>KARMA</v>
          </cell>
          <cell r="AD283" t="str">
            <v>N/A</v>
          </cell>
          <cell r="AF283">
            <v>323</v>
          </cell>
          <cell r="AG283" t="str">
            <v>ADET</v>
          </cell>
          <cell r="AH283">
            <v>12.05</v>
          </cell>
          <cell r="AI283" t="str">
            <v>USD</v>
          </cell>
          <cell r="AJ283">
            <v>55</v>
          </cell>
          <cell r="AK283" t="str">
            <v>USD</v>
          </cell>
          <cell r="AL283">
            <v>1</v>
          </cell>
          <cell r="AM283" t="str">
            <v>8684127503747</v>
          </cell>
          <cell r="AN283" t="str">
            <v>8684127500821</v>
          </cell>
          <cell r="AO283">
            <v>0</v>
          </cell>
          <cell r="AQ283">
            <v>16</v>
          </cell>
          <cell r="AR283" t="str">
            <v>CM</v>
          </cell>
          <cell r="AS283">
            <v>16</v>
          </cell>
          <cell r="AT283" t="str">
            <v>CM</v>
          </cell>
          <cell r="AU283">
            <v>0</v>
          </cell>
          <cell r="AW283">
            <v>0</v>
          </cell>
        </row>
        <row r="284">
          <cell r="B284" t="str">
            <v>H1W2JME0000-024</v>
          </cell>
          <cell r="C284" t="str">
            <v>ARLON TEKLİ PULLU ESKİTME APLİK</v>
          </cell>
          <cell r="D284" t="str">
            <v>ARLON SINGLE WASHER RINGED BRUSHED BRASS WALL LAMP</v>
          </cell>
          <cell r="E284" t="str">
            <v>METAL YOK ESKİTME YOK</v>
          </cell>
          <cell r="F284" t="str">
            <v>9405.19.90.00.00</v>
          </cell>
          <cell r="G284" t="str">
            <v>APLİK</v>
          </cell>
          <cell r="H284" t="str">
            <v>H1W2110000-01</v>
          </cell>
          <cell r="I284" t="str">
            <v>İÇ</v>
          </cell>
          <cell r="J284" t="str">
            <v>APLİK</v>
          </cell>
          <cell r="K284" t="str">
            <v>ARLON</v>
          </cell>
          <cell r="L284" t="str">
            <v/>
          </cell>
          <cell r="M284" t="str">
            <v/>
          </cell>
          <cell r="N284" t="str">
            <v>1021</v>
          </cell>
          <cell r="O284" t="str">
            <v>HEKA</v>
          </cell>
          <cell r="P284" t="str">
            <v>ADET</v>
          </cell>
          <cell r="Q284" t="str">
            <v>E27</v>
          </cell>
          <cell r="R284" t="str">
            <v>METAL</v>
          </cell>
          <cell r="S284" t="str">
            <v>ESKİTME</v>
          </cell>
          <cell r="T284" t="str">
            <v>YOK</v>
          </cell>
          <cell r="U284" t="str">
            <v>YOK</v>
          </cell>
          <cell r="AD284" t="str">
            <v>N/A</v>
          </cell>
          <cell r="AE284" t="str">
            <v>02</v>
          </cell>
          <cell r="AF284">
            <v>0</v>
          </cell>
          <cell r="AG284" t="str">
            <v>ADET</v>
          </cell>
          <cell r="AJ284">
            <v>575</v>
          </cell>
          <cell r="AK284" t="str">
            <v>TL</v>
          </cell>
          <cell r="AL284">
            <v>1</v>
          </cell>
          <cell r="AM284" t="str">
            <v>8684127509480</v>
          </cell>
          <cell r="AO284">
            <v>0</v>
          </cell>
          <cell r="AQ284">
            <v>14</v>
          </cell>
          <cell r="AR284" t="str">
            <v>CM</v>
          </cell>
          <cell r="AS284">
            <v>24</v>
          </cell>
          <cell r="AT284" t="str">
            <v>CM</v>
          </cell>
          <cell r="AU284">
            <v>0</v>
          </cell>
          <cell r="AW284">
            <v>0</v>
          </cell>
        </row>
        <row r="285">
          <cell r="B285" t="str">
            <v>H1C2WRBJMER-016</v>
          </cell>
          <cell r="C285" t="str">
            <v>RAVANDA BEYAZ MERMER SARKIT 16cm</v>
          </cell>
          <cell r="D285" t="str">
            <v>RAVANDA WHITE MARBLE PENDANT 16cm</v>
          </cell>
          <cell r="E285" t="str">
            <v xml:space="preserve">MERMER METAL BEYAZ ESKİTME   </v>
          </cell>
          <cell r="F285" t="str">
            <v>9405.19.90.00.00</v>
          </cell>
          <cell r="G285" t="str">
            <v>AVİZE</v>
          </cell>
          <cell r="H285" t="str">
            <v>T1A2311100-16</v>
          </cell>
          <cell r="I285" t="str">
            <v>İÇ</v>
          </cell>
          <cell r="J285" t="str">
            <v>AVİZE.SARK</v>
          </cell>
          <cell r="K285" t="str">
            <v>RAVANDA</v>
          </cell>
          <cell r="L285" t="str">
            <v/>
          </cell>
          <cell r="M285" t="str">
            <v/>
          </cell>
          <cell r="N285" t="str">
            <v>MD6351-16-WC</v>
          </cell>
          <cell r="O285" t="str">
            <v>HEKA</v>
          </cell>
          <cell r="P285" t="str">
            <v>ADET</v>
          </cell>
          <cell r="Q285" t="str">
            <v>E27</v>
          </cell>
          <cell r="R285" t="str">
            <v>MERMER</v>
          </cell>
          <cell r="S285" t="str">
            <v>BEYAZ</v>
          </cell>
          <cell r="T285" t="str">
            <v>METAL</v>
          </cell>
          <cell r="U285" t="str">
            <v>ESKİTME</v>
          </cell>
          <cell r="AD285" t="str">
            <v>DAİRE</v>
          </cell>
          <cell r="AE285" t="str">
            <v>02</v>
          </cell>
          <cell r="AF285">
            <v>0</v>
          </cell>
          <cell r="AG285" t="str">
            <v>ADET</v>
          </cell>
          <cell r="AH285">
            <v>135</v>
          </cell>
          <cell r="AI285" t="str">
            <v>CNY</v>
          </cell>
          <cell r="AJ285">
            <v>4150</v>
          </cell>
          <cell r="AK285" t="str">
            <v>TL</v>
          </cell>
          <cell r="AL285">
            <v>1</v>
          </cell>
          <cell r="AM285" t="str">
            <v>8684127508865</v>
          </cell>
          <cell r="AO285">
            <v>0</v>
          </cell>
          <cell r="AQ285">
            <v>22</v>
          </cell>
          <cell r="AR285" t="str">
            <v>CM</v>
          </cell>
          <cell r="AS285">
            <v>18</v>
          </cell>
          <cell r="AT285" t="str">
            <v>CM</v>
          </cell>
          <cell r="AU285">
            <v>0</v>
          </cell>
          <cell r="AW285">
            <v>0</v>
          </cell>
        </row>
        <row r="286">
          <cell r="B286" t="str">
            <v>H1W1JMG0000-089</v>
          </cell>
          <cell r="C286" t="str">
            <v>GENCE ALTIN ÜÇLÜ YAPRAK APLİK</v>
          </cell>
          <cell r="D286" t="str">
            <v>GENCE TRIPLE GOLD LEAF WALL LAMP</v>
          </cell>
          <cell r="E286" t="str">
            <v>METAL YOK GOLD YOK</v>
          </cell>
          <cell r="F286" t="str">
            <v>9405.19.90.00.00</v>
          </cell>
          <cell r="G286" t="str">
            <v>APLİK</v>
          </cell>
          <cell r="H286" t="str">
            <v>H1W1120003-91</v>
          </cell>
          <cell r="I286" t="str">
            <v>İÇ</v>
          </cell>
          <cell r="J286" t="str">
            <v>APLİK</v>
          </cell>
          <cell r="K286" t="str">
            <v>GENCE</v>
          </cell>
          <cell r="L286" t="str">
            <v/>
          </cell>
          <cell r="M286" t="str">
            <v/>
          </cell>
          <cell r="N286" t="str">
            <v/>
          </cell>
          <cell r="O286" t="str">
            <v>LIGHTIST</v>
          </cell>
          <cell r="P286" t="str">
            <v>ADET</v>
          </cell>
          <cell r="Q286" t="str">
            <v>E14</v>
          </cell>
          <cell r="R286" t="str">
            <v>METAL</v>
          </cell>
          <cell r="S286" t="str">
            <v>GOLD</v>
          </cell>
          <cell r="T286" t="str">
            <v>YOK</v>
          </cell>
          <cell r="U286" t="str">
            <v>YOK</v>
          </cell>
          <cell r="AD286" t="str">
            <v>N/A</v>
          </cell>
          <cell r="AE286" t="str">
            <v>04</v>
          </cell>
          <cell r="AF286">
            <v>3</v>
          </cell>
          <cell r="AG286" t="str">
            <v>ADET</v>
          </cell>
          <cell r="AH286">
            <v>4750</v>
          </cell>
          <cell r="AI286" t="str">
            <v>TL</v>
          </cell>
          <cell r="AJ286">
            <v>16600</v>
          </cell>
          <cell r="AK286" t="str">
            <v>TL</v>
          </cell>
          <cell r="AL286">
            <v>1</v>
          </cell>
          <cell r="AM286" t="str">
            <v>8684127508254</v>
          </cell>
          <cell r="AO286">
            <v>0</v>
          </cell>
          <cell r="AQ286">
            <v>14.5</v>
          </cell>
          <cell r="AR286" t="str">
            <v>CM</v>
          </cell>
          <cell r="AS286">
            <v>90</v>
          </cell>
          <cell r="AT286" t="str">
            <v>CM</v>
          </cell>
          <cell r="AU286">
            <v>0</v>
          </cell>
          <cell r="AW286">
            <v>0</v>
          </cell>
        </row>
        <row r="287">
          <cell r="B287" t="str">
            <v>CK2G1C7B2E2A0</v>
          </cell>
          <cell r="C287" t="str">
            <v>ERD-244 ŞEFFAF-FÜME 6W 2200K TİP-1 E27 LED AMPUL</v>
          </cell>
          <cell r="D287" t="str">
            <v>ERD-244 CLEAR-SMOKY 6W 2200K TYPE-1 E27 LED BULB</v>
          </cell>
          <cell r="E287" t="str">
            <v>CAM METAL YARI FÜME FLAMENT DIMMSIZ KARMA</v>
          </cell>
          <cell r="F287" t="str">
            <v>8539.52.00.00.00</v>
          </cell>
          <cell r="G287" t="str">
            <v>AMPUL</v>
          </cell>
          <cell r="H287" t="str">
            <v>CG21172D21T00</v>
          </cell>
          <cell r="I287" t="str">
            <v>İÇ</v>
          </cell>
          <cell r="J287" t="str">
            <v>AMPUL</v>
          </cell>
          <cell r="K287" t="str">
            <v>ERD-244</v>
          </cell>
          <cell r="L287" t="str">
            <v/>
          </cell>
          <cell r="M287" t="str">
            <v/>
          </cell>
          <cell r="N287" t="str">
            <v>ERD-244</v>
          </cell>
          <cell r="O287" t="str">
            <v>HEKA</v>
          </cell>
          <cell r="P287" t="str">
            <v>ADET</v>
          </cell>
          <cell r="Q287" t="str">
            <v>E27</v>
          </cell>
          <cell r="R287" t="str">
            <v>CAM</v>
          </cell>
          <cell r="S287" t="str">
            <v>YARI FÜME</v>
          </cell>
          <cell r="T287" t="str">
            <v>METAL</v>
          </cell>
          <cell r="V287" t="str">
            <v>G</v>
          </cell>
          <cell r="W287" t="str">
            <v>FLAMENT</v>
          </cell>
          <cell r="X287" t="str">
            <v>220V</v>
          </cell>
          <cell r="Y287" t="str">
            <v>6 WATT</v>
          </cell>
          <cell r="Z287" t="str">
            <v>2200 K</v>
          </cell>
          <cell r="AA287" t="str">
            <v>DIMMSIZ</v>
          </cell>
          <cell r="AB287" t="str">
            <v>101-200</v>
          </cell>
          <cell r="AC287" t="str">
            <v>KARMA</v>
          </cell>
          <cell r="AD287" t="str">
            <v>N/A</v>
          </cell>
          <cell r="AF287">
            <v>1</v>
          </cell>
          <cell r="AG287" t="str">
            <v>ADET</v>
          </cell>
          <cell r="AH287">
            <v>8.6999999999999993</v>
          </cell>
          <cell r="AI287" t="str">
            <v>USD</v>
          </cell>
          <cell r="AJ287">
            <v>3118</v>
          </cell>
          <cell r="AK287" t="str">
            <v>TL</v>
          </cell>
          <cell r="AL287">
            <v>1</v>
          </cell>
          <cell r="AM287" t="str">
            <v>8684127503754</v>
          </cell>
          <cell r="AO287">
            <v>0</v>
          </cell>
          <cell r="AQ287">
            <v>17</v>
          </cell>
          <cell r="AR287" t="str">
            <v>CM</v>
          </cell>
          <cell r="AS287">
            <v>17</v>
          </cell>
          <cell r="AT287" t="str">
            <v>CM</v>
          </cell>
          <cell r="AU287">
            <v>0</v>
          </cell>
          <cell r="AW287">
            <v>0</v>
          </cell>
        </row>
        <row r="288">
          <cell r="B288" t="str">
            <v>H1C6JMGWRBR-020</v>
          </cell>
          <cell r="C288" t="str">
            <v>HARŞENA BEYAZ MERMER SARKIT 20cm</v>
          </cell>
          <cell r="D288" t="str">
            <v>HARŞENA WHİTE MARBLE PENDANT 20cm</v>
          </cell>
          <cell r="E288" t="str">
            <v xml:space="preserve">METAL MERMER GOLD BEYAZ   </v>
          </cell>
          <cell r="F288" t="str">
            <v>9405.11.90.00.00</v>
          </cell>
          <cell r="G288" t="str">
            <v>AVİZE</v>
          </cell>
          <cell r="H288" t="str">
            <v>T1A6311100-01</v>
          </cell>
          <cell r="I288" t="str">
            <v>İÇ</v>
          </cell>
          <cell r="J288" t="str">
            <v>AVİZE.SARK</v>
          </cell>
          <cell r="K288" t="str">
            <v>HARŞENA</v>
          </cell>
          <cell r="L288" t="str">
            <v/>
          </cell>
          <cell r="M288" t="str">
            <v/>
          </cell>
          <cell r="N288" t="str">
            <v>009-WC</v>
          </cell>
          <cell r="O288" t="str">
            <v>HEKA</v>
          </cell>
          <cell r="P288" t="str">
            <v>ADET</v>
          </cell>
          <cell r="Q288" t="str">
            <v>LED</v>
          </cell>
          <cell r="R288" t="str">
            <v>METAL</v>
          </cell>
          <cell r="S288" t="str">
            <v>GOLD</v>
          </cell>
          <cell r="T288" t="str">
            <v>MERMER</v>
          </cell>
          <cell r="U288" t="str">
            <v>BEYAZ</v>
          </cell>
          <cell r="AD288" t="str">
            <v>DAİRE</v>
          </cell>
          <cell r="AE288" t="str">
            <v>01</v>
          </cell>
          <cell r="AF288">
            <v>0</v>
          </cell>
          <cell r="AG288" t="str">
            <v>ADET</v>
          </cell>
          <cell r="AH288">
            <v>145</v>
          </cell>
          <cell r="AI288" t="str">
            <v>CNY</v>
          </cell>
          <cell r="AJ288">
            <v>1850</v>
          </cell>
          <cell r="AK288" t="str">
            <v>TL</v>
          </cell>
          <cell r="AL288">
            <v>1</v>
          </cell>
          <cell r="AM288" t="str">
            <v>8684127508438</v>
          </cell>
          <cell r="AO288">
            <v>0</v>
          </cell>
          <cell r="AQ288">
            <v>12</v>
          </cell>
          <cell r="AR288" t="str">
            <v>CM</v>
          </cell>
          <cell r="AS288">
            <v>20</v>
          </cell>
          <cell r="AT288" t="str">
            <v>CM</v>
          </cell>
          <cell r="AU288">
            <v>0</v>
          </cell>
          <cell r="AW288">
            <v>0</v>
          </cell>
        </row>
        <row r="289">
          <cell r="B289" t="str">
            <v>ZYC-0788</v>
          </cell>
          <cell r="C289" t="str">
            <v>ETA BAKIR 80 LİK</v>
          </cell>
          <cell r="D289" t="str">
            <v/>
          </cell>
          <cell r="E289" t="str">
            <v/>
          </cell>
          <cell r="F289" t="str">
            <v/>
          </cell>
          <cell r="G289" t="str">
            <v/>
          </cell>
          <cell r="H289" t="str">
            <v>ZYC-0788</v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P289" t="str">
            <v>ADET</v>
          </cell>
          <cell r="AG289" t="str">
            <v>ADET</v>
          </cell>
          <cell r="AL289">
            <v>0</v>
          </cell>
          <cell r="AO289">
            <v>0</v>
          </cell>
          <cell r="AQ289">
            <v>0</v>
          </cell>
          <cell r="AS289">
            <v>0</v>
          </cell>
          <cell r="AU289">
            <v>0</v>
          </cell>
          <cell r="AW289">
            <v>0</v>
          </cell>
        </row>
        <row r="290">
          <cell r="B290" t="str">
            <v>T1C2JMK000L-009</v>
          </cell>
          <cell r="C290" t="str">
            <v>ARVİKA DEKORATİF KROM DUY</v>
          </cell>
          <cell r="D290" t="str">
            <v>ARVIKA DECORATIVE CHROME LAMP HOLDER</v>
          </cell>
          <cell r="E290" t="str">
            <v>METAL YOK KROM YOK</v>
          </cell>
          <cell r="F290" t="str">
            <v>9405.19.90.00.00</v>
          </cell>
          <cell r="G290" t="str">
            <v>ZPARCA</v>
          </cell>
          <cell r="H290" t="str">
            <v>T1A2130102-01</v>
          </cell>
          <cell r="I290" t="str">
            <v>İÇ</v>
          </cell>
          <cell r="J290" t="str">
            <v>ZPARCA</v>
          </cell>
          <cell r="K290" t="str">
            <v>ARVİKA</v>
          </cell>
          <cell r="L290" t="str">
            <v/>
          </cell>
          <cell r="M290" t="str">
            <v/>
          </cell>
          <cell r="N290" t="str">
            <v>ERD-143K</v>
          </cell>
          <cell r="O290" t="str">
            <v>HEKA</v>
          </cell>
          <cell r="P290" t="str">
            <v>ADET</v>
          </cell>
          <cell r="Q290" t="str">
            <v>E27</v>
          </cell>
          <cell r="R290" t="str">
            <v>METAL</v>
          </cell>
          <cell r="S290" t="str">
            <v>KROM</v>
          </cell>
          <cell r="T290" t="str">
            <v>YOK</v>
          </cell>
          <cell r="U290" t="str">
            <v>YOK</v>
          </cell>
          <cell r="AD290" t="str">
            <v>DÜZ</v>
          </cell>
          <cell r="AE290" t="str">
            <v>02</v>
          </cell>
          <cell r="AF290">
            <v>242</v>
          </cell>
          <cell r="AG290" t="str">
            <v>ADET</v>
          </cell>
          <cell r="AH290">
            <v>6.2</v>
          </cell>
          <cell r="AI290" t="str">
            <v>CNY</v>
          </cell>
          <cell r="AJ290">
            <v>795</v>
          </cell>
          <cell r="AK290" t="str">
            <v>TL</v>
          </cell>
          <cell r="AL290">
            <v>1</v>
          </cell>
          <cell r="AM290" t="str">
            <v>8684127505864</v>
          </cell>
          <cell r="AO290">
            <v>0</v>
          </cell>
          <cell r="AQ290">
            <v>4.5</v>
          </cell>
          <cell r="AR290" t="str">
            <v>CM</v>
          </cell>
          <cell r="AS290">
            <v>9</v>
          </cell>
          <cell r="AT290" t="str">
            <v>CM</v>
          </cell>
          <cell r="AU290">
            <v>0</v>
          </cell>
          <cell r="AW290">
            <v>0</v>
          </cell>
        </row>
        <row r="291">
          <cell r="B291" t="str">
            <v>H1C3JMEECTR-080</v>
          </cell>
          <cell r="C291" t="str">
            <v>DEMET ESKİTME SALON AVİZESİ 15 Lİ</v>
          </cell>
          <cell r="D291" t="str">
            <v>DEMET LIVING ROOM CHANDELIER 15 BULB</v>
          </cell>
          <cell r="E291" t="str">
            <v xml:space="preserve">METAL CAM  ESKİTME SOFT   </v>
          </cell>
          <cell r="F291" t="str">
            <v>9405.19.90.00.00</v>
          </cell>
          <cell r="G291" t="str">
            <v>AVİZE</v>
          </cell>
          <cell r="H291" t="str">
            <v>H1A3112100-15</v>
          </cell>
          <cell r="I291" t="str">
            <v>İÇ</v>
          </cell>
          <cell r="J291" t="str">
            <v>AVİZE.AVİZ</v>
          </cell>
          <cell r="K291" t="str">
            <v>DEMET</v>
          </cell>
          <cell r="L291" t="str">
            <v/>
          </cell>
          <cell r="M291" t="str">
            <v>ÜRTM:15GÜN</v>
          </cell>
          <cell r="N291" t="str">
            <v>HK20009</v>
          </cell>
          <cell r="O291" t="str">
            <v>HEKA</v>
          </cell>
          <cell r="P291" t="str">
            <v>ADET</v>
          </cell>
          <cell r="Q291" t="str">
            <v>G9</v>
          </cell>
          <cell r="R291" t="str">
            <v>METAL</v>
          </cell>
          <cell r="S291" t="str">
            <v>ESKİTME</v>
          </cell>
          <cell r="T291" t="str">
            <v>CAM</v>
          </cell>
          <cell r="U291" t="str">
            <v>SOFT</v>
          </cell>
          <cell r="AD291" t="str">
            <v>DAİRE</v>
          </cell>
          <cell r="AE291" t="str">
            <v>15</v>
          </cell>
          <cell r="AF291">
            <v>1</v>
          </cell>
          <cell r="AG291" t="str">
            <v>ADET</v>
          </cell>
          <cell r="AH291">
            <v>2000</v>
          </cell>
          <cell r="AI291" t="str">
            <v>TL</v>
          </cell>
          <cell r="AJ291">
            <v>35400</v>
          </cell>
          <cell r="AK291" t="str">
            <v>TL</v>
          </cell>
          <cell r="AL291">
            <v>1</v>
          </cell>
          <cell r="AM291" t="str">
            <v>8684127506076</v>
          </cell>
          <cell r="AO291">
            <v>0</v>
          </cell>
          <cell r="AQ291">
            <v>78</v>
          </cell>
          <cell r="AR291" t="str">
            <v>CM</v>
          </cell>
          <cell r="AS291">
            <v>75</v>
          </cell>
          <cell r="AT291" t="str">
            <v>CM</v>
          </cell>
          <cell r="AU291">
            <v>0</v>
          </cell>
          <cell r="AW291">
            <v>0</v>
          </cell>
        </row>
        <row r="292">
          <cell r="B292" t="str">
            <v>H1W6JMKLCTL-050</v>
          </cell>
          <cell r="C292" t="str">
            <v>ASSOS LED KROM APLİK 50cm</v>
          </cell>
          <cell r="D292" t="str">
            <v>ASSOS LED CHROME WALL LAMP 50cm</v>
          </cell>
          <cell r="E292" t="str">
            <v>METAL PLEKSİ KROM SOFT</v>
          </cell>
          <cell r="F292" t="str">
            <v>9405.11.90.00.00</v>
          </cell>
          <cell r="G292" t="str">
            <v>APLİK</v>
          </cell>
          <cell r="H292" t="str">
            <v>T1W6138100-50</v>
          </cell>
          <cell r="I292" t="str">
            <v>İÇ</v>
          </cell>
          <cell r="J292" t="str">
            <v>APLİK</v>
          </cell>
          <cell r="K292" t="str">
            <v>ASSOS</v>
          </cell>
          <cell r="L292" t="str">
            <v>Ç</v>
          </cell>
          <cell r="M292" t="str">
            <v>ÜRTM:15GÜN</v>
          </cell>
          <cell r="N292" t="str">
            <v>B9905-CH-50</v>
          </cell>
          <cell r="O292" t="str">
            <v>HEKA</v>
          </cell>
          <cell r="P292" t="str">
            <v>ADET</v>
          </cell>
          <cell r="Q292" t="str">
            <v>LED</v>
          </cell>
          <cell r="R292" t="str">
            <v>METAL</v>
          </cell>
          <cell r="S292" t="str">
            <v>KROM</v>
          </cell>
          <cell r="T292" t="str">
            <v>PLEKSİ</v>
          </cell>
          <cell r="U292" t="str">
            <v>SOFT</v>
          </cell>
          <cell r="AD292" t="str">
            <v>DÜZ</v>
          </cell>
          <cell r="AF292">
            <v>0</v>
          </cell>
          <cell r="AG292" t="str">
            <v>ADET</v>
          </cell>
          <cell r="AH292">
            <v>47.5</v>
          </cell>
          <cell r="AI292" t="str">
            <v>CNY</v>
          </cell>
          <cell r="AJ292">
            <v>4200</v>
          </cell>
          <cell r="AK292" t="str">
            <v>TL</v>
          </cell>
          <cell r="AL292">
            <v>1</v>
          </cell>
          <cell r="AM292" t="str">
            <v>8684127501583</v>
          </cell>
          <cell r="AO292">
            <v>0</v>
          </cell>
          <cell r="AQ292">
            <v>50</v>
          </cell>
          <cell r="AR292" t="str">
            <v>CM</v>
          </cell>
          <cell r="AS292">
            <v>8</v>
          </cell>
          <cell r="AT292" t="str">
            <v>CM</v>
          </cell>
          <cell r="AU292">
            <v>0</v>
          </cell>
          <cell r="AW292">
            <v>0</v>
          </cell>
        </row>
        <row r="293">
          <cell r="B293" t="str">
            <v>CK2G1C2V2D2Y1</v>
          </cell>
          <cell r="C293" t="str">
            <v>ERD-2019/3 FÜME 5W 2200K VAV E27 LED AMPUL</v>
          </cell>
          <cell r="D293" t="str">
            <v>ERD-2019/3 SMOKY 5W 2200K VAV E27 LED BULB</v>
          </cell>
          <cell r="E293" t="str">
            <v>CAM VAV FÜME FLAMENT DIMMLI KARMA</v>
          </cell>
          <cell r="F293" t="str">
            <v>8539.52.00.00.00</v>
          </cell>
          <cell r="G293" t="str">
            <v>AVİZE</v>
          </cell>
          <cell r="H293" t="str">
            <v>CG21122C21T04</v>
          </cell>
          <cell r="I293" t="str">
            <v>İÇ</v>
          </cell>
          <cell r="J293" t="str">
            <v>AMPUL</v>
          </cell>
          <cell r="K293" t="str">
            <v>ERD-2019/3</v>
          </cell>
          <cell r="L293" t="str">
            <v/>
          </cell>
          <cell r="M293" t="str">
            <v/>
          </cell>
          <cell r="N293" t="str">
            <v>ERD-2019/3</v>
          </cell>
          <cell r="O293" t="str">
            <v>HEKA</v>
          </cell>
          <cell r="P293" t="str">
            <v>ADET</v>
          </cell>
          <cell r="Q293" t="str">
            <v>E27</v>
          </cell>
          <cell r="R293" t="str">
            <v>CAM</v>
          </cell>
          <cell r="S293" t="str">
            <v>FÜME</v>
          </cell>
          <cell r="T293" t="str">
            <v>VAV</v>
          </cell>
          <cell r="V293" t="str">
            <v>G</v>
          </cell>
          <cell r="W293" t="str">
            <v>FLAMENT</v>
          </cell>
          <cell r="X293" t="str">
            <v>220V</v>
          </cell>
          <cell r="Y293" t="str">
            <v>5 WATT</v>
          </cell>
          <cell r="Z293" t="str">
            <v>2200 K</v>
          </cell>
          <cell r="AA293" t="str">
            <v>DIMMLI</v>
          </cell>
          <cell r="AB293" t="str">
            <v>101-200</v>
          </cell>
          <cell r="AC293" t="str">
            <v>KARMA</v>
          </cell>
          <cell r="AD293" t="str">
            <v>N/A</v>
          </cell>
          <cell r="AF293">
            <v>410</v>
          </cell>
          <cell r="AG293" t="str">
            <v>ADET</v>
          </cell>
          <cell r="AH293">
            <v>11.75</v>
          </cell>
          <cell r="AI293" t="str">
            <v>USD</v>
          </cell>
          <cell r="AJ293">
            <v>55</v>
          </cell>
          <cell r="AK293" t="str">
            <v>USD</v>
          </cell>
          <cell r="AL293">
            <v>1</v>
          </cell>
          <cell r="AM293" t="str">
            <v>8684127503723</v>
          </cell>
          <cell r="AN293" t="str">
            <v>8684127500777</v>
          </cell>
          <cell r="AO293">
            <v>0</v>
          </cell>
          <cell r="AQ293">
            <v>16</v>
          </cell>
          <cell r="AR293" t="str">
            <v>CM</v>
          </cell>
          <cell r="AS293">
            <v>16</v>
          </cell>
          <cell r="AT293" t="str">
            <v>CM</v>
          </cell>
          <cell r="AU293">
            <v>0</v>
          </cell>
          <cell r="AW293">
            <v>0</v>
          </cell>
        </row>
        <row r="294">
          <cell r="B294" t="str">
            <v>H1C6WRBJMER-011</v>
          </cell>
          <cell r="C294" t="str">
            <v>TEOS BEYAZ MERMER SARKIT 11cm</v>
          </cell>
          <cell r="D294" t="str">
            <v>TEOS WHITE MARBLE PENDANT 11cm</v>
          </cell>
          <cell r="E294" t="str">
            <v xml:space="preserve">MERMER METAL BEYAZ ESKİTME   </v>
          </cell>
          <cell r="F294" t="str">
            <v>9405.11.90.00.00</v>
          </cell>
          <cell r="G294" t="str">
            <v>AVİZE</v>
          </cell>
          <cell r="H294" t="str">
            <v>T1A6113100-11</v>
          </cell>
          <cell r="I294" t="str">
            <v>İÇ</v>
          </cell>
          <cell r="J294" t="str">
            <v>AVİZE.SARK</v>
          </cell>
          <cell r="K294" t="str">
            <v>TEOS</v>
          </cell>
          <cell r="L294" t="str">
            <v/>
          </cell>
          <cell r="M294" t="str">
            <v/>
          </cell>
          <cell r="N294" t="str">
            <v>MD6349-WC</v>
          </cell>
          <cell r="O294" t="str">
            <v>HEKA</v>
          </cell>
          <cell r="P294" t="str">
            <v>ADET</v>
          </cell>
          <cell r="Q294" t="str">
            <v>LED</v>
          </cell>
          <cell r="R294" t="str">
            <v>MERMER</v>
          </cell>
          <cell r="S294" t="str">
            <v>BEYAZ</v>
          </cell>
          <cell r="T294" t="str">
            <v>METAL</v>
          </cell>
          <cell r="U294" t="str">
            <v>ESKİTME</v>
          </cell>
          <cell r="AD294" t="str">
            <v>DAİRE</v>
          </cell>
          <cell r="AE294" t="str">
            <v>01</v>
          </cell>
          <cell r="AF294">
            <v>0</v>
          </cell>
          <cell r="AG294" t="str">
            <v>ADET</v>
          </cell>
          <cell r="AH294">
            <v>115</v>
          </cell>
          <cell r="AI294" t="str">
            <v>CNY</v>
          </cell>
          <cell r="AJ294">
            <v>2975</v>
          </cell>
          <cell r="AK294" t="str">
            <v>TL</v>
          </cell>
          <cell r="AL294">
            <v>1</v>
          </cell>
          <cell r="AM294" t="str">
            <v>8684127508841</v>
          </cell>
          <cell r="AO294">
            <v>0</v>
          </cell>
          <cell r="AQ294">
            <v>15</v>
          </cell>
          <cell r="AR294" t="str">
            <v>CM</v>
          </cell>
          <cell r="AS294">
            <v>11</v>
          </cell>
          <cell r="AT294" t="str">
            <v>CM</v>
          </cell>
          <cell r="AU294">
            <v>0</v>
          </cell>
          <cell r="AW294">
            <v>0</v>
          </cell>
        </row>
        <row r="295">
          <cell r="B295" t="str">
            <v>CK2G1C2I2D2Y1</v>
          </cell>
          <cell r="C295" t="str">
            <v>ERD-1453/2 FÜME 5W 2200K İSTANBUL E27 LED AMPUL</v>
          </cell>
          <cell r="D295" t="str">
            <v>ERD-1453/2 SMOKY 5W 2200K İSTANBUL E27 LED BULB</v>
          </cell>
          <cell r="E295" t="str">
            <v>CAM İSTANBUL FÜME FLAMENT DIMMLI KARMA</v>
          </cell>
          <cell r="F295" t="str">
            <v>8539.52.00.00.00</v>
          </cell>
          <cell r="G295" t="str">
            <v>AVİZE</v>
          </cell>
          <cell r="H295" t="str">
            <v>CG21122C21T00</v>
          </cell>
          <cell r="I295" t="str">
            <v>İÇ</v>
          </cell>
          <cell r="J295" t="str">
            <v>AMPUL</v>
          </cell>
          <cell r="K295" t="str">
            <v>ERD-1453/2</v>
          </cell>
          <cell r="L295" t="str">
            <v/>
          </cell>
          <cell r="M295" t="str">
            <v/>
          </cell>
          <cell r="N295" t="str">
            <v>ERD-1453/2</v>
          </cell>
          <cell r="O295" t="str">
            <v>HEKA</v>
          </cell>
          <cell r="P295" t="str">
            <v>ADET</v>
          </cell>
          <cell r="Q295" t="str">
            <v>E27</v>
          </cell>
          <cell r="R295" t="str">
            <v>CAM</v>
          </cell>
          <cell r="S295" t="str">
            <v>FÜME</v>
          </cell>
          <cell r="T295" t="str">
            <v>İSTANBUL</v>
          </cell>
          <cell r="V295" t="str">
            <v>G</v>
          </cell>
          <cell r="W295" t="str">
            <v>FLAMENT</v>
          </cell>
          <cell r="X295" t="str">
            <v>220V</v>
          </cell>
          <cell r="Y295" t="str">
            <v>5 WATT</v>
          </cell>
          <cell r="Z295" t="str">
            <v>2200 K</v>
          </cell>
          <cell r="AA295" t="str">
            <v>DIMMLI</v>
          </cell>
          <cell r="AB295" t="str">
            <v>101-200</v>
          </cell>
          <cell r="AC295" t="str">
            <v>KARMA</v>
          </cell>
          <cell r="AD295" t="str">
            <v>N/A</v>
          </cell>
          <cell r="AF295">
            <v>458</v>
          </cell>
          <cell r="AG295" t="str">
            <v>ADET</v>
          </cell>
          <cell r="AH295">
            <v>13</v>
          </cell>
          <cell r="AI295" t="str">
            <v>USD</v>
          </cell>
          <cell r="AJ295">
            <v>55</v>
          </cell>
          <cell r="AK295" t="str">
            <v>USD</v>
          </cell>
          <cell r="AL295">
            <v>1</v>
          </cell>
          <cell r="AM295" t="str">
            <v>8684127503662</v>
          </cell>
          <cell r="AN295" t="str">
            <v>8684127500753</v>
          </cell>
          <cell r="AO295">
            <v>0</v>
          </cell>
          <cell r="AQ295">
            <v>16</v>
          </cell>
          <cell r="AR295" t="str">
            <v>CM</v>
          </cell>
          <cell r="AS295">
            <v>16</v>
          </cell>
          <cell r="AT295" t="str">
            <v>CM</v>
          </cell>
          <cell r="AU295">
            <v>0</v>
          </cell>
          <cell r="AW295">
            <v>0</v>
          </cell>
        </row>
        <row r="296">
          <cell r="B296" t="str">
            <v>H1F3JMEECTR-174</v>
          </cell>
          <cell r="C296" t="str">
            <v>DEMET ESKİTME LAMBADER 10 LU</v>
          </cell>
          <cell r="D296" t="str">
            <v>DEMET FLOOR LAMP 10 BULB</v>
          </cell>
          <cell r="E296" t="str">
            <v xml:space="preserve">METAL CAM  ESKİTME SOFT   </v>
          </cell>
          <cell r="F296" t="str">
            <v>9405.29.90.00.00</v>
          </cell>
          <cell r="G296" t="str">
            <v>LAMBADER</v>
          </cell>
          <cell r="H296" t="str">
            <v>H1L3112100-10</v>
          </cell>
          <cell r="I296" t="str">
            <v>İÇ</v>
          </cell>
          <cell r="J296" t="str">
            <v>LAMBADER</v>
          </cell>
          <cell r="K296" t="str">
            <v>DEMET</v>
          </cell>
          <cell r="L296" t="str">
            <v/>
          </cell>
          <cell r="M296" t="str">
            <v>ÜRTM:15GÜN</v>
          </cell>
          <cell r="N296" t="str">
            <v>HK20012</v>
          </cell>
          <cell r="O296" t="str">
            <v>HEKA</v>
          </cell>
          <cell r="P296" t="str">
            <v>ADET</v>
          </cell>
          <cell r="Q296" t="str">
            <v>G9</v>
          </cell>
          <cell r="R296" t="str">
            <v>METAL</v>
          </cell>
          <cell r="S296" t="str">
            <v>ESKİTME</v>
          </cell>
          <cell r="T296" t="str">
            <v>CAM</v>
          </cell>
          <cell r="U296" t="str">
            <v>SOFT</v>
          </cell>
          <cell r="AD296" t="str">
            <v>DAİRE</v>
          </cell>
          <cell r="AE296" t="str">
            <v>10</v>
          </cell>
          <cell r="AF296">
            <v>2</v>
          </cell>
          <cell r="AG296" t="str">
            <v>ADET</v>
          </cell>
          <cell r="AH296">
            <v>4000</v>
          </cell>
          <cell r="AI296" t="str">
            <v>TL</v>
          </cell>
          <cell r="AJ296">
            <v>44300</v>
          </cell>
          <cell r="AK296" t="str">
            <v>TL</v>
          </cell>
          <cell r="AL296">
            <v>1</v>
          </cell>
          <cell r="AM296" t="str">
            <v>8684127506052</v>
          </cell>
          <cell r="AO296">
            <v>0</v>
          </cell>
          <cell r="AQ296">
            <v>60</v>
          </cell>
          <cell r="AR296" t="str">
            <v>CM</v>
          </cell>
          <cell r="AS296">
            <v>25</v>
          </cell>
          <cell r="AT296" t="str">
            <v>CM</v>
          </cell>
          <cell r="AU296">
            <v>0</v>
          </cell>
          <cell r="AW296">
            <v>0</v>
          </cell>
        </row>
        <row r="297">
          <cell r="B297" t="str">
            <v>H1W1JMEWRB0-032</v>
          </cell>
          <cell r="C297" t="str">
            <v>ARDIÇ ESKİTME APLİK KÜÇÜK</v>
          </cell>
          <cell r="D297" t="str">
            <v>ARDIÇ BRUSHED BRASS WALL LAMP SMALL</v>
          </cell>
          <cell r="E297" t="str">
            <v>METAL MERMER ESKİTME BEYAZ</v>
          </cell>
          <cell r="F297" t="str">
            <v>9405.19.90.00.00</v>
          </cell>
          <cell r="G297" t="str">
            <v>APLİK</v>
          </cell>
          <cell r="H297" t="str">
            <v>T1W1113100-32</v>
          </cell>
          <cell r="I297" t="str">
            <v>İÇ</v>
          </cell>
          <cell r="J297" t="str">
            <v>APLİK</v>
          </cell>
          <cell r="K297" t="str">
            <v>ARDIÇ</v>
          </cell>
          <cell r="L297" t="str">
            <v/>
          </cell>
          <cell r="M297" t="str">
            <v/>
          </cell>
          <cell r="N297" t="str">
            <v>002-BR-S</v>
          </cell>
          <cell r="O297" t="str">
            <v>HEKA</v>
          </cell>
          <cell r="P297" t="str">
            <v>ADET</v>
          </cell>
          <cell r="Q297" t="str">
            <v>E14</v>
          </cell>
          <cell r="R297" t="str">
            <v>METAL</v>
          </cell>
          <cell r="S297" t="str">
            <v>ESKİTME</v>
          </cell>
          <cell r="T297" t="str">
            <v>MERMER</v>
          </cell>
          <cell r="U297" t="str">
            <v>BEYAZ</v>
          </cell>
          <cell r="AD297" t="str">
            <v>N/A</v>
          </cell>
          <cell r="AE297" t="str">
            <v>01</v>
          </cell>
          <cell r="AF297">
            <v>1</v>
          </cell>
          <cell r="AG297" t="str">
            <v>ADET</v>
          </cell>
          <cell r="AH297">
            <v>97.65</v>
          </cell>
          <cell r="AI297" t="str">
            <v>CNY</v>
          </cell>
          <cell r="AJ297">
            <v>4760</v>
          </cell>
          <cell r="AK297" t="str">
            <v>TL</v>
          </cell>
          <cell r="AL297">
            <v>1</v>
          </cell>
          <cell r="AM297" t="str">
            <v>8684127501477</v>
          </cell>
          <cell r="AO297">
            <v>0</v>
          </cell>
          <cell r="AQ297">
            <v>32</v>
          </cell>
          <cell r="AR297" t="str">
            <v>CM</v>
          </cell>
          <cell r="AS297">
            <v>14</v>
          </cell>
          <cell r="AT297" t="str">
            <v>CM</v>
          </cell>
          <cell r="AU297">
            <v>0</v>
          </cell>
          <cell r="AW297">
            <v>0</v>
          </cell>
        </row>
        <row r="298">
          <cell r="B298" t="str">
            <v>H1C2DRPJMER-024</v>
          </cell>
          <cell r="C298" t="str">
            <v>HALİKARNAS PEMBE BETON SARKIT 24cm</v>
          </cell>
          <cell r="D298" t="str">
            <v>HALİKARNAS PINK CONCRETE PENDANT 24cm</v>
          </cell>
          <cell r="E298" t="str">
            <v xml:space="preserve">BETON METAL PEMBE ESKİTME   </v>
          </cell>
          <cell r="F298" t="str">
            <v>9405.19.90.00.00</v>
          </cell>
          <cell r="G298" t="str">
            <v>AVİZE</v>
          </cell>
          <cell r="H298" t="str">
            <v>T1A2331100-24</v>
          </cell>
          <cell r="I298" t="str">
            <v>İÇ</v>
          </cell>
          <cell r="J298" t="str">
            <v>AVİZE.SARK</v>
          </cell>
          <cell r="K298" t="str">
            <v>HALİKARNAS</v>
          </cell>
          <cell r="L298" t="str">
            <v/>
          </cell>
          <cell r="M298" t="str">
            <v/>
          </cell>
          <cell r="N298" t="str">
            <v>XQL-D8909-PC</v>
          </cell>
          <cell r="O298" t="str">
            <v>HEKA</v>
          </cell>
          <cell r="P298" t="str">
            <v>ADET</v>
          </cell>
          <cell r="Q298" t="str">
            <v>E27</v>
          </cell>
          <cell r="R298" t="str">
            <v>BETON</v>
          </cell>
          <cell r="S298" t="str">
            <v>PEMBE</v>
          </cell>
          <cell r="T298" t="str">
            <v>METAL</v>
          </cell>
          <cell r="U298" t="str">
            <v>ESKİTME</v>
          </cell>
          <cell r="AD298" t="str">
            <v>DAİRE</v>
          </cell>
          <cell r="AE298" t="str">
            <v>02</v>
          </cell>
          <cell r="AF298">
            <v>0</v>
          </cell>
          <cell r="AG298" t="str">
            <v>ADET</v>
          </cell>
          <cell r="AH298">
            <v>220</v>
          </cell>
          <cell r="AI298" t="str">
            <v>CNY</v>
          </cell>
          <cell r="AJ298">
            <v>2750</v>
          </cell>
          <cell r="AK298" t="str">
            <v>TL</v>
          </cell>
          <cell r="AL298">
            <v>1</v>
          </cell>
          <cell r="AM298" t="str">
            <v>8684127508933</v>
          </cell>
          <cell r="AO298">
            <v>0</v>
          </cell>
          <cell r="AQ298">
            <v>29</v>
          </cell>
          <cell r="AR298" t="str">
            <v>CM</v>
          </cell>
          <cell r="AS298">
            <v>24</v>
          </cell>
          <cell r="AT298" t="str">
            <v>CM</v>
          </cell>
          <cell r="AU298">
            <v>0</v>
          </cell>
          <cell r="AW298">
            <v>0</v>
          </cell>
        </row>
        <row r="299">
          <cell r="B299" t="str">
            <v>H1C2DRSJMER-024</v>
          </cell>
          <cell r="C299" t="str">
            <v>HALİKARNAS SİYAH BETON SARKIT 24cm</v>
          </cell>
          <cell r="D299" t="str">
            <v>HALİKARNAS BLACK CONCRETE PENDANT 24cm</v>
          </cell>
          <cell r="E299" t="str">
            <v xml:space="preserve">BETON METAL SİYAH ESKİTME   </v>
          </cell>
          <cell r="F299" t="str">
            <v>9405.19.90.00.00</v>
          </cell>
          <cell r="G299" t="str">
            <v>AVİZE</v>
          </cell>
          <cell r="H299" t="str">
            <v>T1A2321100-24</v>
          </cell>
          <cell r="I299" t="str">
            <v>İÇ</v>
          </cell>
          <cell r="J299" t="str">
            <v>AVİZE.SARK</v>
          </cell>
          <cell r="K299" t="str">
            <v>HALİKARNAS</v>
          </cell>
          <cell r="L299" t="str">
            <v/>
          </cell>
          <cell r="M299" t="str">
            <v/>
          </cell>
          <cell r="N299" t="str">
            <v>XQL-D8909-BC</v>
          </cell>
          <cell r="O299" t="str">
            <v>HEKA</v>
          </cell>
          <cell r="P299" t="str">
            <v>ADET</v>
          </cell>
          <cell r="Q299" t="str">
            <v>E27</v>
          </cell>
          <cell r="R299" t="str">
            <v>BETON</v>
          </cell>
          <cell r="S299" t="str">
            <v>SİYAH</v>
          </cell>
          <cell r="T299" t="str">
            <v>METAL</v>
          </cell>
          <cell r="U299" t="str">
            <v>ESKİTME</v>
          </cell>
          <cell r="AD299" t="str">
            <v>DAİRE</v>
          </cell>
          <cell r="AE299" t="str">
            <v>02</v>
          </cell>
          <cell r="AF299">
            <v>0</v>
          </cell>
          <cell r="AG299" t="str">
            <v>ADET</v>
          </cell>
          <cell r="AH299">
            <v>220</v>
          </cell>
          <cell r="AI299" t="str">
            <v>CNY</v>
          </cell>
          <cell r="AJ299">
            <v>2750</v>
          </cell>
          <cell r="AK299" t="str">
            <v>TL</v>
          </cell>
          <cell r="AL299">
            <v>1</v>
          </cell>
          <cell r="AM299" t="str">
            <v>8684127508940</v>
          </cell>
          <cell r="AO299">
            <v>0</v>
          </cell>
          <cell r="AQ299">
            <v>29</v>
          </cell>
          <cell r="AR299" t="str">
            <v>CM</v>
          </cell>
          <cell r="AS299">
            <v>24</v>
          </cell>
          <cell r="AT299" t="str">
            <v>CM</v>
          </cell>
          <cell r="AU299">
            <v>0</v>
          </cell>
          <cell r="AW299">
            <v>0</v>
          </cell>
        </row>
        <row r="300">
          <cell r="B300" t="str">
            <v>H1C6ECSJMED-043</v>
          </cell>
          <cell r="C300" t="str">
            <v>VARDA TEKLİ ŞEFFAF SARKIT</v>
          </cell>
          <cell r="D300" t="str">
            <v>VARDA SINGLE CLEAR PENDANT</v>
          </cell>
          <cell r="E300" t="str">
            <v xml:space="preserve">CAM  METAL ŞEFFAF ESKİTME   </v>
          </cell>
          <cell r="F300" t="str">
            <v>9405.11.50.00.19</v>
          </cell>
          <cell r="G300" t="str">
            <v>AVİZE</v>
          </cell>
          <cell r="H300" t="str">
            <v>H1A6241100-01</v>
          </cell>
          <cell r="I300" t="str">
            <v>İÇ</v>
          </cell>
          <cell r="J300" t="str">
            <v>AVİZE.SARK</v>
          </cell>
          <cell r="K300" t="str">
            <v>VARDA</v>
          </cell>
          <cell r="L300" t="str">
            <v/>
          </cell>
          <cell r="M300" t="str">
            <v/>
          </cell>
          <cell r="N300" t="str">
            <v>L2275-T</v>
          </cell>
          <cell r="O300" t="str">
            <v>HEKA</v>
          </cell>
          <cell r="P300" t="str">
            <v>ADET</v>
          </cell>
          <cell r="Q300" t="str">
            <v>LED</v>
          </cell>
          <cell r="R300" t="str">
            <v>CAM</v>
          </cell>
          <cell r="S300" t="str">
            <v>ŞEFFAF</v>
          </cell>
          <cell r="T300" t="str">
            <v>METAL</v>
          </cell>
          <cell r="U300" t="str">
            <v>ESKİTME</v>
          </cell>
          <cell r="AD300" t="str">
            <v>DİKDÖRTGEN</v>
          </cell>
          <cell r="AF300">
            <v>6</v>
          </cell>
          <cell r="AG300" t="str">
            <v>ADET</v>
          </cell>
          <cell r="AH300">
            <v>120</v>
          </cell>
          <cell r="AI300" t="str">
            <v>CNY</v>
          </cell>
          <cell r="AJ300">
            <v>3214</v>
          </cell>
          <cell r="AK300" t="str">
            <v>TL</v>
          </cell>
          <cell r="AL300">
            <v>1</v>
          </cell>
          <cell r="AM300" t="str">
            <v>8684127505772</v>
          </cell>
          <cell r="AO300">
            <v>0</v>
          </cell>
          <cell r="AQ300">
            <v>42</v>
          </cell>
          <cell r="AR300" t="str">
            <v>CM</v>
          </cell>
          <cell r="AS300">
            <v>8</v>
          </cell>
          <cell r="AT300" t="str">
            <v>CM</v>
          </cell>
          <cell r="AU300">
            <v>0</v>
          </cell>
          <cell r="AW300">
            <v>0</v>
          </cell>
        </row>
        <row r="301">
          <cell r="B301" t="str">
            <v>H1F6JMEBRLR-115</v>
          </cell>
          <cell r="C301" t="str">
            <v>ALACA İKİLİ AKRİLİK LAMBADER</v>
          </cell>
          <cell r="D301" t="str">
            <v>ALACA DOUBLE ACRYLIC FLOOR LAMP</v>
          </cell>
          <cell r="E301" t="str">
            <v xml:space="preserve">METAL AKRİLİK ESKİTME BAL   </v>
          </cell>
          <cell r="F301" t="str">
            <v>9405.21.90.00.00</v>
          </cell>
          <cell r="G301" t="str">
            <v>LAMBADER</v>
          </cell>
          <cell r="H301" t="str">
            <v>T1L6126300-21</v>
          </cell>
          <cell r="I301" t="str">
            <v>İÇ</v>
          </cell>
          <cell r="J301" t="str">
            <v>LAMBADER</v>
          </cell>
          <cell r="K301" t="str">
            <v>ALACA</v>
          </cell>
          <cell r="L301" t="str">
            <v/>
          </cell>
          <cell r="M301" t="str">
            <v/>
          </cell>
          <cell r="N301" t="str">
            <v>F9955-1</v>
          </cell>
          <cell r="O301" t="str">
            <v>HEKA</v>
          </cell>
          <cell r="P301" t="str">
            <v>ADET</v>
          </cell>
          <cell r="Q301" t="str">
            <v>LED</v>
          </cell>
          <cell r="R301" t="str">
            <v>METAL</v>
          </cell>
          <cell r="S301" t="str">
            <v>ESKİTME</v>
          </cell>
          <cell r="T301" t="str">
            <v>AKRİLİK</v>
          </cell>
          <cell r="U301" t="str">
            <v>BAL</v>
          </cell>
          <cell r="AD301" t="str">
            <v>DAİRE</v>
          </cell>
          <cell r="AE301" t="str">
            <v>01</v>
          </cell>
          <cell r="AF301">
            <v>0</v>
          </cell>
          <cell r="AG301" t="str">
            <v>ADET</v>
          </cell>
          <cell r="AH301">
            <v>457</v>
          </cell>
          <cell r="AI301" t="str">
            <v>CNY</v>
          </cell>
          <cell r="AJ301">
            <v>5760</v>
          </cell>
          <cell r="AK301" t="str">
            <v>TL</v>
          </cell>
          <cell r="AL301">
            <v>1</v>
          </cell>
          <cell r="AM301" t="str">
            <v>8684127505642</v>
          </cell>
          <cell r="AO301">
            <v>0</v>
          </cell>
          <cell r="AQ301">
            <v>113</v>
          </cell>
          <cell r="AR301" t="str">
            <v>CM</v>
          </cell>
          <cell r="AS301">
            <v>17</v>
          </cell>
          <cell r="AT301" t="str">
            <v>CM</v>
          </cell>
          <cell r="AU301">
            <v>0</v>
          </cell>
          <cell r="AW301">
            <v>0</v>
          </cell>
        </row>
        <row r="302">
          <cell r="B302" t="str">
            <v>H1C1JMEJMER-060</v>
          </cell>
          <cell r="C302" t="str">
            <v>OLİMPOS KİRPİ AVİZE 60cm</v>
          </cell>
          <cell r="D302" t="str">
            <v>OLIMPOS HEDGEHOG CHANDELIER 60cm</v>
          </cell>
          <cell r="E302" t="str">
            <v xml:space="preserve">METAL METAL ESKİTME ESKİTME   </v>
          </cell>
          <cell r="F302" t="str">
            <v>9405.19.90.00.00</v>
          </cell>
          <cell r="G302" t="str">
            <v>AVİZE</v>
          </cell>
          <cell r="H302" t="str">
            <v>H1A1110000-60</v>
          </cell>
          <cell r="I302" t="str">
            <v>İÇ</v>
          </cell>
          <cell r="J302" t="str">
            <v>AVİZE.AVİZ</v>
          </cell>
          <cell r="K302" t="str">
            <v>OLİMPOS</v>
          </cell>
          <cell r="L302" t="str">
            <v/>
          </cell>
          <cell r="M302" t="str">
            <v/>
          </cell>
          <cell r="N302" t="str">
            <v>HK20015</v>
          </cell>
          <cell r="O302" t="str">
            <v>HEKA</v>
          </cell>
          <cell r="P302" t="str">
            <v>ADET</v>
          </cell>
          <cell r="Q302" t="str">
            <v>E14</v>
          </cell>
          <cell r="R302" t="str">
            <v>METAL</v>
          </cell>
          <cell r="S302" t="str">
            <v>ESKİTME</v>
          </cell>
          <cell r="T302" t="str">
            <v>METAL</v>
          </cell>
          <cell r="U302" t="str">
            <v>ESKİTME</v>
          </cell>
          <cell r="AD302" t="str">
            <v>DAİRE</v>
          </cell>
          <cell r="AE302" t="str">
            <v>09</v>
          </cell>
          <cell r="AF302">
            <v>0</v>
          </cell>
          <cell r="AG302" t="str">
            <v>ADET</v>
          </cell>
          <cell r="AH302">
            <v>1200</v>
          </cell>
          <cell r="AI302" t="str">
            <v>TL</v>
          </cell>
          <cell r="AJ302">
            <v>6750</v>
          </cell>
          <cell r="AK302" t="str">
            <v>TL</v>
          </cell>
          <cell r="AL302">
            <v>1</v>
          </cell>
          <cell r="AM302" t="str">
            <v>8684127502610</v>
          </cell>
          <cell r="AO302">
            <v>0</v>
          </cell>
          <cell r="AQ302">
            <v>150</v>
          </cell>
          <cell r="AR302" t="str">
            <v>CM</v>
          </cell>
          <cell r="AS302">
            <v>6</v>
          </cell>
          <cell r="AT302" t="str">
            <v>CM</v>
          </cell>
          <cell r="AU302">
            <v>0</v>
          </cell>
          <cell r="AW302">
            <v>0</v>
          </cell>
        </row>
        <row r="303">
          <cell r="B303" t="str">
            <v>H1C2JMEERFD-180</v>
          </cell>
          <cell r="C303" t="str">
            <v>GALATA YEMEK MASASI AVİZE 10 LU</v>
          </cell>
          <cell r="D303" t="str">
            <v>GALATA DINING TABLE CHANDELIER 10 BULB</v>
          </cell>
          <cell r="E303" t="str">
            <v xml:space="preserve">METAL CAM  ESKİTME FÜME   </v>
          </cell>
          <cell r="F303" t="str">
            <v>9405.19.90.00.00</v>
          </cell>
          <cell r="G303" t="str">
            <v>AVİZE</v>
          </cell>
          <cell r="H303" t="str">
            <v>H1A21122D0-10</v>
          </cell>
          <cell r="I303" t="str">
            <v>İÇ</v>
          </cell>
          <cell r="J303" t="str">
            <v>AVİZE.AVİZ</v>
          </cell>
          <cell r="K303" t="str">
            <v>GALATA</v>
          </cell>
          <cell r="L303" t="str">
            <v/>
          </cell>
          <cell r="M303" t="str">
            <v>ÜRTM:15GÜN</v>
          </cell>
          <cell r="N303" t="str">
            <v>HK20002</v>
          </cell>
          <cell r="O303" t="str">
            <v>HEKA</v>
          </cell>
          <cell r="P303" t="str">
            <v>ADET</v>
          </cell>
          <cell r="Q303" t="str">
            <v>E27</v>
          </cell>
          <cell r="R303" t="str">
            <v>METAL</v>
          </cell>
          <cell r="S303" t="str">
            <v>ESKİTME</v>
          </cell>
          <cell r="T303" t="str">
            <v>CAM</v>
          </cell>
          <cell r="U303" t="str">
            <v>FÜME</v>
          </cell>
          <cell r="AD303" t="str">
            <v>DİKDÖRTGEN</v>
          </cell>
          <cell r="AE303" t="str">
            <v>10</v>
          </cell>
          <cell r="AF303">
            <v>1</v>
          </cell>
          <cell r="AG303" t="str">
            <v>ADET</v>
          </cell>
          <cell r="AH303">
            <v>1500</v>
          </cell>
          <cell r="AI303" t="str">
            <v>TL</v>
          </cell>
          <cell r="AJ303">
            <v>95600</v>
          </cell>
          <cell r="AK303" t="str">
            <v>TL</v>
          </cell>
          <cell r="AL303">
            <v>1</v>
          </cell>
          <cell r="AM303" t="str">
            <v>8684127505208</v>
          </cell>
          <cell r="AO303">
            <v>0</v>
          </cell>
          <cell r="AQ303">
            <v>0</v>
          </cell>
          <cell r="AR303" t="str">
            <v>CM</v>
          </cell>
          <cell r="AS303">
            <v>0</v>
          </cell>
          <cell r="AT303" t="str">
            <v>CM</v>
          </cell>
          <cell r="AU303">
            <v>0</v>
          </cell>
          <cell r="AW303">
            <v>0</v>
          </cell>
        </row>
        <row r="304">
          <cell r="B304" t="str">
            <v>H1W1JMG0000-037</v>
          </cell>
          <cell r="C304" t="str">
            <v>ASTARA ALTIN TEKLİ GİNGKO YAPRAK APLİK</v>
          </cell>
          <cell r="D304" t="str">
            <v>ASTARA SINGLE GOLD GINGKO LEAF WALL LAMP</v>
          </cell>
          <cell r="E304" t="str">
            <v>METAL YOK GOLD YOK</v>
          </cell>
          <cell r="F304" t="str">
            <v>9405.19.90.00.00</v>
          </cell>
          <cell r="G304" t="str">
            <v>APLİK</v>
          </cell>
          <cell r="H304" t="str">
            <v>H1W1120001-37</v>
          </cell>
          <cell r="I304" t="str">
            <v>İÇ</v>
          </cell>
          <cell r="J304" t="str">
            <v>APLİK</v>
          </cell>
          <cell r="K304" t="str">
            <v>ASTARA</v>
          </cell>
          <cell r="L304" t="str">
            <v/>
          </cell>
          <cell r="M304" t="str">
            <v/>
          </cell>
          <cell r="N304" t="str">
            <v/>
          </cell>
          <cell r="O304" t="str">
            <v>LIGHTIST</v>
          </cell>
          <cell r="P304" t="str">
            <v>ADET</v>
          </cell>
          <cell r="Q304" t="str">
            <v>E14</v>
          </cell>
          <cell r="R304" t="str">
            <v>METAL</v>
          </cell>
          <cell r="S304" t="str">
            <v>GOLD</v>
          </cell>
          <cell r="T304" t="str">
            <v>YOK</v>
          </cell>
          <cell r="U304" t="str">
            <v>YOK</v>
          </cell>
          <cell r="AD304" t="str">
            <v>N/A</v>
          </cell>
          <cell r="AE304" t="str">
            <v>02</v>
          </cell>
          <cell r="AF304">
            <v>1</v>
          </cell>
          <cell r="AG304" t="str">
            <v>ADET</v>
          </cell>
          <cell r="AH304">
            <v>1750</v>
          </cell>
          <cell r="AI304" t="str">
            <v>TL</v>
          </cell>
          <cell r="AJ304">
            <v>11350</v>
          </cell>
          <cell r="AK304" t="str">
            <v>TL</v>
          </cell>
          <cell r="AL304">
            <v>1</v>
          </cell>
          <cell r="AM304" t="str">
            <v>8684127505116</v>
          </cell>
          <cell r="AO304">
            <v>0</v>
          </cell>
          <cell r="AQ304">
            <v>10</v>
          </cell>
          <cell r="AR304" t="str">
            <v>CM</v>
          </cell>
          <cell r="AS304">
            <v>37</v>
          </cell>
          <cell r="AT304" t="str">
            <v>CM</v>
          </cell>
          <cell r="AU304">
            <v>0</v>
          </cell>
          <cell r="AW304">
            <v>0</v>
          </cell>
        </row>
        <row r="305">
          <cell r="B305" t="str">
            <v>CF2F1C4M2E5M0</v>
          </cell>
          <cell r="C305" t="str">
            <v>ERD-234 ST64 OPAL 6W 3000K E27 LED AMPUL</v>
          </cell>
          <cell r="D305" t="str">
            <v>ERD-234 ST64 OPAL 6W 3000K E27 LED BULB</v>
          </cell>
          <cell r="E305" t="str">
            <v>CAM METAL OPAL FLAMENT DIMMSIZ ST64-ARMUT</v>
          </cell>
          <cell r="F305" t="str">
            <v>8539.52.00.00.00</v>
          </cell>
          <cell r="G305" t="str">
            <v>AMPUL</v>
          </cell>
          <cell r="H305" t="str">
            <v>CF21142D50V02</v>
          </cell>
          <cell r="I305" t="str">
            <v>İÇ</v>
          </cell>
          <cell r="J305" t="str">
            <v>AMPUL</v>
          </cell>
          <cell r="K305" t="str">
            <v>ERD-234</v>
          </cell>
          <cell r="L305" t="str">
            <v/>
          </cell>
          <cell r="M305" t="str">
            <v/>
          </cell>
          <cell r="N305" t="str">
            <v>ERD-234</v>
          </cell>
          <cell r="O305" t="str">
            <v>HEKA</v>
          </cell>
          <cell r="P305" t="str">
            <v>ADET</v>
          </cell>
          <cell r="Q305" t="str">
            <v>E27</v>
          </cell>
          <cell r="R305" t="str">
            <v>CAM</v>
          </cell>
          <cell r="S305" t="str">
            <v>OPAL</v>
          </cell>
          <cell r="T305" t="str">
            <v>METAL</v>
          </cell>
          <cell r="V305" t="str">
            <v>F</v>
          </cell>
          <cell r="W305" t="str">
            <v>FLAMENT</v>
          </cell>
          <cell r="X305" t="str">
            <v>220V</v>
          </cell>
          <cell r="Y305" t="str">
            <v>6 WATT</v>
          </cell>
          <cell r="Z305" t="str">
            <v>3000 K</v>
          </cell>
          <cell r="AA305" t="str">
            <v>DIMMSIZ</v>
          </cell>
          <cell r="AB305" t="str">
            <v>501-600</v>
          </cell>
          <cell r="AC305" t="str">
            <v>ST64-ARMUT</v>
          </cell>
          <cell r="AD305" t="str">
            <v>N/A</v>
          </cell>
          <cell r="AF305">
            <v>5334</v>
          </cell>
          <cell r="AG305" t="str">
            <v>ADET</v>
          </cell>
          <cell r="AH305">
            <v>0.68</v>
          </cell>
          <cell r="AI305" t="str">
            <v>USD</v>
          </cell>
          <cell r="AJ305">
            <v>2.7</v>
          </cell>
          <cell r="AK305" t="str">
            <v>USD</v>
          </cell>
          <cell r="AL305">
            <v>1</v>
          </cell>
          <cell r="AM305" t="str">
            <v>8684127503907</v>
          </cell>
          <cell r="AN305" t="str">
            <v>8684127500357</v>
          </cell>
          <cell r="AO305">
            <v>0</v>
          </cell>
          <cell r="AQ305">
            <v>6.4</v>
          </cell>
          <cell r="AR305" t="str">
            <v>CM</v>
          </cell>
          <cell r="AS305">
            <v>6.4</v>
          </cell>
          <cell r="AT305" t="str">
            <v>CM</v>
          </cell>
          <cell r="AU305">
            <v>0</v>
          </cell>
          <cell r="AW305">
            <v>0</v>
          </cell>
        </row>
        <row r="306">
          <cell r="B306" t="str">
            <v>H1C1JRSJMG0-105</v>
          </cell>
          <cell r="C306" t="str">
            <v>FİONA SİYAH-ALTIN YEMEK MASASI AVİZESİ 17 Lİ</v>
          </cell>
          <cell r="D306" t="str">
            <v>FİONA BLACK-GOLD DINNING TABLE CHANDELIER 17 BULB</v>
          </cell>
          <cell r="E306" t="str">
            <v xml:space="preserve">METAL METAL SİYAH GOLD   </v>
          </cell>
          <cell r="F306" t="str">
            <v>9405.19.90.00.00</v>
          </cell>
          <cell r="G306" t="str">
            <v>AVİZE</v>
          </cell>
          <cell r="H306" t="str">
            <v>H1A1121400-17</v>
          </cell>
          <cell r="I306" t="str">
            <v>İÇ</v>
          </cell>
          <cell r="J306" t="str">
            <v>AVİZE.AVİZ</v>
          </cell>
          <cell r="K306" t="str">
            <v>FİONA</v>
          </cell>
          <cell r="L306" t="str">
            <v/>
          </cell>
          <cell r="M306" t="str">
            <v>ÜRTM:15GÜN</v>
          </cell>
          <cell r="N306" t="str">
            <v>HK20019</v>
          </cell>
          <cell r="O306" t="str">
            <v>HEKA</v>
          </cell>
          <cell r="P306" t="str">
            <v>ADET</v>
          </cell>
          <cell r="Q306" t="str">
            <v>E14</v>
          </cell>
          <cell r="R306" t="str">
            <v>METAL</v>
          </cell>
          <cell r="S306" t="str">
            <v>SİYAH</v>
          </cell>
          <cell r="T306" t="str">
            <v>METAL</v>
          </cell>
          <cell r="U306" t="str">
            <v>GOLD</v>
          </cell>
          <cell r="AD306" t="str">
            <v>N/A</v>
          </cell>
          <cell r="AE306" t="str">
            <v>17</v>
          </cell>
          <cell r="AF306">
            <v>0</v>
          </cell>
          <cell r="AG306" t="str">
            <v>ADET</v>
          </cell>
          <cell r="AH306">
            <v>2500</v>
          </cell>
          <cell r="AI306" t="str">
            <v>TL</v>
          </cell>
          <cell r="AJ306">
            <v>51900</v>
          </cell>
          <cell r="AK306" t="str">
            <v>TL</v>
          </cell>
          <cell r="AL306">
            <v>1</v>
          </cell>
          <cell r="AM306" t="str">
            <v>8684127508155</v>
          </cell>
          <cell r="AO306">
            <v>0</v>
          </cell>
          <cell r="AQ306">
            <v>45</v>
          </cell>
          <cell r="AR306" t="str">
            <v>CM</v>
          </cell>
          <cell r="AS306">
            <v>45</v>
          </cell>
          <cell r="AT306" t="str">
            <v>CM</v>
          </cell>
          <cell r="AU306">
            <v>0</v>
          </cell>
          <cell r="AW306">
            <v>0</v>
          </cell>
        </row>
        <row r="307">
          <cell r="B307" t="str">
            <v>H1W3JMEECT0-063</v>
          </cell>
          <cell r="C307" t="str">
            <v>LİKYA ÜÇ CAMLI ESKİTME APLİK</v>
          </cell>
          <cell r="D307" t="str">
            <v>LİKYA 3 GLASS BRUSHED BRASS WALL LAMP</v>
          </cell>
          <cell r="E307" t="str">
            <v>METAL CAM ESKİTME SOFT</v>
          </cell>
          <cell r="F307" t="str">
            <v>9405.19.90.00.00</v>
          </cell>
          <cell r="G307" t="str">
            <v>APLİK</v>
          </cell>
          <cell r="H307" t="str">
            <v>H1W3112100-03</v>
          </cell>
          <cell r="I307" t="str">
            <v>İÇ</v>
          </cell>
          <cell r="J307" t="str">
            <v>APLİK</v>
          </cell>
          <cell r="K307" t="str">
            <v>LİKYA</v>
          </cell>
          <cell r="L307" t="str">
            <v/>
          </cell>
          <cell r="M307" t="str">
            <v>ÜRTM:15GÜN</v>
          </cell>
          <cell r="N307" t="str">
            <v>HK20027</v>
          </cell>
          <cell r="O307" t="str">
            <v>HEKA</v>
          </cell>
          <cell r="P307" t="str">
            <v>ADET</v>
          </cell>
          <cell r="Q307" t="str">
            <v>G9</v>
          </cell>
          <cell r="R307" t="str">
            <v>METAL</v>
          </cell>
          <cell r="S307" t="str">
            <v>ESKİTME</v>
          </cell>
          <cell r="T307" t="str">
            <v>CAM</v>
          </cell>
          <cell r="U307" t="str">
            <v>SOFT</v>
          </cell>
          <cell r="AD307" t="str">
            <v>N/A</v>
          </cell>
          <cell r="AE307" t="str">
            <v>04</v>
          </cell>
          <cell r="AF307">
            <v>0</v>
          </cell>
          <cell r="AG307" t="str">
            <v>ADET</v>
          </cell>
          <cell r="AH307">
            <v>450</v>
          </cell>
          <cell r="AI307" t="str">
            <v>TL</v>
          </cell>
          <cell r="AJ307">
            <v>5695</v>
          </cell>
          <cell r="AK307" t="str">
            <v>TL</v>
          </cell>
          <cell r="AL307">
            <v>1</v>
          </cell>
          <cell r="AM307" t="str">
            <v>8684127505062</v>
          </cell>
          <cell r="AO307">
            <v>0</v>
          </cell>
          <cell r="AQ307">
            <v>63</v>
          </cell>
          <cell r="AR307" t="str">
            <v>CM</v>
          </cell>
          <cell r="AS307">
            <v>22</v>
          </cell>
          <cell r="AT307" t="str">
            <v>CM</v>
          </cell>
          <cell r="AU307">
            <v>0</v>
          </cell>
          <cell r="AW307">
            <v>0</v>
          </cell>
        </row>
        <row r="308">
          <cell r="B308" t="str">
            <v>CK2G1C2M2C230</v>
          </cell>
          <cell r="C308" t="str">
            <v>ERD-243 FÜME 4W 2200K BOYNUZ KÜÇÜK E27 LED AMPUL</v>
          </cell>
          <cell r="D308" t="str">
            <v>ERD-243 SMOKY 4W 2200K HORN SMALL E27 LED BULB</v>
          </cell>
          <cell r="E308" t="str">
            <v>CAM METAL FÜME FLAMENT DIMMSIZ KARMA</v>
          </cell>
          <cell r="F308" t="str">
            <v>8539.52.00.00.00</v>
          </cell>
          <cell r="G308" t="str">
            <v>AVİZE</v>
          </cell>
          <cell r="H308" t="str">
            <v>CG21122B21T03</v>
          </cell>
          <cell r="I308" t="str">
            <v>İÇ</v>
          </cell>
          <cell r="J308" t="str">
            <v>AMPUL</v>
          </cell>
          <cell r="K308" t="str">
            <v>ERD-243</v>
          </cell>
          <cell r="L308" t="str">
            <v/>
          </cell>
          <cell r="M308" t="str">
            <v/>
          </cell>
          <cell r="N308" t="str">
            <v>ERD-243</v>
          </cell>
          <cell r="O308" t="str">
            <v>HEKA</v>
          </cell>
          <cell r="P308" t="str">
            <v>ADET</v>
          </cell>
          <cell r="Q308" t="str">
            <v>E27</v>
          </cell>
          <cell r="R308" t="str">
            <v>CAM</v>
          </cell>
          <cell r="S308" t="str">
            <v>FÜME</v>
          </cell>
          <cell r="T308" t="str">
            <v>METAL</v>
          </cell>
          <cell r="V308" t="str">
            <v>G</v>
          </cell>
          <cell r="W308" t="str">
            <v>FLAMENT</v>
          </cell>
          <cell r="X308" t="str">
            <v>220V</v>
          </cell>
          <cell r="Y308" t="str">
            <v>4 WATT</v>
          </cell>
          <cell r="Z308" t="str">
            <v>2200 K</v>
          </cell>
          <cell r="AA308" t="str">
            <v>DIMMSIZ</v>
          </cell>
          <cell r="AB308" t="str">
            <v>101-200</v>
          </cell>
          <cell r="AC308" t="str">
            <v>KARMA</v>
          </cell>
          <cell r="AD308" t="str">
            <v>N/A</v>
          </cell>
          <cell r="AF308">
            <v>5</v>
          </cell>
          <cell r="AG308" t="str">
            <v>ADET</v>
          </cell>
          <cell r="AH308">
            <v>50</v>
          </cell>
          <cell r="AI308" t="str">
            <v>CNY</v>
          </cell>
          <cell r="AJ308">
            <v>44</v>
          </cell>
          <cell r="AK308" t="str">
            <v>USD</v>
          </cell>
          <cell r="AL308">
            <v>1</v>
          </cell>
          <cell r="AM308" t="str">
            <v>8684127503815</v>
          </cell>
          <cell r="AO308">
            <v>0</v>
          </cell>
          <cell r="AQ308">
            <v>4</v>
          </cell>
          <cell r="AR308" t="str">
            <v>CM</v>
          </cell>
          <cell r="AS308">
            <v>16</v>
          </cell>
          <cell r="AT308" t="str">
            <v>CM</v>
          </cell>
          <cell r="AU308">
            <v>0</v>
          </cell>
          <cell r="AW308">
            <v>0</v>
          </cell>
        </row>
        <row r="309">
          <cell r="B309" t="str">
            <v>H1C6JMKECTD-063</v>
          </cell>
          <cell r="C309" t="str">
            <v>SOLİ SALON KROM AVİZE 6 LI</v>
          </cell>
          <cell r="D309" t="str">
            <v>SOLİ LIVING ROOM CHROME CHANDELIER 5 BULB</v>
          </cell>
          <cell r="E309" t="str">
            <v>METAL CAM KROM SOFT</v>
          </cell>
          <cell r="F309" t="str">
            <v>9405.11.90.00.00</v>
          </cell>
          <cell r="G309" t="str">
            <v>AVİZE</v>
          </cell>
          <cell r="H309" t="str">
            <v>T1A6132100-06</v>
          </cell>
          <cell r="I309" t="str">
            <v>İÇ</v>
          </cell>
          <cell r="J309" t="str">
            <v>AVİZE.AVİZ</v>
          </cell>
          <cell r="K309" t="str">
            <v>SOLİ</v>
          </cell>
          <cell r="L309" t="str">
            <v/>
          </cell>
          <cell r="M309" t="str">
            <v/>
          </cell>
          <cell r="N309" t="str">
            <v>JM8009-6-CH</v>
          </cell>
          <cell r="O309" t="str">
            <v>HEKA</v>
          </cell>
          <cell r="P309" t="str">
            <v>ADET</v>
          </cell>
          <cell r="Q309" t="str">
            <v>LED</v>
          </cell>
          <cell r="R309" t="str">
            <v>METAL</v>
          </cell>
          <cell r="S309" t="str">
            <v>KROM</v>
          </cell>
          <cell r="T309" t="str">
            <v>CAM</v>
          </cell>
          <cell r="U309" t="str">
            <v>SOFT</v>
          </cell>
          <cell r="AD309" t="str">
            <v>DİKDÖRTGEN</v>
          </cell>
          <cell r="AE309" t="str">
            <v>01</v>
          </cell>
          <cell r="AF309">
            <v>0</v>
          </cell>
          <cell r="AG309" t="str">
            <v>ADET</v>
          </cell>
          <cell r="AH309">
            <v>510</v>
          </cell>
          <cell r="AI309" t="str">
            <v>CNY</v>
          </cell>
          <cell r="AJ309">
            <v>7150</v>
          </cell>
          <cell r="AK309" t="str">
            <v>TL</v>
          </cell>
          <cell r="AL309">
            <v>1</v>
          </cell>
          <cell r="AM309" t="str">
            <v>8684127504393</v>
          </cell>
          <cell r="AO309">
            <v>0</v>
          </cell>
          <cell r="AQ309">
            <v>65</v>
          </cell>
          <cell r="AR309" t="str">
            <v>CM</v>
          </cell>
          <cell r="AS309">
            <v>45</v>
          </cell>
          <cell r="AT309" t="str">
            <v>CM</v>
          </cell>
          <cell r="AU309">
            <v>0</v>
          </cell>
          <cell r="AW309">
            <v>0</v>
          </cell>
        </row>
        <row r="310">
          <cell r="B310" t="str">
            <v>H1W3JMEWRB0-050</v>
          </cell>
          <cell r="C310" t="str">
            <v>HRİSTOS MERMER ESKİTME APLİK</v>
          </cell>
          <cell r="D310" t="str">
            <v>HRİSTOS MARBLE BRUSHED BRASS WALL LAMP</v>
          </cell>
          <cell r="E310" t="str">
            <v>METAL MERMER ESKİTME BEYAZ</v>
          </cell>
          <cell r="F310" t="str">
            <v>9405.19.90.00.00</v>
          </cell>
          <cell r="G310" t="str">
            <v>APLİK</v>
          </cell>
          <cell r="H310" t="str">
            <v>T1W3113100-50</v>
          </cell>
          <cell r="I310" t="str">
            <v>İÇ</v>
          </cell>
          <cell r="J310" t="str">
            <v>APLİK</v>
          </cell>
          <cell r="K310" t="str">
            <v>HRİSTOS</v>
          </cell>
          <cell r="L310" t="str">
            <v/>
          </cell>
          <cell r="M310" t="str">
            <v/>
          </cell>
          <cell r="N310" t="str">
            <v>HKA-24021</v>
          </cell>
          <cell r="O310" t="str">
            <v>HEKA</v>
          </cell>
          <cell r="P310" t="str">
            <v>ADET</v>
          </cell>
          <cell r="Q310" t="str">
            <v>G9</v>
          </cell>
          <cell r="R310" t="str">
            <v>METAL</v>
          </cell>
          <cell r="S310" t="str">
            <v>ESKİTME</v>
          </cell>
          <cell r="T310" t="str">
            <v>MERMER</v>
          </cell>
          <cell r="U310" t="str">
            <v>BEYAZ</v>
          </cell>
          <cell r="AD310" t="str">
            <v>N/A</v>
          </cell>
          <cell r="AE310" t="str">
            <v>02</v>
          </cell>
          <cell r="AF310">
            <v>83</v>
          </cell>
          <cell r="AG310" t="str">
            <v>ADET</v>
          </cell>
          <cell r="AH310">
            <v>120</v>
          </cell>
          <cell r="AI310" t="str">
            <v>CNY</v>
          </cell>
          <cell r="AJ310">
            <v>6750</v>
          </cell>
          <cell r="AK310" t="str">
            <v>TL</v>
          </cell>
          <cell r="AL310">
            <v>1</v>
          </cell>
          <cell r="AM310" t="str">
            <v>8684127505246</v>
          </cell>
          <cell r="AO310">
            <v>0</v>
          </cell>
          <cell r="AQ310">
            <v>0</v>
          </cell>
          <cell r="AR310" t="str">
            <v>CM</v>
          </cell>
          <cell r="AS310">
            <v>0</v>
          </cell>
          <cell r="AT310" t="str">
            <v>CM</v>
          </cell>
          <cell r="AU310">
            <v>0</v>
          </cell>
          <cell r="AW310">
            <v>0</v>
          </cell>
        </row>
        <row r="311">
          <cell r="B311" t="str">
            <v>H1C2JMGWRBR-010</v>
          </cell>
          <cell r="C311" t="str">
            <v>KÜMBET BEYAZ MERMER SARKIT 10cm</v>
          </cell>
          <cell r="D311" t="str">
            <v>KÜMBET WHITE MARBLE PENDANT 10cm</v>
          </cell>
          <cell r="E311" t="str">
            <v xml:space="preserve">METAL MERMER GOLD BEYAZ   </v>
          </cell>
          <cell r="F311" t="str">
            <v>9405.19.90.00.00</v>
          </cell>
          <cell r="G311" t="str">
            <v>AVİZE</v>
          </cell>
          <cell r="H311" t="str">
            <v>T1A2311100-10</v>
          </cell>
          <cell r="I311" t="str">
            <v>İÇ</v>
          </cell>
          <cell r="J311" t="str">
            <v>AVİZE.SARK</v>
          </cell>
          <cell r="K311" t="str">
            <v>KÜMBET</v>
          </cell>
          <cell r="L311" t="str">
            <v/>
          </cell>
          <cell r="M311" t="str">
            <v/>
          </cell>
          <cell r="N311" t="str">
            <v>MD6353-10-WC</v>
          </cell>
          <cell r="O311" t="str">
            <v>HEKA</v>
          </cell>
          <cell r="P311" t="str">
            <v>ADET</v>
          </cell>
          <cell r="Q311" t="str">
            <v>E27</v>
          </cell>
          <cell r="R311" t="str">
            <v>METAL</v>
          </cell>
          <cell r="S311" t="str">
            <v>GOLD</v>
          </cell>
          <cell r="T311" t="str">
            <v>MERMER</v>
          </cell>
          <cell r="U311" t="str">
            <v>BEYAZ</v>
          </cell>
          <cell r="AD311" t="str">
            <v>DAİRE</v>
          </cell>
          <cell r="AE311" t="str">
            <v>02</v>
          </cell>
          <cell r="AF311">
            <v>1</v>
          </cell>
          <cell r="AG311" t="str">
            <v>ADET</v>
          </cell>
          <cell r="AH311">
            <v>125</v>
          </cell>
          <cell r="AI311" t="str">
            <v>CNY</v>
          </cell>
          <cell r="AJ311">
            <v>1200</v>
          </cell>
          <cell r="AK311" t="str">
            <v>TL</v>
          </cell>
          <cell r="AL311">
            <v>1</v>
          </cell>
          <cell r="AM311" t="str">
            <v>8684127508889</v>
          </cell>
          <cell r="AO311">
            <v>0</v>
          </cell>
          <cell r="AQ311">
            <v>20</v>
          </cell>
          <cell r="AR311" t="str">
            <v>CM</v>
          </cell>
          <cell r="AS311">
            <v>10</v>
          </cell>
          <cell r="AT311" t="str">
            <v>CM</v>
          </cell>
          <cell r="AU311">
            <v>0</v>
          </cell>
          <cell r="AW311">
            <v>0</v>
          </cell>
        </row>
        <row r="312">
          <cell r="B312" t="str">
            <v>H1W1JMG0000-090</v>
          </cell>
          <cell r="C312" t="str">
            <v>ASTARA ALTIN 3 LÜ GİNGKO YAPRAK APLİK</v>
          </cell>
          <cell r="D312" t="str">
            <v>ASTARA TRIPLE GOLD GINGKO LEAF WALL LAMP</v>
          </cell>
          <cell r="E312" t="str">
            <v>METAL YOK GOLD YOK</v>
          </cell>
          <cell r="F312" t="str">
            <v>9405.19.90.00.00</v>
          </cell>
          <cell r="G312" t="str">
            <v>APLİK</v>
          </cell>
          <cell r="H312" t="str">
            <v>H1W1120003-90</v>
          </cell>
          <cell r="I312" t="str">
            <v>İÇ</v>
          </cell>
          <cell r="J312" t="str">
            <v>APLİK</v>
          </cell>
          <cell r="K312" t="str">
            <v>ASTARA</v>
          </cell>
          <cell r="L312" t="str">
            <v/>
          </cell>
          <cell r="M312" t="str">
            <v/>
          </cell>
          <cell r="N312" t="str">
            <v/>
          </cell>
          <cell r="O312" t="str">
            <v>LIGHTIST</v>
          </cell>
          <cell r="P312" t="str">
            <v>ADET</v>
          </cell>
          <cell r="Q312" t="str">
            <v>E14</v>
          </cell>
          <cell r="R312" t="str">
            <v>METAL</v>
          </cell>
          <cell r="S312" t="str">
            <v>GOLD</v>
          </cell>
          <cell r="T312" t="str">
            <v>YOK</v>
          </cell>
          <cell r="U312" t="str">
            <v>YOK</v>
          </cell>
          <cell r="AD312" t="str">
            <v>N/A</v>
          </cell>
          <cell r="AE312" t="str">
            <v>04</v>
          </cell>
          <cell r="AF312">
            <v>0</v>
          </cell>
          <cell r="AG312" t="str">
            <v>ADET</v>
          </cell>
          <cell r="AH312">
            <v>4750</v>
          </cell>
          <cell r="AI312" t="str">
            <v>TL</v>
          </cell>
          <cell r="AJ312">
            <v>33000</v>
          </cell>
          <cell r="AK312" t="str">
            <v>TL</v>
          </cell>
          <cell r="AL312">
            <v>1</v>
          </cell>
          <cell r="AM312" t="str">
            <v>8684127508803</v>
          </cell>
          <cell r="AO312">
            <v>0</v>
          </cell>
          <cell r="AQ312">
            <v>0</v>
          </cell>
          <cell r="AR312" t="str">
            <v>CM</v>
          </cell>
          <cell r="AS312">
            <v>90</v>
          </cell>
          <cell r="AT312" t="str">
            <v>CM</v>
          </cell>
          <cell r="AU312">
            <v>0</v>
          </cell>
          <cell r="AW312">
            <v>0</v>
          </cell>
        </row>
        <row r="313">
          <cell r="B313" t="str">
            <v>H1W1JMG0000-036</v>
          </cell>
          <cell r="C313" t="str">
            <v>GENCE ALTIN TEKLİ YAPRAK APLİK</v>
          </cell>
          <cell r="D313" t="str">
            <v>GENCE SINGLE GOLD LEAF WALL LAMP</v>
          </cell>
          <cell r="E313" t="str">
            <v>METAL YOK GOLD YOK</v>
          </cell>
          <cell r="F313" t="str">
            <v>9405.19.90.00.00</v>
          </cell>
          <cell r="G313" t="str">
            <v>APLİK</v>
          </cell>
          <cell r="H313" t="str">
            <v>H1W1120011-37</v>
          </cell>
          <cell r="I313" t="str">
            <v>İÇ</v>
          </cell>
          <cell r="J313" t="str">
            <v>APLİK</v>
          </cell>
          <cell r="K313" t="str">
            <v>GENCE</v>
          </cell>
          <cell r="L313" t="str">
            <v/>
          </cell>
          <cell r="M313" t="str">
            <v/>
          </cell>
          <cell r="N313" t="str">
            <v/>
          </cell>
          <cell r="O313" t="str">
            <v>LIGHTIST</v>
          </cell>
          <cell r="P313" t="str">
            <v>ADET</v>
          </cell>
          <cell r="Q313" t="str">
            <v>E14</v>
          </cell>
          <cell r="R313" t="str">
            <v>METAL</v>
          </cell>
          <cell r="S313" t="str">
            <v>GOLD</v>
          </cell>
          <cell r="T313" t="str">
            <v>YOK</v>
          </cell>
          <cell r="U313" t="str">
            <v>YOK</v>
          </cell>
          <cell r="AD313" t="str">
            <v>N/A</v>
          </cell>
          <cell r="AE313" t="str">
            <v>02</v>
          </cell>
          <cell r="AF313">
            <v>1</v>
          </cell>
          <cell r="AG313" t="str">
            <v>ADET</v>
          </cell>
          <cell r="AH313">
            <v>1750</v>
          </cell>
          <cell r="AI313" t="str">
            <v>TL</v>
          </cell>
          <cell r="AJ313">
            <v>7875</v>
          </cell>
          <cell r="AK313" t="str">
            <v>TL</v>
          </cell>
          <cell r="AL313">
            <v>1</v>
          </cell>
          <cell r="AM313" t="str">
            <v>8684127505437</v>
          </cell>
          <cell r="AO313">
            <v>0</v>
          </cell>
          <cell r="AQ313">
            <v>10</v>
          </cell>
          <cell r="AR313" t="str">
            <v>CM</v>
          </cell>
          <cell r="AS313">
            <v>37</v>
          </cell>
          <cell r="AT313" t="str">
            <v>CM</v>
          </cell>
          <cell r="AU313">
            <v>0</v>
          </cell>
          <cell r="AW313">
            <v>0</v>
          </cell>
        </row>
        <row r="314">
          <cell r="B314" t="str">
            <v>H1C2JMGWRYR-015</v>
          </cell>
          <cell r="C314" t="str">
            <v>SANTA YEŞİL MERMER SARKIT 15cm</v>
          </cell>
          <cell r="D314" t="str">
            <v>SANTA GREEN MARBLE PENDANT 15cm</v>
          </cell>
          <cell r="E314" t="str">
            <v xml:space="preserve">METAL MERMER GOLD YEŞİL   </v>
          </cell>
          <cell r="F314" t="str">
            <v>9405.19.90.00.00</v>
          </cell>
          <cell r="G314" t="str">
            <v>AVİZE</v>
          </cell>
          <cell r="H314" t="str">
            <v>T1A2341100-15</v>
          </cell>
          <cell r="I314" t="str">
            <v>İÇ</v>
          </cell>
          <cell r="J314" t="str">
            <v>AVİZE.SARK</v>
          </cell>
          <cell r="K314" t="str">
            <v>SANTA</v>
          </cell>
          <cell r="L314" t="str">
            <v/>
          </cell>
          <cell r="M314" t="str">
            <v/>
          </cell>
          <cell r="N314" t="str">
            <v>MD6350-15-GC</v>
          </cell>
          <cell r="O314" t="str">
            <v>HEKA</v>
          </cell>
          <cell r="P314" t="str">
            <v>ADET</v>
          </cell>
          <cell r="Q314" t="str">
            <v>E27</v>
          </cell>
          <cell r="R314" t="str">
            <v>METAL</v>
          </cell>
          <cell r="S314" t="str">
            <v>GOLD</v>
          </cell>
          <cell r="T314" t="str">
            <v>MERMER</v>
          </cell>
          <cell r="U314" t="str">
            <v>YEŞİL</v>
          </cell>
          <cell r="AD314" t="str">
            <v>DAİRE</v>
          </cell>
          <cell r="AE314" t="str">
            <v>02</v>
          </cell>
          <cell r="AF314">
            <v>0</v>
          </cell>
          <cell r="AG314" t="str">
            <v>ADET</v>
          </cell>
          <cell r="AH314">
            <v>120</v>
          </cell>
          <cell r="AI314" t="str">
            <v>CNY</v>
          </cell>
          <cell r="AJ314">
            <v>1200</v>
          </cell>
          <cell r="AK314" t="str">
            <v>TL</v>
          </cell>
          <cell r="AL314">
            <v>1</v>
          </cell>
          <cell r="AM314" t="str">
            <v>8684127508858</v>
          </cell>
          <cell r="AO314">
            <v>0</v>
          </cell>
          <cell r="AQ314">
            <v>14</v>
          </cell>
          <cell r="AR314" t="str">
            <v>CM</v>
          </cell>
          <cell r="AS314">
            <v>15</v>
          </cell>
          <cell r="AT314" t="str">
            <v>CM</v>
          </cell>
          <cell r="AU314">
            <v>0</v>
          </cell>
          <cell r="AW314">
            <v>0</v>
          </cell>
        </row>
        <row r="315">
          <cell r="B315" t="str">
            <v>T1C6JMEWRSR-020</v>
          </cell>
          <cell r="C315" t="str">
            <v>*MD6352* SİYAH 20 CM ÇAPINDA MERMER SARKIT</v>
          </cell>
          <cell r="D315" t="str">
            <v>N/A</v>
          </cell>
          <cell r="E315" t="str">
            <v>METAL MERMER ESKİTME SİYAH</v>
          </cell>
          <cell r="F315" t="str">
            <v>9405.11.90.00.00</v>
          </cell>
          <cell r="G315" t="str">
            <v>AVİZE</v>
          </cell>
          <cell r="H315" t="str">
            <v>T1A6113200-20</v>
          </cell>
          <cell r="I315" t="str">
            <v>İÇ</v>
          </cell>
          <cell r="J315" t="str">
            <v>SARKIT</v>
          </cell>
          <cell r="K315" t="str">
            <v>MD6352S</v>
          </cell>
          <cell r="L315" t="str">
            <v/>
          </cell>
          <cell r="M315" t="str">
            <v/>
          </cell>
          <cell r="N315" t="str">
            <v>MD6352S</v>
          </cell>
          <cell r="O315" t="str">
            <v>HEKA</v>
          </cell>
          <cell r="P315" t="str">
            <v>ADET</v>
          </cell>
          <cell r="Q315" t="str">
            <v>LED</v>
          </cell>
          <cell r="R315" t="str">
            <v>METAL</v>
          </cell>
          <cell r="S315" t="str">
            <v>ESKİTME</v>
          </cell>
          <cell r="T315" t="str">
            <v>MERMER</v>
          </cell>
          <cell r="U315" t="str">
            <v>SİYAH</v>
          </cell>
          <cell r="AD315" t="str">
            <v>DAİRE</v>
          </cell>
          <cell r="AE315" t="str">
            <v>01</v>
          </cell>
          <cell r="AF315">
            <v>0</v>
          </cell>
          <cell r="AG315" t="str">
            <v>ADET</v>
          </cell>
          <cell r="AH315">
            <v>175</v>
          </cell>
          <cell r="AI315" t="str">
            <v>CNY</v>
          </cell>
          <cell r="AJ315">
            <v>1760</v>
          </cell>
          <cell r="AK315" t="str">
            <v>TL</v>
          </cell>
          <cell r="AL315">
            <v>1</v>
          </cell>
          <cell r="AM315" t="str">
            <v>8684127509428</v>
          </cell>
          <cell r="AO315">
            <v>0</v>
          </cell>
          <cell r="AQ315">
            <v>29</v>
          </cell>
          <cell r="AR315" t="str">
            <v>CM</v>
          </cell>
          <cell r="AS315">
            <v>20</v>
          </cell>
          <cell r="AT315" t="str">
            <v>CM</v>
          </cell>
          <cell r="AU315">
            <v>0</v>
          </cell>
          <cell r="AW315">
            <v>0</v>
          </cell>
        </row>
        <row r="316">
          <cell r="B316" t="str">
            <v>H1W1JMG0000-085</v>
          </cell>
          <cell r="C316" t="str">
            <v>GENCE ALTIN İKİLİ YAPRAK APLİK</v>
          </cell>
          <cell r="D316" t="str">
            <v>GENCE DOUBLE GOLD LEAF WALL LAMP</v>
          </cell>
          <cell r="E316" t="str">
            <v>METAL YOK GOLD YOK</v>
          </cell>
          <cell r="F316" t="str">
            <v>9405.19.90.00.00</v>
          </cell>
          <cell r="G316" t="str">
            <v>APLİK</v>
          </cell>
          <cell r="H316" t="str">
            <v>H1W1120002-85</v>
          </cell>
          <cell r="I316" t="str">
            <v>İÇ</v>
          </cell>
          <cell r="J316" t="str">
            <v>APLİK</v>
          </cell>
          <cell r="K316" t="str">
            <v>GENCE</v>
          </cell>
          <cell r="L316" t="str">
            <v/>
          </cell>
          <cell r="M316" t="str">
            <v/>
          </cell>
          <cell r="N316" t="str">
            <v/>
          </cell>
          <cell r="O316" t="str">
            <v>LIGHTIST</v>
          </cell>
          <cell r="P316" t="str">
            <v>ADET</v>
          </cell>
          <cell r="Q316" t="str">
            <v>E14</v>
          </cell>
          <cell r="R316" t="str">
            <v>METAL</v>
          </cell>
          <cell r="S316" t="str">
            <v>GOLD</v>
          </cell>
          <cell r="T316" t="str">
            <v>YOK</v>
          </cell>
          <cell r="U316" t="str">
            <v>YOK</v>
          </cell>
          <cell r="AD316" t="str">
            <v>N/A</v>
          </cell>
          <cell r="AE316" t="str">
            <v>03</v>
          </cell>
          <cell r="AF316">
            <v>1</v>
          </cell>
          <cell r="AG316" t="str">
            <v>ADET</v>
          </cell>
          <cell r="AH316">
            <v>3500</v>
          </cell>
          <cell r="AI316" t="str">
            <v>TL</v>
          </cell>
          <cell r="AJ316">
            <v>15750</v>
          </cell>
          <cell r="AK316" t="str">
            <v>TL</v>
          </cell>
          <cell r="AL316">
            <v>1</v>
          </cell>
          <cell r="AM316" t="str">
            <v>8684127508247</v>
          </cell>
          <cell r="AO316">
            <v>0</v>
          </cell>
          <cell r="AQ316">
            <v>13</v>
          </cell>
          <cell r="AR316" t="str">
            <v>CM</v>
          </cell>
          <cell r="AS316">
            <v>85</v>
          </cell>
          <cell r="AT316" t="str">
            <v>CM</v>
          </cell>
          <cell r="AU316">
            <v>0</v>
          </cell>
          <cell r="AW316">
            <v>0</v>
          </cell>
        </row>
        <row r="317">
          <cell r="B317" t="str">
            <v>CK2G1C2L2D2Y1</v>
          </cell>
          <cell r="C317" t="str">
            <v>ERD-1922/2 FÜME 5W 2200K LONDON E27 LED AMPUL</v>
          </cell>
          <cell r="D317" t="str">
            <v>ERD-1922/2 SMOKY 5W 2200K LONDON E27 LED BULB</v>
          </cell>
          <cell r="E317" t="str">
            <v>CAM LONDON FÜME FLAMENT DIMMLI KARMA</v>
          </cell>
          <cell r="F317" t="str">
            <v>8539.52.00.00.00</v>
          </cell>
          <cell r="G317" t="str">
            <v>AVİZE</v>
          </cell>
          <cell r="H317" t="str">
            <v>CG21122C21T02</v>
          </cell>
          <cell r="I317" t="str">
            <v>İÇ</v>
          </cell>
          <cell r="J317" t="str">
            <v>AMPUL</v>
          </cell>
          <cell r="K317" t="str">
            <v>ERD-1922/2</v>
          </cell>
          <cell r="L317" t="str">
            <v/>
          </cell>
          <cell r="M317" t="str">
            <v/>
          </cell>
          <cell r="N317" t="str">
            <v>ERD1922/2</v>
          </cell>
          <cell r="O317" t="str">
            <v>HEKA</v>
          </cell>
          <cell r="P317" t="str">
            <v>ADET</v>
          </cell>
          <cell r="Q317" t="str">
            <v>E27</v>
          </cell>
          <cell r="R317" t="str">
            <v>CAM</v>
          </cell>
          <cell r="S317" t="str">
            <v>FÜME</v>
          </cell>
          <cell r="T317" t="str">
            <v>LONDON</v>
          </cell>
          <cell r="V317" t="str">
            <v>G</v>
          </cell>
          <cell r="W317" t="str">
            <v>FLAMENT</v>
          </cell>
          <cell r="X317" t="str">
            <v>220V</v>
          </cell>
          <cell r="Y317" t="str">
            <v>5 WATT</v>
          </cell>
          <cell r="Z317" t="str">
            <v>2200 K</v>
          </cell>
          <cell r="AA317" t="str">
            <v>DIMMLI</v>
          </cell>
          <cell r="AB317" t="str">
            <v>101-200</v>
          </cell>
          <cell r="AC317" t="str">
            <v>KARMA</v>
          </cell>
          <cell r="AD317" t="str">
            <v>N/A</v>
          </cell>
          <cell r="AF317">
            <v>136</v>
          </cell>
          <cell r="AG317" t="str">
            <v>ADET</v>
          </cell>
          <cell r="AH317">
            <v>12.5</v>
          </cell>
          <cell r="AI317" t="str">
            <v>USD</v>
          </cell>
          <cell r="AJ317">
            <v>55</v>
          </cell>
          <cell r="AK317" t="str">
            <v>USD</v>
          </cell>
          <cell r="AL317">
            <v>1</v>
          </cell>
          <cell r="AM317" t="str">
            <v>8684127503686</v>
          </cell>
          <cell r="AO317">
            <v>0</v>
          </cell>
          <cell r="AQ317">
            <v>16</v>
          </cell>
          <cell r="AR317" t="str">
            <v>CM</v>
          </cell>
          <cell r="AS317">
            <v>16</v>
          </cell>
          <cell r="AT317" t="str">
            <v>CM</v>
          </cell>
          <cell r="AU317">
            <v>0</v>
          </cell>
          <cell r="AW317">
            <v>0</v>
          </cell>
        </row>
        <row r="318">
          <cell r="B318" t="str">
            <v>CK2G1C7U2E2A0</v>
          </cell>
          <cell r="C318" t="str">
            <v>ERD-245 ŞEFFAF-FÜME 6W 2200K TİP-2 E27 LED AMPUL</v>
          </cell>
          <cell r="D318" t="str">
            <v>ERD-245 CLEAR-SMOKY 6W 2200K TYPE-2 E27 LED BULB</v>
          </cell>
          <cell r="E318" t="str">
            <v>CAM ÜZÜM YARI FÜME FLAMENT DIMMSIZ KARMA</v>
          </cell>
          <cell r="F318" t="str">
            <v>8539.52.00.00.00</v>
          </cell>
          <cell r="G318" t="str">
            <v>AVİZE</v>
          </cell>
          <cell r="H318" t="str">
            <v>CG21172D21T01</v>
          </cell>
          <cell r="I318" t="str">
            <v>İÇ</v>
          </cell>
          <cell r="J318" t="str">
            <v>AVİZE.SARK</v>
          </cell>
          <cell r="K318" t="str">
            <v>ERD-245</v>
          </cell>
          <cell r="L318" t="str">
            <v/>
          </cell>
          <cell r="M318" t="str">
            <v/>
          </cell>
          <cell r="N318" t="str">
            <v>ERD-245</v>
          </cell>
          <cell r="O318" t="str">
            <v>HEKA</v>
          </cell>
          <cell r="P318" t="str">
            <v>ADET</v>
          </cell>
          <cell r="Q318" t="str">
            <v>E27</v>
          </cell>
          <cell r="R318" t="str">
            <v>CAM</v>
          </cell>
          <cell r="S318" t="str">
            <v>YARI FÜME</v>
          </cell>
          <cell r="T318" t="str">
            <v>ÜZÜM</v>
          </cell>
          <cell r="V318" t="str">
            <v>G</v>
          </cell>
          <cell r="W318" t="str">
            <v>FLAMENT</v>
          </cell>
          <cell r="X318" t="str">
            <v>220V</v>
          </cell>
          <cell r="Y318" t="str">
            <v>6 WATT</v>
          </cell>
          <cell r="Z318" t="str">
            <v>2200 K</v>
          </cell>
          <cell r="AA318" t="str">
            <v>DIMMSIZ</v>
          </cell>
          <cell r="AB318" t="str">
            <v>101-200</v>
          </cell>
          <cell r="AC318" t="str">
            <v>KARMA</v>
          </cell>
          <cell r="AD318" t="str">
            <v>N/A</v>
          </cell>
          <cell r="AF318">
            <v>0</v>
          </cell>
          <cell r="AG318" t="str">
            <v>ADET</v>
          </cell>
          <cell r="AH318">
            <v>9</v>
          </cell>
          <cell r="AI318" t="str">
            <v>USD</v>
          </cell>
          <cell r="AJ318">
            <v>3118</v>
          </cell>
          <cell r="AK318" t="str">
            <v>TL</v>
          </cell>
          <cell r="AL318">
            <v>1</v>
          </cell>
          <cell r="AM318" t="str">
            <v>8684127503761</v>
          </cell>
          <cell r="AO318">
            <v>0</v>
          </cell>
          <cell r="AQ318">
            <v>25</v>
          </cell>
          <cell r="AR318" t="str">
            <v>CM</v>
          </cell>
          <cell r="AS318">
            <v>25</v>
          </cell>
          <cell r="AT318" t="str">
            <v>CM</v>
          </cell>
          <cell r="AU318">
            <v>0</v>
          </cell>
          <cell r="AW318">
            <v>0</v>
          </cell>
        </row>
        <row r="319">
          <cell r="B319" t="str">
            <v>H1C6JRSWRSR-020</v>
          </cell>
          <cell r="C319" t="str">
            <v>HARŞENA SİYAH MERMER SARKIT 20cm</v>
          </cell>
          <cell r="D319" t="str">
            <v>HARŞENA BLACK MARBLE PENDANT 20cm</v>
          </cell>
          <cell r="E319" t="str">
            <v xml:space="preserve">METAL MERMER SİYAH SİYAH   </v>
          </cell>
          <cell r="F319" t="str">
            <v>9405.11.90.00.00</v>
          </cell>
          <cell r="G319" t="str">
            <v>AVİZE</v>
          </cell>
          <cell r="H319" t="str">
            <v>T1A6321400-01</v>
          </cell>
          <cell r="I319" t="str">
            <v>İÇ</v>
          </cell>
          <cell r="J319" t="str">
            <v>AVİZE.SARK</v>
          </cell>
          <cell r="K319" t="str">
            <v>HARŞENA</v>
          </cell>
          <cell r="L319" t="str">
            <v/>
          </cell>
          <cell r="M319" t="str">
            <v/>
          </cell>
          <cell r="N319" t="str">
            <v>009-BC</v>
          </cell>
          <cell r="O319" t="str">
            <v>HEKA</v>
          </cell>
          <cell r="P319" t="str">
            <v>ADET</v>
          </cell>
          <cell r="Q319" t="str">
            <v>LED</v>
          </cell>
          <cell r="R319" t="str">
            <v>METAL</v>
          </cell>
          <cell r="S319" t="str">
            <v>SİYAH</v>
          </cell>
          <cell r="T319" t="str">
            <v>MERMER</v>
          </cell>
          <cell r="U319" t="str">
            <v>SİYAH</v>
          </cell>
          <cell r="AD319" t="str">
            <v>DAİRE</v>
          </cell>
          <cell r="AE319" t="str">
            <v>01</v>
          </cell>
          <cell r="AF319">
            <v>0</v>
          </cell>
          <cell r="AG319" t="str">
            <v>ADET</v>
          </cell>
          <cell r="AH319">
            <v>145</v>
          </cell>
          <cell r="AI319" t="str">
            <v>CNY</v>
          </cell>
          <cell r="AJ319">
            <v>1850</v>
          </cell>
          <cell r="AK319" t="str">
            <v>TL</v>
          </cell>
          <cell r="AL319">
            <v>1</v>
          </cell>
          <cell r="AM319" t="str">
            <v>8684127508445</v>
          </cell>
          <cell r="AO319">
            <v>0</v>
          </cell>
          <cell r="AQ319">
            <v>12</v>
          </cell>
          <cell r="AR319" t="str">
            <v>CM</v>
          </cell>
          <cell r="AS319">
            <v>20</v>
          </cell>
          <cell r="AT319" t="str">
            <v>CM</v>
          </cell>
          <cell r="AU319">
            <v>0</v>
          </cell>
          <cell r="AW319">
            <v>0</v>
          </cell>
        </row>
        <row r="320">
          <cell r="B320" t="str">
            <v>H1W6LMGERLR-030</v>
          </cell>
          <cell r="C320" t="str">
            <v>TİLLE GÜMÜŞ APLİK 30cm</v>
          </cell>
          <cell r="D320" t="str">
            <v>TİLLE SİLVER WALL LAMP 30cm</v>
          </cell>
          <cell r="E320" t="str">
            <v>PLEKSİ CAM GOLD BAL</v>
          </cell>
          <cell r="F320" t="str">
            <v>9405.11.40.00.00</v>
          </cell>
          <cell r="G320" t="str">
            <v>APLİK</v>
          </cell>
          <cell r="H320" t="str">
            <v>T1W6820000-30</v>
          </cell>
          <cell r="I320" t="str">
            <v>İÇ</v>
          </cell>
          <cell r="J320" t="str">
            <v>APLİK</v>
          </cell>
          <cell r="K320" t="str">
            <v>TİLLE</v>
          </cell>
          <cell r="L320" t="str">
            <v/>
          </cell>
          <cell r="M320" t="str">
            <v/>
          </cell>
          <cell r="N320" t="str">
            <v>SJ-001</v>
          </cell>
          <cell r="O320" t="str">
            <v>HEKA</v>
          </cell>
          <cell r="P320" t="str">
            <v>ADET</v>
          </cell>
          <cell r="Q320" t="str">
            <v>LED</v>
          </cell>
          <cell r="R320" t="str">
            <v>PLEKSİ</v>
          </cell>
          <cell r="S320" t="str">
            <v>GOLD</v>
          </cell>
          <cell r="T320" t="str">
            <v>CAM</v>
          </cell>
          <cell r="U320" t="str">
            <v>BAL</v>
          </cell>
          <cell r="AD320" t="str">
            <v>DAİRE</v>
          </cell>
          <cell r="AE320" t="str">
            <v>01</v>
          </cell>
          <cell r="AF320">
            <v>0</v>
          </cell>
          <cell r="AG320" t="str">
            <v>ADET</v>
          </cell>
          <cell r="AH320">
            <v>110</v>
          </cell>
          <cell r="AI320" t="str">
            <v>CNY</v>
          </cell>
          <cell r="AJ320">
            <v>5831</v>
          </cell>
          <cell r="AK320" t="str">
            <v>TL</v>
          </cell>
          <cell r="AL320">
            <v>1</v>
          </cell>
          <cell r="AM320" t="str">
            <v>8684127502986</v>
          </cell>
          <cell r="AO320">
            <v>0</v>
          </cell>
          <cell r="AQ320">
            <v>28</v>
          </cell>
          <cell r="AR320" t="str">
            <v>CM</v>
          </cell>
          <cell r="AS320">
            <v>5.5</v>
          </cell>
          <cell r="AT320" t="str">
            <v>CM</v>
          </cell>
          <cell r="AU320">
            <v>0</v>
          </cell>
          <cell r="AW320">
            <v>0</v>
          </cell>
        </row>
        <row r="321">
          <cell r="B321" t="str">
            <v>H1C6BCSJMG0-018</v>
          </cell>
          <cell r="C321" t="str">
            <v>HARRAN AKRİLİK SARKIT 20cm</v>
          </cell>
          <cell r="D321" t="str">
            <v>HARRAN ACRYLIC PENDANT 20cm</v>
          </cell>
          <cell r="E321" t="str">
            <v xml:space="preserve">AKRiLİK METAL ŞEFFAF GOLD   </v>
          </cell>
          <cell r="F321" t="str">
            <v>9405.11.40.00.00</v>
          </cell>
          <cell r="G321" t="str">
            <v>AVİZE</v>
          </cell>
          <cell r="H321" t="str">
            <v>T1A6621500-20</v>
          </cell>
          <cell r="I321" t="str">
            <v>İÇ</v>
          </cell>
          <cell r="J321" t="str">
            <v>AVİZE.SARK</v>
          </cell>
          <cell r="K321" t="str">
            <v>HARRAN</v>
          </cell>
          <cell r="L321" t="str">
            <v/>
          </cell>
          <cell r="M321" t="str">
            <v/>
          </cell>
          <cell r="N321" t="str">
            <v>XQL-D8907</v>
          </cell>
          <cell r="O321" t="str">
            <v>HEKA</v>
          </cell>
          <cell r="P321" t="str">
            <v>ADET</v>
          </cell>
          <cell r="Q321" t="str">
            <v>LED</v>
          </cell>
          <cell r="R321" t="str">
            <v>AKRİLİK</v>
          </cell>
          <cell r="S321" t="str">
            <v>ŞEFFAF</v>
          </cell>
          <cell r="T321" t="str">
            <v>METAL</v>
          </cell>
          <cell r="U321" t="str">
            <v>GOLD</v>
          </cell>
          <cell r="AD321" t="str">
            <v>N/A</v>
          </cell>
          <cell r="AF321">
            <v>1</v>
          </cell>
          <cell r="AG321" t="str">
            <v>ADET</v>
          </cell>
          <cell r="AH321">
            <v>97.65</v>
          </cell>
          <cell r="AI321" t="str">
            <v>CNY</v>
          </cell>
          <cell r="AJ321">
            <v>1405</v>
          </cell>
          <cell r="AK321" t="str">
            <v>TL</v>
          </cell>
          <cell r="AL321">
            <v>1</v>
          </cell>
          <cell r="AM321" t="str">
            <v>8684127502078</v>
          </cell>
          <cell r="AO321">
            <v>0</v>
          </cell>
          <cell r="AQ321">
            <v>19</v>
          </cell>
          <cell r="AR321" t="str">
            <v>CM</v>
          </cell>
          <cell r="AS321">
            <v>18</v>
          </cell>
          <cell r="AT321" t="str">
            <v>CM</v>
          </cell>
          <cell r="AU321">
            <v>0</v>
          </cell>
          <cell r="AW321">
            <v>0</v>
          </cell>
        </row>
        <row r="322">
          <cell r="B322" t="str">
            <v>H1C6JMGBCSR-048</v>
          </cell>
          <cell r="C322" t="str">
            <v>SUNGUR TEKLİ SARKIT</v>
          </cell>
          <cell r="D322" t="str">
            <v>SUNGUR SINGLE PENDANT</v>
          </cell>
          <cell r="E322" t="str">
            <v xml:space="preserve">METAL AKRİLİK GOLD ŞEFFAF   </v>
          </cell>
          <cell r="F322" t="str">
            <v>9405.11.90.00.00</v>
          </cell>
          <cell r="G322" t="str">
            <v>AVİZE</v>
          </cell>
          <cell r="H322" t="str">
            <v>T1A6126300-15</v>
          </cell>
          <cell r="I322" t="str">
            <v>İÇ</v>
          </cell>
          <cell r="J322" t="str">
            <v>AVİZE.SARK</v>
          </cell>
          <cell r="K322" t="str">
            <v>SUNGUR</v>
          </cell>
          <cell r="L322" t="str">
            <v/>
          </cell>
          <cell r="M322" t="str">
            <v/>
          </cell>
          <cell r="N322" t="str">
            <v>D9952-1</v>
          </cell>
          <cell r="O322" t="str">
            <v>HEKA</v>
          </cell>
          <cell r="P322" t="str">
            <v>ADET</v>
          </cell>
          <cell r="Q322" t="str">
            <v>LED</v>
          </cell>
          <cell r="R322" t="str">
            <v>METAL</v>
          </cell>
          <cell r="S322" t="str">
            <v>GOLD</v>
          </cell>
          <cell r="T322" t="str">
            <v>AKRİLİK</v>
          </cell>
          <cell r="U322" t="str">
            <v>ŞEFFAF</v>
          </cell>
          <cell r="AD322" t="str">
            <v>DAİRE</v>
          </cell>
          <cell r="AE322" t="str">
            <v>01</v>
          </cell>
          <cell r="AF322">
            <v>0</v>
          </cell>
          <cell r="AG322" t="str">
            <v>ADET</v>
          </cell>
          <cell r="AH322">
            <v>117</v>
          </cell>
          <cell r="AI322" t="str">
            <v>CNY</v>
          </cell>
          <cell r="AJ322">
            <v>1440</v>
          </cell>
          <cell r="AK322" t="str">
            <v>TL</v>
          </cell>
          <cell r="AL322">
            <v>1</v>
          </cell>
          <cell r="AM322" t="str">
            <v>8684127502733</v>
          </cell>
          <cell r="AO322">
            <v>0</v>
          </cell>
          <cell r="AQ322">
            <v>46</v>
          </cell>
          <cell r="AR322" t="str">
            <v>CM</v>
          </cell>
          <cell r="AS322">
            <v>22</v>
          </cell>
          <cell r="AT322" t="str">
            <v>CM</v>
          </cell>
          <cell r="AU322">
            <v>0</v>
          </cell>
          <cell r="AW322">
            <v>0</v>
          </cell>
        </row>
        <row r="323">
          <cell r="B323" t="str">
            <v>H1W6JMEBRLD-050</v>
          </cell>
          <cell r="C323" t="str">
            <v>ALACA TEKLİ AKRİLİK APLİK</v>
          </cell>
          <cell r="D323" t="str">
            <v>ALACA SINGLE ACRYLIC WALL LAMP</v>
          </cell>
          <cell r="E323" t="str">
            <v>METAL AKRİLİK ESKİTME BAL</v>
          </cell>
          <cell r="F323" t="str">
            <v>9405.11.90.00.00</v>
          </cell>
          <cell r="G323" t="str">
            <v>APLİK</v>
          </cell>
          <cell r="H323" t="str">
            <v>T1W6126300-16</v>
          </cell>
          <cell r="I323" t="str">
            <v>İÇ</v>
          </cell>
          <cell r="J323" t="str">
            <v>APLİK</v>
          </cell>
          <cell r="K323" t="str">
            <v>ALACA</v>
          </cell>
          <cell r="L323" t="str">
            <v/>
          </cell>
          <cell r="M323" t="str">
            <v/>
          </cell>
          <cell r="N323" t="str">
            <v>B9955-1</v>
          </cell>
          <cell r="O323" t="str">
            <v>HEKA</v>
          </cell>
          <cell r="P323" t="str">
            <v>ADET</v>
          </cell>
          <cell r="Q323" t="str">
            <v>LED</v>
          </cell>
          <cell r="R323" t="str">
            <v>METAL</v>
          </cell>
          <cell r="S323" t="str">
            <v>ESKİTME</v>
          </cell>
          <cell r="T323" t="str">
            <v>AKRİLİK</v>
          </cell>
          <cell r="U323" t="str">
            <v>BAL</v>
          </cell>
          <cell r="AD323" t="str">
            <v>DİKDÖRTGEN</v>
          </cell>
          <cell r="AE323" t="str">
            <v>01</v>
          </cell>
          <cell r="AF323">
            <v>0</v>
          </cell>
          <cell r="AG323" t="str">
            <v>ADET</v>
          </cell>
          <cell r="AH323">
            <v>123</v>
          </cell>
          <cell r="AI323" t="str">
            <v>CNY</v>
          </cell>
          <cell r="AJ323">
            <v>1720</v>
          </cell>
          <cell r="AK323" t="str">
            <v>TL</v>
          </cell>
          <cell r="AL323">
            <v>1</v>
          </cell>
          <cell r="AM323" t="str">
            <v>8684127501392</v>
          </cell>
          <cell r="AO323">
            <v>0</v>
          </cell>
          <cell r="AQ323">
            <v>48</v>
          </cell>
          <cell r="AR323" t="str">
            <v>CM</v>
          </cell>
          <cell r="AS323">
            <v>14</v>
          </cell>
          <cell r="AT323" t="str">
            <v>CM</v>
          </cell>
          <cell r="AU323">
            <v>0</v>
          </cell>
          <cell r="AW323">
            <v>0</v>
          </cell>
        </row>
        <row r="324">
          <cell r="B324" t="str">
            <v>H1W6BCSJMK0-012</v>
          </cell>
          <cell r="C324" t="str">
            <v>BUTTERFLY AKRİLİK KELEBEK APLİK KROM</v>
          </cell>
          <cell r="D324" t="str">
            <v>BUTTERFLY ACRYLIC WALL LAMP CHROME</v>
          </cell>
          <cell r="E324" t="str">
            <v>AKRiLİK METAL ŞEFFAF KROM</v>
          </cell>
          <cell r="F324" t="str">
            <v>9405.11.40.00.00</v>
          </cell>
          <cell r="G324" t="str">
            <v>APLİK</v>
          </cell>
          <cell r="H324" t="str">
            <v>T1W6621300-18</v>
          </cell>
          <cell r="I324" t="str">
            <v>İÇ</v>
          </cell>
          <cell r="J324" t="str">
            <v>APLİK</v>
          </cell>
          <cell r="K324" t="str">
            <v>BUTTERFLY</v>
          </cell>
          <cell r="L324" t="str">
            <v/>
          </cell>
          <cell r="M324" t="str">
            <v/>
          </cell>
          <cell r="N324" t="str">
            <v>DD20675-C-W</v>
          </cell>
          <cell r="O324" t="str">
            <v>HEKA</v>
          </cell>
          <cell r="P324" t="str">
            <v>ADET</v>
          </cell>
          <cell r="Q324" t="str">
            <v>LED</v>
          </cell>
          <cell r="R324" t="str">
            <v>AKRİLİK</v>
          </cell>
          <cell r="S324" t="str">
            <v>ŞEFFAF</v>
          </cell>
          <cell r="T324" t="str">
            <v>METAL</v>
          </cell>
          <cell r="U324" t="str">
            <v>KROM</v>
          </cell>
          <cell r="AD324" t="str">
            <v>N/A</v>
          </cell>
          <cell r="AF324">
            <v>19</v>
          </cell>
          <cell r="AG324" t="str">
            <v>ADET</v>
          </cell>
          <cell r="AH324">
            <v>138</v>
          </cell>
          <cell r="AI324" t="str">
            <v>CNY</v>
          </cell>
          <cell r="AJ324">
            <v>3213</v>
          </cell>
          <cell r="AK324" t="str">
            <v>TL</v>
          </cell>
          <cell r="AL324">
            <v>1</v>
          </cell>
          <cell r="AM324" t="str">
            <v>8684127501743</v>
          </cell>
          <cell r="AO324">
            <v>0</v>
          </cell>
          <cell r="AQ324">
            <v>24</v>
          </cell>
          <cell r="AR324" t="str">
            <v>CM</v>
          </cell>
          <cell r="AS324">
            <v>13</v>
          </cell>
          <cell r="AT324" t="str">
            <v>CM</v>
          </cell>
          <cell r="AU324">
            <v>0</v>
          </cell>
          <cell r="AW324">
            <v>0</v>
          </cell>
        </row>
        <row r="325">
          <cell r="B325" t="str">
            <v>H1C6BRZJRBE-040</v>
          </cell>
          <cell r="C325" t="str">
            <v>EFLATUN AKRİLİK SARKIT 40cm</v>
          </cell>
          <cell r="D325" t="str">
            <v>EFLATUN ACRYLIC PENDANT 40cm</v>
          </cell>
          <cell r="E325" t="str">
            <v xml:space="preserve">AKRiLİK METAL TURKUAZ BEYAZ   </v>
          </cell>
          <cell r="F325" t="str">
            <v>9405.11.40.00.00</v>
          </cell>
          <cell r="G325" t="str">
            <v>AVİZE</v>
          </cell>
          <cell r="H325" t="str">
            <v>T1A6611100-40</v>
          </cell>
          <cell r="I325" t="str">
            <v>İÇ</v>
          </cell>
          <cell r="J325" t="str">
            <v>AVİZE.SARK</v>
          </cell>
          <cell r="K325" t="str">
            <v>EFLATUN</v>
          </cell>
          <cell r="L325" t="str">
            <v/>
          </cell>
          <cell r="M325" t="str">
            <v/>
          </cell>
          <cell r="N325" t="str">
            <v>XQL-D8981-S</v>
          </cell>
          <cell r="O325" t="str">
            <v>HEKA</v>
          </cell>
          <cell r="P325" t="str">
            <v>ADET</v>
          </cell>
          <cell r="Q325" t="str">
            <v>LED</v>
          </cell>
          <cell r="R325" t="str">
            <v>AKRİLİK</v>
          </cell>
          <cell r="S325" t="str">
            <v>TURKUAZ</v>
          </cell>
          <cell r="T325" t="str">
            <v>METAL</v>
          </cell>
          <cell r="U325" t="str">
            <v>BEYAZ</v>
          </cell>
          <cell r="AD325" t="str">
            <v>ELİPS</v>
          </cell>
          <cell r="AF325">
            <v>43</v>
          </cell>
          <cell r="AG325" t="str">
            <v>ADET</v>
          </cell>
          <cell r="AH325">
            <v>120</v>
          </cell>
          <cell r="AI325" t="str">
            <v>CNY</v>
          </cell>
          <cell r="AJ325">
            <v>3213</v>
          </cell>
          <cell r="AK325" t="str">
            <v>TL</v>
          </cell>
          <cell r="AL325">
            <v>1</v>
          </cell>
          <cell r="AM325" t="str">
            <v>8684127501958</v>
          </cell>
          <cell r="AO325">
            <v>0</v>
          </cell>
          <cell r="AQ325">
            <v>40</v>
          </cell>
          <cell r="AR325" t="str">
            <v>CM</v>
          </cell>
          <cell r="AS325">
            <v>25</v>
          </cell>
          <cell r="AT325" t="str">
            <v>CM</v>
          </cell>
          <cell r="AU325">
            <v>0</v>
          </cell>
          <cell r="AW325">
            <v>0</v>
          </cell>
        </row>
        <row r="326">
          <cell r="B326" t="str">
            <v>H1W1JRSHRR0-050</v>
          </cell>
          <cell r="C326" t="str">
            <v>KAZAH ABAJUR SİYAH APLİK</v>
          </cell>
          <cell r="D326" t="str">
            <v>KAZAH LAMPSHADE BLACK WALL LAMP</v>
          </cell>
          <cell r="E326" t="str">
            <v>METAL KUMAŞ SİYAH KREM</v>
          </cell>
          <cell r="F326" t="str">
            <v>9405.19.90.00.00</v>
          </cell>
          <cell r="G326" t="str">
            <v>APLİK</v>
          </cell>
          <cell r="H326" t="str">
            <v>H1W1149200-50</v>
          </cell>
          <cell r="I326" t="str">
            <v>İÇ</v>
          </cell>
          <cell r="J326" t="str">
            <v>APLİK</v>
          </cell>
          <cell r="K326" t="str">
            <v>KAZAH</v>
          </cell>
          <cell r="L326" t="str">
            <v/>
          </cell>
          <cell r="M326" t="str">
            <v/>
          </cell>
          <cell r="N326" t="str">
            <v>MRT-01S</v>
          </cell>
          <cell r="O326" t="str">
            <v>HEKA</v>
          </cell>
          <cell r="P326" t="str">
            <v>ADET</v>
          </cell>
          <cell r="Q326" t="str">
            <v>E14</v>
          </cell>
          <cell r="R326" t="str">
            <v>METAL</v>
          </cell>
          <cell r="S326" t="str">
            <v>SİYAH</v>
          </cell>
          <cell r="T326" t="str">
            <v>KUMAŞ</v>
          </cell>
          <cell r="U326" t="str">
            <v>KREM</v>
          </cell>
          <cell r="AD326" t="str">
            <v>N/A</v>
          </cell>
          <cell r="AE326" t="str">
            <v>02</v>
          </cell>
          <cell r="AF326">
            <v>0</v>
          </cell>
          <cell r="AG326" t="str">
            <v>ADET</v>
          </cell>
          <cell r="AH326">
            <v>60</v>
          </cell>
          <cell r="AI326" t="str">
            <v>TL</v>
          </cell>
          <cell r="AJ326">
            <v>395</v>
          </cell>
          <cell r="AK326" t="str">
            <v>TL</v>
          </cell>
          <cell r="AL326">
            <v>1</v>
          </cell>
          <cell r="AM326" t="str">
            <v>8684127509886</v>
          </cell>
          <cell r="AO326">
            <v>0</v>
          </cell>
          <cell r="AQ326">
            <v>21</v>
          </cell>
          <cell r="AR326" t="str">
            <v>CM</v>
          </cell>
          <cell r="AS326">
            <v>50</v>
          </cell>
          <cell r="AT326" t="str">
            <v>CM</v>
          </cell>
          <cell r="AU326">
            <v>0</v>
          </cell>
          <cell r="AW326">
            <v>0</v>
          </cell>
        </row>
        <row r="327">
          <cell r="B327" t="str">
            <v>300A-ŞEFFAF</v>
          </cell>
          <cell r="C327" t="str">
            <v>30 LUK DİŞLİ ŞEFFAF CAM</v>
          </cell>
          <cell r="D327" t="str">
            <v/>
          </cell>
          <cell r="E327" t="str">
            <v/>
          </cell>
          <cell r="F327" t="str">
            <v/>
          </cell>
          <cell r="G327" t="str">
            <v/>
          </cell>
          <cell r="H327" t="str">
            <v>300A-ŞEFFAF</v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P327" t="str">
            <v>ADET</v>
          </cell>
          <cell r="AF327">
            <v>0</v>
          </cell>
          <cell r="AG327" t="str">
            <v>ADET</v>
          </cell>
          <cell r="AH327">
            <v>35</v>
          </cell>
          <cell r="AI327" t="str">
            <v>CNY</v>
          </cell>
          <cell r="AL327">
            <v>0</v>
          </cell>
          <cell r="AM327" t="str">
            <v>1234567152165</v>
          </cell>
          <cell r="AO327">
            <v>0</v>
          </cell>
          <cell r="AQ327">
            <v>0</v>
          </cell>
          <cell r="AS327">
            <v>0</v>
          </cell>
          <cell r="AU327">
            <v>0</v>
          </cell>
          <cell r="AW327">
            <v>0</v>
          </cell>
        </row>
        <row r="328">
          <cell r="B328" t="str">
            <v>H1C2DRBJMER-024</v>
          </cell>
          <cell r="C328" t="str">
            <v>HALİKARNAS BEYAZ BETON SARKIT 24cm</v>
          </cell>
          <cell r="D328" t="str">
            <v>HALİKARNAS WHITE CONCRETE PENDANT 24cm</v>
          </cell>
          <cell r="E328" t="str">
            <v xml:space="preserve">BETON METAL BEYAZ ESKİTME   </v>
          </cell>
          <cell r="F328" t="str">
            <v>9405.19.90.00.00</v>
          </cell>
          <cell r="G328" t="str">
            <v>AVİZE</v>
          </cell>
          <cell r="H328" t="str">
            <v>T1A2311100-24</v>
          </cell>
          <cell r="I328" t="str">
            <v>İÇ</v>
          </cell>
          <cell r="J328" t="str">
            <v>AVİZE.SARK</v>
          </cell>
          <cell r="K328" t="str">
            <v>HALİKARNAS</v>
          </cell>
          <cell r="L328" t="str">
            <v/>
          </cell>
          <cell r="M328" t="str">
            <v/>
          </cell>
          <cell r="N328" t="str">
            <v>XQL-D8909-WC</v>
          </cell>
          <cell r="O328" t="str">
            <v>HEKA</v>
          </cell>
          <cell r="P328" t="str">
            <v>ADET</v>
          </cell>
          <cell r="Q328" t="str">
            <v>E27</v>
          </cell>
          <cell r="R328" t="str">
            <v>BETON</v>
          </cell>
          <cell r="S328" t="str">
            <v>BEYAZ</v>
          </cell>
          <cell r="T328" t="str">
            <v>METAL</v>
          </cell>
          <cell r="U328" t="str">
            <v>ESKİTME</v>
          </cell>
          <cell r="AD328" t="str">
            <v>DAİRE</v>
          </cell>
          <cell r="AE328" t="str">
            <v>02</v>
          </cell>
          <cell r="AF328">
            <v>0</v>
          </cell>
          <cell r="AG328" t="str">
            <v>ADET</v>
          </cell>
          <cell r="AH328">
            <v>220</v>
          </cell>
          <cell r="AI328" t="str">
            <v>CNY</v>
          </cell>
          <cell r="AJ328">
            <v>2750</v>
          </cell>
          <cell r="AK328" t="str">
            <v>TL</v>
          </cell>
          <cell r="AL328">
            <v>1</v>
          </cell>
          <cell r="AM328" t="str">
            <v>8684127508926</v>
          </cell>
          <cell r="AO328">
            <v>0</v>
          </cell>
          <cell r="AQ328">
            <v>29</v>
          </cell>
          <cell r="AR328" t="str">
            <v>CM</v>
          </cell>
          <cell r="AS328">
            <v>24</v>
          </cell>
          <cell r="AT328" t="str">
            <v>CM</v>
          </cell>
          <cell r="AU328">
            <v>0</v>
          </cell>
          <cell r="AW328">
            <v>0</v>
          </cell>
        </row>
        <row r="329">
          <cell r="B329" t="str">
            <v>CD1F1C3M1C6H1</v>
          </cell>
          <cell r="C329" t="str">
            <v>ERD-900 110V C35 ŞEFFAF DÜZ 4W 2700K E14 LED AMPUL</v>
          </cell>
          <cell r="D329" t="str">
            <v>ERD-900 110V C35 CLEAR CANDLE 4W 2700K E14 LED BULB</v>
          </cell>
          <cell r="E329" t="str">
            <v>CAM METAL ŞEFFAF FLAMENT DIMMLI C35 - DÜZ</v>
          </cell>
          <cell r="F329" t="str">
            <v>8539.52.00.00.00</v>
          </cell>
          <cell r="G329" t="str">
            <v>AMPUL</v>
          </cell>
          <cell r="H329" t="str">
            <v>CF11131B41000</v>
          </cell>
          <cell r="I329" t="str">
            <v>İÇ</v>
          </cell>
          <cell r="J329" t="str">
            <v>AMPUL</v>
          </cell>
          <cell r="K329" t="str">
            <v>ERD-900</v>
          </cell>
          <cell r="L329" t="str">
            <v/>
          </cell>
          <cell r="M329" t="str">
            <v/>
          </cell>
          <cell r="N329" t="str">
            <v>ERD-900</v>
          </cell>
          <cell r="O329" t="str">
            <v>HEKA</v>
          </cell>
          <cell r="P329" t="str">
            <v>ADET</v>
          </cell>
          <cell r="Q329" t="str">
            <v>E14</v>
          </cell>
          <cell r="R329" t="str">
            <v>CAM</v>
          </cell>
          <cell r="S329" t="str">
            <v>ŞEFFAF</v>
          </cell>
          <cell r="T329" t="str">
            <v>METAL</v>
          </cell>
          <cell r="V329" t="str">
            <v>F</v>
          </cell>
          <cell r="W329" t="str">
            <v>FLAMENT</v>
          </cell>
          <cell r="X329" t="str">
            <v>110V</v>
          </cell>
          <cell r="Y329" t="str">
            <v>4 WATT</v>
          </cell>
          <cell r="Z329" t="str">
            <v xml:space="preserve">2700 K </v>
          </cell>
          <cell r="AA329" t="str">
            <v>DIMMLI</v>
          </cell>
          <cell r="AB329" t="str">
            <v>301-400</v>
          </cell>
          <cell r="AC329" t="str">
            <v>C35 - DÜZ</v>
          </cell>
          <cell r="AD329" t="str">
            <v>N/A</v>
          </cell>
          <cell r="AF329">
            <v>711</v>
          </cell>
          <cell r="AG329" t="str">
            <v>ADET</v>
          </cell>
          <cell r="AH329">
            <v>1.8</v>
          </cell>
          <cell r="AI329" t="str">
            <v>CNY</v>
          </cell>
          <cell r="AJ329">
            <v>2.1</v>
          </cell>
          <cell r="AK329" t="str">
            <v>USD</v>
          </cell>
          <cell r="AL329">
            <v>1</v>
          </cell>
          <cell r="AM329" t="str">
            <v>8684127504324</v>
          </cell>
          <cell r="AN329" t="str">
            <v>8684127505802</v>
          </cell>
          <cell r="AO329">
            <v>0</v>
          </cell>
          <cell r="AQ329">
            <v>3.5</v>
          </cell>
          <cell r="AR329" t="str">
            <v>CM</v>
          </cell>
          <cell r="AS329">
            <v>3.5</v>
          </cell>
          <cell r="AT329" t="str">
            <v>CM</v>
          </cell>
          <cell r="AU329">
            <v>0</v>
          </cell>
          <cell r="AW329">
            <v>0</v>
          </cell>
        </row>
        <row r="330">
          <cell r="B330" t="str">
            <v>H1C6ERLJMED-043</v>
          </cell>
          <cell r="C330" t="str">
            <v>VARDA TEKLİ BAL RENGİ SARKIT</v>
          </cell>
          <cell r="D330" t="str">
            <v>VARDA SINGLE CLEAR AMBER PENDANT</v>
          </cell>
          <cell r="E330" t="str">
            <v xml:space="preserve">CAM  METAL BAL ESKİTME   </v>
          </cell>
          <cell r="F330" t="str">
            <v>9405.11.50.00.19</v>
          </cell>
          <cell r="G330" t="str">
            <v>AVİZE</v>
          </cell>
          <cell r="H330" t="str">
            <v>H1A6231100-01</v>
          </cell>
          <cell r="I330" t="str">
            <v>İÇ</v>
          </cell>
          <cell r="J330" t="str">
            <v>AVİZE.SARK</v>
          </cell>
          <cell r="K330" t="str">
            <v>VARDA</v>
          </cell>
          <cell r="L330" t="str">
            <v/>
          </cell>
          <cell r="M330" t="str">
            <v/>
          </cell>
          <cell r="N330" t="str">
            <v>L2275-A</v>
          </cell>
          <cell r="O330" t="str">
            <v>HEKA</v>
          </cell>
          <cell r="P330" t="str">
            <v>ADET</v>
          </cell>
          <cell r="Q330" t="str">
            <v>LED</v>
          </cell>
          <cell r="R330" t="str">
            <v>CAM</v>
          </cell>
          <cell r="S330" t="str">
            <v>BAL</v>
          </cell>
          <cell r="T330" t="str">
            <v>METAL</v>
          </cell>
          <cell r="U330" t="str">
            <v>ESKİTME</v>
          </cell>
          <cell r="AD330" t="str">
            <v>DİKDÖRTGEN</v>
          </cell>
          <cell r="AE330" t="str">
            <v>01</v>
          </cell>
          <cell r="AF330">
            <v>1</v>
          </cell>
          <cell r="AG330" t="str">
            <v>ADET</v>
          </cell>
          <cell r="AH330">
            <v>120</v>
          </cell>
          <cell r="AI330" t="str">
            <v>CNY</v>
          </cell>
          <cell r="AJ330">
            <v>2357</v>
          </cell>
          <cell r="AK330" t="str">
            <v>TL</v>
          </cell>
          <cell r="AL330">
            <v>1</v>
          </cell>
          <cell r="AM330" t="str">
            <v>8684127505789</v>
          </cell>
          <cell r="AO330">
            <v>0</v>
          </cell>
          <cell r="AQ330">
            <v>42</v>
          </cell>
          <cell r="AR330" t="str">
            <v>CM</v>
          </cell>
          <cell r="AS330">
            <v>8</v>
          </cell>
          <cell r="AT330" t="str">
            <v>CM</v>
          </cell>
          <cell r="AU330">
            <v>0</v>
          </cell>
          <cell r="AW330">
            <v>0</v>
          </cell>
        </row>
        <row r="331">
          <cell r="B331" t="str">
            <v>H1T6JMEBRLR-049</v>
          </cell>
          <cell r="C331" t="str">
            <v>ALACA TEKLİ AKRİLİK MASA LAMBASI</v>
          </cell>
          <cell r="D331" t="str">
            <v>ALACA SINGLE ACRYLIC TABLE LAMP</v>
          </cell>
          <cell r="E331" t="str">
            <v xml:space="preserve">METAL AKRİLİK ESKİTME BAL   </v>
          </cell>
          <cell r="F331" t="str">
            <v>9405.21.90.00.00</v>
          </cell>
          <cell r="G331" t="str">
            <v>MASA LAMBASI</v>
          </cell>
          <cell r="H331" t="str">
            <v>T1M6126300-18</v>
          </cell>
          <cell r="I331" t="str">
            <v>İÇ</v>
          </cell>
          <cell r="J331" t="str">
            <v>MASAABAJ</v>
          </cell>
          <cell r="K331" t="str">
            <v>ALACA</v>
          </cell>
          <cell r="L331" t="str">
            <v/>
          </cell>
          <cell r="M331" t="str">
            <v/>
          </cell>
          <cell r="N331" t="str">
            <v>T9955-1</v>
          </cell>
          <cell r="O331" t="str">
            <v>HEKA</v>
          </cell>
          <cell r="P331" t="str">
            <v>ADET</v>
          </cell>
          <cell r="Q331" t="str">
            <v>LED</v>
          </cell>
          <cell r="R331" t="str">
            <v>METAL</v>
          </cell>
          <cell r="S331" t="str">
            <v>ESKİTME</v>
          </cell>
          <cell r="T331" t="str">
            <v>AKRİLİK</v>
          </cell>
          <cell r="U331" t="str">
            <v>BAL</v>
          </cell>
          <cell r="AD331" t="str">
            <v>DAİRE</v>
          </cell>
          <cell r="AF331">
            <v>9</v>
          </cell>
          <cell r="AG331" t="str">
            <v>ADET</v>
          </cell>
          <cell r="AH331">
            <v>238</v>
          </cell>
          <cell r="AI331" t="str">
            <v>CNY</v>
          </cell>
          <cell r="AJ331">
            <v>7236</v>
          </cell>
          <cell r="AK331" t="str">
            <v>TL</v>
          </cell>
          <cell r="AL331">
            <v>1</v>
          </cell>
          <cell r="AM331" t="str">
            <v>8684127505659</v>
          </cell>
          <cell r="AO331">
            <v>0</v>
          </cell>
          <cell r="AQ331">
            <v>48</v>
          </cell>
          <cell r="AR331" t="str">
            <v>CM</v>
          </cell>
          <cell r="AS331">
            <v>17</v>
          </cell>
          <cell r="AT331" t="str">
            <v>CM</v>
          </cell>
          <cell r="AU331">
            <v>0</v>
          </cell>
          <cell r="AW331">
            <v>0</v>
          </cell>
        </row>
        <row r="332">
          <cell r="B332" t="str">
            <v>H1C6JMEBRLD-113</v>
          </cell>
          <cell r="C332" t="str">
            <v>ALACA YEMEK MASASI AKRİLİK AVİZE</v>
          </cell>
          <cell r="D332" t="str">
            <v>ALACA ACRYLIC DINING TABLE CHANDELIER</v>
          </cell>
          <cell r="E332" t="str">
            <v xml:space="preserve">METAL AKRİLİK ESKİTME BAL   </v>
          </cell>
          <cell r="F332" t="str">
            <v>9405.11.90.00.00</v>
          </cell>
          <cell r="G332" t="str">
            <v>AVİZE</v>
          </cell>
          <cell r="H332" t="str">
            <v>T1A6126300-01</v>
          </cell>
          <cell r="I332" t="str">
            <v>İÇ</v>
          </cell>
          <cell r="J332" t="str">
            <v>AVİZE.AVİZ</v>
          </cell>
          <cell r="K332" t="str">
            <v>ALACA</v>
          </cell>
          <cell r="L332" t="str">
            <v/>
          </cell>
          <cell r="M332" t="str">
            <v/>
          </cell>
          <cell r="N332" t="str">
            <v>D9955-1200L</v>
          </cell>
          <cell r="O332" t="str">
            <v>HEKA</v>
          </cell>
          <cell r="P332" t="str">
            <v>ADET</v>
          </cell>
          <cell r="Q332" t="str">
            <v>LED</v>
          </cell>
          <cell r="R332" t="str">
            <v>METAL</v>
          </cell>
          <cell r="S332" t="str">
            <v>ESKİTME</v>
          </cell>
          <cell r="T332" t="str">
            <v>AKRİLİK</v>
          </cell>
          <cell r="U332" t="str">
            <v>BAL</v>
          </cell>
          <cell r="AD332" t="str">
            <v>DİKDÖRTGEN</v>
          </cell>
          <cell r="AE332" t="str">
            <v>01</v>
          </cell>
          <cell r="AF332">
            <v>0</v>
          </cell>
          <cell r="AG332" t="str">
            <v>ADET</v>
          </cell>
          <cell r="AH332">
            <v>408</v>
          </cell>
          <cell r="AI332" t="str">
            <v>CNY</v>
          </cell>
          <cell r="AJ332">
            <v>12186</v>
          </cell>
          <cell r="AK332" t="str">
            <v>TL</v>
          </cell>
          <cell r="AL332">
            <v>1</v>
          </cell>
          <cell r="AM332" t="str">
            <v>8684127501415</v>
          </cell>
          <cell r="AO332">
            <v>0</v>
          </cell>
          <cell r="AQ332">
            <v>16</v>
          </cell>
          <cell r="AR332" t="str">
            <v>CM</v>
          </cell>
          <cell r="AS332">
            <v>17</v>
          </cell>
          <cell r="AT332" t="str">
            <v>CM</v>
          </cell>
          <cell r="AU332">
            <v>0</v>
          </cell>
          <cell r="AW332">
            <v>0</v>
          </cell>
        </row>
        <row r="333">
          <cell r="B333" t="str">
            <v>H1W6JMKLCTL-100</v>
          </cell>
          <cell r="C333" t="str">
            <v>ASSOS LED KROM APLİK 100cm</v>
          </cell>
          <cell r="D333" t="str">
            <v>ASSOS LED CHROME WALL LAMP 100cm</v>
          </cell>
          <cell r="E333" t="str">
            <v>METAL PLEKSİ KROM SOFT</v>
          </cell>
          <cell r="F333" t="str">
            <v>9405.11.90.00.00</v>
          </cell>
          <cell r="G333" t="str">
            <v>APLİK</v>
          </cell>
          <cell r="H333" t="str">
            <v>T1W613810-100</v>
          </cell>
          <cell r="I333" t="str">
            <v>İÇ</v>
          </cell>
          <cell r="J333" t="str">
            <v>APLİK</v>
          </cell>
          <cell r="K333" t="str">
            <v>ASSOS</v>
          </cell>
          <cell r="L333" t="str">
            <v/>
          </cell>
          <cell r="M333" t="str">
            <v/>
          </cell>
          <cell r="N333" t="str">
            <v>B9905100-CH</v>
          </cell>
          <cell r="O333" t="str">
            <v>HEKA</v>
          </cell>
          <cell r="P333" t="str">
            <v>ADET</v>
          </cell>
          <cell r="Q333" t="str">
            <v>LED</v>
          </cell>
          <cell r="R333" t="str">
            <v>METAL</v>
          </cell>
          <cell r="S333" t="str">
            <v>KROM</v>
          </cell>
          <cell r="T333" t="str">
            <v>PLEKSİ</v>
          </cell>
          <cell r="U333" t="str">
            <v>SOFT</v>
          </cell>
          <cell r="AD333" t="str">
            <v>DÜZ</v>
          </cell>
          <cell r="AF333">
            <v>0</v>
          </cell>
          <cell r="AG333" t="str">
            <v>ADET</v>
          </cell>
          <cell r="AH333">
            <v>99</v>
          </cell>
          <cell r="AI333" t="str">
            <v>CNY</v>
          </cell>
          <cell r="AJ333">
            <v>7700</v>
          </cell>
          <cell r="AK333" t="str">
            <v>TL</v>
          </cell>
          <cell r="AL333">
            <v>1</v>
          </cell>
          <cell r="AM333" t="str">
            <v>8684127501569</v>
          </cell>
          <cell r="AO333">
            <v>0</v>
          </cell>
          <cell r="AQ333">
            <v>100</v>
          </cell>
          <cell r="AR333" t="str">
            <v>CM</v>
          </cell>
          <cell r="AS333">
            <v>8</v>
          </cell>
          <cell r="AT333" t="str">
            <v>CM</v>
          </cell>
          <cell r="AU333">
            <v>0</v>
          </cell>
          <cell r="AW333">
            <v>0</v>
          </cell>
        </row>
        <row r="334">
          <cell r="B334" t="str">
            <v>H1S5CRS000L-140</v>
          </cell>
          <cell r="C334" t="str">
            <v>MİA SİYAH DÜZ SPOT 60X140 mm</v>
          </cell>
          <cell r="D334" t="str">
            <v>MİA BLACK PLAIN SPOTLIGHT 60X140 mm</v>
          </cell>
          <cell r="E334" t="str">
            <v xml:space="preserve">ALUMİNYUM YOK SİYAH YOK   </v>
          </cell>
          <cell r="F334" t="str">
            <v>9405.19.90.00.00</v>
          </cell>
          <cell r="G334" t="str">
            <v>TEKNİK</v>
          </cell>
          <cell r="H334" t="str">
            <v>T1S5A200X0-14</v>
          </cell>
          <cell r="I334" t="str">
            <v>İÇ</v>
          </cell>
          <cell r="J334" t="str">
            <v>TEKNİK</v>
          </cell>
          <cell r="K334" t="str">
            <v>MİA</v>
          </cell>
          <cell r="L334" t="str">
            <v/>
          </cell>
          <cell r="M334" t="str">
            <v/>
          </cell>
          <cell r="N334" t="str">
            <v xml:space="preserve">MİA-3 </v>
          </cell>
          <cell r="O334" t="str">
            <v>HEKA</v>
          </cell>
          <cell r="P334" t="str">
            <v>ADET</v>
          </cell>
          <cell r="Q334" t="str">
            <v>GU10</v>
          </cell>
          <cell r="R334" t="str">
            <v>ALUMİNYUM</v>
          </cell>
          <cell r="S334" t="str">
            <v>SİYAH</v>
          </cell>
          <cell r="T334" t="str">
            <v>YOK</v>
          </cell>
          <cell r="U334" t="str">
            <v>YOK</v>
          </cell>
          <cell r="AD334" t="str">
            <v>DÜZ</v>
          </cell>
          <cell r="AE334" t="str">
            <v>01</v>
          </cell>
          <cell r="AF334">
            <v>71</v>
          </cell>
          <cell r="AG334" t="str">
            <v>ADET</v>
          </cell>
          <cell r="AH334">
            <v>22</v>
          </cell>
          <cell r="AI334" t="str">
            <v>CNY</v>
          </cell>
          <cell r="AJ334">
            <v>1630</v>
          </cell>
          <cell r="AK334" t="str">
            <v>TL</v>
          </cell>
          <cell r="AL334">
            <v>1</v>
          </cell>
          <cell r="AM334" t="str">
            <v>8684127501187</v>
          </cell>
          <cell r="AO334">
            <v>0</v>
          </cell>
          <cell r="AQ334">
            <v>140</v>
          </cell>
          <cell r="AR334" t="str">
            <v>CM</v>
          </cell>
          <cell r="AS334">
            <v>60</v>
          </cell>
          <cell r="AT334" t="str">
            <v>CM</v>
          </cell>
          <cell r="AU334">
            <v>0</v>
          </cell>
          <cell r="AW334">
            <v>0</v>
          </cell>
        </row>
        <row r="335">
          <cell r="B335" t="str">
            <v>H1S5CME000L-140</v>
          </cell>
          <cell r="C335" t="str">
            <v>MİA ESKİTME DÜZ SPOT 60X140 mm</v>
          </cell>
          <cell r="D335" t="str">
            <v>MİA BRUSHED BRASS PLAIN SPOTLIGHT 60X140 mm</v>
          </cell>
          <cell r="E335" t="str">
            <v xml:space="preserve">ALUMİNYUM YOK ESKİTME YOK   </v>
          </cell>
          <cell r="F335" t="str">
            <v>9405.19.90.00.00</v>
          </cell>
          <cell r="G335" t="str">
            <v>TEKNİK</v>
          </cell>
          <cell r="H335" t="str">
            <v>T1S5A300X0-14</v>
          </cell>
          <cell r="I335" t="str">
            <v>İÇ</v>
          </cell>
          <cell r="J335" t="str">
            <v>TEKNİK</v>
          </cell>
          <cell r="K335" t="str">
            <v>MİA</v>
          </cell>
          <cell r="L335" t="str">
            <v/>
          </cell>
          <cell r="M335" t="str">
            <v/>
          </cell>
          <cell r="N335" t="str">
            <v>MİA-5</v>
          </cell>
          <cell r="O335" t="str">
            <v>HEKA</v>
          </cell>
          <cell r="P335" t="str">
            <v>ADET</v>
          </cell>
          <cell r="Q335" t="str">
            <v>GU10</v>
          </cell>
          <cell r="R335" t="str">
            <v>ALUMİNYUM</v>
          </cell>
          <cell r="S335" t="str">
            <v>ESKİTME</v>
          </cell>
          <cell r="T335" t="str">
            <v>YOK</v>
          </cell>
          <cell r="U335" t="str">
            <v>YOK</v>
          </cell>
          <cell r="AD335" t="str">
            <v>DÜZ</v>
          </cell>
          <cell r="AE335" t="str">
            <v>01</v>
          </cell>
          <cell r="AF335">
            <v>291</v>
          </cell>
          <cell r="AG335" t="str">
            <v>ADET</v>
          </cell>
          <cell r="AH335">
            <v>22</v>
          </cell>
          <cell r="AI335" t="str">
            <v>CNY</v>
          </cell>
          <cell r="AJ335">
            <v>1630</v>
          </cell>
          <cell r="AK335" t="str">
            <v>TL</v>
          </cell>
          <cell r="AL335">
            <v>1</v>
          </cell>
          <cell r="AM335" t="str">
            <v>8684127501200</v>
          </cell>
          <cell r="AO335">
            <v>0</v>
          </cell>
          <cell r="AQ335">
            <v>140</v>
          </cell>
          <cell r="AR335" t="str">
            <v>CM</v>
          </cell>
          <cell r="AS335">
            <v>60</v>
          </cell>
          <cell r="AT335" t="str">
            <v>CM</v>
          </cell>
          <cell r="AU335">
            <v>0</v>
          </cell>
          <cell r="AW335">
            <v>0</v>
          </cell>
        </row>
        <row r="336">
          <cell r="B336" t="str">
            <v>H1S5CRS000T-120</v>
          </cell>
          <cell r="C336" t="str">
            <v>SELİNA SİYAH TIRTIKLI SPOT 40X120 mm</v>
          </cell>
          <cell r="D336" t="str">
            <v>SELİNA BLACK SERRATED SPOTLIGHT 40X120 mm</v>
          </cell>
          <cell r="E336" t="str">
            <v xml:space="preserve">ALUMİNYUM YOK SİYAH YOK   </v>
          </cell>
          <cell r="F336" t="str">
            <v>9405.19.90.00.00</v>
          </cell>
          <cell r="G336" t="str">
            <v>TEKNİK</v>
          </cell>
          <cell r="H336" t="str">
            <v>T1S5A200T0-12</v>
          </cell>
          <cell r="I336" t="str">
            <v>İÇ</v>
          </cell>
          <cell r="J336" t="str">
            <v>TEKNİK</v>
          </cell>
          <cell r="K336" t="str">
            <v>SELİNA</v>
          </cell>
          <cell r="L336" t="str">
            <v/>
          </cell>
          <cell r="M336" t="str">
            <v/>
          </cell>
          <cell r="N336" t="str">
            <v>SELİNA-4</v>
          </cell>
          <cell r="O336" t="str">
            <v>HEKA</v>
          </cell>
          <cell r="P336" t="str">
            <v>ADET</v>
          </cell>
          <cell r="Q336" t="str">
            <v>GU10</v>
          </cell>
          <cell r="R336" t="str">
            <v>ALUMİNYUM</v>
          </cell>
          <cell r="S336" t="str">
            <v>SİYAH</v>
          </cell>
          <cell r="T336" t="str">
            <v>YOK</v>
          </cell>
          <cell r="U336" t="str">
            <v>YOK</v>
          </cell>
          <cell r="AD336" t="str">
            <v>TIRTIKLI</v>
          </cell>
          <cell r="AE336" t="str">
            <v>01</v>
          </cell>
          <cell r="AF336">
            <v>115</v>
          </cell>
          <cell r="AG336" t="str">
            <v>ADET</v>
          </cell>
          <cell r="AH336">
            <v>13.5</v>
          </cell>
          <cell r="AI336" t="str">
            <v>CNY</v>
          </cell>
          <cell r="AJ336">
            <v>1500</v>
          </cell>
          <cell r="AK336" t="str">
            <v>TL</v>
          </cell>
          <cell r="AL336">
            <v>1</v>
          </cell>
          <cell r="AM336" t="str">
            <v>8684127501231</v>
          </cell>
          <cell r="AO336">
            <v>0</v>
          </cell>
          <cell r="AQ336">
            <v>120</v>
          </cell>
          <cell r="AR336" t="str">
            <v>CM</v>
          </cell>
          <cell r="AS336">
            <v>40</v>
          </cell>
          <cell r="AT336" t="str">
            <v>CM</v>
          </cell>
          <cell r="AU336">
            <v>0</v>
          </cell>
          <cell r="AW336">
            <v>0</v>
          </cell>
        </row>
        <row r="337">
          <cell r="B337" t="str">
            <v>H1S5CME000T-120</v>
          </cell>
          <cell r="C337" t="str">
            <v>SELİNA ESKİTME TIRTIKLI SPOT 40X120 mm</v>
          </cell>
          <cell r="D337" t="str">
            <v>SELİNA BRUSHED BRASS SERRATED SPOTLIGHT 40X120 mm</v>
          </cell>
          <cell r="E337" t="str">
            <v xml:space="preserve">ALUMİNYUM YOK ESKİTME YOK   </v>
          </cell>
          <cell r="F337" t="str">
            <v>9405.19.90.00.00</v>
          </cell>
          <cell r="G337" t="str">
            <v>TEKNİK</v>
          </cell>
          <cell r="H337" t="str">
            <v>T1S5A300T0-12</v>
          </cell>
          <cell r="I337" t="str">
            <v>İÇ</v>
          </cell>
          <cell r="J337" t="str">
            <v>TEKNİK</v>
          </cell>
          <cell r="K337" t="str">
            <v>SELİNA</v>
          </cell>
          <cell r="L337" t="str">
            <v/>
          </cell>
          <cell r="M337" t="str">
            <v/>
          </cell>
          <cell r="N337" t="str">
            <v>SELİNA-6</v>
          </cell>
          <cell r="O337" t="str">
            <v>HEKA</v>
          </cell>
          <cell r="P337" t="str">
            <v>ADET</v>
          </cell>
          <cell r="Q337" t="str">
            <v>GU10</v>
          </cell>
          <cell r="R337" t="str">
            <v>ALUMİNYUM</v>
          </cell>
          <cell r="S337" t="str">
            <v>ESKİTME</v>
          </cell>
          <cell r="T337" t="str">
            <v>YOK</v>
          </cell>
          <cell r="U337" t="str">
            <v>YOK</v>
          </cell>
          <cell r="AD337" t="str">
            <v>TIRTIKLI</v>
          </cell>
          <cell r="AE337" t="str">
            <v>01</v>
          </cell>
          <cell r="AF337">
            <v>110</v>
          </cell>
          <cell r="AG337" t="str">
            <v>ADET</v>
          </cell>
          <cell r="AH337">
            <v>13.5</v>
          </cell>
          <cell r="AI337" t="str">
            <v>CNY</v>
          </cell>
          <cell r="AJ337">
            <v>1500</v>
          </cell>
          <cell r="AK337" t="str">
            <v>TL</v>
          </cell>
          <cell r="AL337">
            <v>1</v>
          </cell>
          <cell r="AM337" t="str">
            <v>8684127501255</v>
          </cell>
          <cell r="AO337">
            <v>0</v>
          </cell>
          <cell r="AQ337">
            <v>120</v>
          </cell>
          <cell r="AR337" t="str">
            <v>CM</v>
          </cell>
          <cell r="AS337">
            <v>40</v>
          </cell>
          <cell r="AT337" t="str">
            <v>CM</v>
          </cell>
          <cell r="AU337">
            <v>0</v>
          </cell>
          <cell r="AW337">
            <v>0</v>
          </cell>
        </row>
        <row r="338">
          <cell r="B338" t="str">
            <v>01.120.20.01.01</v>
          </cell>
          <cell r="C338" t="str">
            <v>DİKDÖRTGEN TEPSİ ESKİTME 120x20cm</v>
          </cell>
          <cell r="D338" t="str">
            <v>BRUSHED BRASS RECTANGLE TRAY 120x20cm</v>
          </cell>
          <cell r="E338" t="str">
            <v/>
          </cell>
          <cell r="F338" t="str">
            <v/>
          </cell>
          <cell r="G338" t="str">
            <v>ZPARCA</v>
          </cell>
          <cell r="H338" t="str">
            <v>01.120.20.01.01</v>
          </cell>
          <cell r="I338" t="str">
            <v>İÇ</v>
          </cell>
          <cell r="J338" t="str">
            <v>ZPARCA</v>
          </cell>
          <cell r="K338" t="str">
            <v/>
          </cell>
          <cell r="L338" t="str">
            <v/>
          </cell>
          <cell r="M338" t="str">
            <v>ÜRTM:7GÜN</v>
          </cell>
          <cell r="N338" t="str">
            <v/>
          </cell>
          <cell r="O338" t="str">
            <v>HEKA</v>
          </cell>
          <cell r="P338" t="str">
            <v>ADET</v>
          </cell>
          <cell r="R338" t="str">
            <v>METAL</v>
          </cell>
          <cell r="S338" t="str">
            <v>ESKİTME</v>
          </cell>
          <cell r="AF338">
            <v>16</v>
          </cell>
          <cell r="AG338" t="str">
            <v>ADET</v>
          </cell>
          <cell r="AH338">
            <v>180</v>
          </cell>
          <cell r="AI338" t="str">
            <v>CNY</v>
          </cell>
          <cell r="AJ338">
            <v>8680</v>
          </cell>
          <cell r="AK338" t="str">
            <v>TL</v>
          </cell>
          <cell r="AL338">
            <v>1</v>
          </cell>
          <cell r="AM338" t="str">
            <v>01.120.20.01.01</v>
          </cell>
          <cell r="AO338">
            <v>0</v>
          </cell>
          <cell r="AQ338">
            <v>0</v>
          </cell>
          <cell r="AS338">
            <v>100</v>
          </cell>
          <cell r="AU338">
            <v>0</v>
          </cell>
          <cell r="AW338">
            <v>0</v>
          </cell>
        </row>
        <row r="339">
          <cell r="B339" t="str">
            <v>1911-A-1</v>
          </cell>
          <cell r="C339" t="str">
            <v>30 LUK BEYAZ GLOP CAM</v>
          </cell>
          <cell r="D339" t="str">
            <v/>
          </cell>
          <cell r="E339" t="str">
            <v/>
          </cell>
          <cell r="F339" t="str">
            <v/>
          </cell>
          <cell r="G339" t="str">
            <v/>
          </cell>
          <cell r="H339" t="str">
            <v>1911-A-1</v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P339" t="str">
            <v>ADET</v>
          </cell>
          <cell r="AF339">
            <v>3</v>
          </cell>
          <cell r="AG339" t="str">
            <v>ADET</v>
          </cell>
          <cell r="AH339">
            <v>60</v>
          </cell>
          <cell r="AI339" t="str">
            <v>TL</v>
          </cell>
          <cell r="AL339">
            <v>0</v>
          </cell>
          <cell r="AM339" t="str">
            <v>1234567151977</v>
          </cell>
          <cell r="AO339">
            <v>0</v>
          </cell>
          <cell r="AQ339">
            <v>0</v>
          </cell>
          <cell r="AS339">
            <v>0</v>
          </cell>
          <cell r="AU339">
            <v>0</v>
          </cell>
          <cell r="AW339">
            <v>0</v>
          </cell>
        </row>
        <row r="340">
          <cell r="B340" t="str">
            <v>H1W6JMG000R-035</v>
          </cell>
          <cell r="C340" t="str">
            <v>ANAVARZA DÖRTLÜ ALTIN APLİK</v>
          </cell>
          <cell r="D340" t="str">
            <v>ANAVARZA QUATERNARY GOLD WALL LAMP</v>
          </cell>
          <cell r="E340" t="str">
            <v>METAL YOK GOLD YOK</v>
          </cell>
          <cell r="F340" t="str">
            <v>9405.11.90.00.00</v>
          </cell>
          <cell r="G340" t="str">
            <v>APLİK</v>
          </cell>
          <cell r="H340" t="str">
            <v>T1W6110000-75</v>
          </cell>
          <cell r="I340" t="str">
            <v>İÇ</v>
          </cell>
          <cell r="J340" t="str">
            <v>APLİK</v>
          </cell>
          <cell r="K340" t="str">
            <v>ANAVARZA</v>
          </cell>
          <cell r="L340" t="str">
            <v/>
          </cell>
          <cell r="M340" t="str">
            <v/>
          </cell>
          <cell r="N340" t="str">
            <v>FD-433</v>
          </cell>
          <cell r="O340" t="str">
            <v>HEKA</v>
          </cell>
          <cell r="P340" t="str">
            <v>ADET</v>
          </cell>
          <cell r="Q340" t="str">
            <v>LED</v>
          </cell>
          <cell r="R340" t="str">
            <v>METAL</v>
          </cell>
          <cell r="S340" t="str">
            <v>GOLD</v>
          </cell>
          <cell r="T340" t="str">
            <v>YOK</v>
          </cell>
          <cell r="U340" t="str">
            <v>YOK</v>
          </cell>
          <cell r="AD340" t="str">
            <v>DAİRE</v>
          </cell>
          <cell r="AF340">
            <v>0</v>
          </cell>
          <cell r="AG340" t="str">
            <v>ADET</v>
          </cell>
          <cell r="AH340">
            <v>310</v>
          </cell>
          <cell r="AI340" t="str">
            <v>CNY</v>
          </cell>
          <cell r="AJ340">
            <v>11305</v>
          </cell>
          <cell r="AK340" t="str">
            <v>TL</v>
          </cell>
          <cell r="AL340">
            <v>1</v>
          </cell>
          <cell r="AM340" t="str">
            <v>8684127504614</v>
          </cell>
          <cell r="AO340">
            <v>0</v>
          </cell>
          <cell r="AQ340">
            <v>76</v>
          </cell>
          <cell r="AR340" t="str">
            <v>CM</v>
          </cell>
          <cell r="AS340">
            <v>16</v>
          </cell>
          <cell r="AT340" t="str">
            <v>CM</v>
          </cell>
          <cell r="AU340">
            <v>0</v>
          </cell>
          <cell r="AW340">
            <v>0</v>
          </cell>
        </row>
        <row r="341">
          <cell r="B341" t="str">
            <v>H1W6JMG000R-034</v>
          </cell>
          <cell r="C341" t="str">
            <v>ANAVARZA TEKLİ ALTIN APLİK</v>
          </cell>
          <cell r="D341" t="str">
            <v>ANAVARZA SINGLE GOLD WALL LAMP</v>
          </cell>
          <cell r="E341" t="str">
            <v>METAL YOK GOLD YOK</v>
          </cell>
          <cell r="F341" t="str">
            <v>9405.11.90.00.00</v>
          </cell>
          <cell r="G341" t="str">
            <v>APLİK</v>
          </cell>
          <cell r="H341" t="str">
            <v>T1W6110000-48</v>
          </cell>
          <cell r="I341" t="str">
            <v>İÇ</v>
          </cell>
          <cell r="J341" t="str">
            <v>APLİK</v>
          </cell>
          <cell r="K341" t="str">
            <v>ANAVARZA</v>
          </cell>
          <cell r="L341" t="str">
            <v/>
          </cell>
          <cell r="M341" t="str">
            <v/>
          </cell>
          <cell r="N341" t="str">
            <v>JD-130</v>
          </cell>
          <cell r="O341" t="str">
            <v>HEKA</v>
          </cell>
          <cell r="P341" t="str">
            <v>ADET</v>
          </cell>
          <cell r="Q341" t="str">
            <v>LED</v>
          </cell>
          <cell r="R341" t="str">
            <v>METAL</v>
          </cell>
          <cell r="S341" t="str">
            <v>GOLD</v>
          </cell>
          <cell r="T341" t="str">
            <v>YOK</v>
          </cell>
          <cell r="U341" t="str">
            <v>YOK</v>
          </cell>
          <cell r="AD341" t="str">
            <v>DAİRE</v>
          </cell>
          <cell r="AE341" t="str">
            <v>01</v>
          </cell>
          <cell r="AF341">
            <v>0</v>
          </cell>
          <cell r="AG341" t="str">
            <v>ADET</v>
          </cell>
          <cell r="AH341">
            <v>250</v>
          </cell>
          <cell r="AI341" t="str">
            <v>CNY</v>
          </cell>
          <cell r="AJ341">
            <v>3850</v>
          </cell>
          <cell r="AK341" t="str">
            <v>TL</v>
          </cell>
          <cell r="AL341">
            <v>1</v>
          </cell>
          <cell r="AM341" t="str">
            <v>8684127501422</v>
          </cell>
          <cell r="AO341">
            <v>0</v>
          </cell>
          <cell r="AQ341">
            <v>48</v>
          </cell>
          <cell r="AR341" t="str">
            <v>CM</v>
          </cell>
          <cell r="AS341">
            <v>16</v>
          </cell>
          <cell r="AT341" t="str">
            <v>CM</v>
          </cell>
          <cell r="AU341">
            <v>0</v>
          </cell>
          <cell r="AW341">
            <v>0</v>
          </cell>
        </row>
        <row r="342">
          <cell r="B342" t="str">
            <v>H1W6LRGJRS0-050</v>
          </cell>
          <cell r="C342" t="str">
            <v>GÖREME APLİK 50cm</v>
          </cell>
          <cell r="D342" t="str">
            <v>GÖREME WALL LAMP 50cm</v>
          </cell>
          <cell r="E342" t="str">
            <v>PLEKSİ METAL GRİ SİYAH</v>
          </cell>
          <cell r="F342" t="str">
            <v>9405.11.40.00.00</v>
          </cell>
          <cell r="G342" t="str">
            <v>APLİK</v>
          </cell>
          <cell r="H342" t="str">
            <v>T1W6811400-50</v>
          </cell>
          <cell r="I342" t="str">
            <v>İÇ</v>
          </cell>
          <cell r="J342" t="str">
            <v>APLİK</v>
          </cell>
          <cell r="K342" t="str">
            <v>GÖREME</v>
          </cell>
          <cell r="L342" t="str">
            <v/>
          </cell>
          <cell r="M342" t="str">
            <v/>
          </cell>
          <cell r="N342" t="str">
            <v>HKA-24109</v>
          </cell>
          <cell r="O342" t="str">
            <v>HEKA</v>
          </cell>
          <cell r="P342" t="str">
            <v>ADET</v>
          </cell>
          <cell r="Q342" t="str">
            <v>LED</v>
          </cell>
          <cell r="R342" t="str">
            <v>PLEKSİ</v>
          </cell>
          <cell r="S342" t="str">
            <v>GRİ</v>
          </cell>
          <cell r="T342" t="str">
            <v>METAL</v>
          </cell>
          <cell r="U342" t="str">
            <v>SİYAH</v>
          </cell>
          <cell r="Z342" t="str">
            <v>3000 K</v>
          </cell>
          <cell r="AD342" t="str">
            <v>N/A</v>
          </cell>
          <cell r="AF342">
            <v>70</v>
          </cell>
          <cell r="AG342" t="str">
            <v>ADET</v>
          </cell>
          <cell r="AH342">
            <v>95</v>
          </cell>
          <cell r="AI342" t="str">
            <v>CNY</v>
          </cell>
          <cell r="AJ342">
            <v>7980</v>
          </cell>
          <cell r="AK342" t="str">
            <v>TL</v>
          </cell>
          <cell r="AL342">
            <v>1</v>
          </cell>
          <cell r="AM342" t="str">
            <v>8684127506649</v>
          </cell>
          <cell r="AO342">
            <v>0</v>
          </cell>
          <cell r="AQ342">
            <v>47</v>
          </cell>
          <cell r="AR342" t="str">
            <v>CM</v>
          </cell>
          <cell r="AS342">
            <v>10</v>
          </cell>
          <cell r="AT342" t="str">
            <v>CM</v>
          </cell>
          <cell r="AU342">
            <v>0</v>
          </cell>
          <cell r="AW342">
            <v>0</v>
          </cell>
        </row>
        <row r="343">
          <cell r="B343" t="str">
            <v>H1S5JMRLCT0-074</v>
          </cell>
          <cell r="C343" t="str">
            <v>KOZA ÜÇLÜ ESKİTME APLİK</v>
          </cell>
          <cell r="D343" t="str">
            <v>KOZA TRIPLE BRASS WALL LAMP</v>
          </cell>
          <cell r="E343" t="str">
            <v xml:space="preserve">METAL PLEKSİ KOYU ESKİTME SOFT   </v>
          </cell>
          <cell r="F343" t="str">
            <v>9405.19.90.00.00</v>
          </cell>
          <cell r="G343" t="str">
            <v>APLİK</v>
          </cell>
          <cell r="H343" t="str">
            <v>T1S5A38400-03</v>
          </cell>
          <cell r="I343" t="str">
            <v>İÇ</v>
          </cell>
          <cell r="J343" t="str">
            <v>APLİK</v>
          </cell>
          <cell r="K343" t="str">
            <v>KOZA</v>
          </cell>
          <cell r="L343" t="str">
            <v/>
          </cell>
          <cell r="M343" t="str">
            <v>30.03.2026</v>
          </cell>
          <cell r="N343" t="str">
            <v>HKA-24110</v>
          </cell>
          <cell r="O343" t="str">
            <v>HEKA</v>
          </cell>
          <cell r="P343" t="str">
            <v>ADET</v>
          </cell>
          <cell r="Q343" t="str">
            <v>GU10</v>
          </cell>
          <cell r="R343" t="str">
            <v>METAL</v>
          </cell>
          <cell r="S343" t="str">
            <v>KOYU ESKİTME</v>
          </cell>
          <cell r="T343" t="str">
            <v>PLEKSİ</v>
          </cell>
          <cell r="U343" t="str">
            <v>SOFT</v>
          </cell>
          <cell r="AD343" t="str">
            <v>N/A</v>
          </cell>
          <cell r="AE343" t="str">
            <v>03</v>
          </cell>
          <cell r="AF343">
            <v>7</v>
          </cell>
          <cell r="AG343" t="str">
            <v>ADET</v>
          </cell>
          <cell r="AH343">
            <v>61</v>
          </cell>
          <cell r="AI343" t="str">
            <v>CNY</v>
          </cell>
          <cell r="AJ343">
            <v>5355</v>
          </cell>
          <cell r="AK343" t="str">
            <v>TL</v>
          </cell>
          <cell r="AL343">
            <v>1</v>
          </cell>
          <cell r="AM343" t="str">
            <v>8684127506656</v>
          </cell>
          <cell r="AO343">
            <v>0</v>
          </cell>
          <cell r="AQ343">
            <v>12</v>
          </cell>
          <cell r="AR343" t="str">
            <v>CM</v>
          </cell>
          <cell r="AS343">
            <v>22</v>
          </cell>
          <cell r="AT343" t="str">
            <v>CM</v>
          </cell>
          <cell r="AU343">
            <v>0</v>
          </cell>
          <cell r="AW343">
            <v>0</v>
          </cell>
        </row>
        <row r="344">
          <cell r="B344" t="str">
            <v>H1S5JMRLCT0-100</v>
          </cell>
          <cell r="C344" t="str">
            <v>KOZA DÖRTLÜ ESKİTME APLİK</v>
          </cell>
          <cell r="D344" t="str">
            <v>KOZA QUATERNARY BRASS WALL LAMP</v>
          </cell>
          <cell r="E344" t="str">
            <v xml:space="preserve">METAL PLEKSİ KOYU ESKİTME SOFT   </v>
          </cell>
          <cell r="F344" t="str">
            <v>9405.19.90.00.00</v>
          </cell>
          <cell r="G344" t="str">
            <v>APLİK</v>
          </cell>
          <cell r="H344" t="str">
            <v>T1S5A38400-04</v>
          </cell>
          <cell r="I344" t="str">
            <v>İÇ</v>
          </cell>
          <cell r="J344" t="str">
            <v>APLİK</v>
          </cell>
          <cell r="K344" t="str">
            <v>KOZA</v>
          </cell>
          <cell r="L344" t="str">
            <v/>
          </cell>
          <cell r="M344" t="str">
            <v>30.03.2026</v>
          </cell>
          <cell r="N344" t="str">
            <v>HK20044</v>
          </cell>
          <cell r="O344" t="str">
            <v>HEKA</v>
          </cell>
          <cell r="P344" t="str">
            <v>ADET</v>
          </cell>
          <cell r="Q344" t="str">
            <v>GU10</v>
          </cell>
          <cell r="R344" t="str">
            <v>METAL</v>
          </cell>
          <cell r="S344" t="str">
            <v>KOYU ESKİTME</v>
          </cell>
          <cell r="T344" t="str">
            <v>PLEKSİ</v>
          </cell>
          <cell r="U344" t="str">
            <v>SOFT</v>
          </cell>
          <cell r="AD344" t="str">
            <v>N/A</v>
          </cell>
          <cell r="AE344" t="str">
            <v>04</v>
          </cell>
          <cell r="AF344">
            <v>21</v>
          </cell>
          <cell r="AG344" t="str">
            <v>ADET</v>
          </cell>
          <cell r="AH344">
            <v>78</v>
          </cell>
          <cell r="AI344" t="str">
            <v>CNY</v>
          </cell>
          <cell r="AJ344">
            <v>7395</v>
          </cell>
          <cell r="AK344" t="str">
            <v>TL</v>
          </cell>
          <cell r="AL344">
            <v>1</v>
          </cell>
          <cell r="AM344" t="str">
            <v>8684127502276</v>
          </cell>
          <cell r="AO344">
            <v>0</v>
          </cell>
          <cell r="AQ344">
            <v>12</v>
          </cell>
          <cell r="AR344" t="str">
            <v>CM</v>
          </cell>
          <cell r="AS344">
            <v>22</v>
          </cell>
          <cell r="AT344" t="str">
            <v>CM</v>
          </cell>
          <cell r="AU344">
            <v>0</v>
          </cell>
          <cell r="AW344">
            <v>0</v>
          </cell>
        </row>
        <row r="345">
          <cell r="B345" t="str">
            <v>H1C6JMGBCSR-020</v>
          </cell>
          <cell r="C345" t="str">
            <v>CENEVİZ TEKLİ AKRİLİK SARKIT</v>
          </cell>
          <cell r="D345" t="str">
            <v>CENEVİZ SINGLE ACRYLIC PENDANT</v>
          </cell>
          <cell r="E345" t="str">
            <v xml:space="preserve">METAL AKRİLİK GOLD ŞEFFAF   </v>
          </cell>
          <cell r="F345" t="str">
            <v>9405.11.90.00.00</v>
          </cell>
          <cell r="G345" t="str">
            <v>AVİZE</v>
          </cell>
          <cell r="H345" t="str">
            <v>T1A6126300-48</v>
          </cell>
          <cell r="I345" t="str">
            <v>İÇ</v>
          </cell>
          <cell r="J345" t="str">
            <v>AVİZE.SARK</v>
          </cell>
          <cell r="K345" t="str">
            <v>CENEVİZ</v>
          </cell>
          <cell r="L345" t="str">
            <v/>
          </cell>
          <cell r="M345" t="str">
            <v/>
          </cell>
          <cell r="N345" t="str">
            <v>D9951-1</v>
          </cell>
          <cell r="O345" t="str">
            <v>HEKA</v>
          </cell>
          <cell r="P345" t="str">
            <v>ADET</v>
          </cell>
          <cell r="Q345" t="str">
            <v>LED</v>
          </cell>
          <cell r="R345" t="str">
            <v>METAL</v>
          </cell>
          <cell r="S345" t="str">
            <v>GOLD</v>
          </cell>
          <cell r="T345" t="str">
            <v>AKRİLİK</v>
          </cell>
          <cell r="U345" t="str">
            <v>ŞEFFAF</v>
          </cell>
          <cell r="AD345" t="str">
            <v>DAİRE</v>
          </cell>
          <cell r="AF345">
            <v>1</v>
          </cell>
          <cell r="AG345" t="str">
            <v>ADET</v>
          </cell>
          <cell r="AH345">
            <v>102</v>
          </cell>
          <cell r="AI345" t="str">
            <v>CNY</v>
          </cell>
          <cell r="AJ345">
            <v>2950</v>
          </cell>
          <cell r="AK345" t="str">
            <v>TL</v>
          </cell>
          <cell r="AL345">
            <v>1</v>
          </cell>
          <cell r="AM345" t="str">
            <v>8684127501781</v>
          </cell>
          <cell r="AO345">
            <v>0</v>
          </cell>
          <cell r="AQ345">
            <v>48</v>
          </cell>
          <cell r="AR345" t="str">
            <v>CM</v>
          </cell>
          <cell r="AS345">
            <v>21</v>
          </cell>
          <cell r="AT345" t="str">
            <v>CM</v>
          </cell>
          <cell r="AU345">
            <v>0</v>
          </cell>
          <cell r="AW345">
            <v>0</v>
          </cell>
        </row>
        <row r="346">
          <cell r="B346" t="str">
            <v>H1C6JMGBCSR-150</v>
          </cell>
          <cell r="C346" t="str">
            <v>CENEVİZ AKRİLİK YEMEK MASASI AVİZE</v>
          </cell>
          <cell r="D346" t="str">
            <v>CENEVİZ ACRYLIC DINNING TABLE CHANDELIER</v>
          </cell>
          <cell r="E346" t="str">
            <v xml:space="preserve">METAL AKRİLİK GOLD ŞEFFAF   </v>
          </cell>
          <cell r="F346" t="str">
            <v>9405.11.90.00.00</v>
          </cell>
          <cell r="G346" t="str">
            <v>AVİZE</v>
          </cell>
          <cell r="H346" t="str">
            <v>T1A6126300-90</v>
          </cell>
          <cell r="I346" t="str">
            <v>İÇ</v>
          </cell>
          <cell r="J346" t="str">
            <v>AVİZE.SARK</v>
          </cell>
          <cell r="K346" t="str">
            <v>CENEVİZ</v>
          </cell>
          <cell r="L346" t="str">
            <v/>
          </cell>
          <cell r="M346" t="str">
            <v/>
          </cell>
          <cell r="N346" t="str">
            <v>D9951-900L</v>
          </cell>
          <cell r="O346" t="str">
            <v>HEKA</v>
          </cell>
          <cell r="P346" t="str">
            <v>ADET</v>
          </cell>
          <cell r="Q346" t="str">
            <v>LED</v>
          </cell>
          <cell r="R346" t="str">
            <v>METAL</v>
          </cell>
          <cell r="S346" t="str">
            <v>GOLD</v>
          </cell>
          <cell r="T346" t="str">
            <v>AKRİLİK</v>
          </cell>
          <cell r="U346" t="str">
            <v>ŞEFFAF</v>
          </cell>
          <cell r="AD346" t="str">
            <v>DAİRE</v>
          </cell>
          <cell r="AE346" t="str">
            <v>01</v>
          </cell>
          <cell r="AF346">
            <v>0</v>
          </cell>
          <cell r="AG346" t="str">
            <v>ADET</v>
          </cell>
          <cell r="AH346">
            <v>204</v>
          </cell>
          <cell r="AI346" t="str">
            <v>CNY</v>
          </cell>
          <cell r="AJ346">
            <v>2608</v>
          </cell>
          <cell r="AK346" t="str">
            <v>TL</v>
          </cell>
          <cell r="AL346">
            <v>1</v>
          </cell>
          <cell r="AM346" t="str">
            <v>8684127501798</v>
          </cell>
          <cell r="AO346">
            <v>0</v>
          </cell>
          <cell r="AQ346">
            <v>18</v>
          </cell>
          <cell r="AR346" t="str">
            <v>CM</v>
          </cell>
          <cell r="AS346">
            <v>18</v>
          </cell>
          <cell r="AT346" t="str">
            <v>CM</v>
          </cell>
          <cell r="AU346">
            <v>0</v>
          </cell>
          <cell r="AW346">
            <v>0</v>
          </cell>
        </row>
        <row r="347">
          <cell r="B347" t="str">
            <v>H1W6JMEBCT0-080</v>
          </cell>
          <cell r="C347" t="str">
            <v>LİVAS AKRİLİK APLİK</v>
          </cell>
          <cell r="D347" t="str">
            <v>LİVAS ACRYLIC WALL LAMP</v>
          </cell>
          <cell r="E347" t="str">
            <v>METAL AKRİLİK ESKİTME SOFT</v>
          </cell>
          <cell r="F347" t="str">
            <v>9405.11.40.00.00</v>
          </cell>
          <cell r="G347" t="str">
            <v>APLİK</v>
          </cell>
          <cell r="H347" t="str">
            <v>T1W6116300-80</v>
          </cell>
          <cell r="I347" t="str">
            <v>İÇ</v>
          </cell>
          <cell r="J347" t="str">
            <v>APLİK</v>
          </cell>
          <cell r="K347" t="str">
            <v>LİVAS</v>
          </cell>
          <cell r="L347" t="str">
            <v/>
          </cell>
          <cell r="M347" t="str">
            <v/>
          </cell>
          <cell r="N347" t="str">
            <v>W2038</v>
          </cell>
          <cell r="O347" t="str">
            <v>HEKA</v>
          </cell>
          <cell r="P347" t="str">
            <v>ADET</v>
          </cell>
          <cell r="Q347" t="str">
            <v>LED</v>
          </cell>
          <cell r="R347" t="str">
            <v>METAL</v>
          </cell>
          <cell r="S347" t="str">
            <v>ESKİTME</v>
          </cell>
          <cell r="T347" t="str">
            <v>AKRİLİK</v>
          </cell>
          <cell r="U347" t="str">
            <v>SOFT</v>
          </cell>
          <cell r="AD347" t="str">
            <v>N/A</v>
          </cell>
          <cell r="AE347" t="str">
            <v>01</v>
          </cell>
          <cell r="AF347">
            <v>0</v>
          </cell>
          <cell r="AG347" t="str">
            <v>ADET</v>
          </cell>
          <cell r="AH347">
            <v>350</v>
          </cell>
          <cell r="AI347" t="str">
            <v>TL</v>
          </cell>
          <cell r="AJ347">
            <v>10115</v>
          </cell>
          <cell r="AK347" t="str">
            <v>TL</v>
          </cell>
          <cell r="AL347">
            <v>1</v>
          </cell>
          <cell r="AM347" t="str">
            <v>8684127509183</v>
          </cell>
          <cell r="AO347">
            <v>0</v>
          </cell>
          <cell r="AQ347">
            <v>0</v>
          </cell>
          <cell r="AR347" t="str">
            <v>CM</v>
          </cell>
          <cell r="AS347">
            <v>0</v>
          </cell>
          <cell r="AT347" t="str">
            <v>CM</v>
          </cell>
          <cell r="AU347">
            <v>0</v>
          </cell>
          <cell r="AW347">
            <v>0</v>
          </cell>
        </row>
        <row r="348">
          <cell r="B348" t="str">
            <v>H1C6JMEBCT0-130</v>
          </cell>
          <cell r="C348" t="str">
            <v>LİVAS AKRİLİK YEMEK MASASI SARKIT</v>
          </cell>
          <cell r="D348" t="str">
            <v>LİVAS DINNING TABLE ACRYLIC PENDANT</v>
          </cell>
          <cell r="E348" t="str">
            <v xml:space="preserve">METAL AKRİLİK ESKİTME SOFT   </v>
          </cell>
          <cell r="F348" t="str">
            <v>9405.11.90.00.00</v>
          </cell>
          <cell r="G348" t="str">
            <v>AVİZE</v>
          </cell>
          <cell r="H348" t="str">
            <v>T1A6116300-01</v>
          </cell>
          <cell r="I348" t="str">
            <v>İÇ</v>
          </cell>
          <cell r="J348" t="str">
            <v>AVİZE.SARK</v>
          </cell>
          <cell r="K348" t="str">
            <v>LİVAS</v>
          </cell>
          <cell r="L348" t="str">
            <v/>
          </cell>
          <cell r="M348" t="str">
            <v/>
          </cell>
          <cell r="N348" t="str">
            <v>NP2038-H</v>
          </cell>
          <cell r="O348" t="str">
            <v>HEKA</v>
          </cell>
          <cell r="P348" t="str">
            <v>ADET</v>
          </cell>
          <cell r="Q348" t="str">
            <v>LED</v>
          </cell>
          <cell r="R348" t="str">
            <v>METAL</v>
          </cell>
          <cell r="S348" t="str">
            <v>ESKİTME</v>
          </cell>
          <cell r="T348" t="str">
            <v>AKRİLİK</v>
          </cell>
          <cell r="U348" t="str">
            <v>SOFT</v>
          </cell>
          <cell r="AD348" t="str">
            <v>N/A</v>
          </cell>
          <cell r="AE348" t="str">
            <v>01</v>
          </cell>
          <cell r="AF348">
            <v>0</v>
          </cell>
          <cell r="AG348" t="str">
            <v>ADET</v>
          </cell>
          <cell r="AH348">
            <v>510</v>
          </cell>
          <cell r="AI348" t="str">
            <v>TL</v>
          </cell>
          <cell r="AJ348">
            <v>5750</v>
          </cell>
          <cell r="AK348" t="str">
            <v>TL</v>
          </cell>
          <cell r="AL348">
            <v>1</v>
          </cell>
          <cell r="AM348" t="str">
            <v>8684127508919</v>
          </cell>
          <cell r="AO348">
            <v>0</v>
          </cell>
          <cell r="AQ348">
            <v>0</v>
          </cell>
          <cell r="AR348" t="str">
            <v>CM</v>
          </cell>
          <cell r="AS348">
            <v>0</v>
          </cell>
          <cell r="AT348" t="str">
            <v>CM</v>
          </cell>
          <cell r="AU348">
            <v>0</v>
          </cell>
          <cell r="AW348">
            <v>0</v>
          </cell>
        </row>
        <row r="349">
          <cell r="B349" t="str">
            <v>H1S5CRB000T-090</v>
          </cell>
          <cell r="C349" t="str">
            <v>BELLA BEYAZ TIRTIKLI SPOT 60X90 mm</v>
          </cell>
          <cell r="D349" t="str">
            <v>BELLA WHITE SERRATED SPOTLIGHT 60X90 mm</v>
          </cell>
          <cell r="E349" t="str">
            <v xml:space="preserve">ALUMİNYUM YOK BEYAZ YOK   </v>
          </cell>
          <cell r="F349" t="str">
            <v>9405.19.90.00.00</v>
          </cell>
          <cell r="G349" t="str">
            <v>TEKNİK</v>
          </cell>
          <cell r="H349" t="str">
            <v>T1S5A100T0-09</v>
          </cell>
          <cell r="I349" t="str">
            <v>İÇ</v>
          </cell>
          <cell r="J349" t="str">
            <v>TEKNİK</v>
          </cell>
          <cell r="K349" t="str">
            <v>BELLA</v>
          </cell>
          <cell r="L349" t="str">
            <v/>
          </cell>
          <cell r="M349" t="str">
            <v/>
          </cell>
          <cell r="N349" t="str">
            <v>BELLA-2</v>
          </cell>
          <cell r="O349" t="str">
            <v>HEKA</v>
          </cell>
          <cell r="P349" t="str">
            <v>ADET</v>
          </cell>
          <cell r="Q349" t="str">
            <v>GU10</v>
          </cell>
          <cell r="R349" t="str">
            <v>ALUMİNYUM</v>
          </cell>
          <cell r="S349" t="str">
            <v>BEYAZ</v>
          </cell>
          <cell r="T349" t="str">
            <v>YOK</v>
          </cell>
          <cell r="U349" t="str">
            <v>YOK</v>
          </cell>
          <cell r="AD349" t="str">
            <v>TIRTIKLI</v>
          </cell>
          <cell r="AE349" t="str">
            <v>01</v>
          </cell>
          <cell r="AF349">
            <v>28</v>
          </cell>
          <cell r="AG349" t="str">
            <v>ADET</v>
          </cell>
          <cell r="AH349">
            <v>19.5</v>
          </cell>
          <cell r="AI349" t="str">
            <v>CNY</v>
          </cell>
          <cell r="AJ349">
            <v>1550</v>
          </cell>
          <cell r="AK349" t="str">
            <v>TL</v>
          </cell>
          <cell r="AL349">
            <v>1</v>
          </cell>
          <cell r="AM349" t="str">
            <v>8684127501132</v>
          </cell>
          <cell r="AO349">
            <v>0</v>
          </cell>
          <cell r="AQ349">
            <v>16</v>
          </cell>
          <cell r="AR349" t="str">
            <v>CM</v>
          </cell>
          <cell r="AS349">
            <v>28</v>
          </cell>
          <cell r="AT349" t="str">
            <v>CM</v>
          </cell>
          <cell r="AU349">
            <v>0</v>
          </cell>
          <cell r="AW349">
            <v>0</v>
          </cell>
        </row>
        <row r="350">
          <cell r="B350" t="str">
            <v>H1S5CRS000L-090</v>
          </cell>
          <cell r="C350" t="str">
            <v>BELLA SİYAH DÜZ SPOT 60X90 mm</v>
          </cell>
          <cell r="D350" t="str">
            <v>BELLA BLACK PLAIN SPOTLIGHT 60X90 mm</v>
          </cell>
          <cell r="E350" t="str">
            <v xml:space="preserve">ALUMİNYUM YOK SİYAH YOK   </v>
          </cell>
          <cell r="F350" t="str">
            <v>9405.19.90.00.00</v>
          </cell>
          <cell r="G350" t="str">
            <v>TEKNİK</v>
          </cell>
          <cell r="H350" t="str">
            <v>T1S5A200X0-09</v>
          </cell>
          <cell r="I350" t="str">
            <v>İÇ</v>
          </cell>
          <cell r="J350" t="str">
            <v>TEKNİK</v>
          </cell>
          <cell r="K350" t="str">
            <v>BELLA</v>
          </cell>
          <cell r="L350" t="str">
            <v/>
          </cell>
          <cell r="M350" t="str">
            <v/>
          </cell>
          <cell r="N350" t="str">
            <v xml:space="preserve">BELLA-3 </v>
          </cell>
          <cell r="O350" t="str">
            <v>HEKA</v>
          </cell>
          <cell r="P350" t="str">
            <v>ADET</v>
          </cell>
          <cell r="Q350" t="str">
            <v>GU10</v>
          </cell>
          <cell r="R350" t="str">
            <v>ALUMİNYUM</v>
          </cell>
          <cell r="S350" t="str">
            <v>SİYAH</v>
          </cell>
          <cell r="T350" t="str">
            <v>YOK</v>
          </cell>
          <cell r="U350" t="str">
            <v>YOK</v>
          </cell>
          <cell r="AD350" t="str">
            <v>DÜZ</v>
          </cell>
          <cell r="AE350" t="str">
            <v>01</v>
          </cell>
          <cell r="AF350">
            <v>158</v>
          </cell>
          <cell r="AG350" t="str">
            <v>ADET</v>
          </cell>
          <cell r="AH350">
            <v>19.5</v>
          </cell>
          <cell r="AI350" t="str">
            <v>CNY</v>
          </cell>
          <cell r="AJ350">
            <v>1249</v>
          </cell>
          <cell r="AK350" t="str">
            <v>TL</v>
          </cell>
          <cell r="AL350">
            <v>1</v>
          </cell>
          <cell r="AM350" t="str">
            <v>8684127500951</v>
          </cell>
          <cell r="AO350">
            <v>0</v>
          </cell>
          <cell r="AQ350">
            <v>16</v>
          </cell>
          <cell r="AR350" t="str">
            <v>CM</v>
          </cell>
          <cell r="AS350">
            <v>28</v>
          </cell>
          <cell r="AT350" t="str">
            <v>CM</v>
          </cell>
          <cell r="AU350">
            <v>0</v>
          </cell>
          <cell r="AW350">
            <v>0</v>
          </cell>
        </row>
        <row r="351">
          <cell r="B351" t="str">
            <v>H1S5CRS000T-210</v>
          </cell>
          <cell r="C351" t="str">
            <v>EVA SİYAH TIRTIKLI SPOT 60X210 mm</v>
          </cell>
          <cell r="D351" t="str">
            <v>EVA BLACK SERRATED SPOTLIGHT 60X210 mm</v>
          </cell>
          <cell r="E351" t="str">
            <v xml:space="preserve">ALUMİNYUM YOK SİYAH YOK   </v>
          </cell>
          <cell r="F351" t="str">
            <v>9405.19.90.00.00</v>
          </cell>
          <cell r="G351" t="str">
            <v>TEKNİK</v>
          </cell>
          <cell r="H351" t="str">
            <v>T1S5A200T0-21</v>
          </cell>
          <cell r="I351" t="str">
            <v>İÇ</v>
          </cell>
          <cell r="J351" t="str">
            <v>TEKNİK</v>
          </cell>
          <cell r="K351" t="str">
            <v>EVA</v>
          </cell>
          <cell r="L351" t="str">
            <v/>
          </cell>
          <cell r="M351" t="str">
            <v/>
          </cell>
          <cell r="N351" t="str">
            <v>EVA-4</v>
          </cell>
          <cell r="O351" t="str">
            <v>HEKA</v>
          </cell>
          <cell r="P351" t="str">
            <v>ADET</v>
          </cell>
          <cell r="Q351" t="str">
            <v>GU10</v>
          </cell>
          <cell r="R351" t="str">
            <v>ALUMİNYUM</v>
          </cell>
          <cell r="S351" t="str">
            <v>SİYAH</v>
          </cell>
          <cell r="T351" t="str">
            <v>YOK</v>
          </cell>
          <cell r="U351" t="str">
            <v>YOK</v>
          </cell>
          <cell r="AD351" t="str">
            <v>TIRTIKLI</v>
          </cell>
          <cell r="AE351" t="str">
            <v>01</v>
          </cell>
          <cell r="AF351">
            <v>169</v>
          </cell>
          <cell r="AG351" t="str">
            <v>ADET</v>
          </cell>
          <cell r="AH351">
            <v>24.5</v>
          </cell>
          <cell r="AI351" t="str">
            <v>CNY</v>
          </cell>
          <cell r="AJ351">
            <v>2640</v>
          </cell>
          <cell r="AK351" t="str">
            <v>TL</v>
          </cell>
          <cell r="AL351">
            <v>1</v>
          </cell>
          <cell r="AM351" t="str">
            <v>8684127500920</v>
          </cell>
          <cell r="AO351">
            <v>0</v>
          </cell>
          <cell r="AQ351">
            <v>210</v>
          </cell>
          <cell r="AR351" t="str">
            <v>CM</v>
          </cell>
          <cell r="AS351">
            <v>60</v>
          </cell>
          <cell r="AT351" t="str">
            <v>CM</v>
          </cell>
          <cell r="AU351">
            <v>0</v>
          </cell>
          <cell r="AW351">
            <v>0</v>
          </cell>
        </row>
        <row r="352">
          <cell r="B352" t="str">
            <v>H1W6JMEWRBR-025</v>
          </cell>
          <cell r="C352" t="str">
            <v>KAMPALA MERMER APLİK 25cm</v>
          </cell>
          <cell r="D352" t="str">
            <v>KAMPALA MARBLE WALL LAMP 25cm</v>
          </cell>
          <cell r="E352" t="str">
            <v>METAL MERMER ESKİTME BEYAZ</v>
          </cell>
          <cell r="F352" t="str">
            <v>9405.11.90.00.00</v>
          </cell>
          <cell r="G352" t="str">
            <v>APLİK</v>
          </cell>
          <cell r="H352" t="str">
            <v>T1W6311100-25</v>
          </cell>
          <cell r="I352" t="str">
            <v>İÇ</v>
          </cell>
          <cell r="J352" t="str">
            <v>APLİK</v>
          </cell>
          <cell r="K352" t="str">
            <v>KAMPALA</v>
          </cell>
          <cell r="L352" t="str">
            <v/>
          </cell>
          <cell r="M352" t="str">
            <v/>
          </cell>
          <cell r="N352" t="str">
            <v>HKA-24105</v>
          </cell>
          <cell r="O352" t="str">
            <v>HEKA</v>
          </cell>
          <cell r="P352" t="str">
            <v>ADET</v>
          </cell>
          <cell r="Q352" t="str">
            <v>LED</v>
          </cell>
          <cell r="R352" t="str">
            <v>METAL</v>
          </cell>
          <cell r="S352" t="str">
            <v>ESKİTME</v>
          </cell>
          <cell r="T352" t="str">
            <v>MERMER</v>
          </cell>
          <cell r="U352" t="str">
            <v>BEYAZ</v>
          </cell>
          <cell r="AD352" t="str">
            <v>DAİRE</v>
          </cell>
          <cell r="AF352">
            <v>49</v>
          </cell>
          <cell r="AG352" t="str">
            <v>ADET</v>
          </cell>
          <cell r="AH352">
            <v>113</v>
          </cell>
          <cell r="AI352" t="str">
            <v>CNY</v>
          </cell>
          <cell r="AJ352">
            <v>7910</v>
          </cell>
          <cell r="AK352" t="str">
            <v>TL</v>
          </cell>
          <cell r="AL352">
            <v>1</v>
          </cell>
          <cell r="AM352" t="str">
            <v>8684127502122</v>
          </cell>
          <cell r="AO352">
            <v>0</v>
          </cell>
          <cell r="AQ352">
            <v>0</v>
          </cell>
          <cell r="AR352" t="str">
            <v>CM</v>
          </cell>
          <cell r="AS352">
            <v>0</v>
          </cell>
          <cell r="AT352" t="str">
            <v>CM</v>
          </cell>
          <cell r="AU352">
            <v>0</v>
          </cell>
          <cell r="AW352">
            <v>0</v>
          </cell>
        </row>
        <row r="353">
          <cell r="B353" t="str">
            <v>H1W2JM3ECS0-060</v>
          </cell>
          <cell r="C353" t="str">
            <v>SÜMELA MAT KROM APLİK 60cm</v>
          </cell>
          <cell r="D353" t="str">
            <v>SÜMELA BRUSHED CHROME WALL LAMP 60cm</v>
          </cell>
          <cell r="E353" t="str">
            <v>METAL CAM MAT KROM ŞEFFAF</v>
          </cell>
          <cell r="F353" t="str">
            <v>9405.19.90.00.00</v>
          </cell>
          <cell r="G353" t="str">
            <v>APLİK</v>
          </cell>
          <cell r="H353" t="str">
            <v>H1W1162400-60</v>
          </cell>
          <cell r="I353" t="str">
            <v>İÇ</v>
          </cell>
          <cell r="J353" t="str">
            <v>APLİK</v>
          </cell>
          <cell r="K353" t="str">
            <v>SÜMELA</v>
          </cell>
          <cell r="L353" t="str">
            <v/>
          </cell>
          <cell r="M353" t="str">
            <v/>
          </cell>
          <cell r="N353" t="str">
            <v>FZ1023-CH-60</v>
          </cell>
          <cell r="O353" t="str">
            <v>HEKA</v>
          </cell>
          <cell r="P353" t="str">
            <v>ADET</v>
          </cell>
          <cell r="Q353" t="str">
            <v>E14</v>
          </cell>
          <cell r="R353" t="str">
            <v>METAL</v>
          </cell>
          <cell r="S353" t="str">
            <v>MAT KROM</v>
          </cell>
          <cell r="T353" t="str">
            <v>CAM</v>
          </cell>
          <cell r="U353" t="str">
            <v>ŞEFFAF</v>
          </cell>
          <cell r="AD353" t="str">
            <v>N/A</v>
          </cell>
          <cell r="AE353" t="str">
            <v>03</v>
          </cell>
          <cell r="AF353">
            <v>0</v>
          </cell>
          <cell r="AG353" t="str">
            <v>ADET</v>
          </cell>
          <cell r="AH353">
            <v>350</v>
          </cell>
          <cell r="AI353" t="str">
            <v>TL</v>
          </cell>
          <cell r="AJ353">
            <v>6256</v>
          </cell>
          <cell r="AK353" t="str">
            <v>TL</v>
          </cell>
          <cell r="AL353">
            <v>1</v>
          </cell>
          <cell r="AM353" t="str">
            <v>8684127502962</v>
          </cell>
          <cell r="AO353">
            <v>0</v>
          </cell>
          <cell r="AQ353">
            <v>0</v>
          </cell>
          <cell r="AR353" t="str">
            <v>CM</v>
          </cell>
          <cell r="AS353">
            <v>0</v>
          </cell>
          <cell r="AT353" t="str">
            <v>CM</v>
          </cell>
          <cell r="AU353">
            <v>0</v>
          </cell>
          <cell r="AW353">
            <v>0</v>
          </cell>
        </row>
        <row r="354">
          <cell r="B354" t="str">
            <v>H1W2JMEECS0-040</v>
          </cell>
          <cell r="C354" t="str">
            <v>SÜMELA ESKİTME APLİK 40cm</v>
          </cell>
          <cell r="D354" t="str">
            <v>SÜMELA BRUSHED BRASS WALL LAMP 40cm</v>
          </cell>
          <cell r="E354" t="str">
            <v>METAL CAM ESKİTME ŞEFFAF</v>
          </cell>
          <cell r="F354" t="str">
            <v>9405.19.90.00.00</v>
          </cell>
          <cell r="G354" t="str">
            <v>APLİK</v>
          </cell>
          <cell r="H354" t="str">
            <v>H1W1112400-40</v>
          </cell>
          <cell r="I354" t="str">
            <v>İÇ</v>
          </cell>
          <cell r="J354" t="str">
            <v>APLİK</v>
          </cell>
          <cell r="K354" t="str">
            <v>SÜMELA</v>
          </cell>
          <cell r="L354" t="str">
            <v>Ç</v>
          </cell>
          <cell r="M354" t="str">
            <v>ÜRTM:15GÜN</v>
          </cell>
          <cell r="N354" t="str">
            <v>HKA-24073</v>
          </cell>
          <cell r="O354" t="str">
            <v>HEKA</v>
          </cell>
          <cell r="P354" t="str">
            <v>ADET</v>
          </cell>
          <cell r="Q354" t="str">
            <v>E14</v>
          </cell>
          <cell r="R354" t="str">
            <v>METAL</v>
          </cell>
          <cell r="S354" t="str">
            <v>ESKİTME</v>
          </cell>
          <cell r="T354" t="str">
            <v>CAM</v>
          </cell>
          <cell r="U354" t="str">
            <v>ŞEFFAF</v>
          </cell>
          <cell r="AD354" t="str">
            <v>N/A</v>
          </cell>
          <cell r="AE354" t="str">
            <v>03</v>
          </cell>
          <cell r="AF354">
            <v>6</v>
          </cell>
          <cell r="AG354" t="str">
            <v>ADET</v>
          </cell>
          <cell r="AH354">
            <v>85</v>
          </cell>
          <cell r="AI354" t="str">
            <v>CNY</v>
          </cell>
          <cell r="AJ354">
            <v>4964</v>
          </cell>
          <cell r="AK354" t="str">
            <v>TL</v>
          </cell>
          <cell r="AL354">
            <v>1</v>
          </cell>
          <cell r="AM354" t="str">
            <v>8684127502917</v>
          </cell>
          <cell r="AO354">
            <v>0</v>
          </cell>
          <cell r="AQ354">
            <v>0</v>
          </cell>
          <cell r="AR354" t="str">
            <v>CM</v>
          </cell>
          <cell r="AS354">
            <v>0</v>
          </cell>
          <cell r="AT354" t="str">
            <v>CM</v>
          </cell>
          <cell r="AU354">
            <v>0</v>
          </cell>
          <cell r="AW354">
            <v>0</v>
          </cell>
        </row>
        <row r="355">
          <cell r="B355" t="str">
            <v>H1W2JMKECT0-042</v>
          </cell>
          <cell r="C355" t="str">
            <v>CAPELLA KROM APLİK</v>
          </cell>
          <cell r="D355" t="str">
            <v>CAPELLA CHROME WALL LAMP</v>
          </cell>
          <cell r="E355" t="str">
            <v/>
          </cell>
          <cell r="F355" t="str">
            <v/>
          </cell>
          <cell r="G355" t="str">
            <v>APLİK</v>
          </cell>
          <cell r="H355" t="str">
            <v>H1W2132100-15</v>
          </cell>
          <cell r="I355" t="str">
            <v>İÇ</v>
          </cell>
          <cell r="J355" t="str">
            <v>APLİK</v>
          </cell>
          <cell r="K355" t="str">
            <v>CAPELLA</v>
          </cell>
          <cell r="L355" t="str">
            <v/>
          </cell>
          <cell r="M355" t="str">
            <v/>
          </cell>
          <cell r="N355" t="str">
            <v/>
          </cell>
          <cell r="O355" t="str">
            <v>HEKA</v>
          </cell>
          <cell r="P355" t="str">
            <v>ADET</v>
          </cell>
          <cell r="Q355" t="str">
            <v>E27</v>
          </cell>
          <cell r="R355" t="str">
            <v>METAL</v>
          </cell>
          <cell r="S355" t="str">
            <v>KROM</v>
          </cell>
          <cell r="T355" t="str">
            <v>CAM</v>
          </cell>
          <cell r="U355" t="str">
            <v>SOFT</v>
          </cell>
          <cell r="AE355" t="str">
            <v>02</v>
          </cell>
          <cell r="AF355">
            <v>0</v>
          </cell>
          <cell r="AG355" t="str">
            <v>ADET</v>
          </cell>
          <cell r="AH355">
            <v>150</v>
          </cell>
          <cell r="AI355" t="str">
            <v>TL</v>
          </cell>
          <cell r="AJ355">
            <v>1842</v>
          </cell>
          <cell r="AK355" t="str">
            <v>TL</v>
          </cell>
          <cell r="AL355">
            <v>1</v>
          </cell>
          <cell r="AM355" t="str">
            <v>8684127510134</v>
          </cell>
          <cell r="AO355">
            <v>0</v>
          </cell>
          <cell r="AQ355">
            <v>19</v>
          </cell>
          <cell r="AR355" t="str">
            <v>CM</v>
          </cell>
          <cell r="AS355">
            <v>42</v>
          </cell>
          <cell r="AT355" t="str">
            <v>CM</v>
          </cell>
          <cell r="AU355">
            <v>0</v>
          </cell>
          <cell r="AW355">
            <v>0</v>
          </cell>
        </row>
        <row r="356">
          <cell r="B356" t="str">
            <v>H1W3JMKECT0-043</v>
          </cell>
          <cell r="C356" t="str">
            <v>YOROS İKİ CAMLI KROM APLİK</v>
          </cell>
          <cell r="D356" t="str">
            <v>YOROS 2 GLASS CHROME WALL LAMP</v>
          </cell>
          <cell r="E356" t="str">
            <v>METAL CAM KROM SOFT</v>
          </cell>
          <cell r="F356" t="str">
            <v>9405.19.90.00.00</v>
          </cell>
          <cell r="G356" t="str">
            <v>APLİK</v>
          </cell>
          <cell r="H356" t="str">
            <v>H1W3132100-02</v>
          </cell>
          <cell r="I356" t="str">
            <v>İÇ</v>
          </cell>
          <cell r="J356" t="str">
            <v>APLİK</v>
          </cell>
          <cell r="K356" t="str">
            <v>YOROS</v>
          </cell>
          <cell r="L356" t="str">
            <v/>
          </cell>
          <cell r="M356" t="str">
            <v>ÜRTM:15GÜN</v>
          </cell>
          <cell r="N356" t="str">
            <v>HK20024</v>
          </cell>
          <cell r="O356" t="str">
            <v>HEKA</v>
          </cell>
          <cell r="P356" t="str">
            <v>ADET</v>
          </cell>
          <cell r="Q356" t="str">
            <v>G9</v>
          </cell>
          <cell r="R356" t="str">
            <v>METAL</v>
          </cell>
          <cell r="S356" t="str">
            <v>KROM</v>
          </cell>
          <cell r="T356" t="str">
            <v>CAM</v>
          </cell>
          <cell r="U356" t="str">
            <v>SOFT</v>
          </cell>
          <cell r="AD356" t="str">
            <v>N/A</v>
          </cell>
          <cell r="AE356" t="str">
            <v>03</v>
          </cell>
          <cell r="AF356">
            <v>0</v>
          </cell>
          <cell r="AG356" t="str">
            <v>ADET</v>
          </cell>
          <cell r="AH356">
            <v>150</v>
          </cell>
          <cell r="AI356" t="str">
            <v>TL</v>
          </cell>
          <cell r="AJ356">
            <v>4250</v>
          </cell>
          <cell r="AK356" t="str">
            <v>TL</v>
          </cell>
          <cell r="AL356">
            <v>1</v>
          </cell>
          <cell r="AM356" t="str">
            <v>8684127509244</v>
          </cell>
          <cell r="AO356">
            <v>0</v>
          </cell>
          <cell r="AQ356">
            <v>17</v>
          </cell>
          <cell r="AR356" t="str">
            <v>CM</v>
          </cell>
          <cell r="AS356">
            <v>43</v>
          </cell>
          <cell r="AT356" t="str">
            <v>CM</v>
          </cell>
          <cell r="AU356">
            <v>0</v>
          </cell>
          <cell r="AW356">
            <v>0</v>
          </cell>
        </row>
        <row r="357">
          <cell r="B357" t="str">
            <v>H1W1JM30000-035</v>
          </cell>
          <cell r="C357" t="str">
            <v>MAHPERİ KROM APLİK KÜÇÜK</v>
          </cell>
          <cell r="D357" t="str">
            <v>MAHPERİ CHROME WALL LAMP SMALL</v>
          </cell>
          <cell r="E357" t="str">
            <v>METAL YOK MAT KROM YOK</v>
          </cell>
          <cell r="F357" t="str">
            <v>9405.19.90.00.00</v>
          </cell>
          <cell r="G357" t="str">
            <v>APLİK</v>
          </cell>
          <cell r="H357" t="str">
            <v>H1W1160000-35</v>
          </cell>
          <cell r="I357" t="str">
            <v>İÇ</v>
          </cell>
          <cell r="J357" t="str">
            <v>APLİK</v>
          </cell>
          <cell r="K357" t="str">
            <v>MAHPERİ</v>
          </cell>
          <cell r="L357" t="str">
            <v/>
          </cell>
          <cell r="M357" t="str">
            <v>ÜRTM:15GÜN</v>
          </cell>
          <cell r="N357" t="str">
            <v>HK20059</v>
          </cell>
          <cell r="O357" t="str">
            <v>LIGHTIST</v>
          </cell>
          <cell r="P357" t="str">
            <v>ADET</v>
          </cell>
          <cell r="Q357" t="str">
            <v>E14</v>
          </cell>
          <cell r="R357" t="str">
            <v>METAL</v>
          </cell>
          <cell r="S357" t="str">
            <v>MAT KROM</v>
          </cell>
          <cell r="T357" t="str">
            <v>YOK</v>
          </cell>
          <cell r="U357" t="str">
            <v>YOK</v>
          </cell>
          <cell r="AD357" t="str">
            <v>N/A</v>
          </cell>
          <cell r="AE357" t="str">
            <v>02</v>
          </cell>
          <cell r="AF357">
            <v>0</v>
          </cell>
          <cell r="AG357" t="str">
            <v>ADET</v>
          </cell>
          <cell r="AH357">
            <v>200</v>
          </cell>
          <cell r="AI357" t="str">
            <v>TL</v>
          </cell>
          <cell r="AJ357">
            <v>2400</v>
          </cell>
          <cell r="AK357" t="str">
            <v>TL</v>
          </cell>
          <cell r="AL357">
            <v>1</v>
          </cell>
          <cell r="AM357" t="str">
            <v>8684127505093</v>
          </cell>
          <cell r="AO357">
            <v>0</v>
          </cell>
          <cell r="AQ357">
            <v>0</v>
          </cell>
          <cell r="AR357" t="str">
            <v>CM</v>
          </cell>
          <cell r="AS357">
            <v>0</v>
          </cell>
          <cell r="AT357" t="str">
            <v>CM</v>
          </cell>
          <cell r="AU357">
            <v>0</v>
          </cell>
          <cell r="AW357">
            <v>0</v>
          </cell>
        </row>
        <row r="358">
          <cell r="B358" t="str">
            <v>CG2G1C4M1C4H1</v>
          </cell>
          <cell r="C358" t="str">
            <v>ERD-907 G45 OPAL 110V 4W 2700K E27 LED AMPUL</v>
          </cell>
          <cell r="D358" t="str">
            <v>ERD-907 G45 OPAL 110V 4W 2700K E27 LED BULB</v>
          </cell>
          <cell r="E358" t="str">
            <v>CAM METAL OPAL FLAMENT DIMMLI G45</v>
          </cell>
          <cell r="F358" t="str">
            <v>8539.52.00.00.00</v>
          </cell>
          <cell r="G358" t="str">
            <v>AMPUL</v>
          </cell>
          <cell r="H358" t="str">
            <v>CG21141B41000</v>
          </cell>
          <cell r="I358" t="str">
            <v>İÇ</v>
          </cell>
          <cell r="J358" t="str">
            <v>AMPUL</v>
          </cell>
          <cell r="K358" t="str">
            <v>ERD-907</v>
          </cell>
          <cell r="L358" t="str">
            <v/>
          </cell>
          <cell r="M358" t="str">
            <v/>
          </cell>
          <cell r="N358" t="str">
            <v>ERD-907</v>
          </cell>
          <cell r="O358" t="str">
            <v>HEKA</v>
          </cell>
          <cell r="P358" t="str">
            <v>ADET</v>
          </cell>
          <cell r="Q358" t="str">
            <v>E27</v>
          </cell>
          <cell r="R358" t="str">
            <v>CAM</v>
          </cell>
          <cell r="S358" t="str">
            <v>OPAL</v>
          </cell>
          <cell r="T358" t="str">
            <v>METAL</v>
          </cell>
          <cell r="V358" t="str">
            <v>G</v>
          </cell>
          <cell r="W358" t="str">
            <v>FLAMENT</v>
          </cell>
          <cell r="X358" t="str">
            <v>110V</v>
          </cell>
          <cell r="Y358" t="str">
            <v>4 WATT</v>
          </cell>
          <cell r="Z358" t="str">
            <v xml:space="preserve">2700 K </v>
          </cell>
          <cell r="AA358" t="str">
            <v>DIMMLI</v>
          </cell>
          <cell r="AB358" t="str">
            <v>301-400</v>
          </cell>
          <cell r="AC358" t="str">
            <v>G45</v>
          </cell>
          <cell r="AD358" t="str">
            <v>N/A</v>
          </cell>
          <cell r="AF358">
            <v>224</v>
          </cell>
          <cell r="AG358" t="str">
            <v>ADET</v>
          </cell>
          <cell r="AH358">
            <v>3.25</v>
          </cell>
          <cell r="AI358" t="str">
            <v>CNY</v>
          </cell>
          <cell r="AJ358">
            <v>2.75</v>
          </cell>
          <cell r="AK358" t="str">
            <v>USD</v>
          </cell>
          <cell r="AL358">
            <v>1</v>
          </cell>
          <cell r="AM358" t="str">
            <v>8684127504317</v>
          </cell>
          <cell r="AN358" t="str">
            <v>8684127505796</v>
          </cell>
          <cell r="AO358">
            <v>0</v>
          </cell>
          <cell r="AQ358">
            <v>4.5</v>
          </cell>
          <cell r="AR358" t="str">
            <v>CM</v>
          </cell>
          <cell r="AS358">
            <v>4.5</v>
          </cell>
          <cell r="AT358" t="str">
            <v>CM</v>
          </cell>
          <cell r="AU358">
            <v>0</v>
          </cell>
          <cell r="AW358">
            <v>0</v>
          </cell>
        </row>
        <row r="359">
          <cell r="B359" t="str">
            <v>H1W6LRGJRS0-030</v>
          </cell>
          <cell r="C359" t="str">
            <v>GÖREME APLİK 30cm</v>
          </cell>
          <cell r="D359" t="str">
            <v>GÖREME WALL LAMP 30cm</v>
          </cell>
          <cell r="E359" t="str">
            <v>PLEKSİ METAL GRİ SİYAH</v>
          </cell>
          <cell r="F359" t="str">
            <v>9405.11.40.00.00</v>
          </cell>
          <cell r="G359" t="str">
            <v>APLİK</v>
          </cell>
          <cell r="H359" t="str">
            <v>T1W6811400-30</v>
          </cell>
          <cell r="I359" t="str">
            <v>İÇ</v>
          </cell>
          <cell r="J359" t="str">
            <v>APLİK</v>
          </cell>
          <cell r="K359" t="str">
            <v>GÖREME</v>
          </cell>
          <cell r="L359" t="str">
            <v/>
          </cell>
          <cell r="M359" t="str">
            <v/>
          </cell>
          <cell r="N359" t="str">
            <v>HKA-24108</v>
          </cell>
          <cell r="O359" t="str">
            <v>HEKA</v>
          </cell>
          <cell r="P359" t="str">
            <v>ADET</v>
          </cell>
          <cell r="Q359" t="str">
            <v>LED</v>
          </cell>
          <cell r="R359" t="str">
            <v>PLEKSİ</v>
          </cell>
          <cell r="S359" t="str">
            <v>GRİ</v>
          </cell>
          <cell r="T359" t="str">
            <v>METAL</v>
          </cell>
          <cell r="U359" t="str">
            <v>SİYAH</v>
          </cell>
          <cell r="Z359" t="str">
            <v>3000 K</v>
          </cell>
          <cell r="AD359" t="str">
            <v>N/A</v>
          </cell>
          <cell r="AF359">
            <v>73</v>
          </cell>
          <cell r="AG359" t="str">
            <v>ADET</v>
          </cell>
          <cell r="AH359">
            <v>70</v>
          </cell>
          <cell r="AI359" t="str">
            <v>CNY</v>
          </cell>
          <cell r="AJ359">
            <v>5880</v>
          </cell>
          <cell r="AK359" t="str">
            <v>TL</v>
          </cell>
          <cell r="AL359">
            <v>1</v>
          </cell>
          <cell r="AM359" t="str">
            <v>8684127502030</v>
          </cell>
          <cell r="AO359">
            <v>0</v>
          </cell>
          <cell r="AQ359">
            <v>28</v>
          </cell>
          <cell r="AR359" t="str">
            <v>CM</v>
          </cell>
          <cell r="AS359">
            <v>10</v>
          </cell>
          <cell r="AT359" t="str">
            <v>CM</v>
          </cell>
          <cell r="AU359">
            <v>0</v>
          </cell>
          <cell r="AW359">
            <v>0</v>
          </cell>
        </row>
        <row r="360">
          <cell r="B360" t="str">
            <v>H1S5JRSLCT0-050</v>
          </cell>
          <cell r="C360" t="str">
            <v>KOZA İKİLİ SİYAH APLİK</v>
          </cell>
          <cell r="D360" t="str">
            <v>KOZA DOUBLE BLACK LAMP</v>
          </cell>
          <cell r="E360" t="str">
            <v xml:space="preserve">METAL PLEKSİ SİYAH SOFT   </v>
          </cell>
          <cell r="F360" t="str">
            <v>9405.19.90.00.00</v>
          </cell>
          <cell r="G360" t="str">
            <v>APLİK</v>
          </cell>
          <cell r="H360" t="str">
            <v>T1S5A28400-02</v>
          </cell>
          <cell r="I360" t="str">
            <v>İÇ</v>
          </cell>
          <cell r="J360" t="str">
            <v>APLİK</v>
          </cell>
          <cell r="K360" t="str">
            <v>KOZA</v>
          </cell>
          <cell r="L360" t="str">
            <v/>
          </cell>
          <cell r="M360" t="str">
            <v>30.03.2026</v>
          </cell>
          <cell r="N360" t="str">
            <v>HKA-24111</v>
          </cell>
          <cell r="O360" t="str">
            <v>HEKA</v>
          </cell>
          <cell r="P360" t="str">
            <v>ADET</v>
          </cell>
          <cell r="Q360" t="str">
            <v>GU10</v>
          </cell>
          <cell r="R360" t="str">
            <v>METAL</v>
          </cell>
          <cell r="S360" t="str">
            <v>SİYAH</v>
          </cell>
          <cell r="T360" t="str">
            <v>PLEKSİ</v>
          </cell>
          <cell r="U360" t="str">
            <v>SOFT</v>
          </cell>
          <cell r="AD360" t="str">
            <v>N/A</v>
          </cell>
          <cell r="AE360" t="str">
            <v>02</v>
          </cell>
          <cell r="AF360">
            <v>27</v>
          </cell>
          <cell r="AG360" t="str">
            <v>ADET</v>
          </cell>
          <cell r="AH360">
            <v>28</v>
          </cell>
          <cell r="AI360" t="str">
            <v>CNY</v>
          </cell>
          <cell r="AJ360">
            <v>3080</v>
          </cell>
          <cell r="AK360" t="str">
            <v>TL</v>
          </cell>
          <cell r="AL360">
            <v>1</v>
          </cell>
          <cell r="AM360" t="str">
            <v>8684127502252</v>
          </cell>
          <cell r="AO360">
            <v>0</v>
          </cell>
          <cell r="AQ360">
            <v>12</v>
          </cell>
          <cell r="AR360" t="str">
            <v>CM</v>
          </cell>
          <cell r="AS360">
            <v>22</v>
          </cell>
          <cell r="AT360" t="str">
            <v>CM</v>
          </cell>
          <cell r="AU360">
            <v>0</v>
          </cell>
          <cell r="AW360">
            <v>0</v>
          </cell>
        </row>
        <row r="361">
          <cell r="B361" t="str">
            <v>H1S5JRSLCT0-100</v>
          </cell>
          <cell r="C361" t="str">
            <v>KOZA DÖRTLÜ SİYAH APLİK</v>
          </cell>
          <cell r="D361" t="str">
            <v>KOZA QUATERNARY BLACK LAMP</v>
          </cell>
          <cell r="E361" t="str">
            <v xml:space="preserve">METAL PLEKSİ SİYAH SOFT   </v>
          </cell>
          <cell r="F361" t="str">
            <v>9405.19.90.00.00</v>
          </cell>
          <cell r="G361" t="str">
            <v>APLİK</v>
          </cell>
          <cell r="H361" t="str">
            <v>T1S5A28400-04</v>
          </cell>
          <cell r="I361" t="str">
            <v>İÇ</v>
          </cell>
          <cell r="J361" t="str">
            <v>APLİK</v>
          </cell>
          <cell r="K361" t="str">
            <v>KOZA</v>
          </cell>
          <cell r="L361" t="str">
            <v/>
          </cell>
          <cell r="M361" t="str">
            <v>30.03.2026</v>
          </cell>
          <cell r="N361" t="str">
            <v>HK20045</v>
          </cell>
          <cell r="O361" t="str">
            <v>HEKA</v>
          </cell>
          <cell r="P361" t="str">
            <v>ADET</v>
          </cell>
          <cell r="Q361" t="str">
            <v>GU10</v>
          </cell>
          <cell r="R361" t="str">
            <v>METAL</v>
          </cell>
          <cell r="S361" t="str">
            <v>SİYAH</v>
          </cell>
          <cell r="T361" t="str">
            <v>PLEKSİ</v>
          </cell>
          <cell r="U361" t="str">
            <v>SOFT</v>
          </cell>
          <cell r="AD361" t="str">
            <v>N/A</v>
          </cell>
          <cell r="AE361" t="str">
            <v>04</v>
          </cell>
          <cell r="AF361">
            <v>11</v>
          </cell>
          <cell r="AG361" t="str">
            <v>ADET</v>
          </cell>
          <cell r="AH361">
            <v>56</v>
          </cell>
          <cell r="AI361" t="str">
            <v>CNY</v>
          </cell>
          <cell r="AJ361">
            <v>6100</v>
          </cell>
          <cell r="AK361" t="str">
            <v>TL</v>
          </cell>
          <cell r="AL361">
            <v>1</v>
          </cell>
          <cell r="AM361" t="str">
            <v>8684127502283</v>
          </cell>
          <cell r="AO361">
            <v>0</v>
          </cell>
          <cell r="AQ361">
            <v>12</v>
          </cell>
          <cell r="AR361" t="str">
            <v>CM</v>
          </cell>
          <cell r="AS361">
            <v>22</v>
          </cell>
          <cell r="AT361" t="str">
            <v>CM</v>
          </cell>
          <cell r="AU361">
            <v>0</v>
          </cell>
          <cell r="AW361">
            <v>0</v>
          </cell>
        </row>
        <row r="362">
          <cell r="B362" t="str">
            <v>H1W3JMEECTD-026</v>
          </cell>
          <cell r="C362" t="str">
            <v>AFRODİT TEKLİ ESKİTME APLİK</v>
          </cell>
          <cell r="D362" t="str">
            <v>AFRODİT SINGLE BRUSHED BRASS WALL LAMP</v>
          </cell>
          <cell r="E362" t="str">
            <v>METAL CAM ESKİTME SOFT</v>
          </cell>
          <cell r="F362" t="str">
            <v>9405.19.90.00.00</v>
          </cell>
          <cell r="G362" t="str">
            <v>APLİK</v>
          </cell>
          <cell r="H362" t="str">
            <v>T1W3112100-01</v>
          </cell>
          <cell r="I362" t="str">
            <v>İÇ</v>
          </cell>
          <cell r="J362" t="str">
            <v>APLİK</v>
          </cell>
          <cell r="K362" t="str">
            <v>AFRODİT</v>
          </cell>
          <cell r="L362" t="str">
            <v/>
          </cell>
          <cell r="M362" t="str">
            <v>ÜRTM;15GÜN</v>
          </cell>
          <cell r="N362" t="str">
            <v>MB021-1-BR</v>
          </cell>
          <cell r="O362" t="str">
            <v>HEKA</v>
          </cell>
          <cell r="P362" t="str">
            <v>ADET</v>
          </cell>
          <cell r="Q362" t="str">
            <v>G9</v>
          </cell>
          <cell r="R362" t="str">
            <v>METAL</v>
          </cell>
          <cell r="S362" t="str">
            <v>ESKİTME</v>
          </cell>
          <cell r="T362" t="str">
            <v>CAM</v>
          </cell>
          <cell r="U362" t="str">
            <v>SOFT</v>
          </cell>
          <cell r="AD362" t="str">
            <v>DİKDÖRTGEN</v>
          </cell>
          <cell r="AE362" t="str">
            <v>01</v>
          </cell>
          <cell r="AF362">
            <v>19</v>
          </cell>
          <cell r="AG362" t="str">
            <v>ADET</v>
          </cell>
          <cell r="AH362">
            <v>200</v>
          </cell>
          <cell r="AI362" t="str">
            <v>TL</v>
          </cell>
          <cell r="AJ362">
            <v>5865</v>
          </cell>
          <cell r="AK362" t="str">
            <v>TL</v>
          </cell>
          <cell r="AL362">
            <v>1</v>
          </cell>
          <cell r="AM362" t="str">
            <v>8684127505222</v>
          </cell>
          <cell r="AO362">
            <v>0</v>
          </cell>
          <cell r="AQ362">
            <v>28</v>
          </cell>
          <cell r="AR362" t="str">
            <v>CM</v>
          </cell>
          <cell r="AS362">
            <v>17</v>
          </cell>
          <cell r="AT362" t="str">
            <v>CM</v>
          </cell>
          <cell r="AU362">
            <v>0</v>
          </cell>
          <cell r="AW362">
            <v>0</v>
          </cell>
        </row>
        <row r="363">
          <cell r="B363" t="str">
            <v>H1W6JMEWRB0-026</v>
          </cell>
          <cell r="C363" t="str">
            <v>TEKFUR BEYAZ MERMER APLİK KÜÇÜK</v>
          </cell>
          <cell r="D363" t="str">
            <v>TEKFUR WHITE MARBLE WALL LAMP SMALL</v>
          </cell>
          <cell r="E363" t="str">
            <v>METAL MERMER ESKİTME BEYAZ</v>
          </cell>
          <cell r="F363" t="str">
            <v>9405.11.90.00.00</v>
          </cell>
          <cell r="G363" t="str">
            <v>APLİK</v>
          </cell>
          <cell r="H363" t="str">
            <v>T1W6113100-26</v>
          </cell>
          <cell r="I363" t="str">
            <v>İÇ</v>
          </cell>
          <cell r="J363" t="str">
            <v>APLİK</v>
          </cell>
          <cell r="K363" t="str">
            <v>TEKFUR</v>
          </cell>
          <cell r="L363" t="str">
            <v>Ç</v>
          </cell>
          <cell r="M363" t="str">
            <v/>
          </cell>
          <cell r="N363" t="str">
            <v>HKA-24114</v>
          </cell>
          <cell r="O363" t="str">
            <v>HEKA</v>
          </cell>
          <cell r="P363" t="str">
            <v>ADET</v>
          </cell>
          <cell r="Q363" t="str">
            <v>LED</v>
          </cell>
          <cell r="R363" t="str">
            <v>METAL</v>
          </cell>
          <cell r="S363" t="str">
            <v>ESKİTME</v>
          </cell>
          <cell r="T363" t="str">
            <v>MERMER</v>
          </cell>
          <cell r="U363" t="str">
            <v>BEYAZ</v>
          </cell>
          <cell r="AD363" t="str">
            <v>N/A</v>
          </cell>
          <cell r="AF363">
            <v>32</v>
          </cell>
          <cell r="AG363" t="str">
            <v>ADET</v>
          </cell>
          <cell r="AH363">
            <v>105</v>
          </cell>
          <cell r="AI363" t="str">
            <v>CNY</v>
          </cell>
          <cell r="AJ363">
            <v>7475</v>
          </cell>
          <cell r="AK363" t="str">
            <v>TL</v>
          </cell>
          <cell r="AL363">
            <v>1</v>
          </cell>
          <cell r="AM363" t="str">
            <v>8684127506335</v>
          </cell>
          <cell r="AO363">
            <v>1.3</v>
          </cell>
          <cell r="AP363" t="str">
            <v>KG</v>
          </cell>
          <cell r="AQ363">
            <v>9</v>
          </cell>
          <cell r="AR363" t="str">
            <v>CM</v>
          </cell>
          <cell r="AS363">
            <v>9</v>
          </cell>
          <cell r="AT363" t="str">
            <v>CM</v>
          </cell>
          <cell r="AU363">
            <v>0</v>
          </cell>
          <cell r="AW363">
            <v>0</v>
          </cell>
        </row>
        <row r="364">
          <cell r="B364" t="str">
            <v>H1W6JMEWRY0-062</v>
          </cell>
          <cell r="C364" t="str">
            <v>TEKFUR YEŞİL MERMER APLİK BÜYÜK</v>
          </cell>
          <cell r="D364" t="str">
            <v>TEKFUR GREEN MARBLE WALL LAMP BIG</v>
          </cell>
          <cell r="E364" t="str">
            <v>METAL MERMER ESKİTME YEŞİL</v>
          </cell>
          <cell r="F364" t="str">
            <v>9405.11.90.00.00</v>
          </cell>
          <cell r="G364" t="str">
            <v>APLİK</v>
          </cell>
          <cell r="H364" t="str">
            <v>T1W6113400-62</v>
          </cell>
          <cell r="I364" t="str">
            <v>İÇ</v>
          </cell>
          <cell r="J364" t="str">
            <v>APLİK</v>
          </cell>
          <cell r="K364" t="str">
            <v>TEKFUR</v>
          </cell>
          <cell r="L364" t="str">
            <v/>
          </cell>
          <cell r="M364" t="str">
            <v/>
          </cell>
          <cell r="N364" t="str">
            <v>HKA-24019</v>
          </cell>
          <cell r="O364" t="str">
            <v>HEKA</v>
          </cell>
          <cell r="P364" t="str">
            <v>ADET</v>
          </cell>
          <cell r="Q364" t="str">
            <v>LED</v>
          </cell>
          <cell r="R364" t="str">
            <v>METAL</v>
          </cell>
          <cell r="S364" t="str">
            <v>ESKİTME</v>
          </cell>
          <cell r="T364" t="str">
            <v>MERMER</v>
          </cell>
          <cell r="U364" t="str">
            <v>YEŞİL</v>
          </cell>
          <cell r="AD364" t="str">
            <v>N/A</v>
          </cell>
          <cell r="AF364">
            <v>37</v>
          </cell>
          <cell r="AG364" t="str">
            <v>ADET</v>
          </cell>
          <cell r="AH364">
            <v>120</v>
          </cell>
          <cell r="AI364" t="str">
            <v>CNY</v>
          </cell>
          <cell r="AJ364">
            <v>9475</v>
          </cell>
          <cell r="AK364" t="str">
            <v>TL</v>
          </cell>
          <cell r="AL364">
            <v>1</v>
          </cell>
          <cell r="AM364" t="str">
            <v>8684127506328</v>
          </cell>
          <cell r="AO364">
            <v>1.39</v>
          </cell>
          <cell r="AQ364">
            <v>9</v>
          </cell>
          <cell r="AR364" t="str">
            <v>CM</v>
          </cell>
          <cell r="AS364">
            <v>9</v>
          </cell>
          <cell r="AT364" t="str">
            <v>CM</v>
          </cell>
          <cell r="AU364">
            <v>0</v>
          </cell>
          <cell r="AW364">
            <v>0</v>
          </cell>
        </row>
        <row r="365">
          <cell r="B365" t="str">
            <v>CK5G2P4S1E5J0</v>
          </cell>
          <cell r="C365" t="str">
            <v>ERD-901 110V 6W 3000K GU10 COB  LED AMPUL</v>
          </cell>
          <cell r="D365" t="str">
            <v>ERD-901 110V 6W 3000K GU10 COD LED BULB</v>
          </cell>
          <cell r="E365" t="str">
            <v>PLASTİK PORSELEN OPAL COB  LED DIMMSIZ KARMA</v>
          </cell>
          <cell r="F365" t="str">
            <v>8539.52.00.00.00</v>
          </cell>
          <cell r="G365" t="str">
            <v>AMPUL</v>
          </cell>
          <cell r="H365" t="str">
            <v>CF52241D40000</v>
          </cell>
          <cell r="I365" t="str">
            <v>İÇ</v>
          </cell>
          <cell r="J365" t="str">
            <v>AMPUL</v>
          </cell>
          <cell r="K365" t="str">
            <v>ERD-901</v>
          </cell>
          <cell r="L365" t="str">
            <v/>
          </cell>
          <cell r="M365" t="str">
            <v/>
          </cell>
          <cell r="N365" t="str">
            <v>ERD-901</v>
          </cell>
          <cell r="O365" t="str">
            <v>HEKA</v>
          </cell>
          <cell r="P365" t="str">
            <v>ADET</v>
          </cell>
          <cell r="Q365" t="str">
            <v>GU10</v>
          </cell>
          <cell r="R365" t="str">
            <v>PLASTİK</v>
          </cell>
          <cell r="S365" t="str">
            <v>OPAL</v>
          </cell>
          <cell r="T365" t="str">
            <v>PORSELEN</v>
          </cell>
          <cell r="V365" t="str">
            <v>G</v>
          </cell>
          <cell r="W365" t="str">
            <v>COB LED</v>
          </cell>
          <cell r="X365" t="str">
            <v>110V</v>
          </cell>
          <cell r="Y365" t="str">
            <v>6 WATT</v>
          </cell>
          <cell r="Z365" t="str">
            <v>3000 K</v>
          </cell>
          <cell r="AA365" t="str">
            <v>DIMMSIZ</v>
          </cell>
          <cell r="AB365" t="str">
            <v>401-500</v>
          </cell>
          <cell r="AC365" t="str">
            <v>KARMA</v>
          </cell>
          <cell r="AD365" t="str">
            <v>N/A</v>
          </cell>
          <cell r="AF365">
            <v>574</v>
          </cell>
          <cell r="AG365" t="str">
            <v>ADET</v>
          </cell>
          <cell r="AH365">
            <v>8.5</v>
          </cell>
          <cell r="AI365" t="str">
            <v>CNY</v>
          </cell>
          <cell r="AJ365">
            <v>5.75</v>
          </cell>
          <cell r="AK365" t="str">
            <v>USD</v>
          </cell>
          <cell r="AL365">
            <v>1</v>
          </cell>
          <cell r="AM365" t="str">
            <v>8684127504362</v>
          </cell>
          <cell r="AN365" t="str">
            <v>8684127505826</v>
          </cell>
          <cell r="AO365">
            <v>0</v>
          </cell>
          <cell r="AQ365">
            <v>5</v>
          </cell>
          <cell r="AR365" t="str">
            <v>CM</v>
          </cell>
          <cell r="AS365">
            <v>5</v>
          </cell>
          <cell r="AT365" t="str">
            <v>CM</v>
          </cell>
          <cell r="AU365">
            <v>0</v>
          </cell>
          <cell r="AW365">
            <v>0</v>
          </cell>
        </row>
        <row r="366">
          <cell r="B366" t="str">
            <v>H1S5JRSLCT0-017</v>
          </cell>
          <cell r="C366" t="str">
            <v>KOZA TEKLİ SİYAH APLİK</v>
          </cell>
          <cell r="D366" t="str">
            <v>KOZA SINGLE BLACK LAMP</v>
          </cell>
          <cell r="E366" t="str">
            <v xml:space="preserve">METAL PLEKSİ SİYAH SOFT   </v>
          </cell>
          <cell r="F366" t="str">
            <v>9405.19.90.00.00</v>
          </cell>
          <cell r="G366" t="str">
            <v>APLİK</v>
          </cell>
          <cell r="H366" t="str">
            <v>T1S5A28400-01</v>
          </cell>
          <cell r="I366" t="str">
            <v>İÇ</v>
          </cell>
          <cell r="J366" t="str">
            <v>APLİK</v>
          </cell>
          <cell r="K366" t="str">
            <v>KOZA</v>
          </cell>
          <cell r="L366" t="str">
            <v/>
          </cell>
          <cell r="M366" t="str">
            <v/>
          </cell>
          <cell r="N366" t="str">
            <v>HKA-24055</v>
          </cell>
          <cell r="O366" t="str">
            <v>HEKA</v>
          </cell>
          <cell r="P366" t="str">
            <v>ADET</v>
          </cell>
          <cell r="Q366" t="str">
            <v>GU10</v>
          </cell>
          <cell r="R366" t="str">
            <v>METAL</v>
          </cell>
          <cell r="S366" t="str">
            <v>SİYAH</v>
          </cell>
          <cell r="T366" t="str">
            <v>PLEKSİ</v>
          </cell>
          <cell r="U366" t="str">
            <v>SOFT</v>
          </cell>
          <cell r="AD366" t="str">
            <v>N/A</v>
          </cell>
          <cell r="AE366" t="str">
            <v>01</v>
          </cell>
          <cell r="AF366">
            <v>76</v>
          </cell>
          <cell r="AG366" t="str">
            <v>ADET</v>
          </cell>
          <cell r="AH366">
            <v>13.5</v>
          </cell>
          <cell r="AI366" t="str">
            <v>CNY</v>
          </cell>
          <cell r="AJ366">
            <v>1636</v>
          </cell>
          <cell r="AK366" t="str">
            <v>TL</v>
          </cell>
          <cell r="AL366">
            <v>1</v>
          </cell>
          <cell r="AM366" t="str">
            <v>8684127502306</v>
          </cell>
          <cell r="AO366">
            <v>0</v>
          </cell>
          <cell r="AQ366">
            <v>6</v>
          </cell>
          <cell r="AR366" t="str">
            <v>CM</v>
          </cell>
          <cell r="AS366">
            <v>6</v>
          </cell>
          <cell r="AT366" t="str">
            <v>CM</v>
          </cell>
          <cell r="AU366">
            <v>0</v>
          </cell>
          <cell r="AW366">
            <v>0</v>
          </cell>
        </row>
        <row r="367">
          <cell r="B367" t="str">
            <v>H1C6JMEBRL0-015</v>
          </cell>
          <cell r="C367" t="str">
            <v>ALACA TEKLİ AKRİLİK SARKIT</v>
          </cell>
          <cell r="D367" t="str">
            <v>ALACA SINGLE ACRYLIC PENDANT</v>
          </cell>
          <cell r="E367" t="str">
            <v xml:space="preserve">METAL AKRİLİK ESKİTME BAL   </v>
          </cell>
          <cell r="F367" t="str">
            <v>9405.11.90.00.00</v>
          </cell>
          <cell r="G367" t="str">
            <v>AVİZE</v>
          </cell>
          <cell r="H367" t="str">
            <v>T1A6126300-16</v>
          </cell>
          <cell r="I367" t="str">
            <v>İÇ</v>
          </cell>
          <cell r="J367" t="str">
            <v>AVİZE.AVİZ</v>
          </cell>
          <cell r="K367" t="str">
            <v>ALACA</v>
          </cell>
          <cell r="L367" t="str">
            <v/>
          </cell>
          <cell r="M367" t="str">
            <v/>
          </cell>
          <cell r="N367" t="str">
            <v>D9955-1</v>
          </cell>
          <cell r="O367" t="str">
            <v>HEKA</v>
          </cell>
          <cell r="P367" t="str">
            <v>ADET</v>
          </cell>
          <cell r="Q367" t="str">
            <v>LED</v>
          </cell>
          <cell r="R367" t="str">
            <v>METAL</v>
          </cell>
          <cell r="S367" t="str">
            <v>ESKİTME</v>
          </cell>
          <cell r="T367" t="str">
            <v>AKRİLİK</v>
          </cell>
          <cell r="U367" t="str">
            <v>BAL</v>
          </cell>
          <cell r="AD367" t="str">
            <v>N/A</v>
          </cell>
          <cell r="AF367">
            <v>36</v>
          </cell>
          <cell r="AG367" t="str">
            <v>ADET</v>
          </cell>
          <cell r="AH367">
            <v>135</v>
          </cell>
          <cell r="AI367" t="str">
            <v>CNY</v>
          </cell>
          <cell r="AJ367">
            <v>6028</v>
          </cell>
          <cell r="AK367" t="str">
            <v>TL</v>
          </cell>
          <cell r="AL367">
            <v>1</v>
          </cell>
          <cell r="AM367" t="str">
            <v>8684127501408</v>
          </cell>
          <cell r="AO367">
            <v>0</v>
          </cell>
          <cell r="AQ367">
            <v>48</v>
          </cell>
          <cell r="AR367" t="str">
            <v>CM</v>
          </cell>
          <cell r="AS367">
            <v>17</v>
          </cell>
          <cell r="AT367" t="str">
            <v>CM</v>
          </cell>
          <cell r="AU367">
            <v>0</v>
          </cell>
          <cell r="AW367">
            <v>0</v>
          </cell>
        </row>
        <row r="368">
          <cell r="B368" t="str">
            <v>H1W6JMEWRB0-062</v>
          </cell>
          <cell r="C368" t="str">
            <v>TEKFUR BEYAZ MERMER APLİK BÜYÜK</v>
          </cell>
          <cell r="D368" t="str">
            <v>TEKFUR WHITE MARBLE WALL LAMP BIG</v>
          </cell>
          <cell r="E368" t="str">
            <v>METAL MERMER ESKİTME BEYAZ</v>
          </cell>
          <cell r="F368" t="str">
            <v>9405.11.90.00.00</v>
          </cell>
          <cell r="G368" t="str">
            <v>APLİK</v>
          </cell>
          <cell r="H368" t="str">
            <v>T1W6113100-62</v>
          </cell>
          <cell r="I368" t="str">
            <v>İÇ</v>
          </cell>
          <cell r="J368" t="str">
            <v>APLİK</v>
          </cell>
          <cell r="K368" t="str">
            <v>TEKFUR</v>
          </cell>
          <cell r="L368" t="str">
            <v>Ç</v>
          </cell>
          <cell r="M368" t="str">
            <v/>
          </cell>
          <cell r="N368" t="str">
            <v>HKA-24018</v>
          </cell>
          <cell r="O368" t="str">
            <v>HEKA</v>
          </cell>
          <cell r="P368" t="str">
            <v>ADET</v>
          </cell>
          <cell r="Q368" t="str">
            <v>LED</v>
          </cell>
          <cell r="R368" t="str">
            <v>METAL</v>
          </cell>
          <cell r="S368" t="str">
            <v>ESKİTME</v>
          </cell>
          <cell r="T368" t="str">
            <v>MERMER</v>
          </cell>
          <cell r="U368" t="str">
            <v>BEYAZ</v>
          </cell>
          <cell r="AD368" t="str">
            <v>N/A</v>
          </cell>
          <cell r="AF368">
            <v>28</v>
          </cell>
          <cell r="AG368" t="str">
            <v>ADET</v>
          </cell>
          <cell r="AH368">
            <v>120</v>
          </cell>
          <cell r="AI368" t="str">
            <v>CNY</v>
          </cell>
          <cell r="AJ368">
            <v>9475</v>
          </cell>
          <cell r="AK368" t="str">
            <v>TL</v>
          </cell>
          <cell r="AL368">
            <v>1</v>
          </cell>
          <cell r="AM368" t="str">
            <v>8684127506311</v>
          </cell>
          <cell r="AO368">
            <v>1.39</v>
          </cell>
          <cell r="AP368" t="str">
            <v>KG</v>
          </cell>
          <cell r="AQ368">
            <v>9</v>
          </cell>
          <cell r="AR368" t="str">
            <v>CM</v>
          </cell>
          <cell r="AS368">
            <v>9</v>
          </cell>
          <cell r="AT368" t="str">
            <v>CM</v>
          </cell>
          <cell r="AU368">
            <v>0</v>
          </cell>
          <cell r="AW368">
            <v>0</v>
          </cell>
        </row>
        <row r="369">
          <cell r="B369" t="str">
            <v>H1W6BCSJMG0-012</v>
          </cell>
          <cell r="C369" t="str">
            <v>BUTTERFLY AKRİLİK KELEBEK APLİK GOLD</v>
          </cell>
          <cell r="D369" t="str">
            <v>BUTTERFLY ACRYLIC WALL LAMP GOLD</v>
          </cell>
          <cell r="E369" t="str">
            <v>AKRiLİK METAL ŞEFFAF GOLD</v>
          </cell>
          <cell r="F369" t="str">
            <v>9405.11.40.00.00</v>
          </cell>
          <cell r="G369" t="str">
            <v>APLİK</v>
          </cell>
          <cell r="H369" t="str">
            <v>T1W6621200-18</v>
          </cell>
          <cell r="I369" t="str">
            <v>İÇ</v>
          </cell>
          <cell r="J369" t="str">
            <v>APLİK</v>
          </cell>
          <cell r="K369" t="str">
            <v>BUTTERFLY</v>
          </cell>
          <cell r="L369" t="str">
            <v/>
          </cell>
          <cell r="M369" t="str">
            <v/>
          </cell>
          <cell r="N369" t="str">
            <v>DD20675-G-W</v>
          </cell>
          <cell r="O369" t="str">
            <v>HEKA</v>
          </cell>
          <cell r="P369" t="str">
            <v>ADET</v>
          </cell>
          <cell r="Q369" t="str">
            <v>LED</v>
          </cell>
          <cell r="R369" t="str">
            <v>AKRİLİK</v>
          </cell>
          <cell r="S369" t="str">
            <v>ŞEFFAF</v>
          </cell>
          <cell r="T369" t="str">
            <v>METAL</v>
          </cell>
          <cell r="U369" t="str">
            <v>GOLD</v>
          </cell>
          <cell r="AD369" t="str">
            <v>N/A</v>
          </cell>
          <cell r="AF369">
            <v>4</v>
          </cell>
          <cell r="AG369" t="str">
            <v>ADET</v>
          </cell>
          <cell r="AH369">
            <v>138</v>
          </cell>
          <cell r="AI369" t="str">
            <v>CNY</v>
          </cell>
          <cell r="AJ369">
            <v>3213</v>
          </cell>
          <cell r="AK369" t="str">
            <v>TL</v>
          </cell>
          <cell r="AL369">
            <v>1</v>
          </cell>
          <cell r="AM369" t="str">
            <v>8684127501736</v>
          </cell>
          <cell r="AO369">
            <v>0</v>
          </cell>
          <cell r="AQ369">
            <v>24</v>
          </cell>
          <cell r="AR369" t="str">
            <v>CM</v>
          </cell>
          <cell r="AS369">
            <v>13</v>
          </cell>
          <cell r="AT369" t="str">
            <v>CM</v>
          </cell>
          <cell r="AU369">
            <v>0</v>
          </cell>
          <cell r="AW369">
            <v>0</v>
          </cell>
        </row>
        <row r="370">
          <cell r="B370" t="str">
            <v>H1S5CRB000L-090</v>
          </cell>
          <cell r="C370" t="str">
            <v>BELLA BEYAZ DÜZ SPOT 60X90 mm</v>
          </cell>
          <cell r="D370" t="str">
            <v>BELLA WHITE PLAIN SPOTLIGHT 60X90 mm</v>
          </cell>
          <cell r="E370" t="str">
            <v xml:space="preserve">ALUMİNYUM YOK BEYAZ YOK   </v>
          </cell>
          <cell r="F370" t="str">
            <v>9405.19.90.00.00</v>
          </cell>
          <cell r="G370" t="str">
            <v>TEKNİK</v>
          </cell>
          <cell r="H370" t="str">
            <v>T1S5A100X0-09</v>
          </cell>
          <cell r="I370" t="str">
            <v>İÇ</v>
          </cell>
          <cell r="J370" t="str">
            <v>TEKNİK</v>
          </cell>
          <cell r="K370" t="str">
            <v>BELLA</v>
          </cell>
          <cell r="L370" t="str">
            <v/>
          </cell>
          <cell r="M370" t="str">
            <v/>
          </cell>
          <cell r="N370" t="str">
            <v>BELLA-1</v>
          </cell>
          <cell r="O370" t="str">
            <v>HEKA</v>
          </cell>
          <cell r="P370" t="str">
            <v>ADET</v>
          </cell>
          <cell r="Q370" t="str">
            <v>GU10</v>
          </cell>
          <cell r="R370" t="str">
            <v>ALUMİNYUM</v>
          </cell>
          <cell r="S370" t="str">
            <v>BEYAZ</v>
          </cell>
          <cell r="T370" t="str">
            <v>YOK</v>
          </cell>
          <cell r="U370" t="str">
            <v>YOK</v>
          </cell>
          <cell r="AD370" t="str">
            <v>DÜZ</v>
          </cell>
          <cell r="AE370" t="str">
            <v>01</v>
          </cell>
          <cell r="AF370">
            <v>97</v>
          </cell>
          <cell r="AG370" t="str">
            <v>ADET</v>
          </cell>
          <cell r="AH370">
            <v>19.5</v>
          </cell>
          <cell r="AI370" t="str">
            <v>CNY</v>
          </cell>
          <cell r="AJ370">
            <v>1249</v>
          </cell>
          <cell r="AK370" t="str">
            <v>TL</v>
          </cell>
          <cell r="AL370">
            <v>1</v>
          </cell>
          <cell r="AM370" t="str">
            <v>8684127500968</v>
          </cell>
          <cell r="AO370">
            <v>0</v>
          </cell>
          <cell r="AQ370">
            <v>16</v>
          </cell>
          <cell r="AR370" t="str">
            <v>CM</v>
          </cell>
          <cell r="AS370">
            <v>28</v>
          </cell>
          <cell r="AT370" t="str">
            <v>CM</v>
          </cell>
          <cell r="AU370">
            <v>0</v>
          </cell>
          <cell r="AW370">
            <v>0</v>
          </cell>
        </row>
        <row r="371">
          <cell r="B371" t="str">
            <v>H1S5CMB000T-090</v>
          </cell>
          <cell r="C371" t="str">
            <v>BELLA BAKIR TIRTIKLI SPOT 60X90 mm</v>
          </cell>
          <cell r="D371" t="str">
            <v>BELLA COPPER SERRATED SPOTLIGHT 60X90 mm</v>
          </cell>
          <cell r="E371" t="str">
            <v xml:space="preserve">ALUMİNYUM YOK BAKIR YOK   </v>
          </cell>
          <cell r="F371" t="str">
            <v>9405.19.90.00.00</v>
          </cell>
          <cell r="G371" t="str">
            <v>TEKNİK</v>
          </cell>
          <cell r="H371" t="str">
            <v>T1S5A400T0-09</v>
          </cell>
          <cell r="I371" t="str">
            <v>İÇ</v>
          </cell>
          <cell r="J371" t="str">
            <v>TEKNİK</v>
          </cell>
          <cell r="K371" t="str">
            <v>BELLA</v>
          </cell>
          <cell r="L371" t="str">
            <v/>
          </cell>
          <cell r="M371" t="str">
            <v/>
          </cell>
          <cell r="N371" t="str">
            <v>BELLA-8</v>
          </cell>
          <cell r="O371" t="str">
            <v>HEKA</v>
          </cell>
          <cell r="P371" t="str">
            <v>ADET</v>
          </cell>
          <cell r="Q371" t="str">
            <v>GU10</v>
          </cell>
          <cell r="R371" t="str">
            <v>ALUMİNYUM</v>
          </cell>
          <cell r="S371" t="str">
            <v>BAKIR</v>
          </cell>
          <cell r="T371" t="str">
            <v>YOK</v>
          </cell>
          <cell r="U371" t="str">
            <v>YOK</v>
          </cell>
          <cell r="AD371" t="str">
            <v>TIRTIKLI</v>
          </cell>
          <cell r="AE371" t="str">
            <v>01</v>
          </cell>
          <cell r="AF371">
            <v>119</v>
          </cell>
          <cell r="AG371" t="str">
            <v>ADET</v>
          </cell>
          <cell r="AH371">
            <v>19.5</v>
          </cell>
          <cell r="AI371" t="str">
            <v>CNY</v>
          </cell>
          <cell r="AJ371">
            <v>1550</v>
          </cell>
          <cell r="AK371" t="str">
            <v>TL</v>
          </cell>
          <cell r="AL371">
            <v>1</v>
          </cell>
          <cell r="AM371" t="str">
            <v>8684127501149</v>
          </cell>
          <cell r="AO371">
            <v>0</v>
          </cell>
          <cell r="AQ371">
            <v>90</v>
          </cell>
          <cell r="AR371" t="str">
            <v>MM</v>
          </cell>
          <cell r="AS371">
            <v>60</v>
          </cell>
          <cell r="AT371" t="str">
            <v>MM</v>
          </cell>
          <cell r="AU371">
            <v>0</v>
          </cell>
          <cell r="AW371">
            <v>0</v>
          </cell>
        </row>
        <row r="372">
          <cell r="B372" t="str">
            <v>H1S5CMB000L-140</v>
          </cell>
          <cell r="C372" t="str">
            <v>MİA BAKIR DÜZ SPOT 60X140 mm</v>
          </cell>
          <cell r="D372" t="str">
            <v>MİA COPPER PLAIN SPOTLIGHT 60X140 mm</v>
          </cell>
          <cell r="E372" t="str">
            <v xml:space="preserve">ALUMİNYUM YOK BAKIR YOK   </v>
          </cell>
          <cell r="F372" t="str">
            <v>9405.19.90.00.00</v>
          </cell>
          <cell r="G372" t="str">
            <v>TEKNİK</v>
          </cell>
          <cell r="H372" t="str">
            <v>T1S5A400X0-14</v>
          </cell>
          <cell r="I372" t="str">
            <v>İÇ</v>
          </cell>
          <cell r="J372" t="str">
            <v>TEKNİK</v>
          </cell>
          <cell r="K372" t="str">
            <v>MİA</v>
          </cell>
          <cell r="L372" t="str">
            <v/>
          </cell>
          <cell r="M372" t="str">
            <v/>
          </cell>
          <cell r="N372" t="str">
            <v>MİA-7</v>
          </cell>
          <cell r="O372" t="str">
            <v>HEKA</v>
          </cell>
          <cell r="P372" t="str">
            <v>ADET</v>
          </cell>
          <cell r="Q372" t="str">
            <v>GU10</v>
          </cell>
          <cell r="R372" t="str">
            <v>ALUMİNYUM</v>
          </cell>
          <cell r="S372" t="str">
            <v>BAKIR</v>
          </cell>
          <cell r="T372" t="str">
            <v>YOK</v>
          </cell>
          <cell r="U372" t="str">
            <v>YOK</v>
          </cell>
          <cell r="AD372" t="str">
            <v>DÜZ</v>
          </cell>
          <cell r="AE372" t="str">
            <v>01</v>
          </cell>
          <cell r="AF372">
            <v>122</v>
          </cell>
          <cell r="AG372" t="str">
            <v>ADET</v>
          </cell>
          <cell r="AH372">
            <v>22</v>
          </cell>
          <cell r="AI372" t="str">
            <v>CNY</v>
          </cell>
          <cell r="AJ372">
            <v>1630</v>
          </cell>
          <cell r="AK372" t="str">
            <v>TL</v>
          </cell>
          <cell r="AL372">
            <v>1</v>
          </cell>
          <cell r="AM372" t="str">
            <v>8684127501309</v>
          </cell>
          <cell r="AO372">
            <v>0</v>
          </cell>
          <cell r="AQ372">
            <v>140</v>
          </cell>
          <cell r="AR372" t="str">
            <v>CM</v>
          </cell>
          <cell r="AS372">
            <v>60</v>
          </cell>
          <cell r="AT372" t="str">
            <v>CM</v>
          </cell>
          <cell r="AU372">
            <v>0</v>
          </cell>
          <cell r="AW372">
            <v>0</v>
          </cell>
        </row>
        <row r="373">
          <cell r="B373" t="str">
            <v>H1S5CRB000T-120</v>
          </cell>
          <cell r="C373" t="str">
            <v>SELİNA BEYAZ TIRTIKLI SPOT 40X120 mm</v>
          </cell>
          <cell r="D373" t="str">
            <v>SELİNA WHITE SERRATED SPOTLIGHT 40X120 mm</v>
          </cell>
          <cell r="E373" t="str">
            <v xml:space="preserve">ALUMİNYUM YOK BEYAZ YOK   </v>
          </cell>
          <cell r="F373" t="str">
            <v>9405.19.90.00.00</v>
          </cell>
          <cell r="G373" t="str">
            <v>TEKNİK</v>
          </cell>
          <cell r="H373" t="str">
            <v>T1S5A100T0-12</v>
          </cell>
          <cell r="I373" t="str">
            <v>İÇ</v>
          </cell>
          <cell r="J373" t="str">
            <v>TEKNİK</v>
          </cell>
          <cell r="K373" t="str">
            <v>SELİNA</v>
          </cell>
          <cell r="L373" t="str">
            <v/>
          </cell>
          <cell r="M373" t="str">
            <v/>
          </cell>
          <cell r="N373" t="str">
            <v>SELİNA-2</v>
          </cell>
          <cell r="O373" t="str">
            <v>HEKA</v>
          </cell>
          <cell r="P373" t="str">
            <v>ADET</v>
          </cell>
          <cell r="Q373" t="str">
            <v>GU10</v>
          </cell>
          <cell r="R373" t="str">
            <v>ALUMİNYUM</v>
          </cell>
          <cell r="S373" t="str">
            <v>BEYAZ</v>
          </cell>
          <cell r="T373" t="str">
            <v>YOK</v>
          </cell>
          <cell r="U373" t="str">
            <v>YOK</v>
          </cell>
          <cell r="AD373" t="str">
            <v>TIRTIKLI</v>
          </cell>
          <cell r="AE373" t="str">
            <v>02</v>
          </cell>
          <cell r="AF373">
            <v>0</v>
          </cell>
          <cell r="AG373" t="str">
            <v>ADET</v>
          </cell>
          <cell r="AH373">
            <v>13.5</v>
          </cell>
          <cell r="AI373" t="str">
            <v>CNY</v>
          </cell>
          <cell r="AJ373">
            <v>1500</v>
          </cell>
          <cell r="AK373" t="str">
            <v>TL</v>
          </cell>
          <cell r="AL373">
            <v>1</v>
          </cell>
          <cell r="AM373" t="str">
            <v>8684127501224</v>
          </cell>
          <cell r="AO373">
            <v>0</v>
          </cell>
          <cell r="AQ373">
            <v>120</v>
          </cell>
          <cell r="AR373" t="str">
            <v>CM</v>
          </cell>
          <cell r="AS373">
            <v>40</v>
          </cell>
          <cell r="AT373" t="str">
            <v>CM</v>
          </cell>
          <cell r="AU373">
            <v>0</v>
          </cell>
          <cell r="AW373">
            <v>0</v>
          </cell>
        </row>
        <row r="374">
          <cell r="B374" t="str">
            <v>CK5G2P3P2E7J0</v>
          </cell>
          <cell r="C374" t="str">
            <v>ERD-250 6W 4000K GU10 LED AMPUL</v>
          </cell>
          <cell r="D374" t="str">
            <v>ERD-250 6W 4000K GU10 LED BULB</v>
          </cell>
          <cell r="E374" t="str">
            <v>PLASTİK PLASTİK ŞEFFAF SMD LED DIMMSIZ KARMA</v>
          </cell>
          <cell r="F374" t="str">
            <v>8539.52.00.00.00</v>
          </cell>
          <cell r="G374" t="str">
            <v>AMPUL</v>
          </cell>
          <cell r="H374" t="str">
            <v>CG52232D70000</v>
          </cell>
          <cell r="I374" t="str">
            <v>İÇ</v>
          </cell>
          <cell r="J374" t="str">
            <v>AMPUL</v>
          </cell>
          <cell r="K374" t="str">
            <v>ERD-250</v>
          </cell>
          <cell r="L374" t="str">
            <v/>
          </cell>
          <cell r="M374" t="str">
            <v/>
          </cell>
          <cell r="N374" t="str">
            <v>ERD-250</v>
          </cell>
          <cell r="O374" t="str">
            <v>HEKA</v>
          </cell>
          <cell r="P374" t="str">
            <v>ADET</v>
          </cell>
          <cell r="Q374" t="str">
            <v>GU10</v>
          </cell>
          <cell r="R374" t="str">
            <v>PLASTİK</v>
          </cell>
          <cell r="S374" t="str">
            <v>ŞEFFAF</v>
          </cell>
          <cell r="T374" t="str">
            <v>PLASTİK</v>
          </cell>
          <cell r="V374" t="str">
            <v>G</v>
          </cell>
          <cell r="W374" t="str">
            <v>SMD LED</v>
          </cell>
          <cell r="X374" t="str">
            <v>220V</v>
          </cell>
          <cell r="Y374" t="str">
            <v>6 WATT</v>
          </cell>
          <cell r="Z374" t="str">
            <v>4000 K</v>
          </cell>
          <cell r="AA374" t="str">
            <v>DIMMSIZ</v>
          </cell>
          <cell r="AB374" t="str">
            <v>301-400</v>
          </cell>
          <cell r="AC374" t="str">
            <v>KARMA</v>
          </cell>
          <cell r="AD374" t="str">
            <v>N/A</v>
          </cell>
          <cell r="AF374">
            <v>0</v>
          </cell>
          <cell r="AG374" t="str">
            <v>ADET</v>
          </cell>
          <cell r="AH374">
            <v>0.375</v>
          </cell>
          <cell r="AI374" t="str">
            <v>USD</v>
          </cell>
          <cell r="AJ374">
            <v>1.35</v>
          </cell>
          <cell r="AK374" t="str">
            <v>USD</v>
          </cell>
          <cell r="AL374">
            <v>1</v>
          </cell>
          <cell r="AM374" t="str">
            <v>8684127503945</v>
          </cell>
          <cell r="AN374" t="str">
            <v>8684127500296</v>
          </cell>
          <cell r="AO374">
            <v>0</v>
          </cell>
          <cell r="AQ374">
            <v>5</v>
          </cell>
          <cell r="AR374" t="str">
            <v>CM</v>
          </cell>
          <cell r="AS374">
            <v>5</v>
          </cell>
          <cell r="AT374" t="str">
            <v>CM</v>
          </cell>
          <cell r="AU374">
            <v>0</v>
          </cell>
          <cell r="AW374">
            <v>0</v>
          </cell>
        </row>
        <row r="375">
          <cell r="B375" t="str">
            <v>01.100.10.01.03</v>
          </cell>
          <cell r="C375" t="str">
            <v>DİKDÖRTGEN TEPSİ ALTIN 100x10cm</v>
          </cell>
          <cell r="D375" t="str">
            <v>GOLD RECTANGLE TRAY 100x10cm</v>
          </cell>
          <cell r="E375" t="str">
            <v/>
          </cell>
          <cell r="F375" t="str">
            <v/>
          </cell>
          <cell r="G375" t="str">
            <v>ZPARCA</v>
          </cell>
          <cell r="H375" t="str">
            <v>01.100.10.01.03</v>
          </cell>
          <cell r="I375" t="str">
            <v>İÇ</v>
          </cell>
          <cell r="J375" t="str">
            <v>ZPARCA</v>
          </cell>
          <cell r="K375" t="str">
            <v/>
          </cell>
          <cell r="L375" t="str">
            <v/>
          </cell>
          <cell r="M375" t="str">
            <v>ÜRTM:7GÜN</v>
          </cell>
          <cell r="N375" t="str">
            <v/>
          </cell>
          <cell r="O375" t="str">
            <v>HEKA</v>
          </cell>
          <cell r="P375" t="str">
            <v>ADET</v>
          </cell>
          <cell r="R375" t="str">
            <v>METAL</v>
          </cell>
          <cell r="S375" t="str">
            <v>GOLD</v>
          </cell>
          <cell r="AF375">
            <v>16</v>
          </cell>
          <cell r="AG375" t="str">
            <v>ADET</v>
          </cell>
          <cell r="AH375">
            <v>60</v>
          </cell>
          <cell r="AI375" t="str">
            <v>CNY</v>
          </cell>
          <cell r="AJ375">
            <v>4170</v>
          </cell>
          <cell r="AK375" t="str">
            <v>TL</v>
          </cell>
          <cell r="AL375">
            <v>1</v>
          </cell>
          <cell r="AM375" t="str">
            <v>01.100.10.01.03</v>
          </cell>
          <cell r="AO375">
            <v>0</v>
          </cell>
          <cell r="AQ375">
            <v>0</v>
          </cell>
          <cell r="AS375">
            <v>100</v>
          </cell>
          <cell r="AU375">
            <v>0</v>
          </cell>
          <cell r="AW375">
            <v>0</v>
          </cell>
        </row>
        <row r="376">
          <cell r="B376" t="str">
            <v>01.025.00.04.03</v>
          </cell>
          <cell r="C376" t="str">
            <v>YUVARLAK TEPSİ ALTIN 25cm</v>
          </cell>
          <cell r="D376" t="str">
            <v>GOLD ROUND TRAY 25cm</v>
          </cell>
          <cell r="E376" t="str">
            <v/>
          </cell>
          <cell r="F376" t="str">
            <v/>
          </cell>
          <cell r="G376" t="str">
            <v>ZPARCA</v>
          </cell>
          <cell r="H376" t="str">
            <v>01.025.00.04.03</v>
          </cell>
          <cell r="I376" t="str">
            <v>İÇ</v>
          </cell>
          <cell r="J376" t="str">
            <v>ZPARCA</v>
          </cell>
          <cell r="K376" t="str">
            <v/>
          </cell>
          <cell r="L376" t="str">
            <v/>
          </cell>
          <cell r="M376" t="str">
            <v/>
          </cell>
          <cell r="N376" t="str">
            <v/>
          </cell>
          <cell r="P376" t="str">
            <v>ADET</v>
          </cell>
          <cell r="R376" t="str">
            <v>METAL</v>
          </cell>
          <cell r="S376" t="str">
            <v>GOLD</v>
          </cell>
          <cell r="AF376">
            <v>0</v>
          </cell>
          <cell r="AG376" t="str">
            <v>ADET</v>
          </cell>
          <cell r="AH376">
            <v>80</v>
          </cell>
          <cell r="AI376" t="str">
            <v>TL</v>
          </cell>
          <cell r="AJ376">
            <v>350</v>
          </cell>
          <cell r="AK376" t="str">
            <v>TL</v>
          </cell>
          <cell r="AL376">
            <v>1</v>
          </cell>
          <cell r="AM376" t="str">
            <v>01.025.00.04.03</v>
          </cell>
          <cell r="AO376">
            <v>0</v>
          </cell>
          <cell r="AQ376">
            <v>0</v>
          </cell>
          <cell r="AS376">
            <v>100</v>
          </cell>
          <cell r="AU376">
            <v>0</v>
          </cell>
          <cell r="AW376">
            <v>0</v>
          </cell>
        </row>
        <row r="377">
          <cell r="B377" t="str">
            <v>01.100.10.01.05</v>
          </cell>
          <cell r="C377" t="str">
            <v>DİKDÖRTGEN TEPSİ SİYAH 100x10cm</v>
          </cell>
          <cell r="D377" t="str">
            <v>BLACK RECTANGLE TRAY 100x10cm</v>
          </cell>
          <cell r="E377" t="str">
            <v/>
          </cell>
          <cell r="F377" t="str">
            <v/>
          </cell>
          <cell r="G377" t="str">
            <v>ZPARCA</v>
          </cell>
          <cell r="H377" t="str">
            <v>01.100.10.01.05</v>
          </cell>
          <cell r="I377" t="str">
            <v>İÇ</v>
          </cell>
          <cell r="J377" t="str">
            <v>ZPARCA</v>
          </cell>
          <cell r="K377" t="str">
            <v/>
          </cell>
          <cell r="L377" t="str">
            <v/>
          </cell>
          <cell r="M377" t="str">
            <v>ÜRTM:7GÜN</v>
          </cell>
          <cell r="N377" t="str">
            <v/>
          </cell>
          <cell r="O377" t="str">
            <v>HEKA</v>
          </cell>
          <cell r="P377" t="str">
            <v>ADET</v>
          </cell>
          <cell r="R377" t="str">
            <v>METAL</v>
          </cell>
          <cell r="S377" t="str">
            <v>SİYAH</v>
          </cell>
          <cell r="AF377">
            <v>28</v>
          </cell>
          <cell r="AG377" t="str">
            <v>ADET</v>
          </cell>
          <cell r="AH377">
            <v>30</v>
          </cell>
          <cell r="AI377" t="str">
            <v>CNY</v>
          </cell>
          <cell r="AJ377">
            <v>3150</v>
          </cell>
          <cell r="AK377" t="str">
            <v>TL</v>
          </cell>
          <cell r="AL377">
            <v>1</v>
          </cell>
          <cell r="AM377" t="str">
            <v>01.100.10.01.05</v>
          </cell>
          <cell r="AO377">
            <v>0</v>
          </cell>
          <cell r="AQ377">
            <v>0</v>
          </cell>
          <cell r="AS377">
            <v>100</v>
          </cell>
          <cell r="AU377">
            <v>0</v>
          </cell>
          <cell r="AW377">
            <v>0</v>
          </cell>
        </row>
        <row r="378">
          <cell r="B378" t="str">
            <v>H1S5JMELCT0-017</v>
          </cell>
          <cell r="C378" t="str">
            <v>KOZA TEKLİ  ESKİTME APLİK</v>
          </cell>
          <cell r="D378" t="str">
            <v>KOZA SINGLE  BRASS WALL LAMP</v>
          </cell>
          <cell r="E378" t="str">
            <v xml:space="preserve">METAL PLEKSİ ESKİTME SOFT   </v>
          </cell>
          <cell r="F378" t="str">
            <v>9405.19.90.00.00</v>
          </cell>
          <cell r="G378" t="str">
            <v>APLİK</v>
          </cell>
          <cell r="H378" t="str">
            <v>T1S5A38400-01</v>
          </cell>
          <cell r="I378" t="str">
            <v>İÇ</v>
          </cell>
          <cell r="J378" t="str">
            <v>APLİK</v>
          </cell>
          <cell r="K378" t="str">
            <v>KOZA</v>
          </cell>
          <cell r="L378" t="str">
            <v/>
          </cell>
          <cell r="M378" t="str">
            <v/>
          </cell>
          <cell r="N378" t="str">
            <v>HKA-24051</v>
          </cell>
          <cell r="O378" t="str">
            <v>HEKA</v>
          </cell>
          <cell r="P378" t="str">
            <v>ADET</v>
          </cell>
          <cell r="Q378" t="str">
            <v>GU10</v>
          </cell>
          <cell r="R378" t="str">
            <v>METAL</v>
          </cell>
          <cell r="S378" t="str">
            <v>ESKİTME</v>
          </cell>
          <cell r="T378" t="str">
            <v>PLEKSİ</v>
          </cell>
          <cell r="U378" t="str">
            <v>SOFT</v>
          </cell>
          <cell r="AD378" t="str">
            <v>N/A</v>
          </cell>
          <cell r="AE378" t="str">
            <v>01</v>
          </cell>
          <cell r="AF378">
            <v>83</v>
          </cell>
          <cell r="AG378" t="str">
            <v>ADET</v>
          </cell>
          <cell r="AH378">
            <v>16</v>
          </cell>
          <cell r="AI378" t="str">
            <v>CNY</v>
          </cell>
          <cell r="AJ378">
            <v>1965</v>
          </cell>
          <cell r="AK378" t="str">
            <v>TL</v>
          </cell>
          <cell r="AL378">
            <v>1</v>
          </cell>
          <cell r="AM378" t="str">
            <v>8684127502290</v>
          </cell>
          <cell r="AO378">
            <v>0</v>
          </cell>
          <cell r="AQ378">
            <v>6</v>
          </cell>
          <cell r="AR378" t="str">
            <v>CM</v>
          </cell>
          <cell r="AS378">
            <v>6</v>
          </cell>
          <cell r="AT378" t="str">
            <v>CM</v>
          </cell>
          <cell r="AU378">
            <v>0</v>
          </cell>
          <cell r="AW378">
            <v>0</v>
          </cell>
        </row>
        <row r="379">
          <cell r="B379" t="str">
            <v>H1S5JMRLCT0-050</v>
          </cell>
          <cell r="C379" t="str">
            <v>KOZA İKİLİ ESKİTME APLİK</v>
          </cell>
          <cell r="D379" t="str">
            <v>KOZA DOUBLE BRASS WALL LAMP</v>
          </cell>
          <cell r="E379" t="str">
            <v>METAL PLEKSİ KOYU ESKİTME SOFT</v>
          </cell>
          <cell r="F379" t="str">
            <v>9405.19.90.00.00</v>
          </cell>
          <cell r="G379" t="str">
            <v>APLİK</v>
          </cell>
          <cell r="H379" t="str">
            <v>T1S5A38400-02</v>
          </cell>
          <cell r="I379" t="str">
            <v>İÇ</v>
          </cell>
          <cell r="J379" t="str">
            <v>APLİK</v>
          </cell>
          <cell r="K379" t="str">
            <v>KOZA</v>
          </cell>
          <cell r="L379" t="str">
            <v/>
          </cell>
          <cell r="M379" t="str">
            <v>30.03.2026</v>
          </cell>
          <cell r="N379" t="str">
            <v>HKA-24053</v>
          </cell>
          <cell r="O379" t="str">
            <v>HEKA</v>
          </cell>
          <cell r="P379" t="str">
            <v>ADET</v>
          </cell>
          <cell r="Q379" t="str">
            <v>GU10</v>
          </cell>
          <cell r="R379" t="str">
            <v>METAL</v>
          </cell>
          <cell r="S379" t="str">
            <v>KOYU ESKİTME</v>
          </cell>
          <cell r="T379" t="str">
            <v>PLEKSİ</v>
          </cell>
          <cell r="U379" t="str">
            <v>SOFT</v>
          </cell>
          <cell r="AD379" t="str">
            <v>N/A</v>
          </cell>
          <cell r="AE379" t="str">
            <v>02</v>
          </cell>
          <cell r="AF379">
            <v>48</v>
          </cell>
          <cell r="AG379" t="str">
            <v>ADET</v>
          </cell>
          <cell r="AH379">
            <v>44</v>
          </cell>
          <cell r="AI379" t="str">
            <v>CNY</v>
          </cell>
          <cell r="AJ379">
            <v>3700</v>
          </cell>
          <cell r="AK379" t="str">
            <v>TL</v>
          </cell>
          <cell r="AL379">
            <v>1</v>
          </cell>
          <cell r="AM379" t="str">
            <v>8684127502245</v>
          </cell>
          <cell r="AO379">
            <v>0</v>
          </cell>
          <cell r="AQ379">
            <v>12</v>
          </cell>
          <cell r="AR379" t="str">
            <v>CM</v>
          </cell>
          <cell r="AS379">
            <v>22</v>
          </cell>
          <cell r="AT379" t="str">
            <v>CM</v>
          </cell>
          <cell r="AU379">
            <v>0</v>
          </cell>
          <cell r="AW379">
            <v>0</v>
          </cell>
        </row>
        <row r="380">
          <cell r="B380" t="str">
            <v>H1T6JMGBCSR-048</v>
          </cell>
          <cell r="C380" t="str">
            <v>CENEVİZ AKRİLİK MASA LAMBASI</v>
          </cell>
          <cell r="D380" t="str">
            <v>CENEVİZ ACRYLIC TABLE LAMP</v>
          </cell>
          <cell r="E380" t="str">
            <v xml:space="preserve">METAL AKRİLİK GOLD ŞEFFAF   </v>
          </cell>
          <cell r="F380" t="str">
            <v>9405.21.90.00.00</v>
          </cell>
          <cell r="G380" t="str">
            <v>MASA LAMBASI</v>
          </cell>
          <cell r="H380" t="str">
            <v>T1M6126300-48</v>
          </cell>
          <cell r="I380" t="str">
            <v>İÇ</v>
          </cell>
          <cell r="J380" t="str">
            <v>MASAABAJ</v>
          </cell>
          <cell r="K380" t="str">
            <v>CENEVİZ</v>
          </cell>
          <cell r="L380" t="str">
            <v/>
          </cell>
          <cell r="M380" t="str">
            <v/>
          </cell>
          <cell r="N380" t="str">
            <v>T9951-1</v>
          </cell>
          <cell r="O380" t="str">
            <v>HEKA</v>
          </cell>
          <cell r="P380" t="str">
            <v>ADET</v>
          </cell>
          <cell r="Q380" t="str">
            <v>LED</v>
          </cell>
          <cell r="R380" t="str">
            <v>METAL</v>
          </cell>
          <cell r="S380" t="str">
            <v>GOLD</v>
          </cell>
          <cell r="T380" t="str">
            <v>AKRİLİK</v>
          </cell>
          <cell r="U380" t="str">
            <v>ŞEFFAF</v>
          </cell>
          <cell r="AD380" t="str">
            <v>DAİRE</v>
          </cell>
          <cell r="AE380" t="str">
            <v>01</v>
          </cell>
          <cell r="AF380">
            <v>0</v>
          </cell>
          <cell r="AG380" t="str">
            <v>ADET</v>
          </cell>
          <cell r="AH380">
            <v>238</v>
          </cell>
          <cell r="AI380" t="str">
            <v>CNY</v>
          </cell>
          <cell r="AJ380">
            <v>3040</v>
          </cell>
          <cell r="AK380" t="str">
            <v>TL</v>
          </cell>
          <cell r="AL380">
            <v>1</v>
          </cell>
          <cell r="AM380" t="str">
            <v>8684127505666</v>
          </cell>
          <cell r="AO380">
            <v>0</v>
          </cell>
          <cell r="AQ380">
            <v>48</v>
          </cell>
          <cell r="AR380" t="str">
            <v>CM</v>
          </cell>
          <cell r="AS380">
            <v>21</v>
          </cell>
          <cell r="AT380" t="str">
            <v>CM</v>
          </cell>
          <cell r="AU380">
            <v>0</v>
          </cell>
          <cell r="AW380">
            <v>0</v>
          </cell>
        </row>
        <row r="381">
          <cell r="B381" t="str">
            <v>H1F6JMGBCSR-163</v>
          </cell>
          <cell r="C381" t="str">
            <v>CENEVİZ AKRİLİK LAMBADER</v>
          </cell>
          <cell r="D381" t="str">
            <v>CENEVİZ ACRYLIC FLOOR LAMP</v>
          </cell>
          <cell r="E381" t="str">
            <v xml:space="preserve">METAL AKRİLİK GOLD ŞEFFAF   </v>
          </cell>
          <cell r="F381" t="str">
            <v>9405.21.90.00.00</v>
          </cell>
          <cell r="G381" t="str">
            <v>LAMBADER</v>
          </cell>
          <cell r="H381" t="str">
            <v>T1L6126300-28</v>
          </cell>
          <cell r="I381" t="str">
            <v>İÇ</v>
          </cell>
          <cell r="J381" t="str">
            <v>LAMBADER</v>
          </cell>
          <cell r="K381" t="str">
            <v>CENEVİZ</v>
          </cell>
          <cell r="L381" t="str">
            <v/>
          </cell>
          <cell r="M381" t="str">
            <v/>
          </cell>
          <cell r="N381" t="str">
            <v xml:space="preserve">F9951-1 </v>
          </cell>
          <cell r="O381" t="str">
            <v>HEKA</v>
          </cell>
          <cell r="P381" t="str">
            <v>ADET</v>
          </cell>
          <cell r="Q381" t="str">
            <v>LED</v>
          </cell>
          <cell r="R381" t="str">
            <v>METAL</v>
          </cell>
          <cell r="S381" t="str">
            <v>GOLD</v>
          </cell>
          <cell r="T381" t="str">
            <v>AKRİLİK</v>
          </cell>
          <cell r="U381" t="str">
            <v>ŞEFFAF</v>
          </cell>
          <cell r="AD381" t="str">
            <v>DAİRE</v>
          </cell>
          <cell r="AE381" t="str">
            <v>01</v>
          </cell>
          <cell r="AF381">
            <v>0</v>
          </cell>
          <cell r="AG381" t="str">
            <v>ADET</v>
          </cell>
          <cell r="AH381">
            <v>338</v>
          </cell>
          <cell r="AI381" t="str">
            <v>CNY</v>
          </cell>
          <cell r="AJ381">
            <v>4320</v>
          </cell>
          <cell r="AK381" t="str">
            <v>TL</v>
          </cell>
          <cell r="AL381">
            <v>1</v>
          </cell>
          <cell r="AM381" t="str">
            <v>8684127508544</v>
          </cell>
          <cell r="AO381">
            <v>0</v>
          </cell>
          <cell r="AQ381">
            <v>162</v>
          </cell>
          <cell r="AR381" t="str">
            <v>CM</v>
          </cell>
          <cell r="AS381">
            <v>21</v>
          </cell>
          <cell r="AT381" t="str">
            <v>CM</v>
          </cell>
          <cell r="AU381">
            <v>0</v>
          </cell>
          <cell r="AW381">
            <v>0</v>
          </cell>
        </row>
        <row r="382">
          <cell r="B382" t="str">
            <v>H1W3JMEECTD-063</v>
          </cell>
          <cell r="C382" t="str">
            <v>AFRODİT İKİLİ ESKİTME APLİK</v>
          </cell>
          <cell r="D382" t="str">
            <v>AFRODİT DOUBLE BRUSHED BRASS WALL LAMP</v>
          </cell>
          <cell r="E382" t="str">
            <v>METAL CAM ESKİTME SOFT</v>
          </cell>
          <cell r="F382" t="str">
            <v>9405.19.90.00.00</v>
          </cell>
          <cell r="G382" t="str">
            <v>APLİK</v>
          </cell>
          <cell r="H382" t="str">
            <v>T1W3112100-02</v>
          </cell>
          <cell r="I382" t="str">
            <v>İÇ</v>
          </cell>
          <cell r="J382" t="str">
            <v>APLİK</v>
          </cell>
          <cell r="K382" t="str">
            <v>AFRODİT</v>
          </cell>
          <cell r="L382" t="str">
            <v/>
          </cell>
          <cell r="M382" t="str">
            <v>ÜRTM;15GÜN</v>
          </cell>
          <cell r="N382" t="str">
            <v>MB021-2-BR</v>
          </cell>
          <cell r="O382" t="str">
            <v>HEKA</v>
          </cell>
          <cell r="P382" t="str">
            <v>ADET</v>
          </cell>
          <cell r="Q382" t="str">
            <v>G9</v>
          </cell>
          <cell r="R382" t="str">
            <v>METAL</v>
          </cell>
          <cell r="S382" t="str">
            <v>ESKİTME</v>
          </cell>
          <cell r="T382" t="str">
            <v>CAM</v>
          </cell>
          <cell r="U382" t="str">
            <v>SOFT</v>
          </cell>
          <cell r="AD382" t="str">
            <v>DİKDÖRTGEN</v>
          </cell>
          <cell r="AE382" t="str">
            <v>02</v>
          </cell>
          <cell r="AF382">
            <v>6</v>
          </cell>
          <cell r="AG382" t="str">
            <v>ADET</v>
          </cell>
          <cell r="AH382">
            <v>200</v>
          </cell>
          <cell r="AI382" t="str">
            <v>TL</v>
          </cell>
          <cell r="AJ382">
            <v>11730</v>
          </cell>
          <cell r="AK382" t="str">
            <v>TL</v>
          </cell>
          <cell r="AL382">
            <v>1</v>
          </cell>
          <cell r="AM382" t="str">
            <v>8684127501347</v>
          </cell>
          <cell r="AO382">
            <v>0</v>
          </cell>
          <cell r="AQ382">
            <v>62</v>
          </cell>
          <cell r="AR382" t="str">
            <v>CM</v>
          </cell>
          <cell r="AS382">
            <v>17</v>
          </cell>
          <cell r="AT382" t="str">
            <v>CM</v>
          </cell>
          <cell r="AU382">
            <v>0</v>
          </cell>
          <cell r="AW382">
            <v>0</v>
          </cell>
        </row>
        <row r="383">
          <cell r="B383" t="str">
            <v>H1C6JMEECTR-049</v>
          </cell>
          <cell r="C383" t="str">
            <v>AMİSOS CAMLI PLAFONYER</v>
          </cell>
          <cell r="D383" t="str">
            <v>AMİSOS PLAFOND LIGHTING WITH WHITE GLASS</v>
          </cell>
          <cell r="E383" t="str">
            <v xml:space="preserve">METAL CAM  ESKİTME SOFT   </v>
          </cell>
          <cell r="F383" t="str">
            <v>9405.11.90.00.00</v>
          </cell>
          <cell r="G383" t="str">
            <v>AVİZE</v>
          </cell>
          <cell r="H383" t="str">
            <v>T1W6112100-48</v>
          </cell>
          <cell r="I383" t="str">
            <v>İÇ</v>
          </cell>
          <cell r="J383" t="str">
            <v>AVİZE.PLF</v>
          </cell>
          <cell r="K383" t="str">
            <v>AMİSOS</v>
          </cell>
          <cell r="L383" t="str">
            <v/>
          </cell>
          <cell r="M383" t="str">
            <v/>
          </cell>
          <cell r="N383" t="str">
            <v>MD3501-48-2</v>
          </cell>
          <cell r="O383" t="str">
            <v>HEKA</v>
          </cell>
          <cell r="P383" t="str">
            <v>ADET</v>
          </cell>
          <cell r="Q383" t="str">
            <v>LED</v>
          </cell>
          <cell r="R383" t="str">
            <v>METAL</v>
          </cell>
          <cell r="S383" t="str">
            <v>ESKİTME</v>
          </cell>
          <cell r="T383" t="str">
            <v>CAM</v>
          </cell>
          <cell r="U383" t="str">
            <v>SOFT</v>
          </cell>
          <cell r="AD383" t="str">
            <v>DAİRE</v>
          </cell>
          <cell r="AE383" t="str">
            <v>01</v>
          </cell>
          <cell r="AF383">
            <v>0</v>
          </cell>
          <cell r="AG383" t="str">
            <v>ADET</v>
          </cell>
          <cell r="AH383">
            <v>175</v>
          </cell>
          <cell r="AI383" t="str">
            <v>CNY</v>
          </cell>
          <cell r="AJ383">
            <v>2350</v>
          </cell>
          <cell r="AK383" t="str">
            <v>TL</v>
          </cell>
          <cell r="AL383">
            <v>1</v>
          </cell>
          <cell r="AM383" t="str">
            <v>8684127508834</v>
          </cell>
          <cell r="AO383">
            <v>0</v>
          </cell>
          <cell r="AQ383">
            <v>48</v>
          </cell>
          <cell r="AR383" t="str">
            <v>CM</v>
          </cell>
          <cell r="AS383">
            <v>11</v>
          </cell>
          <cell r="AT383" t="str">
            <v>CM</v>
          </cell>
          <cell r="AU383">
            <v>0</v>
          </cell>
          <cell r="AW383">
            <v>0</v>
          </cell>
        </row>
        <row r="384">
          <cell r="B384" t="str">
            <v>H1C6JMEECTR-048</v>
          </cell>
          <cell r="C384" t="str">
            <v>AMİSOS CAMLI SARKIT</v>
          </cell>
          <cell r="D384" t="str">
            <v>AMİSOS PENDANT WITH WHITE GLASS</v>
          </cell>
          <cell r="E384" t="str">
            <v xml:space="preserve">METAL CAM  ESKİTME SOFT   </v>
          </cell>
          <cell r="F384" t="str">
            <v>9405.11.90.00.00</v>
          </cell>
          <cell r="G384" t="str">
            <v>AVİZE</v>
          </cell>
          <cell r="H384" t="str">
            <v>T1A6112100-48</v>
          </cell>
          <cell r="I384" t="str">
            <v>İÇ</v>
          </cell>
          <cell r="J384" t="str">
            <v>AVİZE.SARK</v>
          </cell>
          <cell r="K384" t="str">
            <v>AMİSOS</v>
          </cell>
          <cell r="L384" t="str">
            <v/>
          </cell>
          <cell r="M384" t="str">
            <v/>
          </cell>
          <cell r="N384" t="str">
            <v>MD3501-48</v>
          </cell>
          <cell r="O384" t="str">
            <v>HEKA</v>
          </cell>
          <cell r="P384" t="str">
            <v>ADET</v>
          </cell>
          <cell r="Q384" t="str">
            <v>LED</v>
          </cell>
          <cell r="R384" t="str">
            <v>METAL</v>
          </cell>
          <cell r="S384" t="str">
            <v>ESKİTME</v>
          </cell>
          <cell r="T384" t="str">
            <v>CAM</v>
          </cell>
          <cell r="U384" t="str">
            <v>SOFT</v>
          </cell>
          <cell r="AD384" t="str">
            <v>DAİRE</v>
          </cell>
          <cell r="AE384" t="str">
            <v>01</v>
          </cell>
          <cell r="AF384">
            <v>0</v>
          </cell>
          <cell r="AG384" t="str">
            <v>ADET</v>
          </cell>
          <cell r="AH384">
            <v>215</v>
          </cell>
          <cell r="AI384" t="str">
            <v>CNY</v>
          </cell>
          <cell r="AJ384">
            <v>2350</v>
          </cell>
          <cell r="AK384" t="str">
            <v>TL</v>
          </cell>
          <cell r="AL384">
            <v>1</v>
          </cell>
          <cell r="AM384" t="str">
            <v>8684127508827</v>
          </cell>
          <cell r="AO384">
            <v>0</v>
          </cell>
          <cell r="AQ384">
            <v>48</v>
          </cell>
          <cell r="AR384" t="str">
            <v>CM</v>
          </cell>
          <cell r="AS384">
            <v>11</v>
          </cell>
          <cell r="AT384" t="str">
            <v>CM</v>
          </cell>
          <cell r="AU384">
            <v>0</v>
          </cell>
          <cell r="AW384">
            <v>0</v>
          </cell>
        </row>
        <row r="385">
          <cell r="B385" t="str">
            <v>H1S5CRS000T-090</v>
          </cell>
          <cell r="C385" t="str">
            <v>BELLA SİYAH TIRTIKLI SPOT 60X90 mm</v>
          </cell>
          <cell r="D385" t="str">
            <v>BELLA BLACK SERRATED SPOTLIGHT 60X90 mm</v>
          </cell>
          <cell r="E385" t="str">
            <v xml:space="preserve">ALUMİNYUM YOK SİYAH YOK   </v>
          </cell>
          <cell r="F385" t="str">
            <v>9405.19.90.00.00</v>
          </cell>
          <cell r="G385" t="str">
            <v>TEKNİK</v>
          </cell>
          <cell r="H385" t="str">
            <v>T1S5A200T0-09</v>
          </cell>
          <cell r="I385" t="str">
            <v>İÇ</v>
          </cell>
          <cell r="J385" t="str">
            <v>TEKNİK</v>
          </cell>
          <cell r="K385" t="str">
            <v>BELLA</v>
          </cell>
          <cell r="L385" t="str">
            <v/>
          </cell>
          <cell r="M385" t="str">
            <v/>
          </cell>
          <cell r="N385" t="str">
            <v>BELLA-4</v>
          </cell>
          <cell r="O385" t="str">
            <v>HEKA</v>
          </cell>
          <cell r="P385" t="str">
            <v>ADET</v>
          </cell>
          <cell r="Q385" t="str">
            <v>GU10</v>
          </cell>
          <cell r="R385" t="str">
            <v>ALUMİNYUM</v>
          </cell>
          <cell r="S385" t="str">
            <v>SİYAH</v>
          </cell>
          <cell r="T385" t="str">
            <v>YOK</v>
          </cell>
          <cell r="U385" t="str">
            <v>YOK</v>
          </cell>
          <cell r="AD385" t="str">
            <v>TIRTIKLI</v>
          </cell>
          <cell r="AE385" t="str">
            <v>01</v>
          </cell>
          <cell r="AF385">
            <v>132</v>
          </cell>
          <cell r="AG385" t="str">
            <v>ADET</v>
          </cell>
          <cell r="AH385">
            <v>19.5</v>
          </cell>
          <cell r="AI385" t="str">
            <v>CNY</v>
          </cell>
          <cell r="AJ385">
            <v>1550</v>
          </cell>
          <cell r="AK385" t="str">
            <v>TL</v>
          </cell>
          <cell r="AL385">
            <v>1</v>
          </cell>
          <cell r="AM385" t="str">
            <v>8684127500975</v>
          </cell>
          <cell r="AO385">
            <v>0</v>
          </cell>
          <cell r="AQ385">
            <v>16</v>
          </cell>
          <cell r="AR385" t="str">
            <v>CM</v>
          </cell>
          <cell r="AS385">
            <v>28</v>
          </cell>
          <cell r="AT385" t="str">
            <v>CM</v>
          </cell>
          <cell r="AU385">
            <v>0</v>
          </cell>
          <cell r="AW385">
            <v>0</v>
          </cell>
        </row>
        <row r="386">
          <cell r="B386" t="str">
            <v>H1S5CME000L-090</v>
          </cell>
          <cell r="C386" t="str">
            <v>BELLA ESKİTME DÜZ SPOT 60X90 mm</v>
          </cell>
          <cell r="D386" t="str">
            <v>BELLA BRUSHED BRASS PLAIN SPOTLIGHT 60X90 mm</v>
          </cell>
          <cell r="E386" t="str">
            <v xml:space="preserve">ALUMİNYUM YOK ESKİTME YOK   </v>
          </cell>
          <cell r="F386" t="str">
            <v>9405.19.90.00.00</v>
          </cell>
          <cell r="G386" t="str">
            <v>TEKNİK</v>
          </cell>
          <cell r="H386" t="str">
            <v>T1S5A300X0-09</v>
          </cell>
          <cell r="I386" t="str">
            <v>İÇ</v>
          </cell>
          <cell r="J386" t="str">
            <v>TEKNİK</v>
          </cell>
          <cell r="K386" t="str">
            <v>BELLA</v>
          </cell>
          <cell r="L386" t="str">
            <v/>
          </cell>
          <cell r="M386" t="str">
            <v/>
          </cell>
          <cell r="N386" t="str">
            <v>BELLA-5</v>
          </cell>
          <cell r="O386" t="str">
            <v>HEKA</v>
          </cell>
          <cell r="P386" t="str">
            <v>ADET</v>
          </cell>
          <cell r="Q386" t="str">
            <v>GU10</v>
          </cell>
          <cell r="R386" t="str">
            <v>ALUMİNYUM</v>
          </cell>
          <cell r="S386" t="str">
            <v>ESKİTME</v>
          </cell>
          <cell r="T386" t="str">
            <v>YOK</v>
          </cell>
          <cell r="U386" t="str">
            <v>YOK</v>
          </cell>
          <cell r="AD386" t="str">
            <v>DÜZ</v>
          </cell>
          <cell r="AE386" t="str">
            <v>01</v>
          </cell>
          <cell r="AF386">
            <v>394</v>
          </cell>
          <cell r="AG386" t="str">
            <v>ADET</v>
          </cell>
          <cell r="AH386">
            <v>19.5</v>
          </cell>
          <cell r="AI386" t="str">
            <v>CNY</v>
          </cell>
          <cell r="AJ386">
            <v>1249</v>
          </cell>
          <cell r="AK386" t="str">
            <v>TL</v>
          </cell>
          <cell r="AL386">
            <v>1</v>
          </cell>
          <cell r="AM386" t="str">
            <v>8684127501170</v>
          </cell>
          <cell r="AO386">
            <v>0</v>
          </cell>
          <cell r="AQ386">
            <v>90</v>
          </cell>
          <cell r="AR386" t="str">
            <v>CM</v>
          </cell>
          <cell r="AS386">
            <v>60</v>
          </cell>
          <cell r="AT386" t="str">
            <v>CM</v>
          </cell>
          <cell r="AU386">
            <v>0</v>
          </cell>
          <cell r="AW386">
            <v>0</v>
          </cell>
        </row>
        <row r="387">
          <cell r="B387" t="str">
            <v>H1S5CRS000L-210</v>
          </cell>
          <cell r="C387" t="str">
            <v>EVA SİYAH DÜZ SPOT 60X210 mm</v>
          </cell>
          <cell r="D387" t="str">
            <v>EVA BLACK PLAIN SPOTLIGHT 60X210 mm</v>
          </cell>
          <cell r="E387" t="str">
            <v xml:space="preserve">ALUMİNYUM YOK SİYAH YOK   </v>
          </cell>
          <cell r="F387" t="str">
            <v>9405.19.90.00.00</v>
          </cell>
          <cell r="G387" t="str">
            <v>TEKNİK</v>
          </cell>
          <cell r="H387" t="str">
            <v>T1S5A200X0-21</v>
          </cell>
          <cell r="I387" t="str">
            <v>İÇ</v>
          </cell>
          <cell r="J387" t="str">
            <v>TEKNİK</v>
          </cell>
          <cell r="K387" t="str">
            <v>EVA</v>
          </cell>
          <cell r="L387" t="str">
            <v/>
          </cell>
          <cell r="M387" t="str">
            <v/>
          </cell>
          <cell r="N387" t="str">
            <v xml:space="preserve">EVA-3 </v>
          </cell>
          <cell r="O387" t="str">
            <v>HEKA</v>
          </cell>
          <cell r="P387" t="str">
            <v>ADET</v>
          </cell>
          <cell r="Q387" t="str">
            <v>GU10</v>
          </cell>
          <cell r="R387" t="str">
            <v>ALUMİNYUM</v>
          </cell>
          <cell r="S387" t="str">
            <v>SİYAH</v>
          </cell>
          <cell r="T387" t="str">
            <v>YOK</v>
          </cell>
          <cell r="U387" t="str">
            <v>YOK</v>
          </cell>
          <cell r="AD387" t="str">
            <v>DÜZ</v>
          </cell>
          <cell r="AE387" t="str">
            <v>01</v>
          </cell>
          <cell r="AF387">
            <v>170</v>
          </cell>
          <cell r="AG387" t="str">
            <v>ADET</v>
          </cell>
          <cell r="AH387">
            <v>24.5</v>
          </cell>
          <cell r="AI387" t="str">
            <v>CNY</v>
          </cell>
          <cell r="AJ387">
            <v>1990</v>
          </cell>
          <cell r="AK387" t="str">
            <v>TL</v>
          </cell>
          <cell r="AL387">
            <v>1</v>
          </cell>
          <cell r="AM387" t="str">
            <v>8684127500913</v>
          </cell>
          <cell r="AO387">
            <v>0</v>
          </cell>
          <cell r="AQ387">
            <v>210</v>
          </cell>
          <cell r="AR387" t="str">
            <v>CM</v>
          </cell>
          <cell r="AS387">
            <v>60</v>
          </cell>
          <cell r="AT387" t="str">
            <v>CM</v>
          </cell>
          <cell r="AU387">
            <v>0</v>
          </cell>
          <cell r="AW387">
            <v>0</v>
          </cell>
        </row>
        <row r="388">
          <cell r="B388" t="str">
            <v>H1S5CME000T-210</v>
          </cell>
          <cell r="C388" t="str">
            <v>EVA ESKİTME TIRTIKLI SPOT 60X210 mm</v>
          </cell>
          <cell r="D388" t="str">
            <v>EVA BRUSHED BRASS SERRATED SPOTLIGHT 60X210 mm</v>
          </cell>
          <cell r="E388" t="str">
            <v xml:space="preserve">ALUMİNYUM YOK ESKİTME YOK   </v>
          </cell>
          <cell r="F388" t="str">
            <v>9405.19.90.00.00</v>
          </cell>
          <cell r="G388" t="str">
            <v>TEKNİK</v>
          </cell>
          <cell r="H388" t="str">
            <v>T1S5A300T0-21</v>
          </cell>
          <cell r="I388" t="str">
            <v>İÇ</v>
          </cell>
          <cell r="J388" t="str">
            <v>TEKNİK</v>
          </cell>
          <cell r="K388" t="str">
            <v>EVA</v>
          </cell>
          <cell r="L388" t="str">
            <v/>
          </cell>
          <cell r="M388" t="str">
            <v/>
          </cell>
          <cell r="N388" t="str">
            <v>EVA-6</v>
          </cell>
          <cell r="O388" t="str">
            <v>HEKA</v>
          </cell>
          <cell r="P388" t="str">
            <v>ADET</v>
          </cell>
          <cell r="Q388" t="str">
            <v>GU10</v>
          </cell>
          <cell r="R388" t="str">
            <v>ALUMİNYUM</v>
          </cell>
          <cell r="S388" t="str">
            <v>ESKİTME</v>
          </cell>
          <cell r="T388" t="str">
            <v>YOK</v>
          </cell>
          <cell r="U388" t="str">
            <v>YOK</v>
          </cell>
          <cell r="AD388" t="str">
            <v>TIRTIKLI</v>
          </cell>
          <cell r="AE388" t="str">
            <v>01</v>
          </cell>
          <cell r="AF388">
            <v>178</v>
          </cell>
          <cell r="AG388" t="str">
            <v>ADET</v>
          </cell>
          <cell r="AH388">
            <v>24.5</v>
          </cell>
          <cell r="AI388" t="str">
            <v>CNY</v>
          </cell>
          <cell r="AJ388">
            <v>2640</v>
          </cell>
          <cell r="AK388" t="str">
            <v>TL</v>
          </cell>
          <cell r="AL388">
            <v>1</v>
          </cell>
          <cell r="AM388" t="str">
            <v>8684127500883</v>
          </cell>
          <cell r="AO388">
            <v>0</v>
          </cell>
          <cell r="AQ388">
            <v>210</v>
          </cell>
          <cell r="AR388" t="str">
            <v>CM</v>
          </cell>
          <cell r="AS388">
            <v>60</v>
          </cell>
          <cell r="AT388" t="str">
            <v>CM</v>
          </cell>
          <cell r="AU388">
            <v>0</v>
          </cell>
          <cell r="AW388">
            <v>0</v>
          </cell>
        </row>
        <row r="389">
          <cell r="B389" t="str">
            <v>01.080.00.04.03</v>
          </cell>
          <cell r="C389" t="str">
            <v>YUVARLAK TEPSİ ALTIN 80cm</v>
          </cell>
          <cell r="D389" t="str">
            <v>GOLD ROUND TRAY 80cm</v>
          </cell>
          <cell r="E389" t="str">
            <v/>
          </cell>
          <cell r="F389" t="str">
            <v/>
          </cell>
          <cell r="G389" t="str">
            <v xml:space="preserve"> ZPARCA</v>
          </cell>
          <cell r="H389" t="str">
            <v>01.080.00.04.03</v>
          </cell>
          <cell r="I389" t="str">
            <v>İÇ</v>
          </cell>
          <cell r="J389" t="str">
            <v>ZPARCA</v>
          </cell>
          <cell r="K389" t="str">
            <v/>
          </cell>
          <cell r="L389" t="str">
            <v/>
          </cell>
          <cell r="M389" t="str">
            <v>ÜRTM:7GÜN</v>
          </cell>
          <cell r="N389" t="str">
            <v/>
          </cell>
          <cell r="O389" t="str">
            <v>HEKA</v>
          </cell>
          <cell r="P389" t="str">
            <v>ADET</v>
          </cell>
          <cell r="R389" t="str">
            <v>METAL</v>
          </cell>
          <cell r="S389" t="str">
            <v>GOLD</v>
          </cell>
          <cell r="AF389">
            <v>10</v>
          </cell>
          <cell r="AG389" t="str">
            <v>ADET</v>
          </cell>
          <cell r="AH389">
            <v>170</v>
          </cell>
          <cell r="AI389" t="str">
            <v>CNY</v>
          </cell>
          <cell r="AJ389">
            <v>14750</v>
          </cell>
          <cell r="AK389" t="str">
            <v>TL</v>
          </cell>
          <cell r="AL389">
            <v>1</v>
          </cell>
          <cell r="AM389" t="str">
            <v>01.080.00.04.03</v>
          </cell>
          <cell r="AO389">
            <v>0</v>
          </cell>
          <cell r="AQ389">
            <v>0</v>
          </cell>
          <cell r="AS389">
            <v>100</v>
          </cell>
          <cell r="AU389">
            <v>0</v>
          </cell>
          <cell r="AW389">
            <v>0</v>
          </cell>
        </row>
        <row r="390">
          <cell r="B390" t="str">
            <v>H1C2JMG0000-070</v>
          </cell>
          <cell r="C390" t="str">
            <v>ASTARA 3 LÜ GİNGKO YAPRAK AVİZE</v>
          </cell>
          <cell r="D390" t="str">
            <v>ASTARA TRIPLE GINGKO LEAF CHANDELIER</v>
          </cell>
          <cell r="E390" t="str">
            <v>METAL YOK GOLD YOK</v>
          </cell>
          <cell r="F390" t="str">
            <v>9405.19.90.00.00</v>
          </cell>
          <cell r="G390" t="str">
            <v>AVİZE</v>
          </cell>
          <cell r="H390" t="str">
            <v>H1A1120003-70</v>
          </cell>
          <cell r="I390" t="str">
            <v>İÇ</v>
          </cell>
          <cell r="J390" t="str">
            <v>AVİZE.SARK</v>
          </cell>
          <cell r="K390" t="str">
            <v>ASTARA</v>
          </cell>
          <cell r="L390" t="str">
            <v/>
          </cell>
          <cell r="M390" t="str">
            <v/>
          </cell>
          <cell r="N390" t="str">
            <v/>
          </cell>
          <cell r="O390" t="str">
            <v>LIGHTIST</v>
          </cell>
          <cell r="P390" t="str">
            <v>ADET</v>
          </cell>
          <cell r="Q390" t="str">
            <v>E27</v>
          </cell>
          <cell r="R390" t="str">
            <v>METAL</v>
          </cell>
          <cell r="S390" t="str">
            <v>GOLD</v>
          </cell>
          <cell r="T390" t="str">
            <v>YOK</v>
          </cell>
          <cell r="U390" t="str">
            <v>YOK</v>
          </cell>
          <cell r="AD390" t="str">
            <v>N/A</v>
          </cell>
          <cell r="AE390" t="str">
            <v>02</v>
          </cell>
          <cell r="AF390">
            <v>0</v>
          </cell>
          <cell r="AG390" t="str">
            <v>ADET</v>
          </cell>
          <cell r="AH390">
            <v>6000</v>
          </cell>
          <cell r="AI390" t="str">
            <v>TL</v>
          </cell>
          <cell r="AJ390">
            <v>26500</v>
          </cell>
          <cell r="AK390" t="str">
            <v>TL</v>
          </cell>
          <cell r="AL390">
            <v>1</v>
          </cell>
          <cell r="AM390" t="str">
            <v>8684127509565</v>
          </cell>
          <cell r="AO390">
            <v>0</v>
          </cell>
          <cell r="AQ390">
            <v>70</v>
          </cell>
          <cell r="AR390" t="str">
            <v>CM</v>
          </cell>
          <cell r="AS390">
            <v>70</v>
          </cell>
          <cell r="AT390" t="str">
            <v>CM</v>
          </cell>
          <cell r="AU390">
            <v>0</v>
          </cell>
          <cell r="AW390">
            <v>0</v>
          </cell>
        </row>
        <row r="391">
          <cell r="B391" t="str">
            <v>CK2G1C7K2E2A0</v>
          </cell>
          <cell r="C391" t="str">
            <v>ERD-246 ŞEFFAF-FÜME 6W 2200K TİP-3 E27 LED AMPUL</v>
          </cell>
          <cell r="D391" t="str">
            <v>ERD-246 CLEAR-SMOKY 6W 2200K TYPE-3 E27 LED BULB</v>
          </cell>
          <cell r="E391" t="str">
            <v>CAM PARFÜM YARI FÜME FLAMENT DIMMSIZ KARMA</v>
          </cell>
          <cell r="F391" t="str">
            <v>8539.52.00.00.00</v>
          </cell>
          <cell r="G391" t="str">
            <v>AMPUL</v>
          </cell>
          <cell r="H391" t="str">
            <v>CG21172D21T02</v>
          </cell>
          <cell r="I391" t="str">
            <v>İÇ</v>
          </cell>
          <cell r="J391" t="str">
            <v>AMPUL</v>
          </cell>
          <cell r="K391" t="str">
            <v>ERD-246</v>
          </cell>
          <cell r="L391" t="str">
            <v/>
          </cell>
          <cell r="M391" t="str">
            <v/>
          </cell>
          <cell r="N391" t="str">
            <v>ERD-246</v>
          </cell>
          <cell r="O391" t="str">
            <v>HEKA</v>
          </cell>
          <cell r="P391" t="str">
            <v>ADET</v>
          </cell>
          <cell r="Q391" t="str">
            <v>E27</v>
          </cell>
          <cell r="R391" t="str">
            <v>CAM</v>
          </cell>
          <cell r="S391" t="str">
            <v>YARI FÜME</v>
          </cell>
          <cell r="T391" t="str">
            <v>PARFÜM</v>
          </cell>
          <cell r="V391" t="str">
            <v>G</v>
          </cell>
          <cell r="W391" t="str">
            <v>FLAMENT</v>
          </cell>
          <cell r="X391" t="str">
            <v>220V</v>
          </cell>
          <cell r="Y391" t="str">
            <v>6 WATT</v>
          </cell>
          <cell r="Z391" t="str">
            <v>2200 K</v>
          </cell>
          <cell r="AA391" t="str">
            <v>DIMMSIZ</v>
          </cell>
          <cell r="AB391" t="str">
            <v>101-200</v>
          </cell>
          <cell r="AC391" t="str">
            <v>KARMA</v>
          </cell>
          <cell r="AD391" t="str">
            <v>N/A</v>
          </cell>
          <cell r="AF391">
            <v>0</v>
          </cell>
          <cell r="AG391" t="str">
            <v>ADET</v>
          </cell>
          <cell r="AH391">
            <v>7.65</v>
          </cell>
          <cell r="AI391" t="str">
            <v>USD</v>
          </cell>
          <cell r="AJ391">
            <v>3118</v>
          </cell>
          <cell r="AK391" t="str">
            <v>TL</v>
          </cell>
          <cell r="AL391">
            <v>1</v>
          </cell>
          <cell r="AM391" t="str">
            <v>8684127503778</v>
          </cell>
          <cell r="AO391">
            <v>0</v>
          </cell>
          <cell r="AQ391">
            <v>21.5</v>
          </cell>
          <cell r="AR391" t="str">
            <v>CM</v>
          </cell>
          <cell r="AS391">
            <v>21.5</v>
          </cell>
          <cell r="AT391" t="str">
            <v>CM</v>
          </cell>
          <cell r="AU391">
            <v>0</v>
          </cell>
          <cell r="AW391">
            <v>0</v>
          </cell>
        </row>
        <row r="392">
          <cell r="B392" t="str">
            <v>H1W1JMG0000-038</v>
          </cell>
          <cell r="C392" t="str">
            <v>ASTARA ALTIN ÜST ÜSTE İKİLİ GİNGKO YAPRAK APLİK</v>
          </cell>
          <cell r="D392" t="str">
            <v>ASTARA DOUBLE STACKED GOLD GINGKO LEAF WALL LAMP</v>
          </cell>
          <cell r="E392" t="str">
            <v>METAL YOK GOLD YOK</v>
          </cell>
          <cell r="F392" t="str">
            <v>9405.19.90.00.00</v>
          </cell>
          <cell r="G392" t="str">
            <v>APLİK</v>
          </cell>
          <cell r="H392" t="str">
            <v>H1W1120002-37</v>
          </cell>
          <cell r="I392" t="str">
            <v>İÇ</v>
          </cell>
          <cell r="J392" t="str">
            <v>APLİK</v>
          </cell>
          <cell r="K392" t="str">
            <v>ASTARA</v>
          </cell>
          <cell r="L392" t="str">
            <v/>
          </cell>
          <cell r="M392" t="str">
            <v/>
          </cell>
          <cell r="N392" t="str">
            <v/>
          </cell>
          <cell r="O392" t="str">
            <v>LIGHTIST</v>
          </cell>
          <cell r="P392" t="str">
            <v>ADET</v>
          </cell>
          <cell r="Q392" t="str">
            <v>E14</v>
          </cell>
          <cell r="R392" t="str">
            <v>METAL</v>
          </cell>
          <cell r="S392" t="str">
            <v>GOLD</v>
          </cell>
          <cell r="T392" t="str">
            <v>YOK</v>
          </cell>
          <cell r="U392" t="str">
            <v>YOK</v>
          </cell>
          <cell r="AD392" t="str">
            <v>N/A</v>
          </cell>
          <cell r="AE392" t="str">
            <v>02</v>
          </cell>
          <cell r="AF392">
            <v>3</v>
          </cell>
          <cell r="AG392" t="str">
            <v>ADET</v>
          </cell>
          <cell r="AH392">
            <v>2800</v>
          </cell>
          <cell r="AI392" t="str">
            <v>TL</v>
          </cell>
          <cell r="AJ392">
            <v>15750</v>
          </cell>
          <cell r="AK392" t="str">
            <v>TL</v>
          </cell>
          <cell r="AL392">
            <v>1</v>
          </cell>
          <cell r="AM392" t="str">
            <v>8684127505321</v>
          </cell>
          <cell r="AO392">
            <v>0</v>
          </cell>
          <cell r="AQ392">
            <v>0</v>
          </cell>
          <cell r="AR392" t="str">
            <v>CM</v>
          </cell>
          <cell r="AS392">
            <v>38</v>
          </cell>
          <cell r="AT392" t="str">
            <v>CM</v>
          </cell>
          <cell r="AU392">
            <v>0</v>
          </cell>
          <cell r="AW392">
            <v>0</v>
          </cell>
        </row>
        <row r="393">
          <cell r="B393" t="str">
            <v>H1W1JM30000-045</v>
          </cell>
          <cell r="C393" t="str">
            <v>MAHPERİ KROM APLİK BÜYÜK</v>
          </cell>
          <cell r="D393" t="str">
            <v>MAHPERİ CHROME WALL LAMP BIG</v>
          </cell>
          <cell r="E393" t="str">
            <v>METAL YOK MAT KROM YOK</v>
          </cell>
          <cell r="F393" t="str">
            <v>9405.19.90.00.00</v>
          </cell>
          <cell r="G393" t="str">
            <v>APLİK</v>
          </cell>
          <cell r="H393" t="str">
            <v>H1W1160000-45</v>
          </cell>
          <cell r="I393" t="str">
            <v>İÇ</v>
          </cell>
          <cell r="J393" t="str">
            <v>APLİK</v>
          </cell>
          <cell r="K393" t="str">
            <v>MAHPERİ</v>
          </cell>
          <cell r="L393" t="str">
            <v/>
          </cell>
          <cell r="M393" t="str">
            <v>ÜRTM:15GÜN</v>
          </cell>
          <cell r="N393" t="str">
            <v>HK20060</v>
          </cell>
          <cell r="O393" t="str">
            <v>LIGHTIST</v>
          </cell>
          <cell r="P393" t="str">
            <v>ADET</v>
          </cell>
          <cell r="Q393" t="str">
            <v>E14</v>
          </cell>
          <cell r="R393" t="str">
            <v>METAL</v>
          </cell>
          <cell r="S393" t="str">
            <v>MAT KROM</v>
          </cell>
          <cell r="T393" t="str">
            <v>YOK</v>
          </cell>
          <cell r="U393" t="str">
            <v>YOK</v>
          </cell>
          <cell r="AD393" t="str">
            <v>N/A</v>
          </cell>
          <cell r="AE393" t="str">
            <v>02</v>
          </cell>
          <cell r="AF393">
            <v>0</v>
          </cell>
          <cell r="AG393" t="str">
            <v>ADET</v>
          </cell>
          <cell r="AH393">
            <v>300</v>
          </cell>
          <cell r="AI393" t="str">
            <v>TL</v>
          </cell>
          <cell r="AJ393">
            <v>7140</v>
          </cell>
          <cell r="AK393" t="str">
            <v>TL</v>
          </cell>
          <cell r="AL393">
            <v>1</v>
          </cell>
          <cell r="AM393" t="str">
            <v>8684127505086</v>
          </cell>
          <cell r="AO393">
            <v>0</v>
          </cell>
          <cell r="AQ393">
            <v>0</v>
          </cell>
          <cell r="AR393" t="str">
            <v>CM</v>
          </cell>
          <cell r="AS393">
            <v>0</v>
          </cell>
          <cell r="AT393" t="str">
            <v>CM</v>
          </cell>
          <cell r="AU393">
            <v>0</v>
          </cell>
          <cell r="AW393">
            <v>0</v>
          </cell>
        </row>
        <row r="394">
          <cell r="B394" t="str">
            <v>H1C6JMGWRYR-020</v>
          </cell>
          <cell r="C394" t="str">
            <v>HARŞENA YEŞİL MERMER SARKIT 20cm</v>
          </cell>
          <cell r="D394" t="str">
            <v>HARŞENA GREEN MARBLE PENDANT 20cm</v>
          </cell>
          <cell r="E394" t="str">
            <v xml:space="preserve">METAL MERMER GOLD YEŞİL   </v>
          </cell>
          <cell r="F394" t="str">
            <v>9405.11.90.00.00</v>
          </cell>
          <cell r="G394" t="str">
            <v>AVİZE</v>
          </cell>
          <cell r="H394" t="str">
            <v>T1A6341100-01</v>
          </cell>
          <cell r="I394" t="str">
            <v>İÇ</v>
          </cell>
          <cell r="J394" t="str">
            <v>AVİZE.SARK</v>
          </cell>
          <cell r="K394" t="str">
            <v>HARŞENA</v>
          </cell>
          <cell r="L394" t="str">
            <v/>
          </cell>
          <cell r="M394" t="str">
            <v/>
          </cell>
          <cell r="N394" t="str">
            <v>009-GC</v>
          </cell>
          <cell r="O394" t="str">
            <v>HEKA</v>
          </cell>
          <cell r="P394" t="str">
            <v>ADET</v>
          </cell>
          <cell r="Q394" t="str">
            <v>LED</v>
          </cell>
          <cell r="R394" t="str">
            <v>METAL</v>
          </cell>
          <cell r="S394" t="str">
            <v>GOLD</v>
          </cell>
          <cell r="T394" t="str">
            <v>MERMER</v>
          </cell>
          <cell r="U394" t="str">
            <v>YEŞİL</v>
          </cell>
          <cell r="AD394" t="str">
            <v>DAİRE</v>
          </cell>
          <cell r="AE394" t="str">
            <v>01</v>
          </cell>
          <cell r="AF394">
            <v>0</v>
          </cell>
          <cell r="AG394" t="str">
            <v>ADET</v>
          </cell>
          <cell r="AH394">
            <v>145</v>
          </cell>
          <cell r="AI394" t="str">
            <v>CNY</v>
          </cell>
          <cell r="AJ394">
            <v>1850</v>
          </cell>
          <cell r="AK394" t="str">
            <v>TL</v>
          </cell>
          <cell r="AL394">
            <v>1</v>
          </cell>
          <cell r="AM394" t="str">
            <v>8684127508377</v>
          </cell>
          <cell r="AO394">
            <v>0</v>
          </cell>
          <cell r="AQ394">
            <v>12</v>
          </cell>
          <cell r="AR394" t="str">
            <v>CM</v>
          </cell>
          <cell r="AS394">
            <v>20</v>
          </cell>
          <cell r="AT394" t="str">
            <v>CM</v>
          </cell>
          <cell r="AU394">
            <v>0</v>
          </cell>
          <cell r="AW394">
            <v>0</v>
          </cell>
        </row>
        <row r="395">
          <cell r="B395" t="str">
            <v>CG2E1C3M1C5I1</v>
          </cell>
          <cell r="C395" t="str">
            <v>ERD-905 G45 ŞEFFAF 110V 4W 3000K E27 LED AMPUL</v>
          </cell>
          <cell r="D395" t="str">
            <v>ERD-905 G45 CLEAR 110V 4W 3000K E27 LED BULB</v>
          </cell>
          <cell r="E395" t="str">
            <v>CAM METAL ŞEFFAF FLAMENT DIMMLI G45</v>
          </cell>
          <cell r="F395" t="str">
            <v>8539.52.00.00.00</v>
          </cell>
          <cell r="G395" t="str">
            <v>AMPUL</v>
          </cell>
          <cell r="H395" t="str">
            <v>CF21131B41000</v>
          </cell>
          <cell r="I395" t="str">
            <v>İÇ</v>
          </cell>
          <cell r="J395" t="str">
            <v>AMPUL</v>
          </cell>
          <cell r="K395" t="str">
            <v>ERD-905</v>
          </cell>
          <cell r="L395" t="str">
            <v/>
          </cell>
          <cell r="M395" t="str">
            <v/>
          </cell>
          <cell r="N395" t="str">
            <v>ERD-905</v>
          </cell>
          <cell r="O395" t="str">
            <v>HEKA</v>
          </cell>
          <cell r="P395" t="str">
            <v>ADET</v>
          </cell>
          <cell r="Q395" t="str">
            <v>E27</v>
          </cell>
          <cell r="R395" t="str">
            <v>CAM</v>
          </cell>
          <cell r="S395" t="str">
            <v>ŞEFFAF</v>
          </cell>
          <cell r="T395" t="str">
            <v>METAL</v>
          </cell>
          <cell r="V395" t="str">
            <v>E</v>
          </cell>
          <cell r="W395" t="str">
            <v>FLAMENT</v>
          </cell>
          <cell r="X395" t="str">
            <v>110V</v>
          </cell>
          <cell r="Y395" t="str">
            <v>4 WATT</v>
          </cell>
          <cell r="Z395" t="str">
            <v xml:space="preserve">2700 K </v>
          </cell>
          <cell r="AA395" t="str">
            <v>DIMMLI</v>
          </cell>
          <cell r="AB395" t="str">
            <v>301-400</v>
          </cell>
          <cell r="AC395" t="str">
            <v>G45</v>
          </cell>
          <cell r="AD395" t="str">
            <v>N/A</v>
          </cell>
          <cell r="AF395">
            <v>1530</v>
          </cell>
          <cell r="AG395" t="str">
            <v>ADET</v>
          </cell>
          <cell r="AH395">
            <v>1.9</v>
          </cell>
          <cell r="AI395" t="str">
            <v>CNY</v>
          </cell>
          <cell r="AJ395">
            <v>2.2999999999999998</v>
          </cell>
          <cell r="AK395" t="str">
            <v>USD</v>
          </cell>
          <cell r="AL395">
            <v>1</v>
          </cell>
          <cell r="AM395" t="str">
            <v>8684127504331</v>
          </cell>
          <cell r="AN395" t="str">
            <v>8684127505819</v>
          </cell>
          <cell r="AO395">
            <v>0</v>
          </cell>
          <cell r="AQ395">
            <v>4.5</v>
          </cell>
          <cell r="AR395" t="str">
            <v>CM</v>
          </cell>
          <cell r="AS395">
            <v>4.5</v>
          </cell>
          <cell r="AT395" t="str">
            <v>CM</v>
          </cell>
          <cell r="AU395">
            <v>0</v>
          </cell>
          <cell r="AW395">
            <v>0</v>
          </cell>
        </row>
        <row r="396">
          <cell r="B396" t="str">
            <v>H1S5JRSLCT0-074</v>
          </cell>
          <cell r="C396" t="str">
            <v>KOZA ÜÇLÜ SİYAH APLİK</v>
          </cell>
          <cell r="D396" t="str">
            <v>KOZA TRIPLE BLACK LAMP</v>
          </cell>
          <cell r="E396" t="str">
            <v xml:space="preserve">METAL PLEKSİ SİYAH SOFT   </v>
          </cell>
          <cell r="F396" t="str">
            <v>9405.19.90.00.00</v>
          </cell>
          <cell r="G396" t="str">
            <v>APLİK</v>
          </cell>
          <cell r="H396" t="str">
            <v>T1S5A28400-03</v>
          </cell>
          <cell r="I396" t="str">
            <v>İÇ</v>
          </cell>
          <cell r="J396" t="str">
            <v>APLİK</v>
          </cell>
          <cell r="K396" t="str">
            <v>KOZA</v>
          </cell>
          <cell r="L396" t="str">
            <v/>
          </cell>
          <cell r="M396" t="str">
            <v>30.03.2026</v>
          </cell>
          <cell r="N396" t="str">
            <v>HKA-24057</v>
          </cell>
          <cell r="O396" t="str">
            <v>HEKA</v>
          </cell>
          <cell r="P396" t="str">
            <v>ADET</v>
          </cell>
          <cell r="Q396" t="str">
            <v>GU10</v>
          </cell>
          <cell r="R396" t="str">
            <v>METAL</v>
          </cell>
          <cell r="S396" t="str">
            <v>SİYAH</v>
          </cell>
          <cell r="T396" t="str">
            <v>PLEKSİ</v>
          </cell>
          <cell r="U396" t="str">
            <v>SOFT</v>
          </cell>
          <cell r="AD396" t="str">
            <v>N/A</v>
          </cell>
          <cell r="AE396" t="str">
            <v>03</v>
          </cell>
          <cell r="AF396">
            <v>18</v>
          </cell>
          <cell r="AG396" t="str">
            <v>ADET</v>
          </cell>
          <cell r="AH396">
            <v>42</v>
          </cell>
          <cell r="AI396" t="str">
            <v>CNY</v>
          </cell>
          <cell r="AJ396">
            <v>4460</v>
          </cell>
          <cell r="AK396" t="str">
            <v>TL</v>
          </cell>
          <cell r="AL396">
            <v>1</v>
          </cell>
          <cell r="AM396" t="str">
            <v>8684127502269</v>
          </cell>
          <cell r="AO396">
            <v>0</v>
          </cell>
          <cell r="AQ396">
            <v>12</v>
          </cell>
          <cell r="AR396" t="str">
            <v>CM</v>
          </cell>
          <cell r="AS396">
            <v>22</v>
          </cell>
          <cell r="AT396" t="str">
            <v>CM</v>
          </cell>
          <cell r="AU396">
            <v>0</v>
          </cell>
          <cell r="AW396">
            <v>0</v>
          </cell>
        </row>
        <row r="397">
          <cell r="B397" t="str">
            <v>H1W6JMEWRY0-026</v>
          </cell>
          <cell r="C397" t="str">
            <v>TEKFUR YEŞİL MERMER APLİK KÜÇÜK</v>
          </cell>
          <cell r="D397" t="str">
            <v>TEKFUR GREEN MARBLE WALL LAMP SMALL</v>
          </cell>
          <cell r="E397" t="str">
            <v>METAL MERMER ESKİTME YEŞİL</v>
          </cell>
          <cell r="F397" t="str">
            <v>9405.11.90.00.00</v>
          </cell>
          <cell r="G397" t="str">
            <v>APLİK</v>
          </cell>
          <cell r="H397" t="str">
            <v>T1W6113400-26</v>
          </cell>
          <cell r="I397" t="str">
            <v>İÇ</v>
          </cell>
          <cell r="J397" t="str">
            <v>APLİK</v>
          </cell>
          <cell r="K397" t="str">
            <v>TEKFUR</v>
          </cell>
          <cell r="L397" t="str">
            <v>Ç</v>
          </cell>
          <cell r="M397" t="str">
            <v/>
          </cell>
          <cell r="N397" t="str">
            <v>HKA-24017</v>
          </cell>
          <cell r="O397" t="str">
            <v>HEKA</v>
          </cell>
          <cell r="P397" t="str">
            <v>ADET</v>
          </cell>
          <cell r="Q397" t="str">
            <v>LED</v>
          </cell>
          <cell r="R397" t="str">
            <v>METAL</v>
          </cell>
          <cell r="S397" t="str">
            <v>ESKİTME</v>
          </cell>
          <cell r="T397" t="str">
            <v>MERMER</v>
          </cell>
          <cell r="U397" t="str">
            <v>YEŞİL</v>
          </cell>
          <cell r="AD397" t="str">
            <v>N/A</v>
          </cell>
          <cell r="AF397">
            <v>45</v>
          </cell>
          <cell r="AG397" t="str">
            <v>ADET</v>
          </cell>
          <cell r="AH397">
            <v>105</v>
          </cell>
          <cell r="AI397" t="str">
            <v>CNY</v>
          </cell>
          <cell r="AJ397">
            <v>7475</v>
          </cell>
          <cell r="AK397" t="str">
            <v>TL</v>
          </cell>
          <cell r="AL397">
            <v>1</v>
          </cell>
          <cell r="AM397" t="str">
            <v>8684127506342</v>
          </cell>
          <cell r="AO397">
            <v>1.3</v>
          </cell>
          <cell r="AP397" t="str">
            <v>KG</v>
          </cell>
          <cell r="AQ397">
            <v>9</v>
          </cell>
          <cell r="AR397" t="str">
            <v>CM</v>
          </cell>
          <cell r="AS397">
            <v>9</v>
          </cell>
          <cell r="AT397" t="str">
            <v>CM</v>
          </cell>
          <cell r="AU397">
            <v>0</v>
          </cell>
          <cell r="AW397">
            <v>0</v>
          </cell>
        </row>
        <row r="398">
          <cell r="B398" t="str">
            <v>H1C6BCSJMK0-019</v>
          </cell>
          <cell r="C398" t="str">
            <v>BUTTERFLY AKRİLİK KELEBEK SARKIT KROM</v>
          </cell>
          <cell r="D398" t="str">
            <v>BUTTERFLY ACRYLIC PENDANT LAMP CHROME</v>
          </cell>
          <cell r="E398" t="str">
            <v xml:space="preserve">AKRiLİK METAL ŞEFFAF KROM   </v>
          </cell>
          <cell r="F398" t="str">
            <v>9405.11.40.00.00</v>
          </cell>
          <cell r="G398" t="str">
            <v>AVİZE</v>
          </cell>
          <cell r="H398" t="str">
            <v>T1A6621300-22</v>
          </cell>
          <cell r="I398" t="str">
            <v>İÇ</v>
          </cell>
          <cell r="J398" t="str">
            <v>AVİZE.SARK</v>
          </cell>
          <cell r="K398" t="str">
            <v>BUTTERFLY</v>
          </cell>
          <cell r="L398" t="str">
            <v/>
          </cell>
          <cell r="M398" t="str">
            <v/>
          </cell>
          <cell r="N398" t="str">
            <v>DD20675-C-P-B</v>
          </cell>
          <cell r="O398" t="str">
            <v>HEKA</v>
          </cell>
          <cell r="P398" t="str">
            <v>ADET</v>
          </cell>
          <cell r="Q398" t="str">
            <v>LED</v>
          </cell>
          <cell r="R398" t="str">
            <v>AKRİLİK</v>
          </cell>
          <cell r="S398" t="str">
            <v>ŞEFFAF</v>
          </cell>
          <cell r="T398" t="str">
            <v>METAL</v>
          </cell>
          <cell r="U398" t="str">
            <v>KROM</v>
          </cell>
          <cell r="AD398" t="str">
            <v>N/A</v>
          </cell>
          <cell r="AE398" t="str">
            <v>01</v>
          </cell>
          <cell r="AF398">
            <v>0</v>
          </cell>
          <cell r="AG398" t="str">
            <v>ADET</v>
          </cell>
          <cell r="AH398">
            <v>135</v>
          </cell>
          <cell r="AI398" t="str">
            <v>CNY</v>
          </cell>
          <cell r="AJ398">
            <v>1350</v>
          </cell>
          <cell r="AK398" t="str">
            <v>TL</v>
          </cell>
          <cell r="AL398">
            <v>1</v>
          </cell>
          <cell r="AM398" t="str">
            <v>8684127501729</v>
          </cell>
          <cell r="AO398">
            <v>0</v>
          </cell>
          <cell r="AQ398">
            <v>24</v>
          </cell>
          <cell r="AR398" t="str">
            <v>CM</v>
          </cell>
          <cell r="AS398">
            <v>16</v>
          </cell>
          <cell r="AT398" t="str">
            <v>CM</v>
          </cell>
          <cell r="AU398">
            <v>0</v>
          </cell>
          <cell r="AW398">
            <v>0</v>
          </cell>
        </row>
        <row r="399">
          <cell r="B399" t="str">
            <v>H1C6BRZJRBE-060</v>
          </cell>
          <cell r="C399" t="str">
            <v>EFLATUN AKRİLİK SARKIT 60cm</v>
          </cell>
          <cell r="D399" t="str">
            <v>EFLATUN ACRYLIC PENDANT 60cm</v>
          </cell>
          <cell r="E399" t="str">
            <v xml:space="preserve">AKRiLİK METAL TURKUAZ BEYAZ   </v>
          </cell>
          <cell r="F399" t="str">
            <v>9405.11.40.00.00</v>
          </cell>
          <cell r="G399" t="str">
            <v>AVİZE</v>
          </cell>
          <cell r="H399" t="str">
            <v>T1A6611100-60</v>
          </cell>
          <cell r="I399" t="str">
            <v>İÇ</v>
          </cell>
          <cell r="J399" t="str">
            <v>AVİZE.SARK</v>
          </cell>
          <cell r="K399" t="str">
            <v>EFLATUN</v>
          </cell>
          <cell r="L399" t="str">
            <v/>
          </cell>
          <cell r="M399" t="str">
            <v/>
          </cell>
          <cell r="N399" t="str">
            <v>XQL-D8981-L</v>
          </cell>
          <cell r="O399" t="str">
            <v>HEKA</v>
          </cell>
          <cell r="P399" t="str">
            <v>ADET</v>
          </cell>
          <cell r="Q399" t="str">
            <v>LED</v>
          </cell>
          <cell r="R399" t="str">
            <v>AKRİLİK</v>
          </cell>
          <cell r="S399" t="str">
            <v>TURKUAZ</v>
          </cell>
          <cell r="T399" t="str">
            <v>METAL</v>
          </cell>
          <cell r="U399" t="str">
            <v>BEYAZ</v>
          </cell>
          <cell r="AD399" t="str">
            <v>ELİPS</v>
          </cell>
          <cell r="AF399">
            <v>44</v>
          </cell>
          <cell r="AG399" t="str">
            <v>ADET</v>
          </cell>
          <cell r="AH399">
            <v>215</v>
          </cell>
          <cell r="AI399" t="str">
            <v>CNY</v>
          </cell>
          <cell r="AJ399">
            <v>4713</v>
          </cell>
          <cell r="AK399" t="str">
            <v>TL</v>
          </cell>
          <cell r="AL399">
            <v>1</v>
          </cell>
          <cell r="AM399" t="str">
            <v>8684127501941</v>
          </cell>
          <cell r="AO399">
            <v>0</v>
          </cell>
          <cell r="AQ399">
            <v>60</v>
          </cell>
          <cell r="AR399" t="str">
            <v>CM</v>
          </cell>
          <cell r="AS399">
            <v>35</v>
          </cell>
          <cell r="AT399" t="str">
            <v>CM</v>
          </cell>
          <cell r="AU399">
            <v>0</v>
          </cell>
          <cell r="AW399">
            <v>0</v>
          </cell>
        </row>
        <row r="400">
          <cell r="B400" t="str">
            <v>H1S5CME000T-090</v>
          </cell>
          <cell r="C400" t="str">
            <v>BELLA ESKİTME TIRTIKLI SPOT 60X90 mm</v>
          </cell>
          <cell r="D400" t="str">
            <v>BELLA BRUSHED BRASS SERRATED SPOTLIGHT 60X90 mm</v>
          </cell>
          <cell r="E400" t="str">
            <v xml:space="preserve">ALUMİNYUM YOK ESKİTME YOK   </v>
          </cell>
          <cell r="F400" t="str">
            <v>9405.19.90.00.00</v>
          </cell>
          <cell r="G400" t="str">
            <v>TEKNİK</v>
          </cell>
          <cell r="H400" t="str">
            <v>T1S5A300T0-09</v>
          </cell>
          <cell r="I400" t="str">
            <v>İÇ</v>
          </cell>
          <cell r="J400" t="str">
            <v>TEKNİK</v>
          </cell>
          <cell r="K400" t="str">
            <v>BELLA</v>
          </cell>
          <cell r="L400" t="str">
            <v/>
          </cell>
          <cell r="M400" t="str">
            <v/>
          </cell>
          <cell r="N400" t="str">
            <v>BELLA-6</v>
          </cell>
          <cell r="O400" t="str">
            <v>HEKA</v>
          </cell>
          <cell r="P400" t="str">
            <v>ADET</v>
          </cell>
          <cell r="Q400" t="str">
            <v>GU10</v>
          </cell>
          <cell r="R400" t="str">
            <v>ALUMİNYUM</v>
          </cell>
          <cell r="S400" t="str">
            <v>ESKİTME</v>
          </cell>
          <cell r="T400" t="str">
            <v>YOK</v>
          </cell>
          <cell r="U400" t="str">
            <v>YOK</v>
          </cell>
          <cell r="AD400" t="str">
            <v>TIRTIKLI</v>
          </cell>
          <cell r="AE400" t="str">
            <v>01</v>
          </cell>
          <cell r="AF400">
            <v>17</v>
          </cell>
          <cell r="AG400" t="str">
            <v>ADET</v>
          </cell>
          <cell r="AH400">
            <v>19.5</v>
          </cell>
          <cell r="AI400" t="str">
            <v>CNY</v>
          </cell>
          <cell r="AJ400">
            <v>1550</v>
          </cell>
          <cell r="AK400" t="str">
            <v>TL</v>
          </cell>
          <cell r="AL400">
            <v>1</v>
          </cell>
          <cell r="AM400" t="str">
            <v>8684127501156</v>
          </cell>
          <cell r="AO400">
            <v>0</v>
          </cell>
          <cell r="AQ400">
            <v>90</v>
          </cell>
          <cell r="AR400" t="str">
            <v>CM</v>
          </cell>
          <cell r="AS400">
            <v>60</v>
          </cell>
          <cell r="AT400" t="str">
            <v>CM</v>
          </cell>
          <cell r="AU400">
            <v>0</v>
          </cell>
          <cell r="AW400">
            <v>0</v>
          </cell>
        </row>
        <row r="401">
          <cell r="B401" t="str">
            <v>H1S5CRB000T-140</v>
          </cell>
          <cell r="C401" t="str">
            <v>MİA BEYAZ TIRTIKLI SPOT 60X140 mm</v>
          </cell>
          <cell r="D401" t="str">
            <v>MİA WHITE SERRATED SPOTLIGHT 60X140 mm</v>
          </cell>
          <cell r="E401" t="str">
            <v xml:space="preserve">ALUMİNYUM YOK BEYAZ YOK   </v>
          </cell>
          <cell r="F401" t="str">
            <v>9405.19.90.00.00</v>
          </cell>
          <cell r="G401" t="str">
            <v>TEKNİK</v>
          </cell>
          <cell r="H401" t="str">
            <v>T1S5A100T0-14</v>
          </cell>
          <cell r="I401" t="str">
            <v>İÇ</v>
          </cell>
          <cell r="J401" t="str">
            <v>TEKNİK</v>
          </cell>
          <cell r="K401" t="str">
            <v>MİA</v>
          </cell>
          <cell r="L401" t="str">
            <v/>
          </cell>
          <cell r="M401" t="str">
            <v/>
          </cell>
          <cell r="N401" t="str">
            <v>MİA-2</v>
          </cell>
          <cell r="O401" t="str">
            <v>HEKA</v>
          </cell>
          <cell r="P401" t="str">
            <v>ADET</v>
          </cell>
          <cell r="Q401" t="str">
            <v>GU10</v>
          </cell>
          <cell r="R401" t="str">
            <v>ALUMİNYUM</v>
          </cell>
          <cell r="S401" t="str">
            <v>BEYAZ</v>
          </cell>
          <cell r="T401" t="str">
            <v>YOK</v>
          </cell>
          <cell r="U401" t="str">
            <v>YOK</v>
          </cell>
          <cell r="AD401" t="str">
            <v>TIRTIKLI</v>
          </cell>
          <cell r="AE401" t="str">
            <v>01</v>
          </cell>
          <cell r="AF401">
            <v>47</v>
          </cell>
          <cell r="AG401" t="str">
            <v>ADET</v>
          </cell>
          <cell r="AH401">
            <v>22</v>
          </cell>
          <cell r="AI401" t="str">
            <v>CNY</v>
          </cell>
          <cell r="AJ401">
            <v>1880</v>
          </cell>
          <cell r="AK401" t="str">
            <v>TL</v>
          </cell>
          <cell r="AL401">
            <v>1</v>
          </cell>
          <cell r="AM401" t="str">
            <v>8684127501293</v>
          </cell>
          <cell r="AO401">
            <v>0</v>
          </cell>
          <cell r="AQ401">
            <v>140</v>
          </cell>
          <cell r="AR401" t="str">
            <v>CM</v>
          </cell>
          <cell r="AS401">
            <v>60</v>
          </cell>
          <cell r="AT401" t="str">
            <v>CM</v>
          </cell>
          <cell r="AU401">
            <v>0</v>
          </cell>
          <cell r="AW401">
            <v>0</v>
          </cell>
        </row>
        <row r="402">
          <cell r="B402" t="str">
            <v>H1S5CRB000L-210</v>
          </cell>
          <cell r="C402" t="str">
            <v>EVA BEYAZ DÜZ SPOT 60X210 mm</v>
          </cell>
          <cell r="D402" t="str">
            <v>EVA WHITE PLAIN SPOTLIGHT 60X210 mm</v>
          </cell>
          <cell r="E402" t="str">
            <v xml:space="preserve">ALUMİNYUM YOK BEYAZ YOK   </v>
          </cell>
          <cell r="F402" t="str">
            <v>9405.19.90.00.00</v>
          </cell>
          <cell r="G402" t="str">
            <v>TEKNİK</v>
          </cell>
          <cell r="H402" t="str">
            <v>T1S5A100X0-21</v>
          </cell>
          <cell r="I402" t="str">
            <v>İÇ</v>
          </cell>
          <cell r="J402" t="str">
            <v>TEKNİK</v>
          </cell>
          <cell r="K402" t="str">
            <v>EVA</v>
          </cell>
          <cell r="L402" t="str">
            <v/>
          </cell>
          <cell r="M402" t="str">
            <v/>
          </cell>
          <cell r="N402" t="str">
            <v>EVA-1</v>
          </cell>
          <cell r="O402" t="str">
            <v>HEKA</v>
          </cell>
          <cell r="P402" t="str">
            <v>ADET</v>
          </cell>
          <cell r="Q402" t="str">
            <v>GU10</v>
          </cell>
          <cell r="R402" t="str">
            <v>ALUMİNYUM</v>
          </cell>
          <cell r="S402" t="str">
            <v>BEYAZ</v>
          </cell>
          <cell r="T402" t="str">
            <v>YOK</v>
          </cell>
          <cell r="U402" t="str">
            <v>YOK</v>
          </cell>
          <cell r="AD402" t="str">
            <v>DÜZ</v>
          </cell>
          <cell r="AE402" t="str">
            <v>01</v>
          </cell>
          <cell r="AF402">
            <v>10</v>
          </cell>
          <cell r="AG402" t="str">
            <v>ADET</v>
          </cell>
          <cell r="AH402">
            <v>24.5</v>
          </cell>
          <cell r="AI402" t="str">
            <v>CNY</v>
          </cell>
          <cell r="AJ402">
            <v>1990</v>
          </cell>
          <cell r="AK402" t="str">
            <v>TL</v>
          </cell>
          <cell r="AL402">
            <v>1</v>
          </cell>
          <cell r="AM402" t="str">
            <v>8684127500937</v>
          </cell>
          <cell r="AO402">
            <v>0</v>
          </cell>
          <cell r="AQ402">
            <v>210</v>
          </cell>
          <cell r="AR402" t="str">
            <v>CM</v>
          </cell>
          <cell r="AS402">
            <v>60</v>
          </cell>
          <cell r="AT402" t="str">
            <v>CM</v>
          </cell>
          <cell r="AU402">
            <v>0</v>
          </cell>
          <cell r="AW402">
            <v>0</v>
          </cell>
        </row>
        <row r="403">
          <cell r="B403" t="str">
            <v>H1C6BCSJMG0-019</v>
          </cell>
          <cell r="C403" t="str">
            <v>BUTTERFLY AKRİLİK KELEBEK SARKIT GOLD</v>
          </cell>
          <cell r="D403" t="str">
            <v>BUTTERFLY ACRYLIC PENDANT LAMP GOLD</v>
          </cell>
          <cell r="E403" t="str">
            <v xml:space="preserve">AKRiLİK METAL ŞEFFAF GOLD   </v>
          </cell>
          <cell r="F403" t="str">
            <v>9405.11.40.00.00</v>
          </cell>
          <cell r="G403" t="str">
            <v>AVİZE</v>
          </cell>
          <cell r="H403" t="str">
            <v>T1A6621300-18</v>
          </cell>
          <cell r="I403" t="str">
            <v>İÇ</v>
          </cell>
          <cell r="J403" t="str">
            <v>AVİZE.SARK</v>
          </cell>
          <cell r="K403" t="str">
            <v>BUTTERFLY</v>
          </cell>
          <cell r="L403" t="str">
            <v/>
          </cell>
          <cell r="M403" t="str">
            <v/>
          </cell>
          <cell r="N403" t="str">
            <v>DD20675-C-P-S</v>
          </cell>
          <cell r="O403" t="str">
            <v>HEKA</v>
          </cell>
          <cell r="P403" t="str">
            <v>ADET</v>
          </cell>
          <cell r="Q403" t="str">
            <v>LED</v>
          </cell>
          <cell r="R403" t="str">
            <v>AKRİLİK</v>
          </cell>
          <cell r="S403" t="str">
            <v>ŞEFFAF</v>
          </cell>
          <cell r="T403" t="str">
            <v>METAL</v>
          </cell>
          <cell r="U403" t="str">
            <v>GOLD</v>
          </cell>
          <cell r="AD403" t="str">
            <v>N/A</v>
          </cell>
          <cell r="AE403" t="str">
            <v>01</v>
          </cell>
          <cell r="AF403">
            <v>0</v>
          </cell>
          <cell r="AG403" t="str">
            <v>ADET</v>
          </cell>
          <cell r="AH403">
            <v>115</v>
          </cell>
          <cell r="AI403" t="str">
            <v>CNY</v>
          </cell>
          <cell r="AJ403">
            <v>1150</v>
          </cell>
          <cell r="AK403" t="str">
            <v>TL</v>
          </cell>
          <cell r="AL403">
            <v>1</v>
          </cell>
          <cell r="AM403" t="str">
            <v>8684127501750</v>
          </cell>
          <cell r="AO403">
            <v>0</v>
          </cell>
          <cell r="AQ403">
            <v>24</v>
          </cell>
          <cell r="AR403" t="str">
            <v>CM</v>
          </cell>
          <cell r="AS403">
            <v>12</v>
          </cell>
          <cell r="AT403" t="str">
            <v>CM</v>
          </cell>
          <cell r="AU403">
            <v>0</v>
          </cell>
          <cell r="AW403">
            <v>0</v>
          </cell>
        </row>
        <row r="404">
          <cell r="B404" t="str">
            <v>H1S5CRS000T-140</v>
          </cell>
          <cell r="C404" t="str">
            <v>MİA SİYAH TIRTIKLI SPOT 60X140 mm</v>
          </cell>
          <cell r="D404" t="str">
            <v>MİA BLACK SERRATED SPOTLIGHT 60X140 mm</v>
          </cell>
          <cell r="E404" t="str">
            <v xml:space="preserve">ALUMİNYUM YOK SİYAH YOK   </v>
          </cell>
          <cell r="F404" t="str">
            <v>9405.19.90.00.00</v>
          </cell>
          <cell r="G404" t="str">
            <v>TEKNİK</v>
          </cell>
          <cell r="H404" t="str">
            <v>T1S5A200T0-14</v>
          </cell>
          <cell r="I404" t="str">
            <v>İÇ</v>
          </cell>
          <cell r="J404" t="str">
            <v>TEKNİK</v>
          </cell>
          <cell r="K404" t="str">
            <v>MİA</v>
          </cell>
          <cell r="L404" t="str">
            <v/>
          </cell>
          <cell r="M404" t="str">
            <v/>
          </cell>
          <cell r="N404" t="str">
            <v>MİA-4</v>
          </cell>
          <cell r="O404" t="str">
            <v>HEKA</v>
          </cell>
          <cell r="P404" t="str">
            <v>ADET</v>
          </cell>
          <cell r="Q404" t="str">
            <v>GU10</v>
          </cell>
          <cell r="R404" t="str">
            <v>ALUMİNYUM</v>
          </cell>
          <cell r="S404" t="str">
            <v>SİYAH</v>
          </cell>
          <cell r="T404" t="str">
            <v>YOK</v>
          </cell>
          <cell r="U404" t="str">
            <v>YOK</v>
          </cell>
          <cell r="AD404" t="str">
            <v>TIRTIKLI</v>
          </cell>
          <cell r="AE404" t="str">
            <v>01</v>
          </cell>
          <cell r="AF404">
            <v>250</v>
          </cell>
          <cell r="AG404" t="str">
            <v>ADET</v>
          </cell>
          <cell r="AH404">
            <v>22</v>
          </cell>
          <cell r="AI404" t="str">
            <v>CNY</v>
          </cell>
          <cell r="AJ404">
            <v>1880</v>
          </cell>
          <cell r="AK404" t="str">
            <v>TL</v>
          </cell>
          <cell r="AL404">
            <v>1</v>
          </cell>
          <cell r="AM404" t="str">
            <v>8684127501194</v>
          </cell>
          <cell r="AO404">
            <v>0</v>
          </cell>
          <cell r="AQ404">
            <v>140</v>
          </cell>
          <cell r="AR404" t="str">
            <v>CM</v>
          </cell>
          <cell r="AS404">
            <v>60</v>
          </cell>
          <cell r="AT404" t="str">
            <v>CM</v>
          </cell>
          <cell r="AU404">
            <v>0</v>
          </cell>
          <cell r="AW404">
            <v>0</v>
          </cell>
        </row>
        <row r="405">
          <cell r="B405" t="str">
            <v>H1S5CME000T-140</v>
          </cell>
          <cell r="C405" t="str">
            <v>MİA ESKİTME TIRTIKLI SPOT 60X140 mm</v>
          </cell>
          <cell r="D405" t="str">
            <v>MİA BRUSHED BRASS SERRATED SPOTLIGHT 60X140 mm</v>
          </cell>
          <cell r="E405" t="str">
            <v xml:space="preserve">ALUMİNYUM YOK ESKİTME YOK   </v>
          </cell>
          <cell r="F405" t="str">
            <v>9405.19.90.00.00</v>
          </cell>
          <cell r="G405" t="str">
            <v>TEKNİK</v>
          </cell>
          <cell r="H405" t="str">
            <v>T1S5A300T0-14</v>
          </cell>
          <cell r="I405" t="str">
            <v>İÇ</v>
          </cell>
          <cell r="J405" t="str">
            <v>TEKNİK</v>
          </cell>
          <cell r="K405" t="str">
            <v>MİA</v>
          </cell>
          <cell r="L405" t="str">
            <v/>
          </cell>
          <cell r="M405" t="str">
            <v/>
          </cell>
          <cell r="N405" t="str">
            <v>MİA-6</v>
          </cell>
          <cell r="O405" t="str">
            <v>HEKA</v>
          </cell>
          <cell r="P405" t="str">
            <v>ADET</v>
          </cell>
          <cell r="Q405" t="str">
            <v>GU10</v>
          </cell>
          <cell r="R405" t="str">
            <v>ALUMİNYUM</v>
          </cell>
          <cell r="S405" t="str">
            <v>ESKİTME</v>
          </cell>
          <cell r="T405" t="str">
            <v>YOK</v>
          </cell>
          <cell r="U405" t="str">
            <v>YOK</v>
          </cell>
          <cell r="AD405" t="str">
            <v>TIRTIKLI</v>
          </cell>
          <cell r="AE405" t="str">
            <v>01</v>
          </cell>
          <cell r="AF405">
            <v>210</v>
          </cell>
          <cell r="AG405" t="str">
            <v>ADET</v>
          </cell>
          <cell r="AH405">
            <v>22</v>
          </cell>
          <cell r="AI405" t="str">
            <v>CNY</v>
          </cell>
          <cell r="AJ405">
            <v>1880</v>
          </cell>
          <cell r="AK405" t="str">
            <v>TL</v>
          </cell>
          <cell r="AL405">
            <v>1</v>
          </cell>
          <cell r="AM405" t="str">
            <v>8684127501217</v>
          </cell>
          <cell r="AO405">
            <v>0</v>
          </cell>
          <cell r="AQ405">
            <v>140</v>
          </cell>
          <cell r="AR405" t="str">
            <v>CM</v>
          </cell>
          <cell r="AS405">
            <v>60</v>
          </cell>
          <cell r="AT405" t="str">
            <v>CM</v>
          </cell>
          <cell r="AU405">
            <v>0</v>
          </cell>
          <cell r="AW405">
            <v>0</v>
          </cell>
        </row>
        <row r="406">
          <cell r="B406" t="str">
            <v>H1S5CRS000L-120</v>
          </cell>
          <cell r="C406" t="str">
            <v>SELİNA SİYAH DÜZ SPOT 40X120 mm</v>
          </cell>
          <cell r="D406" t="str">
            <v>SELİNA BLACK PLAIN SPOTLIGHT 40X120 mm</v>
          </cell>
          <cell r="E406" t="str">
            <v xml:space="preserve">ALUMİNYUM YOK SİYAH YOK   </v>
          </cell>
          <cell r="F406" t="str">
            <v>9405.19.90.00.00</v>
          </cell>
          <cell r="G406" t="str">
            <v>TEKNİK</v>
          </cell>
          <cell r="H406" t="str">
            <v>T1S5A200X0-12</v>
          </cell>
          <cell r="I406" t="str">
            <v>İÇ</v>
          </cell>
          <cell r="J406" t="str">
            <v>TEKNİK</v>
          </cell>
          <cell r="K406" t="str">
            <v>SELİNA</v>
          </cell>
          <cell r="L406" t="str">
            <v/>
          </cell>
          <cell r="M406" t="str">
            <v/>
          </cell>
          <cell r="N406" t="str">
            <v xml:space="preserve">SELİNA-3 </v>
          </cell>
          <cell r="O406" t="str">
            <v>HEKA</v>
          </cell>
          <cell r="P406" t="str">
            <v>ADET</v>
          </cell>
          <cell r="Q406" t="str">
            <v>GU10</v>
          </cell>
          <cell r="R406" t="str">
            <v>ALUMİNYUM</v>
          </cell>
          <cell r="S406" t="str">
            <v>SİYAH</v>
          </cell>
          <cell r="T406" t="str">
            <v>YOK</v>
          </cell>
          <cell r="U406" t="str">
            <v>YOK</v>
          </cell>
          <cell r="AD406" t="str">
            <v>DÜZ</v>
          </cell>
          <cell r="AE406" t="str">
            <v>01</v>
          </cell>
          <cell r="AF406">
            <v>1</v>
          </cell>
          <cell r="AG406" t="str">
            <v>ADET</v>
          </cell>
          <cell r="AH406">
            <v>13.5</v>
          </cell>
          <cell r="AI406" t="str">
            <v>CNY</v>
          </cell>
          <cell r="AJ406">
            <v>1250</v>
          </cell>
          <cell r="AK406" t="str">
            <v>TL</v>
          </cell>
          <cell r="AL406">
            <v>1</v>
          </cell>
          <cell r="AM406" t="str">
            <v>8684127501330</v>
          </cell>
          <cell r="AO406">
            <v>0</v>
          </cell>
          <cell r="AQ406">
            <v>120</v>
          </cell>
          <cell r="AR406" t="str">
            <v>CM</v>
          </cell>
          <cell r="AS406">
            <v>40</v>
          </cell>
          <cell r="AT406" t="str">
            <v>CM</v>
          </cell>
          <cell r="AU406">
            <v>0</v>
          </cell>
          <cell r="AW406">
            <v>0</v>
          </cell>
        </row>
        <row r="407">
          <cell r="B407" t="str">
            <v>H1S5CME000L-120</v>
          </cell>
          <cell r="C407" t="str">
            <v>SELİNA ESKİTME DÜZ SPOT 40X120 mm</v>
          </cell>
          <cell r="D407" t="str">
            <v>SELİNA BRUSHED BRASS PLAIN SPOTLIGHT 40X120 mm</v>
          </cell>
          <cell r="E407" t="str">
            <v xml:space="preserve">ALUMİNYUM YOK ESKİTME YOK   </v>
          </cell>
          <cell r="F407" t="str">
            <v>9405.19.90.00.00</v>
          </cell>
          <cell r="G407" t="str">
            <v>TEKNİK</v>
          </cell>
          <cell r="H407" t="str">
            <v>T1S5A300X0-12</v>
          </cell>
          <cell r="I407" t="str">
            <v>İÇ</v>
          </cell>
          <cell r="J407" t="str">
            <v>TEKNİK</v>
          </cell>
          <cell r="K407" t="str">
            <v>SELİNA</v>
          </cell>
          <cell r="L407" t="str">
            <v/>
          </cell>
          <cell r="M407" t="str">
            <v/>
          </cell>
          <cell r="N407" t="str">
            <v>SELİNA-5</v>
          </cell>
          <cell r="O407" t="str">
            <v>HEKA</v>
          </cell>
          <cell r="P407" t="str">
            <v>ADET</v>
          </cell>
          <cell r="Q407" t="str">
            <v>GU10</v>
          </cell>
          <cell r="R407" t="str">
            <v>ALUMİNYUM</v>
          </cell>
          <cell r="S407" t="str">
            <v>ESKİTME</v>
          </cell>
          <cell r="T407" t="str">
            <v>YOK</v>
          </cell>
          <cell r="U407" t="str">
            <v>YOK</v>
          </cell>
          <cell r="AD407" t="str">
            <v>DÜZ</v>
          </cell>
          <cell r="AE407" t="str">
            <v>01</v>
          </cell>
          <cell r="AF407">
            <v>156</v>
          </cell>
          <cell r="AG407" t="str">
            <v>ADET</v>
          </cell>
          <cell r="AH407">
            <v>13.5</v>
          </cell>
          <cell r="AI407" t="str">
            <v>CNY</v>
          </cell>
          <cell r="AJ407">
            <v>1250</v>
          </cell>
          <cell r="AK407" t="str">
            <v>TL</v>
          </cell>
          <cell r="AL407">
            <v>1</v>
          </cell>
          <cell r="AM407" t="str">
            <v>8684127501248</v>
          </cell>
          <cell r="AO407">
            <v>0</v>
          </cell>
          <cell r="AQ407">
            <v>120</v>
          </cell>
          <cell r="AR407" t="str">
            <v>CM</v>
          </cell>
          <cell r="AS407">
            <v>40</v>
          </cell>
          <cell r="AT407" t="str">
            <v>CM</v>
          </cell>
          <cell r="AU407">
            <v>0</v>
          </cell>
          <cell r="AW407">
            <v>0</v>
          </cell>
        </row>
        <row r="408">
          <cell r="B408" t="str">
            <v>H1S5CMB000L-120</v>
          </cell>
          <cell r="C408" t="str">
            <v>SELİNA BAKIR DÜZ SPOT 40X120 mm</v>
          </cell>
          <cell r="D408" t="str">
            <v>SELİNA COPPER PLAIN SPOTLIGHT 40X120 mm</v>
          </cell>
          <cell r="E408" t="str">
            <v xml:space="preserve">ALUMİNYUM YOK BAKIR YOK   </v>
          </cell>
          <cell r="F408" t="str">
            <v>9405.19.90.00.00</v>
          </cell>
          <cell r="G408" t="str">
            <v>TEKNİK</v>
          </cell>
          <cell r="H408" t="str">
            <v>T1S5A400X0-12</v>
          </cell>
          <cell r="I408" t="str">
            <v>İÇ</v>
          </cell>
          <cell r="J408" t="str">
            <v>TEKNİK</v>
          </cell>
          <cell r="K408" t="str">
            <v>SELİNA</v>
          </cell>
          <cell r="L408" t="str">
            <v/>
          </cell>
          <cell r="M408" t="str">
            <v/>
          </cell>
          <cell r="N408" t="str">
            <v>SELİNA-7</v>
          </cell>
          <cell r="O408" t="str">
            <v>HEKA</v>
          </cell>
          <cell r="P408" t="str">
            <v>ADET</v>
          </cell>
          <cell r="Q408" t="str">
            <v>GU10</v>
          </cell>
          <cell r="R408" t="str">
            <v>ALUMİNYUM</v>
          </cell>
          <cell r="S408" t="str">
            <v>BAKIR</v>
          </cell>
          <cell r="T408" t="str">
            <v>YOK</v>
          </cell>
          <cell r="U408" t="str">
            <v>YOK</v>
          </cell>
          <cell r="AD408" t="str">
            <v>DÜZ</v>
          </cell>
          <cell r="AE408" t="str">
            <v>01</v>
          </cell>
          <cell r="AF408">
            <v>53</v>
          </cell>
          <cell r="AG408" t="str">
            <v>ADET</v>
          </cell>
          <cell r="AH408">
            <v>13.5</v>
          </cell>
          <cell r="AI408" t="str">
            <v>CNY</v>
          </cell>
          <cell r="AJ408">
            <v>1250</v>
          </cell>
          <cell r="AK408" t="str">
            <v>TL</v>
          </cell>
          <cell r="AL408">
            <v>1</v>
          </cell>
          <cell r="AM408" t="str">
            <v>8684127501262</v>
          </cell>
          <cell r="AO408">
            <v>0</v>
          </cell>
          <cell r="AQ408">
            <v>120</v>
          </cell>
          <cell r="AR408" t="str">
            <v>CM</v>
          </cell>
          <cell r="AS408">
            <v>40</v>
          </cell>
          <cell r="AT408" t="str">
            <v>CM</v>
          </cell>
          <cell r="AU408">
            <v>0</v>
          </cell>
          <cell r="AW408">
            <v>0</v>
          </cell>
        </row>
        <row r="409">
          <cell r="B409" t="str">
            <v>01.080.10.01.01</v>
          </cell>
          <cell r="C409" t="str">
            <v>DİKDÖRTGEN TEPSİ ESKİTME 80x10cm</v>
          </cell>
          <cell r="D409" t="str">
            <v>BRUSHED BRASS RECTANGLE TRAY 80x10cm</v>
          </cell>
          <cell r="E409" t="str">
            <v/>
          </cell>
          <cell r="F409" t="str">
            <v/>
          </cell>
          <cell r="G409" t="str">
            <v>ZPARCA</v>
          </cell>
          <cell r="H409" t="str">
            <v>01.080.10.01.01</v>
          </cell>
          <cell r="I409" t="str">
            <v>İÇ</v>
          </cell>
          <cell r="J409" t="str">
            <v>ZPARCA</v>
          </cell>
          <cell r="K409" t="str">
            <v/>
          </cell>
          <cell r="L409" t="str">
            <v/>
          </cell>
          <cell r="M409" t="str">
            <v>ÜRTM:7GÜN</v>
          </cell>
          <cell r="N409" t="str">
            <v/>
          </cell>
          <cell r="O409" t="str">
            <v>HEKA</v>
          </cell>
          <cell r="P409" t="str">
            <v>ADET</v>
          </cell>
          <cell r="R409" t="str">
            <v>METAL</v>
          </cell>
          <cell r="S409" t="str">
            <v>ESKİTME</v>
          </cell>
          <cell r="AF409">
            <v>10</v>
          </cell>
          <cell r="AG409" t="str">
            <v>ADET</v>
          </cell>
          <cell r="AH409">
            <v>52</v>
          </cell>
          <cell r="AI409" t="str">
            <v>CNY</v>
          </cell>
          <cell r="AJ409">
            <v>3475</v>
          </cell>
          <cell r="AK409" t="str">
            <v>TL</v>
          </cell>
          <cell r="AL409">
            <v>1</v>
          </cell>
          <cell r="AM409" t="str">
            <v>01.080.10.01.01</v>
          </cell>
          <cell r="AO409">
            <v>0</v>
          </cell>
          <cell r="AQ409">
            <v>0</v>
          </cell>
          <cell r="AS409">
            <v>100</v>
          </cell>
          <cell r="AU409">
            <v>0</v>
          </cell>
          <cell r="AW409">
            <v>0</v>
          </cell>
        </row>
        <row r="410">
          <cell r="B410" t="str">
            <v>01.080.10.01.03</v>
          </cell>
          <cell r="C410" t="str">
            <v>DİKDÖRTGEN TEPSİ ALTIN 80x10cm</v>
          </cell>
          <cell r="D410" t="str">
            <v>GOLD RECTANGLE TRAY 80x10cm</v>
          </cell>
          <cell r="E410" t="str">
            <v/>
          </cell>
          <cell r="F410" t="str">
            <v/>
          </cell>
          <cell r="G410" t="str">
            <v>ZPARCA</v>
          </cell>
          <cell r="H410" t="str">
            <v>01.080.10.01.03</v>
          </cell>
          <cell r="I410" t="str">
            <v>İÇ</v>
          </cell>
          <cell r="J410" t="str">
            <v>ZPARCA</v>
          </cell>
          <cell r="K410" t="str">
            <v/>
          </cell>
          <cell r="L410" t="str">
            <v/>
          </cell>
          <cell r="M410" t="str">
            <v>ÜRTM:7GÜN</v>
          </cell>
          <cell r="N410" t="str">
            <v/>
          </cell>
          <cell r="O410" t="str">
            <v>HEKA</v>
          </cell>
          <cell r="P410" t="str">
            <v>ADET</v>
          </cell>
          <cell r="R410" t="str">
            <v>METAL</v>
          </cell>
          <cell r="S410" t="str">
            <v>GOLD</v>
          </cell>
          <cell r="AF410">
            <v>20</v>
          </cell>
          <cell r="AG410" t="str">
            <v>ADET</v>
          </cell>
          <cell r="AH410">
            <v>45</v>
          </cell>
          <cell r="AI410" t="str">
            <v>CNY</v>
          </cell>
          <cell r="AJ410">
            <v>3475</v>
          </cell>
          <cell r="AK410" t="str">
            <v>TL</v>
          </cell>
          <cell r="AL410">
            <v>1</v>
          </cell>
          <cell r="AM410" t="str">
            <v>01.080.10.01.03</v>
          </cell>
          <cell r="AO410">
            <v>0</v>
          </cell>
          <cell r="AQ410">
            <v>0</v>
          </cell>
          <cell r="AS410">
            <v>100</v>
          </cell>
          <cell r="AU410">
            <v>0</v>
          </cell>
          <cell r="AW410">
            <v>0</v>
          </cell>
        </row>
        <row r="411">
          <cell r="B411" t="str">
            <v>01.060.00.04.03</v>
          </cell>
          <cell r="C411" t="str">
            <v>YUVARLAK TEPSİ ALTIN 60cm</v>
          </cell>
          <cell r="D411" t="str">
            <v>GOLD ROUND TRAY 60cm</v>
          </cell>
          <cell r="E411" t="str">
            <v/>
          </cell>
          <cell r="F411" t="str">
            <v/>
          </cell>
          <cell r="G411" t="str">
            <v>ZPARCA</v>
          </cell>
          <cell r="H411" t="str">
            <v>01.060.00.04.03</v>
          </cell>
          <cell r="I411" t="str">
            <v>İÇ</v>
          </cell>
          <cell r="J411" t="str">
            <v>ZPARCA</v>
          </cell>
          <cell r="K411" t="str">
            <v/>
          </cell>
          <cell r="L411" t="str">
            <v/>
          </cell>
          <cell r="M411" t="str">
            <v>ÜRTM:7GÜN</v>
          </cell>
          <cell r="N411" t="str">
            <v/>
          </cell>
          <cell r="O411" t="str">
            <v>HEKA</v>
          </cell>
          <cell r="P411" t="str">
            <v>ADET</v>
          </cell>
          <cell r="R411" t="str">
            <v>METAL</v>
          </cell>
          <cell r="S411" t="str">
            <v>GOLD</v>
          </cell>
          <cell r="AF411">
            <v>40</v>
          </cell>
          <cell r="AG411" t="str">
            <v>ADET</v>
          </cell>
          <cell r="AH411">
            <v>85</v>
          </cell>
          <cell r="AI411" t="str">
            <v>CNY</v>
          </cell>
          <cell r="AJ411">
            <v>10500</v>
          </cell>
          <cell r="AK411" t="str">
            <v>TL</v>
          </cell>
          <cell r="AL411">
            <v>1</v>
          </cell>
          <cell r="AM411" t="str">
            <v>01.060.00.04.03</v>
          </cell>
          <cell r="AO411">
            <v>0</v>
          </cell>
          <cell r="AQ411">
            <v>0</v>
          </cell>
          <cell r="AS411">
            <v>100</v>
          </cell>
          <cell r="AU411">
            <v>0</v>
          </cell>
          <cell r="AW411">
            <v>0</v>
          </cell>
        </row>
        <row r="412">
          <cell r="B412" t="str">
            <v>01.030.00.04.01</v>
          </cell>
          <cell r="C412" t="str">
            <v>YUVARLAK TEPSİ ESKİTME 30cm</v>
          </cell>
          <cell r="D412" t="str">
            <v>BRUSHED BRASS ROUND TRAY 30cm</v>
          </cell>
          <cell r="E412" t="str">
            <v/>
          </cell>
          <cell r="F412" t="str">
            <v/>
          </cell>
          <cell r="G412" t="str">
            <v xml:space="preserve"> ZPARCA</v>
          </cell>
          <cell r="H412" t="str">
            <v>01.030.00.04.01</v>
          </cell>
          <cell r="I412" t="str">
            <v>İÇ</v>
          </cell>
          <cell r="J412" t="str">
            <v>ZPARCA</v>
          </cell>
          <cell r="K412" t="str">
            <v/>
          </cell>
          <cell r="L412" t="str">
            <v/>
          </cell>
          <cell r="M412" t="str">
            <v/>
          </cell>
          <cell r="N412" t="str">
            <v/>
          </cell>
          <cell r="O412" t="str">
            <v>HEKA</v>
          </cell>
          <cell r="P412" t="str">
            <v>ADET</v>
          </cell>
          <cell r="R412" t="str">
            <v>METAL</v>
          </cell>
          <cell r="S412" t="str">
            <v>ESKİTME</v>
          </cell>
          <cell r="AF412">
            <v>75</v>
          </cell>
          <cell r="AG412" t="str">
            <v>ADET</v>
          </cell>
          <cell r="AH412">
            <v>22</v>
          </cell>
          <cell r="AI412" t="str">
            <v>CNY</v>
          </cell>
          <cell r="AJ412">
            <v>1310</v>
          </cell>
          <cell r="AK412" t="str">
            <v>TL</v>
          </cell>
          <cell r="AL412">
            <v>1</v>
          </cell>
          <cell r="AM412" t="str">
            <v>01.030.00.04.01</v>
          </cell>
          <cell r="AO412">
            <v>0</v>
          </cell>
          <cell r="AQ412">
            <v>0</v>
          </cell>
          <cell r="AS412">
            <v>100</v>
          </cell>
          <cell r="AU412">
            <v>0</v>
          </cell>
          <cell r="AW412">
            <v>0</v>
          </cell>
        </row>
        <row r="413">
          <cell r="B413" t="str">
            <v>01.045.00.04.05</v>
          </cell>
          <cell r="C413" t="str">
            <v>YUVARLAK TEPSİ SİYAH 45cm</v>
          </cell>
          <cell r="D413" t="str">
            <v>BLACK ROUND TRAY 45cm</v>
          </cell>
          <cell r="E413" t="str">
            <v/>
          </cell>
          <cell r="F413" t="str">
            <v/>
          </cell>
          <cell r="G413" t="str">
            <v>ZPARCA</v>
          </cell>
          <cell r="H413" t="str">
            <v>01.045.00.04.05</v>
          </cell>
          <cell r="I413" t="str">
            <v>İÇ</v>
          </cell>
          <cell r="J413" t="str">
            <v>ZPARCA</v>
          </cell>
          <cell r="K413" t="str">
            <v/>
          </cell>
          <cell r="L413" t="str">
            <v/>
          </cell>
          <cell r="M413" t="str">
            <v>ÜRTM:7GÜN</v>
          </cell>
          <cell r="N413" t="str">
            <v/>
          </cell>
          <cell r="O413" t="str">
            <v>HEKA</v>
          </cell>
          <cell r="P413" t="str">
            <v>ADET</v>
          </cell>
          <cell r="R413" t="str">
            <v>METAL</v>
          </cell>
          <cell r="S413" t="str">
            <v>SİYAH</v>
          </cell>
          <cell r="AF413">
            <v>13</v>
          </cell>
          <cell r="AG413" t="str">
            <v>ADET</v>
          </cell>
          <cell r="AH413">
            <v>30</v>
          </cell>
          <cell r="AI413" t="str">
            <v>CNY</v>
          </cell>
          <cell r="AJ413">
            <v>1220</v>
          </cell>
          <cell r="AK413" t="str">
            <v>TL</v>
          </cell>
          <cell r="AL413">
            <v>1</v>
          </cell>
          <cell r="AM413" t="str">
            <v>01.045.00.04.05</v>
          </cell>
          <cell r="AO413">
            <v>0</v>
          </cell>
          <cell r="AQ413">
            <v>0</v>
          </cell>
          <cell r="AS413">
            <v>100</v>
          </cell>
          <cell r="AU413">
            <v>0</v>
          </cell>
          <cell r="AW413">
            <v>0</v>
          </cell>
        </row>
        <row r="414">
          <cell r="B414" t="str">
            <v>01.060.00.04.05</v>
          </cell>
          <cell r="C414" t="str">
            <v>YUVARLAK TEPSİ SİYAH 60cm</v>
          </cell>
          <cell r="D414" t="str">
            <v>BLACK ROUND TRAY 60cm</v>
          </cell>
          <cell r="E414" t="str">
            <v/>
          </cell>
          <cell r="F414" t="str">
            <v/>
          </cell>
          <cell r="G414" t="str">
            <v>ZPARCA</v>
          </cell>
          <cell r="H414" t="str">
            <v>01.060.00.04.05</v>
          </cell>
          <cell r="I414" t="str">
            <v>İÇ</v>
          </cell>
          <cell r="J414" t="str">
            <v>ZPARCA</v>
          </cell>
          <cell r="K414" t="str">
            <v/>
          </cell>
          <cell r="L414" t="str">
            <v/>
          </cell>
          <cell r="M414" t="str">
            <v>ÜRTM:7GÜN</v>
          </cell>
          <cell r="N414" t="str">
            <v/>
          </cell>
          <cell r="O414" t="str">
            <v>HEKA</v>
          </cell>
          <cell r="P414" t="str">
            <v>ADET</v>
          </cell>
          <cell r="R414" t="str">
            <v>METAL</v>
          </cell>
          <cell r="S414" t="str">
            <v>SİYAH</v>
          </cell>
          <cell r="AF414">
            <v>44</v>
          </cell>
          <cell r="AG414" t="str">
            <v>ADET</v>
          </cell>
          <cell r="AH414">
            <v>40</v>
          </cell>
          <cell r="AI414" t="str">
            <v>CNY</v>
          </cell>
          <cell r="AJ414">
            <v>5750</v>
          </cell>
          <cell r="AK414" t="str">
            <v>TL</v>
          </cell>
          <cell r="AL414">
            <v>1</v>
          </cell>
          <cell r="AM414" t="str">
            <v>01.060.00.04.05</v>
          </cell>
          <cell r="AO414">
            <v>0</v>
          </cell>
          <cell r="AQ414">
            <v>0</v>
          </cell>
          <cell r="AS414">
            <v>100</v>
          </cell>
          <cell r="AU414">
            <v>0</v>
          </cell>
          <cell r="AW414">
            <v>0</v>
          </cell>
        </row>
        <row r="415">
          <cell r="B415" t="str">
            <v>H1W2JRSECS0-040</v>
          </cell>
          <cell r="C415" t="str">
            <v>SÜMELA SİYAH APLİK 40cm</v>
          </cell>
          <cell r="D415" t="str">
            <v>SÜMELA BLACK WALL LAMP 40cm</v>
          </cell>
          <cell r="E415" t="str">
            <v>METAL CAM SİYAH ŞEFFAF</v>
          </cell>
          <cell r="F415" t="str">
            <v>9405.19.90.00.00</v>
          </cell>
          <cell r="G415" t="str">
            <v>APLİK</v>
          </cell>
          <cell r="H415" t="str">
            <v>H1W1142400-40</v>
          </cell>
          <cell r="I415" t="str">
            <v>İÇ</v>
          </cell>
          <cell r="J415" t="str">
            <v>APLİK</v>
          </cell>
          <cell r="K415" t="str">
            <v>SÜMELA</v>
          </cell>
          <cell r="L415" t="str">
            <v/>
          </cell>
          <cell r="M415" t="str">
            <v>ÜRTM:15GÜN</v>
          </cell>
          <cell r="N415" t="str">
            <v>FZ1023-BC-40</v>
          </cell>
          <cell r="O415" t="str">
            <v>HEKA</v>
          </cell>
          <cell r="P415" t="str">
            <v>ADET</v>
          </cell>
          <cell r="Q415" t="str">
            <v>E14</v>
          </cell>
          <cell r="R415" t="str">
            <v>METAL</v>
          </cell>
          <cell r="S415" t="str">
            <v>SİYAH</v>
          </cell>
          <cell r="T415" t="str">
            <v>CAM</v>
          </cell>
          <cell r="U415" t="str">
            <v>ŞEFFAF</v>
          </cell>
          <cell r="AD415" t="str">
            <v>N/A</v>
          </cell>
          <cell r="AE415" t="str">
            <v>02</v>
          </cell>
          <cell r="AF415">
            <v>10</v>
          </cell>
          <cell r="AG415" t="str">
            <v>ADET</v>
          </cell>
          <cell r="AH415">
            <v>300</v>
          </cell>
          <cell r="AI415" t="str">
            <v>TL</v>
          </cell>
          <cell r="AJ415">
            <v>4964</v>
          </cell>
          <cell r="AK415" t="str">
            <v>TL</v>
          </cell>
          <cell r="AL415">
            <v>1</v>
          </cell>
          <cell r="AM415" t="str">
            <v>8684127502948</v>
          </cell>
          <cell r="AO415">
            <v>0</v>
          </cell>
          <cell r="AQ415">
            <v>0</v>
          </cell>
          <cell r="AR415" t="str">
            <v>CM</v>
          </cell>
          <cell r="AS415">
            <v>0</v>
          </cell>
          <cell r="AT415" t="str">
            <v>CM</v>
          </cell>
          <cell r="AU415">
            <v>0</v>
          </cell>
          <cell r="AW415">
            <v>0</v>
          </cell>
        </row>
        <row r="416">
          <cell r="B416" t="str">
            <v>H1S5CMB000T-140</v>
          </cell>
          <cell r="C416" t="str">
            <v>MİA BAKIR TIRTIKLI SPOT 60X140 mm</v>
          </cell>
          <cell r="D416" t="str">
            <v>MİA COPPER SERRATED SPOTLIGHT 60X140 mm</v>
          </cell>
          <cell r="E416" t="str">
            <v xml:space="preserve">ALUMİNYUM YOK BAKIR YOK   </v>
          </cell>
          <cell r="F416" t="str">
            <v>9405.19.90.00.00</v>
          </cell>
          <cell r="G416" t="str">
            <v>TEKNİK</v>
          </cell>
          <cell r="H416" t="str">
            <v>T1S5A400T0-14</v>
          </cell>
          <cell r="I416" t="str">
            <v>İÇ</v>
          </cell>
          <cell r="J416" t="str">
            <v>TEKNİK</v>
          </cell>
          <cell r="K416" t="str">
            <v>MİA</v>
          </cell>
          <cell r="L416" t="str">
            <v/>
          </cell>
          <cell r="M416" t="str">
            <v/>
          </cell>
          <cell r="N416" t="str">
            <v>MİA-8</v>
          </cell>
          <cell r="O416" t="str">
            <v>HEKA</v>
          </cell>
          <cell r="P416" t="str">
            <v>ADET</v>
          </cell>
          <cell r="Q416" t="str">
            <v>GU10</v>
          </cell>
          <cell r="R416" t="str">
            <v>ALUMİNYUM</v>
          </cell>
          <cell r="S416" t="str">
            <v>BAKIR</v>
          </cell>
          <cell r="T416" t="str">
            <v>YOK</v>
          </cell>
          <cell r="U416" t="str">
            <v>YOK</v>
          </cell>
          <cell r="AD416" t="str">
            <v>TIRTIKLI</v>
          </cell>
          <cell r="AE416" t="str">
            <v>01</v>
          </cell>
          <cell r="AF416">
            <v>145</v>
          </cell>
          <cell r="AG416" t="str">
            <v>ADET</v>
          </cell>
          <cell r="AH416">
            <v>22</v>
          </cell>
          <cell r="AI416" t="str">
            <v>CNY</v>
          </cell>
          <cell r="AJ416">
            <v>1880</v>
          </cell>
          <cell r="AK416" t="str">
            <v>TL</v>
          </cell>
          <cell r="AL416">
            <v>1</v>
          </cell>
          <cell r="AM416" t="str">
            <v>8684127501316</v>
          </cell>
          <cell r="AO416">
            <v>0</v>
          </cell>
          <cell r="AQ416">
            <v>140</v>
          </cell>
          <cell r="AR416" t="str">
            <v>CM</v>
          </cell>
          <cell r="AS416">
            <v>60</v>
          </cell>
          <cell r="AT416" t="str">
            <v>CM</v>
          </cell>
          <cell r="AU416">
            <v>0</v>
          </cell>
          <cell r="AW416">
            <v>0</v>
          </cell>
        </row>
        <row r="417">
          <cell r="B417" t="str">
            <v>H1S5CRB000T-210</v>
          </cell>
          <cell r="C417" t="str">
            <v>EVA BEYAZ TIRTIKLI SPOT 60X210 mm</v>
          </cell>
          <cell r="D417" t="str">
            <v>EVA WHITE SERRATED SPOTLIGHT 60X210 mm</v>
          </cell>
          <cell r="E417" t="str">
            <v xml:space="preserve">ALUMİNYUM YOK BEYAZ YOK   </v>
          </cell>
          <cell r="F417" t="str">
            <v>9405.19.90.00.00</v>
          </cell>
          <cell r="G417" t="str">
            <v>TEKNİK</v>
          </cell>
          <cell r="H417" t="str">
            <v>T1S5A100T0-21</v>
          </cell>
          <cell r="I417" t="str">
            <v>İÇ</v>
          </cell>
          <cell r="J417" t="str">
            <v>TEKNİK</v>
          </cell>
          <cell r="K417" t="str">
            <v>EVA</v>
          </cell>
          <cell r="L417" t="str">
            <v/>
          </cell>
          <cell r="M417" t="str">
            <v/>
          </cell>
          <cell r="N417" t="str">
            <v>EVA-2</v>
          </cell>
          <cell r="O417" t="str">
            <v>HEKA</v>
          </cell>
          <cell r="P417" t="str">
            <v>ADET</v>
          </cell>
          <cell r="Q417" t="str">
            <v>GU10</v>
          </cell>
          <cell r="R417" t="str">
            <v>ALUMİNYUM</v>
          </cell>
          <cell r="S417" t="str">
            <v>BEYAZ</v>
          </cell>
          <cell r="T417" t="str">
            <v>YOK</v>
          </cell>
          <cell r="U417" t="str">
            <v>YOK</v>
          </cell>
          <cell r="AD417" t="str">
            <v>TIRTIKLI</v>
          </cell>
          <cell r="AE417" t="str">
            <v>01</v>
          </cell>
          <cell r="AF417">
            <v>54</v>
          </cell>
          <cell r="AG417" t="str">
            <v>ADET</v>
          </cell>
          <cell r="AH417">
            <v>24.5</v>
          </cell>
          <cell r="AI417" t="str">
            <v>CNY</v>
          </cell>
          <cell r="AJ417">
            <v>2640</v>
          </cell>
          <cell r="AK417" t="str">
            <v>TL</v>
          </cell>
          <cell r="AL417">
            <v>1</v>
          </cell>
          <cell r="AM417" t="str">
            <v>8684127500944</v>
          </cell>
          <cell r="AO417">
            <v>0</v>
          </cell>
          <cell r="AQ417">
            <v>210</v>
          </cell>
          <cell r="AR417" t="str">
            <v>CM</v>
          </cell>
          <cell r="AS417">
            <v>60</v>
          </cell>
          <cell r="AT417" t="str">
            <v>CM</v>
          </cell>
          <cell r="AU417">
            <v>0</v>
          </cell>
          <cell r="AW417">
            <v>0</v>
          </cell>
        </row>
        <row r="418">
          <cell r="B418" t="str">
            <v>H1S5CMB000L-210</v>
          </cell>
          <cell r="C418" t="str">
            <v>EVA BAKIR DÜZ SPOT 60X210 mm</v>
          </cell>
          <cell r="D418" t="str">
            <v>EVA COPPER PLAIN SPOTLIGHT 60X210 mm</v>
          </cell>
          <cell r="E418" t="str">
            <v xml:space="preserve">ALUMİNYUM YOK BAKIR YOK   </v>
          </cell>
          <cell r="F418" t="str">
            <v>9405.19.90.00.00</v>
          </cell>
          <cell r="G418" t="str">
            <v>TEKNİK</v>
          </cell>
          <cell r="H418" t="str">
            <v>T1S5A400X0-21</v>
          </cell>
          <cell r="I418" t="str">
            <v>İÇ</v>
          </cell>
          <cell r="J418" t="str">
            <v>TEKNİK</v>
          </cell>
          <cell r="K418" t="str">
            <v>EVA</v>
          </cell>
          <cell r="L418" t="str">
            <v/>
          </cell>
          <cell r="M418" t="str">
            <v/>
          </cell>
          <cell r="N418" t="str">
            <v>EVA-7</v>
          </cell>
          <cell r="O418" t="str">
            <v>HEKA</v>
          </cell>
          <cell r="P418" t="str">
            <v>ADET</v>
          </cell>
          <cell r="Q418" t="str">
            <v>GU10</v>
          </cell>
          <cell r="R418" t="str">
            <v>ALUMİNYUM</v>
          </cell>
          <cell r="S418" t="str">
            <v>BAKIR</v>
          </cell>
          <cell r="T418" t="str">
            <v>YOK</v>
          </cell>
          <cell r="U418" t="str">
            <v>YOK</v>
          </cell>
          <cell r="AD418" t="str">
            <v>DÜZ</v>
          </cell>
          <cell r="AE418" t="str">
            <v>01</v>
          </cell>
          <cell r="AF418">
            <v>117</v>
          </cell>
          <cell r="AG418" t="str">
            <v>ADET</v>
          </cell>
          <cell r="AH418">
            <v>24.5</v>
          </cell>
          <cell r="AI418" t="str">
            <v>CNY</v>
          </cell>
          <cell r="AJ418">
            <v>1990</v>
          </cell>
          <cell r="AK418" t="str">
            <v>TL</v>
          </cell>
          <cell r="AL418">
            <v>1</v>
          </cell>
          <cell r="AM418" t="str">
            <v>8684127500890</v>
          </cell>
          <cell r="AO418">
            <v>0</v>
          </cell>
          <cell r="AQ418">
            <v>210</v>
          </cell>
          <cell r="AR418" t="str">
            <v>CM</v>
          </cell>
          <cell r="AS418">
            <v>60</v>
          </cell>
          <cell r="AT418" t="str">
            <v>CM</v>
          </cell>
          <cell r="AU418">
            <v>0</v>
          </cell>
          <cell r="AW418">
            <v>0</v>
          </cell>
        </row>
        <row r="419">
          <cell r="B419" t="str">
            <v>H1S5CRB000L-120</v>
          </cell>
          <cell r="C419" t="str">
            <v>SELİNA BEYAZ DÜZ SPOT 40X120 mm</v>
          </cell>
          <cell r="D419" t="str">
            <v>SELİNA WHITE PLAIN SPOTLIGHT 40X120 mm</v>
          </cell>
          <cell r="E419" t="str">
            <v xml:space="preserve">ALUMİNYUM YOK BEYAZ YOK   </v>
          </cell>
          <cell r="F419" t="str">
            <v>9405.19.90.00.00</v>
          </cell>
          <cell r="G419" t="str">
            <v>TEKNİK</v>
          </cell>
          <cell r="H419" t="str">
            <v>T1S5A100X0-12</v>
          </cell>
          <cell r="I419" t="str">
            <v>İÇ</v>
          </cell>
          <cell r="J419" t="str">
            <v>TEKNİK</v>
          </cell>
          <cell r="K419" t="str">
            <v>SELİNA</v>
          </cell>
          <cell r="L419" t="str">
            <v/>
          </cell>
          <cell r="M419" t="str">
            <v/>
          </cell>
          <cell r="N419" t="str">
            <v>SELİNA-1</v>
          </cell>
          <cell r="O419" t="str">
            <v>HEKA</v>
          </cell>
          <cell r="P419" t="str">
            <v>ADET</v>
          </cell>
          <cell r="Q419" t="str">
            <v>GU10</v>
          </cell>
          <cell r="R419" t="str">
            <v>ALUMİNYUM</v>
          </cell>
          <cell r="S419" t="str">
            <v>BEYAZ</v>
          </cell>
          <cell r="T419" t="str">
            <v>YOK</v>
          </cell>
          <cell r="U419" t="str">
            <v>YOK</v>
          </cell>
          <cell r="AD419" t="str">
            <v>DÜZ</v>
          </cell>
          <cell r="AE419" t="str">
            <v>02</v>
          </cell>
          <cell r="AF419">
            <v>0</v>
          </cell>
          <cell r="AG419" t="str">
            <v>ADET</v>
          </cell>
          <cell r="AH419">
            <v>13.5</v>
          </cell>
          <cell r="AI419" t="str">
            <v>CNY</v>
          </cell>
          <cell r="AJ419">
            <v>1250</v>
          </cell>
          <cell r="AK419" t="str">
            <v>TL</v>
          </cell>
          <cell r="AL419">
            <v>1</v>
          </cell>
          <cell r="AM419" t="str">
            <v>8684127501323</v>
          </cell>
          <cell r="AO419">
            <v>0</v>
          </cell>
          <cell r="AQ419">
            <v>120</v>
          </cell>
          <cell r="AR419" t="str">
            <v>CM</v>
          </cell>
          <cell r="AS419">
            <v>40</v>
          </cell>
          <cell r="AT419" t="str">
            <v>CM</v>
          </cell>
          <cell r="AU419">
            <v>0</v>
          </cell>
          <cell r="AW419">
            <v>0</v>
          </cell>
        </row>
        <row r="420">
          <cell r="B420" t="str">
            <v>CG2D1C302E8I0</v>
          </cell>
          <cell r="C420" t="str">
            <v>ERD-247 G45 ŞEFFAF CAM 6W 6500K E27 LED AMPUL</v>
          </cell>
          <cell r="D420" t="str">
            <v>ERD-247 G45 CLEAR 6W 6500K E27 LED BULB</v>
          </cell>
          <cell r="E420" t="str">
            <v>CAM METAL ŞEFFAF FLAMENT DIMMSIZ G45</v>
          </cell>
          <cell r="F420" t="str">
            <v>8539.52.00.00.00</v>
          </cell>
          <cell r="G420" t="str">
            <v>AMPUL</v>
          </cell>
          <cell r="H420" t="str">
            <v>CE21132D80V01</v>
          </cell>
          <cell r="I420" t="str">
            <v>İÇ</v>
          </cell>
          <cell r="J420" t="str">
            <v>AMPUL</v>
          </cell>
          <cell r="K420" t="str">
            <v>ERD-247</v>
          </cell>
          <cell r="L420" t="str">
            <v/>
          </cell>
          <cell r="M420" t="str">
            <v>30.01.2026</v>
          </cell>
          <cell r="N420" t="str">
            <v>ERD-247</v>
          </cell>
          <cell r="O420" t="str">
            <v>HEKA</v>
          </cell>
          <cell r="P420" t="str">
            <v>ADET</v>
          </cell>
          <cell r="Q420" t="str">
            <v>E27</v>
          </cell>
          <cell r="R420" t="str">
            <v>CAM</v>
          </cell>
          <cell r="S420" t="str">
            <v>ŞEFFAF</v>
          </cell>
          <cell r="T420" t="str">
            <v>METAL</v>
          </cell>
          <cell r="V420" t="str">
            <v>D</v>
          </cell>
          <cell r="W420" t="str">
            <v>FLAMENT</v>
          </cell>
          <cell r="X420" t="str">
            <v>220V</v>
          </cell>
          <cell r="Y420" t="str">
            <v>6 WATT</v>
          </cell>
          <cell r="Z420" t="str">
            <v>6500 K</v>
          </cell>
          <cell r="AA420" t="str">
            <v>DIMMSIZ</v>
          </cell>
          <cell r="AB420" t="str">
            <v>801-900</v>
          </cell>
          <cell r="AC420" t="str">
            <v>G45</v>
          </cell>
          <cell r="AD420" t="str">
            <v>N/A</v>
          </cell>
          <cell r="AF420">
            <v>1993</v>
          </cell>
          <cell r="AG420" t="str">
            <v>ADET</v>
          </cell>
          <cell r="AH420">
            <v>0.34399999999999997</v>
          </cell>
          <cell r="AI420" t="str">
            <v>USD</v>
          </cell>
          <cell r="AJ420">
            <v>1.9</v>
          </cell>
          <cell r="AK420" t="str">
            <v>USD</v>
          </cell>
          <cell r="AL420">
            <v>1</v>
          </cell>
          <cell r="AM420" t="str">
            <v>8684127519328</v>
          </cell>
          <cell r="AN420" t="str">
            <v>8684127519335</v>
          </cell>
          <cell r="AO420">
            <v>0</v>
          </cell>
          <cell r="AQ420">
            <v>4.5</v>
          </cell>
          <cell r="AR420" t="str">
            <v>CM</v>
          </cell>
          <cell r="AS420">
            <v>4.5</v>
          </cell>
          <cell r="AT420" t="str">
            <v>CM</v>
          </cell>
          <cell r="AU420">
            <v>0</v>
          </cell>
          <cell r="AW420">
            <v>0</v>
          </cell>
        </row>
        <row r="421">
          <cell r="B421" t="str">
            <v>01.100.20.01.01</v>
          </cell>
          <cell r="C421" t="str">
            <v>DİKDÖRTGEN TEPSİ ESKİTME 100x20cm</v>
          </cell>
          <cell r="D421" t="str">
            <v>BRUSHED BRASS RECTANGLE TRAY 100x20cm</v>
          </cell>
          <cell r="E421" t="str">
            <v/>
          </cell>
          <cell r="F421" t="str">
            <v/>
          </cell>
          <cell r="G421" t="str">
            <v>ZPARCA</v>
          </cell>
          <cell r="H421" t="str">
            <v>01.100.20.01.01</v>
          </cell>
          <cell r="I421" t="str">
            <v>İÇ</v>
          </cell>
          <cell r="J421" t="str">
            <v>ZPARCA</v>
          </cell>
          <cell r="K421" t="str">
            <v/>
          </cell>
          <cell r="L421" t="str">
            <v/>
          </cell>
          <cell r="M421" t="str">
            <v>ÜRTM:7GÜN</v>
          </cell>
          <cell r="N421" t="str">
            <v/>
          </cell>
          <cell r="O421" t="str">
            <v>HEKA</v>
          </cell>
          <cell r="P421" t="str">
            <v>ADET</v>
          </cell>
          <cell r="R421" t="str">
            <v>METAL</v>
          </cell>
          <cell r="S421" t="str">
            <v>ESKİTME</v>
          </cell>
          <cell r="AF421">
            <v>79</v>
          </cell>
          <cell r="AG421" t="str">
            <v>ADET</v>
          </cell>
          <cell r="AH421">
            <v>85</v>
          </cell>
          <cell r="AI421" t="str">
            <v>CNY</v>
          </cell>
          <cell r="AJ421">
            <v>6950</v>
          </cell>
          <cell r="AK421" t="str">
            <v>TL</v>
          </cell>
          <cell r="AL421">
            <v>1</v>
          </cell>
          <cell r="AM421" t="str">
            <v>01.100.20.01.01</v>
          </cell>
          <cell r="AO421">
            <v>0</v>
          </cell>
          <cell r="AQ421">
            <v>0</v>
          </cell>
          <cell r="AS421">
            <v>100</v>
          </cell>
          <cell r="AU421">
            <v>0</v>
          </cell>
          <cell r="AW421">
            <v>0</v>
          </cell>
        </row>
        <row r="422">
          <cell r="B422" t="str">
            <v>01.100.20.01.03</v>
          </cell>
          <cell r="C422" t="str">
            <v>DİKDÖRTGEN TEPSİ ALTIN 100x20cm</v>
          </cell>
          <cell r="D422" t="str">
            <v>GOLD RECTANGLE TRAY 100x20cm</v>
          </cell>
          <cell r="E422" t="str">
            <v/>
          </cell>
          <cell r="F422" t="str">
            <v/>
          </cell>
          <cell r="G422" t="str">
            <v>ZPARCA</v>
          </cell>
          <cell r="H422" t="str">
            <v>01.100.20.01.03</v>
          </cell>
          <cell r="I422" t="str">
            <v>İÇ</v>
          </cell>
          <cell r="J422" t="str">
            <v>ZPARCA</v>
          </cell>
          <cell r="K422" t="str">
            <v/>
          </cell>
          <cell r="L422" t="str">
            <v/>
          </cell>
          <cell r="M422" t="str">
            <v>ÜRTM:7GÜN</v>
          </cell>
          <cell r="N422" t="str">
            <v/>
          </cell>
          <cell r="O422" t="str">
            <v>HEKA</v>
          </cell>
          <cell r="P422" t="str">
            <v>ADET</v>
          </cell>
          <cell r="R422" t="str">
            <v>METAL</v>
          </cell>
          <cell r="S422" t="str">
            <v>GOLD</v>
          </cell>
          <cell r="AF422">
            <v>47</v>
          </cell>
          <cell r="AG422" t="str">
            <v>ADET</v>
          </cell>
          <cell r="AH422">
            <v>78</v>
          </cell>
          <cell r="AI422" t="str">
            <v>CNY</v>
          </cell>
          <cell r="AJ422">
            <v>6950</v>
          </cell>
          <cell r="AK422" t="str">
            <v>TL</v>
          </cell>
          <cell r="AL422">
            <v>1</v>
          </cell>
          <cell r="AM422" t="str">
            <v>01.100.20.01.03</v>
          </cell>
          <cell r="AO422">
            <v>0</v>
          </cell>
          <cell r="AQ422">
            <v>0</v>
          </cell>
          <cell r="AS422">
            <v>100</v>
          </cell>
          <cell r="AU422">
            <v>0</v>
          </cell>
          <cell r="AW422">
            <v>0</v>
          </cell>
        </row>
        <row r="423">
          <cell r="B423" t="str">
            <v>01.045.00.04.01</v>
          </cell>
          <cell r="C423" t="str">
            <v>YUVARLAK TEPSİ ESKİTME 45cm</v>
          </cell>
          <cell r="D423" t="str">
            <v>BRUSHED BRASS ROUND TRAY 45cm</v>
          </cell>
          <cell r="E423" t="str">
            <v/>
          </cell>
          <cell r="F423" t="str">
            <v/>
          </cell>
          <cell r="G423" t="str">
            <v>ZPARCA</v>
          </cell>
          <cell r="H423" t="str">
            <v>01.045.00.04.01</v>
          </cell>
          <cell r="I423" t="str">
            <v>İÇ</v>
          </cell>
          <cell r="J423" t="str">
            <v>ZPARCA</v>
          </cell>
          <cell r="K423" t="str">
            <v/>
          </cell>
          <cell r="L423" t="str">
            <v/>
          </cell>
          <cell r="M423" t="str">
            <v/>
          </cell>
          <cell r="N423" t="str">
            <v/>
          </cell>
          <cell r="O423" t="str">
            <v>HEKA</v>
          </cell>
          <cell r="P423" t="str">
            <v>ADET</v>
          </cell>
          <cell r="R423" t="str">
            <v>METAL</v>
          </cell>
          <cell r="S423" t="str">
            <v>ESKİTME</v>
          </cell>
          <cell r="AF423">
            <v>84</v>
          </cell>
          <cell r="AG423" t="str">
            <v>ADET</v>
          </cell>
          <cell r="AH423">
            <v>50</v>
          </cell>
          <cell r="AI423" t="str">
            <v>CNY</v>
          </cell>
          <cell r="AJ423">
            <v>1870</v>
          </cell>
          <cell r="AK423" t="str">
            <v>TL</v>
          </cell>
          <cell r="AL423">
            <v>1</v>
          </cell>
          <cell r="AM423" t="str">
            <v>01.045.00.04.01</v>
          </cell>
          <cell r="AO423">
            <v>0</v>
          </cell>
          <cell r="AQ423">
            <v>0</v>
          </cell>
          <cell r="AS423">
            <v>100</v>
          </cell>
          <cell r="AU423">
            <v>0</v>
          </cell>
          <cell r="AW423">
            <v>0</v>
          </cell>
        </row>
        <row r="424">
          <cell r="B424" t="str">
            <v>01.045.00.04.03</v>
          </cell>
          <cell r="C424" t="str">
            <v>YUVARLAK TEPSİ ALTIN 45cm</v>
          </cell>
          <cell r="D424" t="str">
            <v>GOLD ROUND TRAY 45cm</v>
          </cell>
          <cell r="E424" t="str">
            <v/>
          </cell>
          <cell r="F424" t="str">
            <v/>
          </cell>
          <cell r="G424" t="str">
            <v xml:space="preserve"> ZPARCA</v>
          </cell>
          <cell r="H424" t="str">
            <v>01.045.00.04.03</v>
          </cell>
          <cell r="I424" t="str">
            <v>İÇ</v>
          </cell>
          <cell r="J424" t="str">
            <v>ZPARCA</v>
          </cell>
          <cell r="K424" t="str">
            <v/>
          </cell>
          <cell r="L424" t="str">
            <v/>
          </cell>
          <cell r="M424" t="str">
            <v>ÜRTM:7GÜN</v>
          </cell>
          <cell r="N424" t="str">
            <v/>
          </cell>
          <cell r="O424" t="str">
            <v>HEKA</v>
          </cell>
          <cell r="P424" t="str">
            <v>ADET</v>
          </cell>
          <cell r="R424" t="str">
            <v>METAL</v>
          </cell>
          <cell r="S424" t="str">
            <v>GOLD</v>
          </cell>
          <cell r="AF424">
            <v>18</v>
          </cell>
          <cell r="AG424" t="str">
            <v>ADET</v>
          </cell>
          <cell r="AH424">
            <v>52</v>
          </cell>
          <cell r="AI424" t="str">
            <v>CNY</v>
          </cell>
          <cell r="AJ424">
            <v>1870</v>
          </cell>
          <cell r="AK424" t="str">
            <v>TL</v>
          </cell>
          <cell r="AL424">
            <v>1</v>
          </cell>
          <cell r="AM424" t="str">
            <v>01.045.00.04.03</v>
          </cell>
          <cell r="AO424">
            <v>0</v>
          </cell>
          <cell r="AQ424">
            <v>0</v>
          </cell>
          <cell r="AS424">
            <v>100</v>
          </cell>
          <cell r="AU424">
            <v>0</v>
          </cell>
          <cell r="AW424">
            <v>0</v>
          </cell>
        </row>
        <row r="425">
          <cell r="B425" t="str">
            <v>01.060.00.04.01</v>
          </cell>
          <cell r="C425" t="str">
            <v>YUVARLAK TEPSİ ESKİTME 60cm</v>
          </cell>
          <cell r="D425" t="str">
            <v>BRUSHED BRASS ROUND TRAY 60cm</v>
          </cell>
          <cell r="E425" t="str">
            <v/>
          </cell>
          <cell r="F425" t="str">
            <v/>
          </cell>
          <cell r="G425" t="str">
            <v>ZPARCA</v>
          </cell>
          <cell r="H425" t="str">
            <v>01.060.00.04.01</v>
          </cell>
          <cell r="I425" t="str">
            <v>İÇ</v>
          </cell>
          <cell r="J425" t="str">
            <v>ZPARCA</v>
          </cell>
          <cell r="K425" t="str">
            <v/>
          </cell>
          <cell r="L425" t="str">
            <v/>
          </cell>
          <cell r="M425" t="str">
            <v>ÜRTM:7GÜN</v>
          </cell>
          <cell r="N425" t="str">
            <v/>
          </cell>
          <cell r="O425" t="str">
            <v>HEKA</v>
          </cell>
          <cell r="P425" t="str">
            <v>ADET</v>
          </cell>
          <cell r="R425" t="str">
            <v>METAL</v>
          </cell>
          <cell r="S425" t="str">
            <v>ESKİTME</v>
          </cell>
          <cell r="AF425">
            <v>48</v>
          </cell>
          <cell r="AG425" t="str">
            <v>ADET</v>
          </cell>
          <cell r="AH425">
            <v>100</v>
          </cell>
          <cell r="AI425" t="str">
            <v>CNY</v>
          </cell>
          <cell r="AJ425">
            <v>10500</v>
          </cell>
          <cell r="AK425" t="str">
            <v>TL</v>
          </cell>
          <cell r="AL425">
            <v>1</v>
          </cell>
          <cell r="AM425" t="str">
            <v>01.060.00.04.01</v>
          </cell>
          <cell r="AO425">
            <v>0</v>
          </cell>
          <cell r="AQ425">
            <v>0</v>
          </cell>
          <cell r="AS425">
            <v>100</v>
          </cell>
          <cell r="AU425">
            <v>0</v>
          </cell>
          <cell r="AW425">
            <v>0</v>
          </cell>
        </row>
        <row r="426">
          <cell r="B426" t="str">
            <v>01.080.10.01.05</v>
          </cell>
          <cell r="C426" t="str">
            <v>DİKDÖRTGEN TEPSİ SİYAH 80x10cm</v>
          </cell>
          <cell r="D426" t="str">
            <v>BLACK RECTANGLE TRAY 80x10cm</v>
          </cell>
          <cell r="E426" t="str">
            <v/>
          </cell>
          <cell r="F426" t="str">
            <v/>
          </cell>
          <cell r="G426" t="str">
            <v>ZPARCA</v>
          </cell>
          <cell r="H426" t="str">
            <v>01.080.10.01.05</v>
          </cell>
          <cell r="I426" t="str">
            <v>İÇ</v>
          </cell>
          <cell r="J426" t="str">
            <v>ZPARCA</v>
          </cell>
          <cell r="K426" t="str">
            <v/>
          </cell>
          <cell r="L426" t="str">
            <v/>
          </cell>
          <cell r="M426" t="str">
            <v>ÜRTM:7GÜN</v>
          </cell>
          <cell r="N426" t="str">
            <v/>
          </cell>
          <cell r="O426" t="str">
            <v>HEKA</v>
          </cell>
          <cell r="P426" t="str">
            <v>ADET</v>
          </cell>
          <cell r="R426" t="str">
            <v>METAL</v>
          </cell>
          <cell r="S426" t="str">
            <v>SİYAH</v>
          </cell>
          <cell r="AF426">
            <v>13</v>
          </cell>
          <cell r="AG426" t="str">
            <v>ADET</v>
          </cell>
          <cell r="AH426">
            <v>25</v>
          </cell>
          <cell r="AI426" t="str">
            <v>CNY</v>
          </cell>
          <cell r="AJ426">
            <v>2625</v>
          </cell>
          <cell r="AK426" t="str">
            <v>TL</v>
          </cell>
          <cell r="AL426">
            <v>1</v>
          </cell>
          <cell r="AM426" t="str">
            <v>01.080.10.01.05</v>
          </cell>
          <cell r="AO426">
            <v>0</v>
          </cell>
          <cell r="AQ426">
            <v>0</v>
          </cell>
          <cell r="AS426">
            <v>100</v>
          </cell>
          <cell r="AU426">
            <v>0</v>
          </cell>
          <cell r="AW426">
            <v>0</v>
          </cell>
        </row>
        <row r="427">
          <cell r="B427" t="str">
            <v>01.100.20.01.05</v>
          </cell>
          <cell r="C427" t="str">
            <v>DİKDÖRTGEN TEPSİ SİYAH 100x20cm</v>
          </cell>
          <cell r="D427" t="str">
            <v>BLACK RECTANGLE TRAY 100x20cm</v>
          </cell>
          <cell r="E427" t="str">
            <v/>
          </cell>
          <cell r="F427" t="str">
            <v/>
          </cell>
          <cell r="G427" t="str">
            <v>ZPARCA</v>
          </cell>
          <cell r="H427" t="str">
            <v>01.100.20.01.05</v>
          </cell>
          <cell r="I427" t="str">
            <v>İÇ</v>
          </cell>
          <cell r="J427" t="str">
            <v>ZPARCA</v>
          </cell>
          <cell r="K427" t="str">
            <v/>
          </cell>
          <cell r="L427" t="str">
            <v/>
          </cell>
          <cell r="M427" t="str">
            <v>ÜRTM:7GÜN</v>
          </cell>
          <cell r="N427" t="str">
            <v/>
          </cell>
          <cell r="O427" t="str">
            <v>HEKA</v>
          </cell>
          <cell r="P427" t="str">
            <v>ADET</v>
          </cell>
          <cell r="R427" t="str">
            <v>METAL</v>
          </cell>
          <cell r="S427" t="str">
            <v>SİYAH</v>
          </cell>
          <cell r="AF427">
            <v>84</v>
          </cell>
          <cell r="AG427" t="str">
            <v>ADET</v>
          </cell>
          <cell r="AH427">
            <v>45</v>
          </cell>
          <cell r="AI427" t="str">
            <v>CNY</v>
          </cell>
          <cell r="AJ427">
            <v>5250</v>
          </cell>
          <cell r="AK427" t="str">
            <v>TL</v>
          </cell>
          <cell r="AL427">
            <v>1</v>
          </cell>
          <cell r="AM427" t="str">
            <v>01.100.20.01.05</v>
          </cell>
          <cell r="AO427">
            <v>0</v>
          </cell>
          <cell r="AQ427">
            <v>0</v>
          </cell>
          <cell r="AS427">
            <v>100</v>
          </cell>
          <cell r="AU427">
            <v>0</v>
          </cell>
          <cell r="AW427">
            <v>0</v>
          </cell>
        </row>
        <row r="428">
          <cell r="B428" t="str">
            <v>H1W2JRSECS0-060</v>
          </cell>
          <cell r="C428" t="str">
            <v>SÜMELA SİYAH APLİK 60cm</v>
          </cell>
          <cell r="D428" t="str">
            <v>SÜMELA BLACK WALL LAMP 60cm</v>
          </cell>
          <cell r="E428" t="str">
            <v>METAL CAM SİYAH ŞEFFAF</v>
          </cell>
          <cell r="F428" t="str">
            <v>9405.19.90.00.00</v>
          </cell>
          <cell r="G428" t="str">
            <v>APLİK</v>
          </cell>
          <cell r="H428" t="str">
            <v>H1W1142400-60</v>
          </cell>
          <cell r="I428" t="str">
            <v>İÇ</v>
          </cell>
          <cell r="J428" t="str">
            <v>APLİK</v>
          </cell>
          <cell r="K428" t="str">
            <v>SÜMELA</v>
          </cell>
          <cell r="L428" t="str">
            <v/>
          </cell>
          <cell r="M428" t="str">
            <v>ÜRTM:15GÜN</v>
          </cell>
          <cell r="N428" t="str">
            <v>FZ1023-BC-60</v>
          </cell>
          <cell r="O428" t="str">
            <v>HEKA</v>
          </cell>
          <cell r="P428" t="str">
            <v>ADET</v>
          </cell>
          <cell r="Q428" t="str">
            <v>E14</v>
          </cell>
          <cell r="R428" t="str">
            <v>METAL</v>
          </cell>
          <cell r="S428" t="str">
            <v>SİYAH</v>
          </cell>
          <cell r="T428" t="str">
            <v>CAM</v>
          </cell>
          <cell r="U428" t="str">
            <v>ŞEFFAF</v>
          </cell>
          <cell r="AD428" t="str">
            <v>N/A</v>
          </cell>
          <cell r="AE428" t="str">
            <v>03</v>
          </cell>
          <cell r="AF428">
            <v>0</v>
          </cell>
          <cell r="AG428" t="str">
            <v>ADET</v>
          </cell>
          <cell r="AH428">
            <v>350</v>
          </cell>
          <cell r="AI428" t="str">
            <v>TL</v>
          </cell>
          <cell r="AJ428">
            <v>6256</v>
          </cell>
          <cell r="AK428" t="str">
            <v>TL</v>
          </cell>
          <cell r="AL428">
            <v>1</v>
          </cell>
          <cell r="AM428" t="str">
            <v>8684127502979</v>
          </cell>
          <cell r="AO428">
            <v>0</v>
          </cell>
          <cell r="AQ428">
            <v>0</v>
          </cell>
          <cell r="AR428" t="str">
            <v>CM</v>
          </cell>
          <cell r="AS428">
            <v>0</v>
          </cell>
          <cell r="AT428" t="str">
            <v>CM</v>
          </cell>
          <cell r="AU428">
            <v>0</v>
          </cell>
          <cell r="AW428">
            <v>0</v>
          </cell>
        </row>
        <row r="429">
          <cell r="B429" t="str">
            <v>H1S5CME000L-210</v>
          </cell>
          <cell r="C429" t="str">
            <v>EVA ESKİTME DÜZ SPOT 60X210 mm</v>
          </cell>
          <cell r="D429" t="str">
            <v>EVA BRUSHED BRASS PLAIN SPOTLIGHT 60X210 mm</v>
          </cell>
          <cell r="E429" t="str">
            <v xml:space="preserve">ALUMİNYUM YOK ESKİTME YOK   </v>
          </cell>
          <cell r="F429" t="str">
            <v>9405.19.90.00.00</v>
          </cell>
          <cell r="G429" t="str">
            <v>TEKNİK</v>
          </cell>
          <cell r="H429" t="str">
            <v>T1S5A300X0-21</v>
          </cell>
          <cell r="I429" t="str">
            <v>İÇ</v>
          </cell>
          <cell r="J429" t="str">
            <v>TEKNİK</v>
          </cell>
          <cell r="K429" t="str">
            <v>EVA</v>
          </cell>
          <cell r="L429" t="str">
            <v/>
          </cell>
          <cell r="M429" t="str">
            <v/>
          </cell>
          <cell r="N429" t="str">
            <v>EVA-5</v>
          </cell>
          <cell r="O429" t="str">
            <v>HEKA</v>
          </cell>
          <cell r="P429" t="str">
            <v>ADET</v>
          </cell>
          <cell r="Q429" t="str">
            <v>GU10</v>
          </cell>
          <cell r="R429" t="str">
            <v>ALUMİNYUM</v>
          </cell>
          <cell r="S429" t="str">
            <v>ESKİTME</v>
          </cell>
          <cell r="T429" t="str">
            <v>YOK</v>
          </cell>
          <cell r="U429" t="str">
            <v>YOK</v>
          </cell>
          <cell r="AD429" t="str">
            <v>DÜZ</v>
          </cell>
          <cell r="AE429" t="str">
            <v>01</v>
          </cell>
          <cell r="AF429">
            <v>77</v>
          </cell>
          <cell r="AG429" t="str">
            <v>ADET</v>
          </cell>
          <cell r="AH429">
            <v>24.5</v>
          </cell>
          <cell r="AI429" t="str">
            <v>CNY</v>
          </cell>
          <cell r="AJ429">
            <v>1990</v>
          </cell>
          <cell r="AK429" t="str">
            <v>TL</v>
          </cell>
          <cell r="AL429">
            <v>1</v>
          </cell>
          <cell r="AM429" t="str">
            <v>8684127500876</v>
          </cell>
          <cell r="AO429">
            <v>0</v>
          </cell>
          <cell r="AQ429">
            <v>210</v>
          </cell>
          <cell r="AR429" t="str">
            <v>CM</v>
          </cell>
          <cell r="AS429">
            <v>60</v>
          </cell>
          <cell r="AT429" t="str">
            <v>CM</v>
          </cell>
          <cell r="AU429">
            <v>0</v>
          </cell>
          <cell r="AW429">
            <v>0</v>
          </cell>
        </row>
        <row r="430">
          <cell r="B430" t="str">
            <v>H1W2JRSECT0-042</v>
          </cell>
          <cell r="C430" t="str">
            <v>CAPELLA SİYAH APLİK</v>
          </cell>
          <cell r="D430" t="str">
            <v>CAPELLA BLACK WALL LAMP</v>
          </cell>
          <cell r="E430" t="str">
            <v/>
          </cell>
          <cell r="F430" t="str">
            <v/>
          </cell>
          <cell r="G430" t="str">
            <v>APLİK</v>
          </cell>
          <cell r="H430" t="str">
            <v>H1W2142100-15</v>
          </cell>
          <cell r="I430" t="str">
            <v>İÇ</v>
          </cell>
          <cell r="J430" t="str">
            <v>APLİK</v>
          </cell>
          <cell r="K430" t="str">
            <v>CAPELLA</v>
          </cell>
          <cell r="L430" t="str">
            <v/>
          </cell>
          <cell r="M430" t="str">
            <v/>
          </cell>
          <cell r="N430" t="str">
            <v/>
          </cell>
          <cell r="O430" t="str">
            <v>HEKA</v>
          </cell>
          <cell r="P430" t="str">
            <v>ADET</v>
          </cell>
          <cell r="Q430" t="str">
            <v>E27</v>
          </cell>
          <cell r="R430" t="str">
            <v>METAL</v>
          </cell>
          <cell r="S430" t="str">
            <v>SİYAH</v>
          </cell>
          <cell r="T430" t="str">
            <v>CAM</v>
          </cell>
          <cell r="U430" t="str">
            <v>SOFT</v>
          </cell>
          <cell r="AE430" t="str">
            <v>02</v>
          </cell>
          <cell r="AF430">
            <v>0</v>
          </cell>
          <cell r="AG430" t="str">
            <v>ADET</v>
          </cell>
          <cell r="AH430">
            <v>150</v>
          </cell>
          <cell r="AI430" t="str">
            <v>TL</v>
          </cell>
          <cell r="AJ430">
            <v>1842</v>
          </cell>
          <cell r="AK430" t="str">
            <v>TL</v>
          </cell>
          <cell r="AL430">
            <v>0</v>
          </cell>
          <cell r="AM430" t="str">
            <v>8684127510165</v>
          </cell>
          <cell r="AO430">
            <v>0</v>
          </cell>
          <cell r="AQ430">
            <v>19</v>
          </cell>
          <cell r="AR430" t="str">
            <v>CM</v>
          </cell>
          <cell r="AS430">
            <v>42</v>
          </cell>
          <cell r="AT430" t="str">
            <v>CM</v>
          </cell>
          <cell r="AU430">
            <v>0</v>
          </cell>
          <cell r="AW430">
            <v>0</v>
          </cell>
        </row>
        <row r="431">
          <cell r="B431" t="str">
            <v>CK5G2P3P2E5J0</v>
          </cell>
          <cell r="C431" t="str">
            <v>ERD-249 6W 3000K GU10 LED AMPUL</v>
          </cell>
          <cell r="D431" t="str">
            <v>ERD-249 6W 3000K GU10 LED BULB</v>
          </cell>
          <cell r="E431" t="str">
            <v>PLASTİK PLASTİK ŞEFFAF SMD LED DIMMSIZ KARMA</v>
          </cell>
          <cell r="F431" t="str">
            <v>8539.52.00.00.00</v>
          </cell>
          <cell r="G431" t="str">
            <v>AMPUL</v>
          </cell>
          <cell r="H431" t="str">
            <v>CG52232D50000</v>
          </cell>
          <cell r="I431" t="str">
            <v>İÇ</v>
          </cell>
          <cell r="J431" t="str">
            <v>AMPUL</v>
          </cell>
          <cell r="K431" t="str">
            <v>ERD-249</v>
          </cell>
          <cell r="L431" t="str">
            <v/>
          </cell>
          <cell r="M431" t="str">
            <v/>
          </cell>
          <cell r="N431" t="str">
            <v>ERD-249</v>
          </cell>
          <cell r="O431" t="str">
            <v>HEKA</v>
          </cell>
          <cell r="P431" t="str">
            <v>ADET</v>
          </cell>
          <cell r="Q431" t="str">
            <v>GU10</v>
          </cell>
          <cell r="R431" t="str">
            <v>PLASTİK</v>
          </cell>
          <cell r="S431" t="str">
            <v>ŞEFFAF</v>
          </cell>
          <cell r="T431" t="str">
            <v>PLASTİK</v>
          </cell>
          <cell r="V431" t="str">
            <v>G</v>
          </cell>
          <cell r="W431" t="str">
            <v>SMD LED</v>
          </cell>
          <cell r="X431" t="str">
            <v>220V</v>
          </cell>
          <cell r="Y431" t="str">
            <v>6 WATT</v>
          </cell>
          <cell r="Z431" t="str">
            <v>3000 K</v>
          </cell>
          <cell r="AA431" t="str">
            <v>DIMMSIZ</v>
          </cell>
          <cell r="AB431" t="str">
            <v>301-400</v>
          </cell>
          <cell r="AC431" t="str">
            <v>KARMA</v>
          </cell>
          <cell r="AD431" t="str">
            <v>N/A</v>
          </cell>
          <cell r="AF431">
            <v>6</v>
          </cell>
          <cell r="AG431" t="str">
            <v>ADET</v>
          </cell>
          <cell r="AH431">
            <v>0.375</v>
          </cell>
          <cell r="AI431" t="str">
            <v>USD</v>
          </cell>
          <cell r="AJ431">
            <v>1.35</v>
          </cell>
          <cell r="AK431" t="str">
            <v>USD</v>
          </cell>
          <cell r="AL431">
            <v>1</v>
          </cell>
          <cell r="AM431" t="str">
            <v>8684127503938</v>
          </cell>
          <cell r="AN431" t="str">
            <v>8684127500234</v>
          </cell>
          <cell r="AO431">
            <v>0</v>
          </cell>
          <cell r="AQ431">
            <v>5</v>
          </cell>
          <cell r="AR431" t="str">
            <v>CM</v>
          </cell>
          <cell r="AS431">
            <v>5</v>
          </cell>
          <cell r="AT431" t="str">
            <v>CM</v>
          </cell>
          <cell r="AU431">
            <v>0</v>
          </cell>
          <cell r="AW431">
            <v>0</v>
          </cell>
        </row>
        <row r="432">
          <cell r="B432" t="str">
            <v>CK5G2P3P2E8J0</v>
          </cell>
          <cell r="C432" t="str">
            <v>ERD-251 6W 6500K GU10 LED AMPUL</v>
          </cell>
          <cell r="D432" t="str">
            <v>ERD-251 6W 6500K GU10 LED BULB</v>
          </cell>
          <cell r="E432" t="str">
            <v>PLASTİK PLASTİK ŞEFFAF SMD LED DIMMSIZ KARMA</v>
          </cell>
          <cell r="F432" t="str">
            <v>8539.52.00.00.00</v>
          </cell>
          <cell r="G432" t="str">
            <v>AMPUL</v>
          </cell>
          <cell r="H432" t="str">
            <v>CG52232D80000</v>
          </cell>
          <cell r="I432" t="str">
            <v>İÇ</v>
          </cell>
          <cell r="J432" t="str">
            <v>AMPUL</v>
          </cell>
          <cell r="K432" t="str">
            <v>ERD-251</v>
          </cell>
          <cell r="L432" t="str">
            <v/>
          </cell>
          <cell r="M432" t="str">
            <v/>
          </cell>
          <cell r="N432" t="str">
            <v>ERD-251</v>
          </cell>
          <cell r="O432" t="str">
            <v>HEKA</v>
          </cell>
          <cell r="P432" t="str">
            <v>ADET</v>
          </cell>
          <cell r="Q432" t="str">
            <v>GU10</v>
          </cell>
          <cell r="R432" t="str">
            <v>PLASTİK</v>
          </cell>
          <cell r="S432" t="str">
            <v>ŞEFFAF</v>
          </cell>
          <cell r="T432" t="str">
            <v>PLASTİK</v>
          </cell>
          <cell r="V432" t="str">
            <v>G</v>
          </cell>
          <cell r="W432" t="str">
            <v>SMD LED</v>
          </cell>
          <cell r="X432" t="str">
            <v>220V</v>
          </cell>
          <cell r="Y432" t="str">
            <v>6 WATT</v>
          </cell>
          <cell r="Z432" t="str">
            <v>6500 K</v>
          </cell>
          <cell r="AA432" t="str">
            <v>DIMMSIZ</v>
          </cell>
          <cell r="AB432" t="str">
            <v>301-400</v>
          </cell>
          <cell r="AC432" t="str">
            <v>KARMA</v>
          </cell>
          <cell r="AD432" t="str">
            <v>N/A</v>
          </cell>
          <cell r="AF432">
            <v>0</v>
          </cell>
          <cell r="AG432" t="str">
            <v>ADET</v>
          </cell>
          <cell r="AH432">
            <v>0.375</v>
          </cell>
          <cell r="AI432" t="str">
            <v>USD</v>
          </cell>
          <cell r="AJ432">
            <v>1.35</v>
          </cell>
          <cell r="AK432" t="str">
            <v>USD</v>
          </cell>
          <cell r="AL432">
            <v>1</v>
          </cell>
          <cell r="AM432" t="str">
            <v>8684127503952</v>
          </cell>
          <cell r="AN432" t="str">
            <v>8684127500241</v>
          </cell>
          <cell r="AO432">
            <v>0</v>
          </cell>
          <cell r="AQ432">
            <v>5</v>
          </cell>
          <cell r="AR432" t="str">
            <v>CM</v>
          </cell>
          <cell r="AS432">
            <v>5</v>
          </cell>
          <cell r="AT432" t="str">
            <v>CM</v>
          </cell>
          <cell r="AU432">
            <v>0</v>
          </cell>
          <cell r="AW432">
            <v>0</v>
          </cell>
        </row>
        <row r="433">
          <cell r="B433" t="str">
            <v>01.120.20.01.05</v>
          </cell>
          <cell r="C433" t="str">
            <v>DİKDÖRTGEN TEPSİ SİYAH 120x20cm</v>
          </cell>
          <cell r="D433" t="str">
            <v>BLACK RECTANGLE TRAY 120x20cm</v>
          </cell>
          <cell r="E433" t="str">
            <v/>
          </cell>
          <cell r="F433" t="str">
            <v/>
          </cell>
          <cell r="G433" t="str">
            <v>ZPARCA</v>
          </cell>
          <cell r="H433" t="str">
            <v>01.120.20.01.05</v>
          </cell>
          <cell r="I433" t="str">
            <v>İÇ</v>
          </cell>
          <cell r="J433" t="str">
            <v>ZPARCA</v>
          </cell>
          <cell r="K433" t="str">
            <v/>
          </cell>
          <cell r="L433" t="str">
            <v/>
          </cell>
          <cell r="M433" t="str">
            <v>ÜRTM:7GÜN</v>
          </cell>
          <cell r="N433" t="str">
            <v/>
          </cell>
          <cell r="O433" t="str">
            <v>HEKA</v>
          </cell>
          <cell r="P433" t="str">
            <v>ADET</v>
          </cell>
          <cell r="R433" t="str">
            <v>METAL</v>
          </cell>
          <cell r="S433" t="str">
            <v>SİYAH</v>
          </cell>
          <cell r="AF433">
            <v>22</v>
          </cell>
          <cell r="AG433" t="str">
            <v>ADET</v>
          </cell>
          <cell r="AH433">
            <v>53</v>
          </cell>
          <cell r="AI433" t="str">
            <v>CNY</v>
          </cell>
          <cell r="AJ433">
            <v>6560</v>
          </cell>
          <cell r="AK433" t="str">
            <v>TL</v>
          </cell>
          <cell r="AL433">
            <v>1</v>
          </cell>
          <cell r="AM433" t="str">
            <v>01.120.20.01.05</v>
          </cell>
          <cell r="AO433">
            <v>0</v>
          </cell>
          <cell r="AQ433">
            <v>0</v>
          </cell>
          <cell r="AS433">
            <v>100</v>
          </cell>
          <cell r="AU433">
            <v>0</v>
          </cell>
          <cell r="AW433">
            <v>0</v>
          </cell>
        </row>
        <row r="434">
          <cell r="B434" t="str">
            <v>H1W3JRSWRB0-050</v>
          </cell>
          <cell r="C434" t="str">
            <v>HRİSTOS MERMER SİYAH APLİK</v>
          </cell>
          <cell r="D434" t="str">
            <v>HRİSTOS MARBLE BLACK WALL LAMP</v>
          </cell>
          <cell r="E434" t="str">
            <v>METAL MERMER SİYAH BEYAZ</v>
          </cell>
          <cell r="F434" t="str">
            <v>9405.19.90.00.00</v>
          </cell>
          <cell r="G434" t="str">
            <v>APLİK</v>
          </cell>
          <cell r="H434" t="str">
            <v>T1W3143100-50</v>
          </cell>
          <cell r="I434" t="str">
            <v>İÇ</v>
          </cell>
          <cell r="J434" t="str">
            <v>APLİK</v>
          </cell>
          <cell r="K434" t="str">
            <v>HRİSTOS</v>
          </cell>
          <cell r="L434" t="str">
            <v>Ç</v>
          </cell>
          <cell r="M434" t="str">
            <v>ÜRTM:15GÜN</v>
          </cell>
          <cell r="N434" t="str">
            <v>HKA-24025</v>
          </cell>
          <cell r="O434" t="str">
            <v>HEKA</v>
          </cell>
          <cell r="P434" t="str">
            <v>ADET</v>
          </cell>
          <cell r="Q434" t="str">
            <v>G9</v>
          </cell>
          <cell r="R434" t="str">
            <v>METAL</v>
          </cell>
          <cell r="S434" t="str">
            <v>SİYAH</v>
          </cell>
          <cell r="T434" t="str">
            <v>MERMER</v>
          </cell>
          <cell r="U434" t="str">
            <v>BEYAZ</v>
          </cell>
          <cell r="AD434" t="str">
            <v>N/A</v>
          </cell>
          <cell r="AE434" t="str">
            <v>02</v>
          </cell>
          <cell r="AF434">
            <v>0</v>
          </cell>
          <cell r="AG434" t="str">
            <v>ADET</v>
          </cell>
          <cell r="AH434">
            <v>100</v>
          </cell>
          <cell r="AI434" t="str">
            <v>CNY</v>
          </cell>
          <cell r="AJ434">
            <v>6750</v>
          </cell>
          <cell r="AK434" t="str">
            <v>TL</v>
          </cell>
          <cell r="AL434">
            <v>1</v>
          </cell>
          <cell r="AM434" t="str">
            <v>8684127505253</v>
          </cell>
          <cell r="AO434">
            <v>0</v>
          </cell>
          <cell r="AQ434">
            <v>0</v>
          </cell>
          <cell r="AR434" t="str">
            <v>CM</v>
          </cell>
          <cell r="AS434">
            <v>0</v>
          </cell>
          <cell r="AT434" t="str">
            <v>CM</v>
          </cell>
          <cell r="AU434">
            <v>0</v>
          </cell>
          <cell r="AW434">
            <v>0</v>
          </cell>
        </row>
        <row r="435">
          <cell r="B435" t="str">
            <v>H1W3JM3WRB0-050</v>
          </cell>
          <cell r="C435" t="str">
            <v>HRİSTOS MERMER MAT KROM APLİK</v>
          </cell>
          <cell r="D435" t="str">
            <v>HRİSTOS MARBLE BRUSHED CHROME WALL LAMP</v>
          </cell>
          <cell r="E435" t="str">
            <v>METAL MERMER MAT KROM BEYAZ</v>
          </cell>
          <cell r="F435" t="str">
            <v>9405.19.90.00.00</v>
          </cell>
          <cell r="G435" t="str">
            <v>APLİK</v>
          </cell>
          <cell r="H435" t="str">
            <v>T1W3163100-50</v>
          </cell>
          <cell r="I435" t="str">
            <v>İÇ</v>
          </cell>
          <cell r="J435" t="str">
            <v>APLİK</v>
          </cell>
          <cell r="K435" t="str">
            <v>HRİSTOS</v>
          </cell>
          <cell r="L435" t="str">
            <v/>
          </cell>
          <cell r="M435" t="str">
            <v>ÜRTM:15GÜN</v>
          </cell>
          <cell r="N435" t="str">
            <v>HKA-24026</v>
          </cell>
          <cell r="O435" t="str">
            <v>HEKA</v>
          </cell>
          <cell r="P435" t="str">
            <v>ADET</v>
          </cell>
          <cell r="Q435" t="str">
            <v>G9</v>
          </cell>
          <cell r="R435" t="str">
            <v>METAL</v>
          </cell>
          <cell r="S435" t="str">
            <v>MAT KROM</v>
          </cell>
          <cell r="T435" t="str">
            <v>MERMER</v>
          </cell>
          <cell r="U435" t="str">
            <v>BEYAZ</v>
          </cell>
          <cell r="AD435" t="str">
            <v>N/A</v>
          </cell>
          <cell r="AE435" t="str">
            <v>02</v>
          </cell>
          <cell r="AF435">
            <v>0</v>
          </cell>
          <cell r="AG435" t="str">
            <v>ADET</v>
          </cell>
          <cell r="AH435">
            <v>100</v>
          </cell>
          <cell r="AI435" t="str">
            <v>CNY</v>
          </cell>
          <cell r="AJ435">
            <v>6750</v>
          </cell>
          <cell r="AK435" t="str">
            <v>TL</v>
          </cell>
          <cell r="AL435">
            <v>1</v>
          </cell>
          <cell r="AM435" t="str">
            <v>8684127502092</v>
          </cell>
          <cell r="AO435">
            <v>0</v>
          </cell>
          <cell r="AQ435">
            <v>0</v>
          </cell>
          <cell r="AR435" t="str">
            <v>CM</v>
          </cell>
          <cell r="AS435">
            <v>0</v>
          </cell>
          <cell r="AT435" t="str">
            <v>CM</v>
          </cell>
          <cell r="AU435">
            <v>0</v>
          </cell>
          <cell r="AW435">
            <v>0</v>
          </cell>
        </row>
        <row r="436">
          <cell r="B436" t="str">
            <v>H1C2JMGWRSR-015</v>
          </cell>
          <cell r="C436" t="str">
            <v>SANTA SİYAH MERMER SARKIT 15cm</v>
          </cell>
          <cell r="D436" t="str">
            <v>SANTA BLACK MARBLE PENDANT 15cm</v>
          </cell>
          <cell r="E436" t="str">
            <v xml:space="preserve">METAL MERMER GOLD SİYAH   </v>
          </cell>
          <cell r="F436" t="str">
            <v>9405.19.90.00.00</v>
          </cell>
          <cell r="G436" t="str">
            <v>AVİZE</v>
          </cell>
          <cell r="H436" t="str">
            <v>T1A2321100-15</v>
          </cell>
          <cell r="I436" t="str">
            <v>İÇ</v>
          </cell>
          <cell r="J436" t="str">
            <v>AVİZE.SARK</v>
          </cell>
          <cell r="K436" t="str">
            <v>SANTA</v>
          </cell>
          <cell r="L436" t="str">
            <v/>
          </cell>
          <cell r="M436" t="str">
            <v/>
          </cell>
          <cell r="N436" t="str">
            <v>MD6350-15-BC</v>
          </cell>
          <cell r="O436" t="str">
            <v>HEKA</v>
          </cell>
          <cell r="P436" t="str">
            <v>ADET</v>
          </cell>
          <cell r="Q436" t="str">
            <v>E27</v>
          </cell>
          <cell r="R436" t="str">
            <v>METAL</v>
          </cell>
          <cell r="S436" t="str">
            <v>GOLD</v>
          </cell>
          <cell r="T436" t="str">
            <v>MERMER</v>
          </cell>
          <cell r="U436" t="str">
            <v>SİYAH</v>
          </cell>
          <cell r="AD436" t="str">
            <v>DAİRE</v>
          </cell>
          <cell r="AE436" t="str">
            <v>02</v>
          </cell>
          <cell r="AF436">
            <v>0</v>
          </cell>
          <cell r="AG436" t="str">
            <v>ADET</v>
          </cell>
          <cell r="AH436">
            <v>120</v>
          </cell>
          <cell r="AI436" t="str">
            <v>CNY</v>
          </cell>
          <cell r="AJ436">
            <v>1200</v>
          </cell>
          <cell r="AK436" t="str">
            <v>TL</v>
          </cell>
          <cell r="AL436">
            <v>1</v>
          </cell>
          <cell r="AM436" t="str">
            <v>8684127505925</v>
          </cell>
          <cell r="AO436">
            <v>0</v>
          </cell>
          <cell r="AQ436">
            <v>14</v>
          </cell>
          <cell r="AR436" t="str">
            <v>CM</v>
          </cell>
          <cell r="AS436">
            <v>15</v>
          </cell>
          <cell r="AT436" t="str">
            <v>CM</v>
          </cell>
          <cell r="AU436">
            <v>0</v>
          </cell>
          <cell r="AW436">
            <v>0</v>
          </cell>
        </row>
        <row r="437">
          <cell r="B437" t="str">
            <v>01.050.00.04.02</v>
          </cell>
          <cell r="C437" t="str">
            <v>YUVARLAK TEPSİ ALTIN 50cm</v>
          </cell>
          <cell r="D437" t="str">
            <v>GOLD ROUND TRAY 50cm</v>
          </cell>
          <cell r="E437" t="str">
            <v/>
          </cell>
          <cell r="F437" t="str">
            <v/>
          </cell>
          <cell r="G437" t="str">
            <v xml:space="preserve"> ZPARCA</v>
          </cell>
          <cell r="H437" t="str">
            <v>01.050.00.04.02</v>
          </cell>
          <cell r="I437" t="str">
            <v>İÇ</v>
          </cell>
          <cell r="J437" t="str">
            <v>ZPARCA</v>
          </cell>
          <cell r="K437" t="str">
            <v/>
          </cell>
          <cell r="L437" t="str">
            <v/>
          </cell>
          <cell r="M437" t="str">
            <v>ÜRTM:7GÜN</v>
          </cell>
          <cell r="N437" t="str">
            <v/>
          </cell>
          <cell r="O437" t="str">
            <v>HEKA</v>
          </cell>
          <cell r="P437" t="str">
            <v>ADET</v>
          </cell>
          <cell r="R437" t="str">
            <v>METAL</v>
          </cell>
          <cell r="S437" t="str">
            <v>GOLD</v>
          </cell>
          <cell r="AF437">
            <v>55</v>
          </cell>
          <cell r="AG437" t="str">
            <v>ADET</v>
          </cell>
          <cell r="AH437">
            <v>55</v>
          </cell>
          <cell r="AI437" t="str">
            <v>CNY</v>
          </cell>
          <cell r="AJ437">
            <v>1870</v>
          </cell>
          <cell r="AK437" t="str">
            <v>TL</v>
          </cell>
          <cell r="AL437">
            <v>1</v>
          </cell>
          <cell r="AM437" t="str">
            <v>01.050.00.04.02</v>
          </cell>
          <cell r="AO437">
            <v>0</v>
          </cell>
          <cell r="AQ437">
            <v>0</v>
          </cell>
          <cell r="AS437">
            <v>100</v>
          </cell>
          <cell r="AU437">
            <v>0</v>
          </cell>
          <cell r="AW437">
            <v>0</v>
          </cell>
        </row>
        <row r="438">
          <cell r="B438" t="str">
            <v>H1W4JMEERFR-025</v>
          </cell>
          <cell r="C438" t="str">
            <v>BATUR FÜME SARKIT 25cm</v>
          </cell>
          <cell r="D438" t="str">
            <v>BATUR SMOKY PENDANT 25cm</v>
          </cell>
          <cell r="E438" t="str">
            <v>METAL CAM ESKİTME FÜME</v>
          </cell>
          <cell r="F438" t="str">
            <v>9405.19.90.00.00</v>
          </cell>
          <cell r="G438" t="str">
            <v>AVİZE</v>
          </cell>
          <cell r="H438" t="str">
            <v>H1A4112200-25</v>
          </cell>
          <cell r="I438" t="str">
            <v>İÇ</v>
          </cell>
          <cell r="J438" t="str">
            <v>AVİZE.SARK</v>
          </cell>
          <cell r="K438" t="str">
            <v>BATUR</v>
          </cell>
          <cell r="L438" t="str">
            <v/>
          </cell>
          <cell r="M438" t="str">
            <v/>
          </cell>
          <cell r="N438" t="str">
            <v>HK20051</v>
          </cell>
          <cell r="O438" t="str">
            <v>HEKA</v>
          </cell>
          <cell r="P438" t="str">
            <v>ADET</v>
          </cell>
          <cell r="Q438" t="str">
            <v>G4</v>
          </cell>
          <cell r="R438" t="str">
            <v>METAL</v>
          </cell>
          <cell r="S438" t="str">
            <v>ESKİTME</v>
          </cell>
          <cell r="T438" t="str">
            <v>CAM</v>
          </cell>
          <cell r="U438" t="str">
            <v>FÜME</v>
          </cell>
          <cell r="AD438" t="str">
            <v>DAİRE</v>
          </cell>
          <cell r="AE438" t="str">
            <v>02</v>
          </cell>
          <cell r="AF438">
            <v>1</v>
          </cell>
          <cell r="AG438" t="str">
            <v>ADET</v>
          </cell>
          <cell r="AH438">
            <v>75</v>
          </cell>
          <cell r="AI438" t="str">
            <v>TL</v>
          </cell>
          <cell r="AJ438">
            <v>3778</v>
          </cell>
          <cell r="AK438" t="str">
            <v>TL</v>
          </cell>
          <cell r="AL438">
            <v>1</v>
          </cell>
          <cell r="AM438" t="str">
            <v>8684127506038</v>
          </cell>
          <cell r="AO438">
            <v>0</v>
          </cell>
          <cell r="AQ438">
            <v>46</v>
          </cell>
          <cell r="AR438" t="str">
            <v>CM</v>
          </cell>
          <cell r="AS438">
            <v>25</v>
          </cell>
          <cell r="AT438" t="str">
            <v>CM</v>
          </cell>
          <cell r="AU438">
            <v>0</v>
          </cell>
          <cell r="AW438">
            <v>0</v>
          </cell>
        </row>
        <row r="439">
          <cell r="B439" t="str">
            <v>H1W1JRS0000-037</v>
          </cell>
          <cell r="C439" t="str">
            <v>ASTARA SİYAH GİNGKO YAPRAK APLİK</v>
          </cell>
          <cell r="D439" t="str">
            <v>ASTARA BLACK GINGKO LEAF WALL LAMP</v>
          </cell>
          <cell r="E439" t="str">
            <v>METAL YOK SİYAH YOK</v>
          </cell>
          <cell r="F439" t="str">
            <v>9405.19.90.00.00</v>
          </cell>
          <cell r="G439" t="str">
            <v>APLİK</v>
          </cell>
          <cell r="H439" t="str">
            <v>H1W1140001-37</v>
          </cell>
          <cell r="I439" t="str">
            <v>İÇ</v>
          </cell>
          <cell r="J439" t="str">
            <v>APLİK</v>
          </cell>
          <cell r="K439" t="str">
            <v>ASTARA</v>
          </cell>
          <cell r="L439" t="str">
            <v/>
          </cell>
          <cell r="M439" t="str">
            <v/>
          </cell>
          <cell r="N439" t="str">
            <v/>
          </cell>
          <cell r="O439" t="str">
            <v>LIGHTIST</v>
          </cell>
          <cell r="P439" t="str">
            <v>ADET</v>
          </cell>
          <cell r="Q439" t="str">
            <v>E14</v>
          </cell>
          <cell r="R439" t="str">
            <v>METAL</v>
          </cell>
          <cell r="S439" t="str">
            <v>SİYAH</v>
          </cell>
          <cell r="T439" t="str">
            <v>YOK</v>
          </cell>
          <cell r="U439" t="str">
            <v>YOK</v>
          </cell>
          <cell r="AD439" t="str">
            <v>N/A</v>
          </cell>
          <cell r="AE439" t="str">
            <v>02</v>
          </cell>
          <cell r="AF439">
            <v>2</v>
          </cell>
          <cell r="AG439" t="str">
            <v>ADET</v>
          </cell>
          <cell r="AH439">
            <v>1750</v>
          </cell>
          <cell r="AI439" t="str">
            <v>TL</v>
          </cell>
          <cell r="AJ439">
            <v>11350</v>
          </cell>
          <cell r="AK439" t="str">
            <v>TL</v>
          </cell>
          <cell r="AL439">
            <v>1</v>
          </cell>
          <cell r="AM439" t="str">
            <v>8684127505420</v>
          </cell>
          <cell r="AO439">
            <v>0</v>
          </cell>
          <cell r="AQ439">
            <v>0</v>
          </cell>
          <cell r="AR439" t="str">
            <v>CM</v>
          </cell>
          <cell r="AS439">
            <v>37</v>
          </cell>
          <cell r="AT439" t="str">
            <v>CM</v>
          </cell>
          <cell r="AU439">
            <v>0</v>
          </cell>
          <cell r="AW439">
            <v>0</v>
          </cell>
        </row>
        <row r="440">
          <cell r="B440" t="str">
            <v>H1W3JMK000R-040</v>
          </cell>
          <cell r="C440" t="str">
            <v>SALYAN DÖVMELİ BAKIR APLİK 40cm</v>
          </cell>
          <cell r="D440" t="str">
            <v>SALYAN HAMMERED COPPER WALL LAMP 40cm</v>
          </cell>
          <cell r="E440" t="str">
            <v>METAL YOK KROM YOK</v>
          </cell>
          <cell r="F440" t="str">
            <v>9405.19.90.00.00</v>
          </cell>
          <cell r="G440" t="str">
            <v>APLİK</v>
          </cell>
          <cell r="H440" t="str">
            <v>H1W3150000-40</v>
          </cell>
          <cell r="I440" t="str">
            <v>İÇ</v>
          </cell>
          <cell r="J440" t="str">
            <v>APLİK</v>
          </cell>
          <cell r="K440" t="str">
            <v>SALYAN</v>
          </cell>
          <cell r="L440" t="str">
            <v/>
          </cell>
          <cell r="M440" t="str">
            <v/>
          </cell>
          <cell r="N440" t="str">
            <v/>
          </cell>
          <cell r="O440" t="str">
            <v>HEKA</v>
          </cell>
          <cell r="P440" t="str">
            <v>ADET</v>
          </cell>
          <cell r="Q440" t="str">
            <v>G9</v>
          </cell>
          <cell r="R440" t="str">
            <v>METAL</v>
          </cell>
          <cell r="S440" t="str">
            <v>KROM</v>
          </cell>
          <cell r="T440" t="str">
            <v>YOK</v>
          </cell>
          <cell r="U440" t="str">
            <v>YOK</v>
          </cell>
          <cell r="AD440" t="str">
            <v>DAİRE</v>
          </cell>
          <cell r="AE440" t="str">
            <v>07</v>
          </cell>
          <cell r="AF440">
            <v>0</v>
          </cell>
          <cell r="AG440" t="str">
            <v>ADET</v>
          </cell>
          <cell r="AH440">
            <v>250</v>
          </cell>
          <cell r="AI440" t="str">
            <v>TL</v>
          </cell>
          <cell r="AJ440">
            <v>825</v>
          </cell>
          <cell r="AK440" t="str">
            <v>TL</v>
          </cell>
          <cell r="AL440">
            <v>1</v>
          </cell>
          <cell r="AM440" t="str">
            <v>8684127509688</v>
          </cell>
          <cell r="AO440">
            <v>0</v>
          </cell>
          <cell r="AQ440">
            <v>40</v>
          </cell>
          <cell r="AR440" t="str">
            <v>CM</v>
          </cell>
          <cell r="AS440">
            <v>40</v>
          </cell>
          <cell r="AT440" t="str">
            <v>CM</v>
          </cell>
          <cell r="AU440">
            <v>0</v>
          </cell>
          <cell r="AW440">
            <v>0</v>
          </cell>
        </row>
        <row r="441">
          <cell r="B441" t="str">
            <v>H1C3JM3ECT0-080</v>
          </cell>
          <cell r="C441" t="str">
            <v>DEMET MAT KROM SALON AVİZESİ 15 Lİ</v>
          </cell>
          <cell r="D441" t="str">
            <v>DEMET LIVING ROOM BRUSHED CHROME CHANDELIER 15 BULB</v>
          </cell>
          <cell r="E441" t="str">
            <v>METAL CAM MAT KROM SOFT</v>
          </cell>
          <cell r="F441" t="str">
            <v>9405.19.90.00.00</v>
          </cell>
          <cell r="G441" t="str">
            <v>AVİZE</v>
          </cell>
          <cell r="H441" t="str">
            <v>H1A3162100-15</v>
          </cell>
          <cell r="I441" t="str">
            <v>İÇ</v>
          </cell>
          <cell r="J441" t="str">
            <v>AVİZE.AVİZ</v>
          </cell>
          <cell r="K441" t="str">
            <v>DEMET</v>
          </cell>
          <cell r="L441" t="str">
            <v/>
          </cell>
          <cell r="M441" t="str">
            <v/>
          </cell>
          <cell r="N441" t="str">
            <v/>
          </cell>
          <cell r="O441" t="str">
            <v>HEKA</v>
          </cell>
          <cell r="P441" t="str">
            <v>ADET</v>
          </cell>
          <cell r="Q441" t="str">
            <v>G9</v>
          </cell>
          <cell r="R441" t="str">
            <v>METAL</v>
          </cell>
          <cell r="S441" t="str">
            <v>MAT KROM</v>
          </cell>
          <cell r="T441" t="str">
            <v>CAM</v>
          </cell>
          <cell r="U441" t="str">
            <v>SOFT</v>
          </cell>
          <cell r="AD441" t="str">
            <v>N/A</v>
          </cell>
          <cell r="AE441" t="str">
            <v>15</v>
          </cell>
          <cell r="AF441">
            <v>0</v>
          </cell>
          <cell r="AG441" t="str">
            <v>ADET</v>
          </cell>
          <cell r="AH441">
            <v>1250</v>
          </cell>
          <cell r="AI441" t="str">
            <v>TL</v>
          </cell>
          <cell r="AJ441">
            <v>27540</v>
          </cell>
          <cell r="AK441" t="str">
            <v>TL</v>
          </cell>
          <cell r="AL441">
            <v>1</v>
          </cell>
          <cell r="AM441" t="str">
            <v>8684127506090</v>
          </cell>
          <cell r="AO441">
            <v>0</v>
          </cell>
          <cell r="AQ441">
            <v>80</v>
          </cell>
          <cell r="AR441" t="str">
            <v>CM</v>
          </cell>
          <cell r="AS441">
            <v>80</v>
          </cell>
          <cell r="AT441" t="str">
            <v>CM</v>
          </cell>
          <cell r="AU441">
            <v>0</v>
          </cell>
          <cell r="AW441">
            <v>0</v>
          </cell>
        </row>
        <row r="442">
          <cell r="B442" t="str">
            <v>01.120.20.01.03</v>
          </cell>
          <cell r="C442" t="str">
            <v>DİKDÖRTGEN TEPSİ ALTIN 120x20cm</v>
          </cell>
          <cell r="D442" t="str">
            <v>GOLD RECTANGLE TRAY 120x20cm</v>
          </cell>
          <cell r="E442" t="str">
            <v/>
          </cell>
          <cell r="F442" t="str">
            <v/>
          </cell>
          <cell r="G442" t="str">
            <v>ZPARCA</v>
          </cell>
          <cell r="H442" t="str">
            <v>01.120.20.01.03</v>
          </cell>
          <cell r="I442" t="str">
            <v>İÇ</v>
          </cell>
          <cell r="J442" t="str">
            <v>ZPARCA</v>
          </cell>
          <cell r="K442" t="str">
            <v/>
          </cell>
          <cell r="L442" t="str">
            <v/>
          </cell>
          <cell r="M442" t="str">
            <v>ÜRTM:7GÜN</v>
          </cell>
          <cell r="N442" t="str">
            <v/>
          </cell>
          <cell r="O442" t="str">
            <v>HEKA</v>
          </cell>
          <cell r="P442" t="str">
            <v>ADET</v>
          </cell>
          <cell r="R442" t="str">
            <v>METAL</v>
          </cell>
          <cell r="S442" t="str">
            <v>GOLD</v>
          </cell>
          <cell r="AF442">
            <v>16</v>
          </cell>
          <cell r="AG442" t="str">
            <v>ADET</v>
          </cell>
          <cell r="AH442">
            <v>165</v>
          </cell>
          <cell r="AI442" t="str">
            <v>CNY</v>
          </cell>
          <cell r="AJ442">
            <v>8680</v>
          </cell>
          <cell r="AK442" t="str">
            <v>TL</v>
          </cell>
          <cell r="AL442">
            <v>1</v>
          </cell>
          <cell r="AM442" t="str">
            <v>01.120.20.01.03</v>
          </cell>
          <cell r="AO442">
            <v>0</v>
          </cell>
          <cell r="AQ442">
            <v>0</v>
          </cell>
          <cell r="AS442">
            <v>100</v>
          </cell>
          <cell r="AU442">
            <v>0</v>
          </cell>
          <cell r="AW442">
            <v>0</v>
          </cell>
        </row>
        <row r="443">
          <cell r="B443" t="str">
            <v>H1C6JMELCT0-080</v>
          </cell>
          <cell r="C443" t="str">
            <v>DARA LED ESKİTME SARKIT 80cm</v>
          </cell>
          <cell r="D443" t="str">
            <v>DARA LED BRUSHED BRASS PENDANT 80cm</v>
          </cell>
          <cell r="E443" t="str">
            <v xml:space="preserve">METAL PLEKSİ ESKİTME SOFT   </v>
          </cell>
          <cell r="F443" t="str">
            <v>9405.11.90.00.00</v>
          </cell>
          <cell r="G443" t="str">
            <v>AVİZE</v>
          </cell>
          <cell r="H443" t="str">
            <v>T1A6116300-80</v>
          </cell>
          <cell r="I443" t="str">
            <v>İÇ</v>
          </cell>
          <cell r="J443" t="str">
            <v>AVİZE.SARK</v>
          </cell>
          <cell r="K443" t="str">
            <v>DARA</v>
          </cell>
          <cell r="L443" t="str">
            <v/>
          </cell>
          <cell r="M443" t="str">
            <v/>
          </cell>
          <cell r="N443" t="str">
            <v>MD6434-80</v>
          </cell>
          <cell r="O443" t="str">
            <v>HEKA</v>
          </cell>
          <cell r="P443" t="str">
            <v>ADET</v>
          </cell>
          <cell r="Q443" t="str">
            <v>LED</v>
          </cell>
          <cell r="R443" t="str">
            <v>METAL</v>
          </cell>
          <cell r="S443" t="str">
            <v>ESKİTME</v>
          </cell>
          <cell r="T443" t="str">
            <v>PLEKSİ</v>
          </cell>
          <cell r="U443" t="str">
            <v>SOFT</v>
          </cell>
          <cell r="AD443" t="str">
            <v>N/A</v>
          </cell>
          <cell r="AF443">
            <v>33</v>
          </cell>
          <cell r="AG443" t="str">
            <v>ADET</v>
          </cell>
          <cell r="AH443">
            <v>100</v>
          </cell>
          <cell r="AI443" t="str">
            <v>CNY</v>
          </cell>
          <cell r="AJ443">
            <v>4250</v>
          </cell>
          <cell r="AK443" t="str">
            <v>TL</v>
          </cell>
          <cell r="AL443">
            <v>1</v>
          </cell>
          <cell r="AM443" t="str">
            <v>8684127501859</v>
          </cell>
          <cell r="AO443">
            <v>0</v>
          </cell>
          <cell r="AQ443">
            <v>80</v>
          </cell>
          <cell r="AR443" t="str">
            <v>CM</v>
          </cell>
          <cell r="AS443">
            <v>3</v>
          </cell>
          <cell r="AT443" t="str">
            <v>CM</v>
          </cell>
          <cell r="AU443">
            <v>0</v>
          </cell>
          <cell r="AW443">
            <v>0</v>
          </cell>
        </row>
        <row r="444">
          <cell r="B444" t="str">
            <v>H1C2WRYJMER-016</v>
          </cell>
          <cell r="C444" t="str">
            <v>RAVANDA YEŞİL MERMER SARKIT 16cm</v>
          </cell>
          <cell r="D444" t="str">
            <v>RAVANDA GREEN MARBLE PENDANT 16cm</v>
          </cell>
          <cell r="E444" t="str">
            <v xml:space="preserve">MERMER METAL YEŞİL ESKİTME   </v>
          </cell>
          <cell r="F444" t="str">
            <v>9405.19.90.00.00</v>
          </cell>
          <cell r="G444" t="str">
            <v>AVİZE</v>
          </cell>
          <cell r="H444" t="str">
            <v>T1A2341100-16</v>
          </cell>
          <cell r="I444" t="str">
            <v>İÇ</v>
          </cell>
          <cell r="J444" t="str">
            <v>AVİZE.SARK</v>
          </cell>
          <cell r="K444" t="str">
            <v>RAVANDA</v>
          </cell>
          <cell r="L444" t="str">
            <v/>
          </cell>
          <cell r="M444" t="str">
            <v/>
          </cell>
          <cell r="N444" t="str">
            <v>MD6351-16-GC</v>
          </cell>
          <cell r="O444" t="str">
            <v>HEKA</v>
          </cell>
          <cell r="P444" t="str">
            <v>ADET</v>
          </cell>
          <cell r="Q444" t="str">
            <v>E27</v>
          </cell>
          <cell r="R444" t="str">
            <v>MERMER</v>
          </cell>
          <cell r="S444" t="str">
            <v>YEŞİL</v>
          </cell>
          <cell r="T444" t="str">
            <v>METAL</v>
          </cell>
          <cell r="U444" t="str">
            <v>ESKİTME</v>
          </cell>
          <cell r="AD444" t="str">
            <v>DAİRE</v>
          </cell>
          <cell r="AE444" t="str">
            <v>02</v>
          </cell>
          <cell r="AF444">
            <v>0</v>
          </cell>
          <cell r="AG444" t="str">
            <v>ADET</v>
          </cell>
          <cell r="AH444">
            <v>135</v>
          </cell>
          <cell r="AI444" t="str">
            <v>CNY</v>
          </cell>
          <cell r="AJ444">
            <v>4150</v>
          </cell>
          <cell r="AK444" t="str">
            <v>TL</v>
          </cell>
          <cell r="AL444">
            <v>1</v>
          </cell>
          <cell r="AM444" t="str">
            <v>8684127504607</v>
          </cell>
          <cell r="AO444">
            <v>0</v>
          </cell>
          <cell r="AQ444">
            <v>22</v>
          </cell>
          <cell r="AR444" t="str">
            <v>CM</v>
          </cell>
          <cell r="AS444">
            <v>18</v>
          </cell>
          <cell r="AT444" t="str">
            <v>CM</v>
          </cell>
          <cell r="AU444">
            <v>0</v>
          </cell>
          <cell r="AW444">
            <v>0</v>
          </cell>
        </row>
        <row r="445">
          <cell r="B445" t="str">
            <v>H1C6JMEWRYR-016</v>
          </cell>
          <cell r="C445" t="str">
            <v>PERTEK YEŞİL GEZEGEN MERMER SARKIT 16cm</v>
          </cell>
          <cell r="D445" t="str">
            <v>PERTEK GREEN PLANET MARBLE PENDANT 16cm</v>
          </cell>
          <cell r="E445" t="str">
            <v xml:space="preserve">METAL MERMER ESKİTME YEŞİL   </v>
          </cell>
          <cell r="F445" t="str">
            <v>9405.11.90.00.00</v>
          </cell>
          <cell r="G445" t="str">
            <v>AVİZE</v>
          </cell>
          <cell r="H445" t="str">
            <v>T1A6341100-16</v>
          </cell>
          <cell r="I445" t="str">
            <v>İÇ</v>
          </cell>
          <cell r="J445" t="str">
            <v>AVİZE.SARK</v>
          </cell>
          <cell r="K445" t="str">
            <v>PERTEK</v>
          </cell>
          <cell r="L445" t="str">
            <v/>
          </cell>
          <cell r="M445" t="str">
            <v/>
          </cell>
          <cell r="N445" t="str">
            <v>1999-GC</v>
          </cell>
          <cell r="O445" t="str">
            <v>HEKA</v>
          </cell>
          <cell r="P445" t="str">
            <v>ADET</v>
          </cell>
          <cell r="Q445" t="str">
            <v>LED</v>
          </cell>
          <cell r="R445" t="str">
            <v>METAL</v>
          </cell>
          <cell r="S445" t="str">
            <v>ESKİTME</v>
          </cell>
          <cell r="T445" t="str">
            <v>MERMER</v>
          </cell>
          <cell r="U445" t="str">
            <v>YEŞİL</v>
          </cell>
          <cell r="AD445" t="str">
            <v>DAİRE</v>
          </cell>
          <cell r="AE445" t="str">
            <v>01</v>
          </cell>
          <cell r="AF445">
            <v>1</v>
          </cell>
          <cell r="AG445" t="str">
            <v>ADET</v>
          </cell>
          <cell r="AH445">
            <v>205</v>
          </cell>
          <cell r="AI445" t="str">
            <v>CNY</v>
          </cell>
          <cell r="AJ445">
            <v>1875</v>
          </cell>
          <cell r="AK445" t="str">
            <v>TL</v>
          </cell>
          <cell r="AL445">
            <v>1</v>
          </cell>
          <cell r="AM445" t="str">
            <v>8684127502641</v>
          </cell>
          <cell r="AO445">
            <v>0</v>
          </cell>
          <cell r="AQ445">
            <v>20</v>
          </cell>
          <cell r="AR445" t="str">
            <v>CM</v>
          </cell>
          <cell r="AS445">
            <v>16</v>
          </cell>
          <cell r="AT445" t="str">
            <v>CM</v>
          </cell>
          <cell r="AU445">
            <v>0</v>
          </cell>
          <cell r="AW445">
            <v>0</v>
          </cell>
        </row>
        <row r="446">
          <cell r="B446" t="str">
            <v>01.035.00.04.01</v>
          </cell>
          <cell r="C446" t="str">
            <v>YUVARLAK TEPSİ ESKİTME 35cm</v>
          </cell>
          <cell r="D446" t="str">
            <v>BRUSHED BRASS ROUND TRAY 35cm</v>
          </cell>
          <cell r="E446" t="str">
            <v/>
          </cell>
          <cell r="F446" t="str">
            <v/>
          </cell>
          <cell r="G446" t="str">
            <v>ZPARCA</v>
          </cell>
          <cell r="H446" t="str">
            <v>01.035.00.04.01</v>
          </cell>
          <cell r="I446" t="str">
            <v>İÇ</v>
          </cell>
          <cell r="J446" t="str">
            <v>ZPARCA</v>
          </cell>
          <cell r="K446" t="str">
            <v/>
          </cell>
          <cell r="L446" t="str">
            <v/>
          </cell>
          <cell r="M446" t="str">
            <v/>
          </cell>
          <cell r="N446" t="str">
            <v/>
          </cell>
          <cell r="O446" t="str">
            <v>HEKA</v>
          </cell>
          <cell r="P446" t="str">
            <v>ADET</v>
          </cell>
          <cell r="R446" t="str">
            <v>METAL</v>
          </cell>
          <cell r="S446" t="str">
            <v>ESKİTME</v>
          </cell>
          <cell r="AF446">
            <v>30</v>
          </cell>
          <cell r="AG446" t="str">
            <v>ADET</v>
          </cell>
          <cell r="AH446">
            <v>28</v>
          </cell>
          <cell r="AI446" t="str">
            <v>CNY</v>
          </cell>
          <cell r="AJ446">
            <v>1440</v>
          </cell>
          <cell r="AK446" t="str">
            <v>TL</v>
          </cell>
          <cell r="AL446">
            <v>1</v>
          </cell>
          <cell r="AM446" t="str">
            <v>01.035.00.04.01</v>
          </cell>
          <cell r="AO446">
            <v>0</v>
          </cell>
          <cell r="AQ446">
            <v>0</v>
          </cell>
          <cell r="AS446">
            <v>100</v>
          </cell>
          <cell r="AU446">
            <v>0</v>
          </cell>
          <cell r="AW446">
            <v>0</v>
          </cell>
        </row>
        <row r="447">
          <cell r="B447" t="str">
            <v>H1W3JMKECT0-060</v>
          </cell>
          <cell r="C447" t="str">
            <v>CELSUS İKİ CAMLI U MODEL KROM APLİK</v>
          </cell>
          <cell r="D447" t="str">
            <v>CELSUS 2 GLASS U MODEL CHROME WALL LAMP</v>
          </cell>
          <cell r="E447" t="str">
            <v>METAL CAM KROM SOFT</v>
          </cell>
          <cell r="F447" t="str">
            <v>9405.19.90.00.00</v>
          </cell>
          <cell r="G447" t="str">
            <v>APLİK</v>
          </cell>
          <cell r="H447" t="str">
            <v>H1W3132101-02</v>
          </cell>
          <cell r="I447" t="str">
            <v>İÇ</v>
          </cell>
          <cell r="J447" t="str">
            <v>APLİK</v>
          </cell>
          <cell r="K447" t="str">
            <v>CELSUS</v>
          </cell>
          <cell r="L447" t="str">
            <v/>
          </cell>
          <cell r="M447" t="str">
            <v>ÜRTM:15GÜN</v>
          </cell>
          <cell r="N447" t="str">
            <v>HK20034</v>
          </cell>
          <cell r="O447" t="str">
            <v>HEKA</v>
          </cell>
          <cell r="P447" t="str">
            <v>ADET</v>
          </cell>
          <cell r="Q447" t="str">
            <v>G9</v>
          </cell>
          <cell r="R447" t="str">
            <v>METAL</v>
          </cell>
          <cell r="S447" t="str">
            <v>KROM</v>
          </cell>
          <cell r="T447" t="str">
            <v>CAM</v>
          </cell>
          <cell r="U447" t="str">
            <v>SOFT</v>
          </cell>
          <cell r="AD447" t="str">
            <v>N/A</v>
          </cell>
          <cell r="AE447" t="str">
            <v>02</v>
          </cell>
          <cell r="AF447">
            <v>0</v>
          </cell>
          <cell r="AG447" t="str">
            <v>ADET</v>
          </cell>
          <cell r="AH447">
            <v>350</v>
          </cell>
          <cell r="AI447" t="str">
            <v>TL</v>
          </cell>
          <cell r="AJ447">
            <v>4403</v>
          </cell>
          <cell r="AK447" t="str">
            <v>TL</v>
          </cell>
          <cell r="AL447">
            <v>1</v>
          </cell>
          <cell r="AM447" t="str">
            <v>8684127501767</v>
          </cell>
          <cell r="AO447">
            <v>0</v>
          </cell>
          <cell r="AQ447">
            <v>60</v>
          </cell>
          <cell r="AR447" t="str">
            <v>CM</v>
          </cell>
          <cell r="AS447">
            <v>15</v>
          </cell>
          <cell r="AT447" t="str">
            <v>CM</v>
          </cell>
          <cell r="AU447">
            <v>0</v>
          </cell>
          <cell r="AW447">
            <v>0</v>
          </cell>
        </row>
        <row r="448">
          <cell r="B448" t="str">
            <v>H1W4JMEERFR-015</v>
          </cell>
          <cell r="C448" t="str">
            <v>BATUR FÜME SARKIT 15cm</v>
          </cell>
          <cell r="D448" t="str">
            <v>BATUR SMOKY PENDANT 15cm</v>
          </cell>
          <cell r="E448" t="str">
            <v>METAL CAM ESKİTME FÜME</v>
          </cell>
          <cell r="F448" t="str">
            <v>9405.19.90.00.00</v>
          </cell>
          <cell r="G448" t="str">
            <v>AVİZE</v>
          </cell>
          <cell r="H448" t="str">
            <v>H1A4112200-15</v>
          </cell>
          <cell r="I448" t="str">
            <v>İÇ</v>
          </cell>
          <cell r="J448" t="str">
            <v>AVİZE.SARK</v>
          </cell>
          <cell r="K448" t="str">
            <v>BATUR</v>
          </cell>
          <cell r="L448" t="str">
            <v/>
          </cell>
          <cell r="M448" t="str">
            <v/>
          </cell>
          <cell r="N448" t="str">
            <v>HK20049</v>
          </cell>
          <cell r="O448" t="str">
            <v>HEKA</v>
          </cell>
          <cell r="P448" t="str">
            <v>ADET</v>
          </cell>
          <cell r="Q448" t="str">
            <v>G4</v>
          </cell>
          <cell r="R448" t="str">
            <v>METAL</v>
          </cell>
          <cell r="S448" t="str">
            <v>ESKİTME</v>
          </cell>
          <cell r="T448" t="str">
            <v>CAM</v>
          </cell>
          <cell r="U448" t="str">
            <v>FÜME</v>
          </cell>
          <cell r="AD448" t="str">
            <v>DAİRE</v>
          </cell>
          <cell r="AE448" t="str">
            <v>02</v>
          </cell>
          <cell r="AF448">
            <v>0</v>
          </cell>
          <cell r="AG448" t="str">
            <v>ADET</v>
          </cell>
          <cell r="AH448">
            <v>75</v>
          </cell>
          <cell r="AI448" t="str">
            <v>TL</v>
          </cell>
          <cell r="AJ448">
            <v>2462</v>
          </cell>
          <cell r="AK448" t="str">
            <v>TL</v>
          </cell>
          <cell r="AL448">
            <v>1</v>
          </cell>
          <cell r="AM448" t="str">
            <v>8684127505970</v>
          </cell>
          <cell r="AO448">
            <v>0</v>
          </cell>
          <cell r="AQ448">
            <v>36</v>
          </cell>
          <cell r="AR448" t="str">
            <v>CM</v>
          </cell>
          <cell r="AS448">
            <v>15</v>
          </cell>
          <cell r="AT448" t="str">
            <v>CM</v>
          </cell>
          <cell r="AU448">
            <v>0</v>
          </cell>
          <cell r="AW448">
            <v>0</v>
          </cell>
        </row>
        <row r="449">
          <cell r="B449" t="str">
            <v>T1C6JRSLCSL-100</v>
          </cell>
          <cell r="C449" t="str">
            <v>PAPUA LINEAR SİYAH SARKIT 100cm</v>
          </cell>
          <cell r="D449" t="str">
            <v>PAPUA LINEAR BLACK PENDANT 100cm</v>
          </cell>
          <cell r="E449" t="str">
            <v>METAL PLEKSİ SİYAH ŞEFFAF</v>
          </cell>
          <cell r="F449" t="str">
            <v>9405.11.90.00.00</v>
          </cell>
          <cell r="G449" t="str">
            <v>AVİZE</v>
          </cell>
          <cell r="H449" t="str">
            <v>AD110SYH</v>
          </cell>
          <cell r="I449" t="str">
            <v>İÇ</v>
          </cell>
          <cell r="J449" t="str">
            <v>AVİZE.SARK</v>
          </cell>
          <cell r="K449" t="str">
            <v>PAPUA</v>
          </cell>
          <cell r="L449" t="str">
            <v/>
          </cell>
          <cell r="M449" t="str">
            <v/>
          </cell>
          <cell r="N449" t="str">
            <v>AD110S</v>
          </cell>
          <cell r="O449" t="str">
            <v>HEKA</v>
          </cell>
          <cell r="P449" t="str">
            <v>ADET</v>
          </cell>
          <cell r="Q449" t="str">
            <v>LED</v>
          </cell>
          <cell r="R449" t="str">
            <v>METAL</v>
          </cell>
          <cell r="S449" t="str">
            <v>SİYAH</v>
          </cell>
          <cell r="T449" t="str">
            <v>PLEKSİ</v>
          </cell>
          <cell r="U449" t="str">
            <v>ŞEFFAF</v>
          </cell>
          <cell r="AD449" t="str">
            <v>DÜZ</v>
          </cell>
          <cell r="AE449" t="str">
            <v>02</v>
          </cell>
          <cell r="AF449">
            <v>0</v>
          </cell>
          <cell r="AG449" t="str">
            <v>ADET</v>
          </cell>
          <cell r="AH449">
            <v>49</v>
          </cell>
          <cell r="AI449" t="str">
            <v>TL</v>
          </cell>
          <cell r="AJ449">
            <v>1000</v>
          </cell>
          <cell r="AK449" t="str">
            <v>TL</v>
          </cell>
          <cell r="AL449">
            <v>1</v>
          </cell>
          <cell r="AM449" t="str">
            <v>8684127509305</v>
          </cell>
          <cell r="AO449">
            <v>0</v>
          </cell>
          <cell r="AQ449">
            <v>0</v>
          </cell>
          <cell r="AR449" t="str">
            <v>CM</v>
          </cell>
          <cell r="AS449">
            <v>100</v>
          </cell>
          <cell r="AT449" t="str">
            <v>CM</v>
          </cell>
          <cell r="AU449">
            <v>0</v>
          </cell>
          <cell r="AW449">
            <v>0</v>
          </cell>
        </row>
        <row r="450">
          <cell r="B450" t="str">
            <v>H1F3JMG0000-168</v>
          </cell>
          <cell r="C450" t="str">
            <v>SALYAN DÖVMELİ ALTIN LAMBADER</v>
          </cell>
          <cell r="D450" t="str">
            <v>SALYAN HAMMERED GOLD FLOOR LAMP</v>
          </cell>
          <cell r="E450" t="str">
            <v>METAL YOK GOLD YOK</v>
          </cell>
          <cell r="F450" t="str">
            <v>9405.19.90.00.00</v>
          </cell>
          <cell r="G450" t="str">
            <v>LAMBADER</v>
          </cell>
          <cell r="H450" t="str">
            <v>H1L3120004-30</v>
          </cell>
          <cell r="I450" t="str">
            <v>İÇ</v>
          </cell>
          <cell r="J450" t="str">
            <v>LAMBADER</v>
          </cell>
          <cell r="K450" t="str">
            <v>SALYAN</v>
          </cell>
          <cell r="L450" t="str">
            <v/>
          </cell>
          <cell r="M450" t="str">
            <v/>
          </cell>
          <cell r="N450" t="str">
            <v/>
          </cell>
          <cell r="O450" t="str">
            <v>HEKA</v>
          </cell>
          <cell r="P450" t="str">
            <v>ADET</v>
          </cell>
          <cell r="Q450" t="str">
            <v>G9</v>
          </cell>
          <cell r="R450" t="str">
            <v>METAL</v>
          </cell>
          <cell r="S450" t="str">
            <v>GOLD</v>
          </cell>
          <cell r="T450" t="str">
            <v>YOK</v>
          </cell>
          <cell r="U450" t="str">
            <v>YOK</v>
          </cell>
          <cell r="AD450" t="str">
            <v>N/A</v>
          </cell>
          <cell r="AE450" t="str">
            <v>24</v>
          </cell>
          <cell r="AF450">
            <v>0</v>
          </cell>
          <cell r="AG450" t="str">
            <v>ADET</v>
          </cell>
          <cell r="AH450">
            <v>2000</v>
          </cell>
          <cell r="AI450" t="str">
            <v>TL</v>
          </cell>
          <cell r="AJ450">
            <v>3952</v>
          </cell>
          <cell r="AK450" t="str">
            <v>TL</v>
          </cell>
          <cell r="AL450">
            <v>1</v>
          </cell>
          <cell r="AM450" t="str">
            <v>8684127509725</v>
          </cell>
          <cell r="AO450">
            <v>0</v>
          </cell>
          <cell r="AQ450">
            <v>32</v>
          </cell>
          <cell r="AR450" t="str">
            <v>CM</v>
          </cell>
          <cell r="AS450">
            <v>167.5</v>
          </cell>
          <cell r="AT450" t="str">
            <v>CM</v>
          </cell>
          <cell r="AU450">
            <v>0</v>
          </cell>
          <cell r="AW450">
            <v>0</v>
          </cell>
        </row>
        <row r="451">
          <cell r="B451" t="str">
            <v>H1T2JMKHRS0-075</v>
          </cell>
          <cell r="C451" t="str">
            <v>HOBRO YEDİ TOPLU KROM MASA LAMBASI</v>
          </cell>
          <cell r="D451" t="str">
            <v>HOBRO SEVEN BALL CHROME TABLE LAMP</v>
          </cell>
          <cell r="E451" t="str">
            <v>METAL KUMAŞ KROM SİYAH</v>
          </cell>
          <cell r="F451" t="str">
            <v>9405.19.90.00.00</v>
          </cell>
          <cell r="G451" t="str">
            <v>MASA LAMBASI</v>
          </cell>
          <cell r="H451" t="str">
            <v>H1M21393000-07</v>
          </cell>
          <cell r="I451" t="str">
            <v>İÇ</v>
          </cell>
          <cell r="J451" t="str">
            <v>MASAABAJ</v>
          </cell>
          <cell r="K451" t="str">
            <v>HOBRO</v>
          </cell>
          <cell r="L451" t="str">
            <v/>
          </cell>
          <cell r="M451" t="str">
            <v/>
          </cell>
          <cell r="N451" t="str">
            <v/>
          </cell>
          <cell r="O451" t="str">
            <v>HEKA</v>
          </cell>
          <cell r="P451" t="str">
            <v>ADET</v>
          </cell>
          <cell r="Q451" t="str">
            <v>E27</v>
          </cell>
          <cell r="R451" t="str">
            <v>METAL</v>
          </cell>
          <cell r="S451" t="str">
            <v>KROM</v>
          </cell>
          <cell r="T451" t="str">
            <v>KUMAŞ</v>
          </cell>
          <cell r="U451" t="str">
            <v>SİYAH</v>
          </cell>
          <cell r="AD451" t="str">
            <v>N/A</v>
          </cell>
          <cell r="AE451" t="str">
            <v>02</v>
          </cell>
          <cell r="AF451">
            <v>0</v>
          </cell>
          <cell r="AG451" t="str">
            <v>ADET</v>
          </cell>
          <cell r="AL451">
            <v>0</v>
          </cell>
          <cell r="AM451" t="str">
            <v>8684127509640</v>
          </cell>
          <cell r="AO451">
            <v>0</v>
          </cell>
          <cell r="AQ451">
            <v>25.5</v>
          </cell>
          <cell r="AR451" t="str">
            <v>CM</v>
          </cell>
          <cell r="AS451">
            <v>74.5</v>
          </cell>
          <cell r="AT451" t="str">
            <v>CM</v>
          </cell>
          <cell r="AU451">
            <v>0</v>
          </cell>
          <cell r="AW451">
            <v>0</v>
          </cell>
        </row>
        <row r="452">
          <cell r="B452" t="str">
            <v>H1W1JMBWRB0-032</v>
          </cell>
          <cell r="C452" t="str">
            <v>ARDIÇ BAKIR APLİK KÜÇÜK</v>
          </cell>
          <cell r="D452" t="str">
            <v>ARDIÇ COPPER WALL LAMP SMALL</v>
          </cell>
          <cell r="E452" t="str">
            <v>METAL MERMER BAKIR BEYAZ</v>
          </cell>
          <cell r="F452" t="str">
            <v>9405.19.90.00.00</v>
          </cell>
          <cell r="G452" t="str">
            <v>APLİK</v>
          </cell>
          <cell r="H452" t="str">
            <v>T1W1153100-32</v>
          </cell>
          <cell r="I452" t="str">
            <v>İÇ</v>
          </cell>
          <cell r="J452" t="str">
            <v>APLİK</v>
          </cell>
          <cell r="K452" t="str">
            <v>ARDIÇ</v>
          </cell>
          <cell r="L452" t="str">
            <v/>
          </cell>
          <cell r="M452" t="str">
            <v/>
          </cell>
          <cell r="N452" t="str">
            <v>002-CH-S</v>
          </cell>
          <cell r="O452" t="str">
            <v>HEKA</v>
          </cell>
          <cell r="P452" t="str">
            <v>ADET</v>
          </cell>
          <cell r="Q452" t="str">
            <v>E14</v>
          </cell>
          <cell r="R452" t="str">
            <v>METAL</v>
          </cell>
          <cell r="S452" t="str">
            <v>BAKIR</v>
          </cell>
          <cell r="T452" t="str">
            <v>MERMER</v>
          </cell>
          <cell r="U452" t="str">
            <v>BEYAZ</v>
          </cell>
          <cell r="AD452" t="str">
            <v>N/A</v>
          </cell>
          <cell r="AE452" t="str">
            <v>01</v>
          </cell>
          <cell r="AF452">
            <v>3</v>
          </cell>
          <cell r="AG452" t="str">
            <v>ADET</v>
          </cell>
          <cell r="AH452">
            <v>500</v>
          </cell>
          <cell r="AI452" t="str">
            <v>CNY</v>
          </cell>
          <cell r="AJ452">
            <v>4760</v>
          </cell>
          <cell r="AK452" t="str">
            <v>TL</v>
          </cell>
          <cell r="AL452">
            <v>1</v>
          </cell>
          <cell r="AM452" t="str">
            <v>8684127501460</v>
          </cell>
          <cell r="AO452">
            <v>0</v>
          </cell>
          <cell r="AQ452">
            <v>32</v>
          </cell>
          <cell r="AR452" t="str">
            <v>CM</v>
          </cell>
          <cell r="AS452">
            <v>14</v>
          </cell>
          <cell r="AT452" t="str">
            <v>CM</v>
          </cell>
          <cell r="AU452">
            <v>0</v>
          </cell>
          <cell r="AW452">
            <v>0</v>
          </cell>
        </row>
        <row r="453">
          <cell r="B453" t="str">
            <v>H1C6JMGECS0-040</v>
          </cell>
          <cell r="C453" t="str">
            <v>NAİROBİ TEKLİ KRİSTAL ALTIN SARKIT</v>
          </cell>
          <cell r="D453" t="str">
            <v>NAİROBİ SINGLE GOLD CRYSTAL PENDANT</v>
          </cell>
          <cell r="E453" t="str">
            <v xml:space="preserve">METAL CAM  GOLD ŞEFFAF   </v>
          </cell>
          <cell r="F453" t="str">
            <v>9405.11.90.00.00</v>
          </cell>
          <cell r="G453" t="str">
            <v>AVİZE</v>
          </cell>
          <cell r="H453" t="str">
            <v>T1A6621200-40</v>
          </cell>
          <cell r="I453" t="str">
            <v>İÇ</v>
          </cell>
          <cell r="J453" t="str">
            <v>AVİZE.SARK</v>
          </cell>
          <cell r="K453" t="str">
            <v>NAİROBİ</v>
          </cell>
          <cell r="L453" t="str">
            <v/>
          </cell>
          <cell r="M453" t="str">
            <v/>
          </cell>
          <cell r="N453" t="str">
            <v>HDX-001-G</v>
          </cell>
          <cell r="O453" t="str">
            <v>HEKA</v>
          </cell>
          <cell r="P453" t="str">
            <v>ADET</v>
          </cell>
          <cell r="Q453" t="str">
            <v>LED</v>
          </cell>
          <cell r="R453" t="str">
            <v>METAL</v>
          </cell>
          <cell r="S453" t="str">
            <v>GOLD</v>
          </cell>
          <cell r="T453" t="str">
            <v>CAM</v>
          </cell>
          <cell r="U453" t="str">
            <v>ŞEFFAF</v>
          </cell>
          <cell r="AD453" t="str">
            <v>N/A</v>
          </cell>
          <cell r="AF453">
            <v>75</v>
          </cell>
          <cell r="AG453" t="str">
            <v>ADET</v>
          </cell>
          <cell r="AH453">
            <v>75</v>
          </cell>
          <cell r="AI453" t="str">
            <v>CNY</v>
          </cell>
          <cell r="AJ453">
            <v>3013</v>
          </cell>
          <cell r="AK453" t="str">
            <v>TL</v>
          </cell>
          <cell r="AL453">
            <v>1</v>
          </cell>
          <cell r="AM453" t="str">
            <v>8684127502597</v>
          </cell>
          <cell r="AO453">
            <v>1.25</v>
          </cell>
          <cell r="AP453" t="str">
            <v>KG</v>
          </cell>
          <cell r="AQ453">
            <v>7.5</v>
          </cell>
          <cell r="AR453" t="str">
            <v>CM</v>
          </cell>
          <cell r="AS453">
            <v>7.5</v>
          </cell>
          <cell r="AT453" t="str">
            <v>CM</v>
          </cell>
          <cell r="AU453">
            <v>0</v>
          </cell>
          <cell r="AW453">
            <v>0</v>
          </cell>
        </row>
        <row r="454">
          <cell r="B454" t="str">
            <v>T1C6JMEECS0-078</v>
          </cell>
          <cell r="C454" t="str">
            <v>LAGOS TEKLİ ESKİTME CAM SARKIT</v>
          </cell>
          <cell r="D454" t="str">
            <v>LAGOS SINGLE BRUSHED BRASS GLASS PENDANT</v>
          </cell>
          <cell r="E454" t="str">
            <v>METAL CAM ESKİTME ŞEFFAF</v>
          </cell>
          <cell r="F454" t="str">
            <v>9405.19.90.00.00</v>
          </cell>
          <cell r="G454" t="str">
            <v>AVİZE</v>
          </cell>
          <cell r="H454" t="str">
            <v>T1A6112400-78</v>
          </cell>
          <cell r="I454" t="str">
            <v>İÇ</v>
          </cell>
          <cell r="J454" t="str">
            <v>AVİZE.SARK</v>
          </cell>
          <cell r="K454" t="str">
            <v>LAGOS</v>
          </cell>
          <cell r="L454" t="str">
            <v/>
          </cell>
          <cell r="M454" t="str">
            <v/>
          </cell>
          <cell r="N454" t="str">
            <v>PA-0725</v>
          </cell>
          <cell r="O454" t="str">
            <v>HEKA</v>
          </cell>
          <cell r="P454" t="str">
            <v>ADET</v>
          </cell>
          <cell r="Q454" t="str">
            <v>LED</v>
          </cell>
          <cell r="R454" t="str">
            <v>METAL</v>
          </cell>
          <cell r="S454" t="str">
            <v>ESKİTME</v>
          </cell>
          <cell r="T454" t="str">
            <v>CAM</v>
          </cell>
          <cell r="U454" t="str">
            <v>ŞEFFAF</v>
          </cell>
          <cell r="AD454" t="str">
            <v>N/A</v>
          </cell>
          <cell r="AE454" t="str">
            <v>01</v>
          </cell>
          <cell r="AF454">
            <v>0</v>
          </cell>
          <cell r="AG454" t="str">
            <v>ADET</v>
          </cell>
          <cell r="AH454">
            <v>135</v>
          </cell>
          <cell r="AI454" t="str">
            <v>CNY</v>
          </cell>
          <cell r="AJ454">
            <v>2750</v>
          </cell>
          <cell r="AK454" t="str">
            <v>TL</v>
          </cell>
          <cell r="AL454">
            <v>1</v>
          </cell>
          <cell r="AM454" t="str">
            <v>8684127509909</v>
          </cell>
          <cell r="AO454">
            <v>0</v>
          </cell>
          <cell r="AQ454">
            <v>0</v>
          </cell>
          <cell r="AR454" t="str">
            <v>CM</v>
          </cell>
          <cell r="AS454">
            <v>78</v>
          </cell>
          <cell r="AT454" t="str">
            <v>CM</v>
          </cell>
          <cell r="AU454">
            <v>0</v>
          </cell>
          <cell r="AW454">
            <v>0</v>
          </cell>
        </row>
        <row r="455">
          <cell r="B455" t="str">
            <v>CK4G3S3M2A5A0</v>
          </cell>
          <cell r="C455" t="str">
            <v>ERD-266 ŞEFFAF 220V 2W 3000K G4 LED AMPUL</v>
          </cell>
          <cell r="D455" t="str">
            <v>ERD-266 CLEAR 220V 2W 3000K G4 LED BULB</v>
          </cell>
          <cell r="E455" t="str">
            <v>SİLİKON METAL ŞEFFAF COB LED DIMMLI KARMA</v>
          </cell>
          <cell r="F455" t="str">
            <v>8539.52.00.00.00</v>
          </cell>
          <cell r="G455" t="str">
            <v>AMPUL</v>
          </cell>
          <cell r="H455" t="str">
            <v>CG43232A50000</v>
          </cell>
          <cell r="I455" t="str">
            <v>İÇ</v>
          </cell>
          <cell r="J455" t="str">
            <v>AMPUL</v>
          </cell>
          <cell r="K455" t="str">
            <v>ERD-266</v>
          </cell>
          <cell r="L455" t="str">
            <v/>
          </cell>
          <cell r="M455" t="str">
            <v>15.02.2026</v>
          </cell>
          <cell r="N455" t="str">
            <v>ERD-266</v>
          </cell>
          <cell r="O455" t="str">
            <v>HEKA</v>
          </cell>
          <cell r="P455" t="str">
            <v>ADET</v>
          </cell>
          <cell r="Q455" t="str">
            <v>G4</v>
          </cell>
          <cell r="R455" t="str">
            <v>SİLİKON</v>
          </cell>
          <cell r="S455" t="str">
            <v>ŞEFFAF</v>
          </cell>
          <cell r="T455" t="str">
            <v>METAL</v>
          </cell>
          <cell r="V455" t="str">
            <v>G</v>
          </cell>
          <cell r="W455" t="str">
            <v>COB LED</v>
          </cell>
          <cell r="X455" t="str">
            <v>220V</v>
          </cell>
          <cell r="Y455" t="str">
            <v>2 WATT</v>
          </cell>
          <cell r="Z455" t="str">
            <v>3000 K</v>
          </cell>
          <cell r="AA455" t="str">
            <v>DIMMLI</v>
          </cell>
          <cell r="AB455" t="str">
            <v>101-200</v>
          </cell>
          <cell r="AC455" t="str">
            <v>KARMA</v>
          </cell>
          <cell r="AD455" t="str">
            <v>N/A</v>
          </cell>
          <cell r="AF455">
            <v>1689</v>
          </cell>
          <cell r="AG455" t="str">
            <v>ADET</v>
          </cell>
          <cell r="AH455">
            <v>0.8</v>
          </cell>
          <cell r="AI455" t="str">
            <v>CNY</v>
          </cell>
          <cell r="AJ455">
            <v>0.9</v>
          </cell>
          <cell r="AK455" t="str">
            <v>USD</v>
          </cell>
          <cell r="AL455">
            <v>1</v>
          </cell>
          <cell r="AM455" t="str">
            <v>8684127503259</v>
          </cell>
          <cell r="AN455" t="str">
            <v>8684127503266</v>
          </cell>
          <cell r="AO455">
            <v>0</v>
          </cell>
          <cell r="AQ455">
            <v>1.5</v>
          </cell>
          <cell r="AR455" t="str">
            <v>CM</v>
          </cell>
          <cell r="AS455">
            <v>1.5</v>
          </cell>
          <cell r="AT455" t="str">
            <v>CM</v>
          </cell>
          <cell r="AU455">
            <v>0</v>
          </cell>
          <cell r="AW455">
            <v>0</v>
          </cell>
        </row>
        <row r="456">
          <cell r="B456" t="str">
            <v>H1C6JMEWRSR-016</v>
          </cell>
          <cell r="C456" t="str">
            <v>PERTEK SİYAH GEZEGEN MERMER SARKIT 16cm</v>
          </cell>
          <cell r="D456" t="str">
            <v>PERTEK BLACK PLANET MARBLE PENDANT 16cm</v>
          </cell>
          <cell r="E456" t="str">
            <v xml:space="preserve">METAL MERMER ESKİTME SİYAH   </v>
          </cell>
          <cell r="F456" t="str">
            <v>9405.11.90.00.00</v>
          </cell>
          <cell r="G456" t="str">
            <v>AVİZE</v>
          </cell>
          <cell r="H456" t="str">
            <v>T1A6321100-16</v>
          </cell>
          <cell r="I456" t="str">
            <v>İÇ</v>
          </cell>
          <cell r="J456" t="str">
            <v>AVİZE.SARK</v>
          </cell>
          <cell r="K456" t="str">
            <v>PERTEK</v>
          </cell>
          <cell r="L456" t="str">
            <v/>
          </cell>
          <cell r="M456" t="str">
            <v/>
          </cell>
          <cell r="N456" t="str">
            <v>1999-BC</v>
          </cell>
          <cell r="O456" t="str">
            <v>HEKA</v>
          </cell>
          <cell r="P456" t="str">
            <v>ADET</v>
          </cell>
          <cell r="Q456" t="str">
            <v>LED</v>
          </cell>
          <cell r="R456" t="str">
            <v>METAL</v>
          </cell>
          <cell r="S456" t="str">
            <v>ESKİTME</v>
          </cell>
          <cell r="T456" t="str">
            <v>MERMER</v>
          </cell>
          <cell r="U456" t="str">
            <v>SİYAH</v>
          </cell>
          <cell r="AD456" t="str">
            <v>DAİRE</v>
          </cell>
          <cell r="AE456" t="str">
            <v>01</v>
          </cell>
          <cell r="AF456">
            <v>0</v>
          </cell>
          <cell r="AG456" t="str">
            <v>ADET</v>
          </cell>
          <cell r="AH456">
            <v>205</v>
          </cell>
          <cell r="AI456" t="str">
            <v>CNY</v>
          </cell>
          <cell r="AJ456">
            <v>1875</v>
          </cell>
          <cell r="AK456" t="str">
            <v>TL</v>
          </cell>
          <cell r="AL456">
            <v>2</v>
          </cell>
          <cell r="AM456" t="str">
            <v>8684127502634</v>
          </cell>
          <cell r="AO456">
            <v>0</v>
          </cell>
          <cell r="AQ456">
            <v>20</v>
          </cell>
          <cell r="AR456" t="str">
            <v>CM</v>
          </cell>
          <cell r="AS456">
            <v>16</v>
          </cell>
          <cell r="AT456" t="str">
            <v>CM</v>
          </cell>
          <cell r="AU456">
            <v>0</v>
          </cell>
          <cell r="AW456">
            <v>0</v>
          </cell>
        </row>
        <row r="457">
          <cell r="B457" t="str">
            <v>T1C2JRS000L-008</v>
          </cell>
          <cell r="C457" t="str">
            <v>ANDORRA DEKORATİF SİYAH DUY</v>
          </cell>
          <cell r="D457" t="str">
            <v>ANDORRA DECORATIVE BLACK LAMP HOLDER</v>
          </cell>
          <cell r="E457" t="str">
            <v>METAL YOK SİYAH YOK</v>
          </cell>
          <cell r="F457" t="str">
            <v>9405.19.90.00.00</v>
          </cell>
          <cell r="G457" t="str">
            <v>ZPARCA</v>
          </cell>
          <cell r="H457" t="str">
            <v>T1A2140100-01</v>
          </cell>
          <cell r="I457" t="str">
            <v>İÇ</v>
          </cell>
          <cell r="J457" t="str">
            <v>ZPARCA</v>
          </cell>
          <cell r="K457" t="str">
            <v>ANDORRA</v>
          </cell>
          <cell r="L457" t="str">
            <v/>
          </cell>
          <cell r="M457" t="str">
            <v/>
          </cell>
          <cell r="N457" t="str">
            <v>ERD-119S</v>
          </cell>
          <cell r="O457" t="str">
            <v>HEKA</v>
          </cell>
          <cell r="P457" t="str">
            <v>ADET</v>
          </cell>
          <cell r="Q457" t="str">
            <v>E27</v>
          </cell>
          <cell r="R457" t="str">
            <v>METAL</v>
          </cell>
          <cell r="S457" t="str">
            <v>SİYAH</v>
          </cell>
          <cell r="T457" t="str">
            <v>YOK</v>
          </cell>
          <cell r="U457" t="str">
            <v>YOK</v>
          </cell>
          <cell r="AD457" t="str">
            <v>DÜZ</v>
          </cell>
          <cell r="AE457" t="str">
            <v>02</v>
          </cell>
          <cell r="AF457">
            <v>0</v>
          </cell>
          <cell r="AG457" t="str">
            <v>ADET</v>
          </cell>
          <cell r="AJ457">
            <v>150</v>
          </cell>
          <cell r="AK457" t="str">
            <v>TL</v>
          </cell>
          <cell r="AL457">
            <v>1</v>
          </cell>
          <cell r="AM457" t="str">
            <v>8684127509343</v>
          </cell>
          <cell r="AO457">
            <v>0</v>
          </cell>
          <cell r="AQ457">
            <v>5</v>
          </cell>
          <cell r="AR457" t="str">
            <v>CM</v>
          </cell>
          <cell r="AS457">
            <v>7.5</v>
          </cell>
          <cell r="AT457" t="str">
            <v>CM</v>
          </cell>
          <cell r="AU457">
            <v>0</v>
          </cell>
          <cell r="AW457">
            <v>0</v>
          </cell>
        </row>
        <row r="458">
          <cell r="B458" t="str">
            <v>01.035.00.04.03</v>
          </cell>
          <cell r="C458" t="str">
            <v>YUVARLAK TEPSİ ALTIN 35cm</v>
          </cell>
          <cell r="D458" t="str">
            <v>GOLD ROUND TRAY 35cm</v>
          </cell>
          <cell r="E458" t="str">
            <v/>
          </cell>
          <cell r="F458" t="str">
            <v/>
          </cell>
          <cell r="G458" t="str">
            <v>ZPARCA</v>
          </cell>
          <cell r="H458" t="str">
            <v>01.035.00.04.03</v>
          </cell>
          <cell r="I458" t="str">
            <v>İÇ</v>
          </cell>
          <cell r="J458" t="str">
            <v>ZPARCA</v>
          </cell>
          <cell r="K458" t="str">
            <v/>
          </cell>
          <cell r="L458" t="str">
            <v/>
          </cell>
          <cell r="M458" t="str">
            <v>ÜRTM:7GÜN</v>
          </cell>
          <cell r="N458" t="str">
            <v/>
          </cell>
          <cell r="O458" t="str">
            <v>HEKA</v>
          </cell>
          <cell r="P458" t="str">
            <v>ADET</v>
          </cell>
          <cell r="R458" t="str">
            <v>METAL</v>
          </cell>
          <cell r="S458" t="str">
            <v>GOLD</v>
          </cell>
          <cell r="AF458">
            <v>17</v>
          </cell>
          <cell r="AG458" t="str">
            <v>ADET</v>
          </cell>
          <cell r="AH458">
            <v>27</v>
          </cell>
          <cell r="AI458" t="str">
            <v>CNY</v>
          </cell>
          <cell r="AJ458">
            <v>1440</v>
          </cell>
          <cell r="AK458" t="str">
            <v>TL</v>
          </cell>
          <cell r="AL458">
            <v>1</v>
          </cell>
          <cell r="AM458" t="str">
            <v>01.035.00.04.03</v>
          </cell>
          <cell r="AO458">
            <v>0</v>
          </cell>
          <cell r="AQ458">
            <v>0</v>
          </cell>
          <cell r="AS458">
            <v>100</v>
          </cell>
          <cell r="AU458">
            <v>0</v>
          </cell>
          <cell r="AW458">
            <v>0</v>
          </cell>
        </row>
        <row r="459">
          <cell r="B459" t="str">
            <v>H1W3JM3ECT0-052</v>
          </cell>
          <cell r="C459" t="str">
            <v>MELİD İKİ CAMLI L MODEL MAT KROM APLİK</v>
          </cell>
          <cell r="D459" t="str">
            <v>MELİD 2 GLASS L MODEL BRUSHED CHROME WALL LAMP</v>
          </cell>
          <cell r="E459" t="str">
            <v>METAL CAM MAT KROM SOFT</v>
          </cell>
          <cell r="F459" t="str">
            <v>9405.19.90.00.00</v>
          </cell>
          <cell r="G459" t="str">
            <v>APLİK</v>
          </cell>
          <cell r="H459" t="str">
            <v>H1W3211600-02</v>
          </cell>
          <cell r="I459" t="str">
            <v>İÇ</v>
          </cell>
          <cell r="J459" t="str">
            <v>APLİK</v>
          </cell>
          <cell r="K459" t="str">
            <v>MELİD</v>
          </cell>
          <cell r="L459" t="str">
            <v/>
          </cell>
          <cell r="M459" t="str">
            <v>ÜRTM:15GÜN</v>
          </cell>
          <cell r="N459" t="str">
            <v>HK20032</v>
          </cell>
          <cell r="O459" t="str">
            <v>HEKA</v>
          </cell>
          <cell r="P459" t="str">
            <v>ADET</v>
          </cell>
          <cell r="Q459" t="str">
            <v>G9</v>
          </cell>
          <cell r="R459" t="str">
            <v>METAL</v>
          </cell>
          <cell r="S459" t="str">
            <v>MAT KROM</v>
          </cell>
          <cell r="T459" t="str">
            <v>CAM</v>
          </cell>
          <cell r="U459" t="str">
            <v>SOFT</v>
          </cell>
          <cell r="AD459" t="str">
            <v>N/A</v>
          </cell>
          <cell r="AE459" t="str">
            <v>03</v>
          </cell>
          <cell r="AF459">
            <v>0</v>
          </cell>
          <cell r="AG459" t="str">
            <v>ADET</v>
          </cell>
          <cell r="AH459">
            <v>90</v>
          </cell>
          <cell r="AI459" t="str">
            <v>TL</v>
          </cell>
          <cell r="AJ459">
            <v>4403</v>
          </cell>
          <cell r="AK459" t="str">
            <v>TL</v>
          </cell>
          <cell r="AL459">
            <v>1</v>
          </cell>
          <cell r="AM459" t="str">
            <v>8684127505154</v>
          </cell>
          <cell r="AO459">
            <v>0</v>
          </cell>
          <cell r="AQ459">
            <v>50</v>
          </cell>
          <cell r="AR459" t="str">
            <v>CM</v>
          </cell>
          <cell r="AS459">
            <v>18</v>
          </cell>
          <cell r="AT459" t="str">
            <v>CM</v>
          </cell>
          <cell r="AU459">
            <v>0</v>
          </cell>
          <cell r="AW459">
            <v>0</v>
          </cell>
        </row>
        <row r="460">
          <cell r="B460" t="str">
            <v>H1W3JM3ECT0-060</v>
          </cell>
          <cell r="C460" t="str">
            <v>CELSUS İKİ CAMLI U MODEL MAT KROM APLİK</v>
          </cell>
          <cell r="D460" t="str">
            <v>CELSUS 2 GLASS U MODEL BRUSHED CHROME WALL LAMP</v>
          </cell>
          <cell r="E460" t="str">
            <v>METAL CAM MAT KROM SOFT</v>
          </cell>
          <cell r="F460" t="str">
            <v>9405.19.90.00.00</v>
          </cell>
          <cell r="G460" t="str">
            <v>APLİK</v>
          </cell>
          <cell r="H460" t="str">
            <v>H1W3162101-02</v>
          </cell>
          <cell r="I460" t="str">
            <v>İÇ</v>
          </cell>
          <cell r="J460" t="str">
            <v>APLİK</v>
          </cell>
          <cell r="K460" t="str">
            <v>CELSUS</v>
          </cell>
          <cell r="L460" t="str">
            <v/>
          </cell>
          <cell r="M460" t="str">
            <v>ÜRTM:15GÜN</v>
          </cell>
          <cell r="N460" t="str">
            <v>HK20035</v>
          </cell>
          <cell r="O460" t="str">
            <v>HEKA</v>
          </cell>
          <cell r="P460" t="str">
            <v>ADET</v>
          </cell>
          <cell r="Q460" t="str">
            <v>G9</v>
          </cell>
          <cell r="R460" t="str">
            <v>METAL</v>
          </cell>
          <cell r="S460" t="str">
            <v>MAT KROM</v>
          </cell>
          <cell r="T460" t="str">
            <v>CAM</v>
          </cell>
          <cell r="U460" t="str">
            <v>SOFT</v>
          </cell>
          <cell r="AD460" t="str">
            <v>N/A</v>
          </cell>
          <cell r="AE460" t="str">
            <v>02</v>
          </cell>
          <cell r="AF460">
            <v>12</v>
          </cell>
          <cell r="AG460" t="str">
            <v>ADET</v>
          </cell>
          <cell r="AH460">
            <v>200</v>
          </cell>
          <cell r="AI460" t="str">
            <v>TL</v>
          </cell>
          <cell r="AJ460">
            <v>4403</v>
          </cell>
          <cell r="AK460" t="str">
            <v>TL</v>
          </cell>
          <cell r="AL460">
            <v>1</v>
          </cell>
          <cell r="AM460" t="str">
            <v>8684127501774</v>
          </cell>
          <cell r="AO460">
            <v>0</v>
          </cell>
          <cell r="AQ460">
            <v>60</v>
          </cell>
          <cell r="AR460" t="str">
            <v>CM</v>
          </cell>
          <cell r="AS460">
            <v>15</v>
          </cell>
          <cell r="AT460" t="str">
            <v>CM</v>
          </cell>
          <cell r="AU460">
            <v>0</v>
          </cell>
          <cell r="AW460">
            <v>0</v>
          </cell>
        </row>
        <row r="461">
          <cell r="B461" t="str">
            <v>H1C6JRSLCT0-040</v>
          </cell>
          <cell r="C461" t="str">
            <v>PAPUA LINEAR SİYAH SARKIT 40cm</v>
          </cell>
          <cell r="D461" t="str">
            <v>PAPUA LINEAR BLACK PENDANT 40cm</v>
          </cell>
          <cell r="E461" t="str">
            <v>METAL PLEKSİ SİYAH SOFT</v>
          </cell>
          <cell r="F461" t="str">
            <v>9405.11.90.00.00</v>
          </cell>
          <cell r="G461" t="str">
            <v>AVİZE</v>
          </cell>
          <cell r="H461" t="str">
            <v>S-01A-SYH</v>
          </cell>
          <cell r="I461" t="str">
            <v>İÇ</v>
          </cell>
          <cell r="J461" t="str">
            <v>AVİZE.SARK</v>
          </cell>
          <cell r="K461" t="str">
            <v>PAPUA</v>
          </cell>
          <cell r="L461" t="str">
            <v/>
          </cell>
          <cell r="M461" t="str">
            <v/>
          </cell>
          <cell r="N461" t="str">
            <v>S-01AS</v>
          </cell>
          <cell r="O461" t="str">
            <v>HEKA</v>
          </cell>
          <cell r="P461" t="str">
            <v>ADET</v>
          </cell>
          <cell r="Q461" t="str">
            <v>LED</v>
          </cell>
          <cell r="R461" t="str">
            <v>METAL</v>
          </cell>
          <cell r="S461" t="str">
            <v>SİYAH</v>
          </cell>
          <cell r="T461" t="str">
            <v>PLEKSİ</v>
          </cell>
          <cell r="U461" t="str">
            <v>SOFT</v>
          </cell>
          <cell r="AD461" t="str">
            <v>N/A</v>
          </cell>
          <cell r="AE461" t="str">
            <v>01</v>
          </cell>
          <cell r="AF461">
            <v>0</v>
          </cell>
          <cell r="AG461" t="str">
            <v>ADET</v>
          </cell>
          <cell r="AH461">
            <v>55</v>
          </cell>
          <cell r="AI461" t="str">
            <v>TL</v>
          </cell>
          <cell r="AJ461">
            <v>310</v>
          </cell>
          <cell r="AK461" t="str">
            <v>TL</v>
          </cell>
          <cell r="AL461">
            <v>0</v>
          </cell>
          <cell r="AM461" t="str">
            <v>8684127509459</v>
          </cell>
          <cell r="AO461">
            <v>0</v>
          </cell>
          <cell r="AQ461">
            <v>0</v>
          </cell>
          <cell r="AR461" t="str">
            <v>CM</v>
          </cell>
          <cell r="AS461">
            <v>40</v>
          </cell>
          <cell r="AT461" t="str">
            <v>CM</v>
          </cell>
          <cell r="AU461">
            <v>0</v>
          </cell>
          <cell r="AW461">
            <v>0</v>
          </cell>
        </row>
        <row r="462">
          <cell r="B462" t="str">
            <v>H1F2JMKHRS0-163</v>
          </cell>
          <cell r="C462" t="str">
            <v>HOBRO YEDİ TOPLU KROM LAMBADER</v>
          </cell>
          <cell r="D462" t="str">
            <v>HOBRO SEVEN BALL CHROME FLOOR LAMP</v>
          </cell>
          <cell r="E462" t="str">
            <v>METAL KUMAŞ KROM SİYAH</v>
          </cell>
          <cell r="F462" t="str">
            <v>9405.19.90.00.00</v>
          </cell>
          <cell r="G462" t="str">
            <v>LAMBADER</v>
          </cell>
          <cell r="H462" t="str">
            <v>H1L21393000-07</v>
          </cell>
          <cell r="I462" t="str">
            <v>İÇ</v>
          </cell>
          <cell r="J462" t="str">
            <v>LAMBADER</v>
          </cell>
          <cell r="K462" t="str">
            <v>HOBRO</v>
          </cell>
          <cell r="L462" t="str">
            <v/>
          </cell>
          <cell r="M462" t="str">
            <v/>
          </cell>
          <cell r="N462" t="str">
            <v/>
          </cell>
          <cell r="O462" t="str">
            <v>HEKA</v>
          </cell>
          <cell r="P462" t="str">
            <v>ADET</v>
          </cell>
          <cell r="Q462" t="str">
            <v>E27</v>
          </cell>
          <cell r="R462" t="str">
            <v>METAL</v>
          </cell>
          <cell r="S462" t="str">
            <v>KROM</v>
          </cell>
          <cell r="T462" t="str">
            <v>KUMAŞ</v>
          </cell>
          <cell r="U462" t="str">
            <v>SİYAH</v>
          </cell>
          <cell r="AD462" t="str">
            <v>N/A</v>
          </cell>
          <cell r="AE462" t="str">
            <v>02</v>
          </cell>
          <cell r="AF462">
            <v>0</v>
          </cell>
          <cell r="AG462" t="str">
            <v>ADET</v>
          </cell>
          <cell r="AH462">
            <v>550</v>
          </cell>
          <cell r="AI462" t="str">
            <v>TL</v>
          </cell>
          <cell r="AL462">
            <v>0</v>
          </cell>
          <cell r="AM462" t="str">
            <v>8684127509633</v>
          </cell>
          <cell r="AO462">
            <v>0</v>
          </cell>
          <cell r="AQ462">
            <v>35</v>
          </cell>
          <cell r="AR462" t="str">
            <v>CM</v>
          </cell>
          <cell r="AS462">
            <v>163</v>
          </cell>
          <cell r="AT462" t="str">
            <v>CM</v>
          </cell>
          <cell r="AU462">
            <v>0</v>
          </cell>
          <cell r="AW462">
            <v>0</v>
          </cell>
        </row>
        <row r="463">
          <cell r="B463" t="str">
            <v>H1M2119300-00</v>
          </cell>
          <cell r="C463" t="str">
            <v>ÇUBUKLU MASA LAMBASI SİYAH ŞAPKALI</v>
          </cell>
          <cell r="D463" t="str">
            <v/>
          </cell>
          <cell r="E463" t="str">
            <v/>
          </cell>
          <cell r="F463" t="str">
            <v/>
          </cell>
          <cell r="G463" t="str">
            <v>SARKIT</v>
          </cell>
          <cell r="H463" t="str">
            <v>H1M2119300-00</v>
          </cell>
          <cell r="I463" t="str">
            <v>SARKIT</v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  <cell r="N463" t="str">
            <v/>
          </cell>
          <cell r="P463" t="str">
            <v>ADET</v>
          </cell>
          <cell r="AF463">
            <v>0</v>
          </cell>
          <cell r="AG463" t="str">
            <v>ADET</v>
          </cell>
          <cell r="AL463">
            <v>0</v>
          </cell>
          <cell r="AM463" t="str">
            <v>1234567155708</v>
          </cell>
          <cell r="AO463">
            <v>0</v>
          </cell>
          <cell r="AQ463">
            <v>0</v>
          </cell>
          <cell r="AS463">
            <v>0</v>
          </cell>
          <cell r="AU463">
            <v>0</v>
          </cell>
          <cell r="AW463">
            <v>0</v>
          </cell>
        </row>
        <row r="464">
          <cell r="B464" t="str">
            <v>T1L2231100-35</v>
          </cell>
          <cell r="C464" t="str">
            <v>KARATAY 35 LİK CAMLI LAMBADER SİYAH</v>
          </cell>
          <cell r="D464" t="str">
            <v/>
          </cell>
          <cell r="E464" t="str">
            <v/>
          </cell>
          <cell r="F464" t="str">
            <v/>
          </cell>
          <cell r="G464" t="str">
            <v>LAMBADER</v>
          </cell>
          <cell r="H464" t="str">
            <v>T1L2231100-35</v>
          </cell>
          <cell r="I464" t="str">
            <v>İÇ</v>
          </cell>
          <cell r="J464" t="str">
            <v>LAMBADER</v>
          </cell>
          <cell r="K464" t="str">
            <v/>
          </cell>
          <cell r="L464" t="str">
            <v/>
          </cell>
          <cell r="M464" t="str">
            <v>ÜRTM:15GÜN</v>
          </cell>
          <cell r="N464" t="str">
            <v>MJ-015</v>
          </cell>
          <cell r="O464" t="str">
            <v>HEKA</v>
          </cell>
          <cell r="P464" t="str">
            <v>ADET</v>
          </cell>
          <cell r="AF464">
            <v>0</v>
          </cell>
          <cell r="AG464" t="str">
            <v>ADET</v>
          </cell>
          <cell r="AH464">
            <v>400</v>
          </cell>
          <cell r="AI464" t="str">
            <v>TL</v>
          </cell>
          <cell r="AJ464">
            <v>8650</v>
          </cell>
          <cell r="AK464" t="str">
            <v>TL</v>
          </cell>
          <cell r="AL464">
            <v>1</v>
          </cell>
          <cell r="AM464" t="str">
            <v>1234567155975</v>
          </cell>
          <cell r="AO464">
            <v>0</v>
          </cell>
          <cell r="AQ464">
            <v>0</v>
          </cell>
          <cell r="AS464">
            <v>0</v>
          </cell>
          <cell r="AU464">
            <v>0</v>
          </cell>
          <cell r="AW464">
            <v>0</v>
          </cell>
        </row>
        <row r="465">
          <cell r="B465" t="str">
            <v>CK1G2P3M2G5O0</v>
          </cell>
          <cell r="C465" t="str">
            <v>ERD-1 MISIR ŞEFFAF 8W 3000K E14 LED AMPUL</v>
          </cell>
          <cell r="D465" t="str">
            <v>ERD-1 CORN CLEAR 8W 3000K E14 LED BULB</v>
          </cell>
          <cell r="E465" t="str">
            <v>PLASTİK METAL ŞEFFAF SMD LED DIMMSIZ MISIR</v>
          </cell>
          <cell r="F465" t="str">
            <v>8539.52.00.00.00</v>
          </cell>
          <cell r="G465" t="str">
            <v>AMPUL</v>
          </cell>
          <cell r="H465" t="str">
            <v>CF12232H50000</v>
          </cell>
          <cell r="I465" t="str">
            <v>İÇ</v>
          </cell>
          <cell r="J465" t="str">
            <v>AMPUL</v>
          </cell>
          <cell r="K465" t="str">
            <v>ERD-1</v>
          </cell>
          <cell r="L465" t="str">
            <v/>
          </cell>
          <cell r="M465" t="str">
            <v/>
          </cell>
          <cell r="N465" t="str">
            <v>ERD-1</v>
          </cell>
          <cell r="O465" t="str">
            <v>HEKA</v>
          </cell>
          <cell r="P465" t="str">
            <v>ADET</v>
          </cell>
          <cell r="Q465" t="str">
            <v>E14</v>
          </cell>
          <cell r="R465" t="str">
            <v>PLASTİK</v>
          </cell>
          <cell r="S465" t="str">
            <v>ŞEFFAF</v>
          </cell>
          <cell r="T465" t="str">
            <v>METAL</v>
          </cell>
          <cell r="V465" t="str">
            <v>G</v>
          </cell>
          <cell r="W465" t="str">
            <v>SMD LED</v>
          </cell>
          <cell r="X465" t="str">
            <v>220V</v>
          </cell>
          <cell r="Y465" t="str">
            <v>8 WATT</v>
          </cell>
          <cell r="Z465" t="str">
            <v>3000 K</v>
          </cell>
          <cell r="AA465" t="str">
            <v>DIMMSIZ</v>
          </cell>
          <cell r="AB465" t="str">
            <v>601-700</v>
          </cell>
          <cell r="AC465" t="str">
            <v>MISIR</v>
          </cell>
          <cell r="AD465" t="str">
            <v>N/A</v>
          </cell>
          <cell r="AF465">
            <v>0</v>
          </cell>
          <cell r="AG465" t="str">
            <v>ADET</v>
          </cell>
          <cell r="AH465">
            <v>2.8</v>
          </cell>
          <cell r="AI465" t="str">
            <v>CNY</v>
          </cell>
          <cell r="AJ465">
            <v>1.8</v>
          </cell>
          <cell r="AK465" t="str">
            <v>USD</v>
          </cell>
          <cell r="AL465">
            <v>1</v>
          </cell>
          <cell r="AM465" t="str">
            <v>8684127503846</v>
          </cell>
          <cell r="AN465" t="str">
            <v>8684127500289</v>
          </cell>
          <cell r="AO465">
            <v>0</v>
          </cell>
          <cell r="AQ465">
            <v>2.8</v>
          </cell>
          <cell r="AR465" t="str">
            <v>CM</v>
          </cell>
          <cell r="AS465">
            <v>2.8</v>
          </cell>
          <cell r="AT465" t="str">
            <v>CM</v>
          </cell>
          <cell r="AU465">
            <v>0</v>
          </cell>
          <cell r="AW465">
            <v>0</v>
          </cell>
        </row>
        <row r="466">
          <cell r="B466" t="str">
            <v>H1C6JMEBCSR-033</v>
          </cell>
          <cell r="C466" t="str">
            <v>BURUNDİ TEKLİ CAM SARKIT</v>
          </cell>
          <cell r="D466" t="str">
            <v>BURUNDİ SINGLE GLASS PENDANT</v>
          </cell>
          <cell r="E466" t="str">
            <v xml:space="preserve">METAL AKRİLİK ESKİTME ŞEFFAF   </v>
          </cell>
          <cell r="F466" t="str">
            <v>9405.11.90.00.00</v>
          </cell>
          <cell r="G466" t="str">
            <v>AVİZE</v>
          </cell>
          <cell r="H466" t="str">
            <v>T1A6241100-33</v>
          </cell>
          <cell r="I466" t="str">
            <v>İÇ</v>
          </cell>
          <cell r="J466" t="str">
            <v>AVİZE.SARK</v>
          </cell>
          <cell r="K466" t="str">
            <v>BURUNDİ</v>
          </cell>
          <cell r="L466" t="str">
            <v/>
          </cell>
          <cell r="M466" t="str">
            <v/>
          </cell>
          <cell r="N466" t="str">
            <v>HKA-25020</v>
          </cell>
          <cell r="O466" t="str">
            <v>HEKA</v>
          </cell>
          <cell r="P466" t="str">
            <v>ADET</v>
          </cell>
          <cell r="Q466" t="str">
            <v>LED</v>
          </cell>
          <cell r="R466" t="str">
            <v>METAL</v>
          </cell>
          <cell r="S466" t="str">
            <v>ESKİTME</v>
          </cell>
          <cell r="T466" t="str">
            <v>AKRİLİK</v>
          </cell>
          <cell r="U466" t="str">
            <v>ŞEFFAF</v>
          </cell>
          <cell r="AD466" t="str">
            <v>DAİRE</v>
          </cell>
          <cell r="AE466" t="str">
            <v>01</v>
          </cell>
          <cell r="AF466">
            <v>460</v>
          </cell>
          <cell r="AG466" t="str">
            <v>ADET</v>
          </cell>
          <cell r="AH466">
            <v>25</v>
          </cell>
          <cell r="AI466" t="str">
            <v>CNY</v>
          </cell>
          <cell r="AJ466">
            <v>1650</v>
          </cell>
          <cell r="AK466" t="str">
            <v>TL</v>
          </cell>
          <cell r="AL466">
            <v>1</v>
          </cell>
          <cell r="AM466" t="str">
            <v>8684127501712</v>
          </cell>
          <cell r="AO466">
            <v>0</v>
          </cell>
          <cell r="AQ466">
            <v>0</v>
          </cell>
          <cell r="AR466" t="str">
            <v>CM</v>
          </cell>
          <cell r="AS466">
            <v>0</v>
          </cell>
          <cell r="AT466" t="str">
            <v>CM</v>
          </cell>
          <cell r="AU466">
            <v>0</v>
          </cell>
          <cell r="AW466">
            <v>0</v>
          </cell>
        </row>
        <row r="467">
          <cell r="B467" t="str">
            <v>H1W6JMEWRBR-020</v>
          </cell>
          <cell r="C467" t="str">
            <v>KAMPALA MERMER APLİK 20cm</v>
          </cell>
          <cell r="D467" t="str">
            <v>KAMPALA MARBLE WALL LAMP 20cm</v>
          </cell>
          <cell r="E467" t="str">
            <v>METAL MERMER ESKİTME BEYAZ</v>
          </cell>
          <cell r="F467" t="str">
            <v>9405.11.90.00.00</v>
          </cell>
          <cell r="G467" t="str">
            <v>APLİK</v>
          </cell>
          <cell r="H467" t="str">
            <v>T1W6311100-20</v>
          </cell>
          <cell r="I467" t="str">
            <v>İÇ</v>
          </cell>
          <cell r="J467" t="str">
            <v>APLİK</v>
          </cell>
          <cell r="K467" t="str">
            <v>KAMPALA</v>
          </cell>
          <cell r="L467" t="str">
            <v/>
          </cell>
          <cell r="M467" t="str">
            <v/>
          </cell>
          <cell r="N467" t="str">
            <v>HKA-24104</v>
          </cell>
          <cell r="O467" t="str">
            <v>HEKA</v>
          </cell>
          <cell r="P467" t="str">
            <v>ADET</v>
          </cell>
          <cell r="Q467" t="str">
            <v>LED</v>
          </cell>
          <cell r="R467" t="str">
            <v>METAL</v>
          </cell>
          <cell r="S467" t="str">
            <v>ESKİTME</v>
          </cell>
          <cell r="T467" t="str">
            <v>MERMER</v>
          </cell>
          <cell r="U467" t="str">
            <v>BEYAZ</v>
          </cell>
          <cell r="AD467" t="str">
            <v>DAİRE</v>
          </cell>
          <cell r="AF467">
            <v>68</v>
          </cell>
          <cell r="AG467" t="str">
            <v>ADET</v>
          </cell>
          <cell r="AH467">
            <v>88</v>
          </cell>
          <cell r="AI467" t="str">
            <v>CNY</v>
          </cell>
          <cell r="AJ467">
            <v>6300</v>
          </cell>
          <cell r="AK467" t="str">
            <v>TL</v>
          </cell>
          <cell r="AL467">
            <v>1</v>
          </cell>
          <cell r="AM467" t="str">
            <v>8684127502115</v>
          </cell>
          <cell r="AO467">
            <v>0</v>
          </cell>
          <cell r="AQ467">
            <v>0</v>
          </cell>
          <cell r="AR467" t="str">
            <v>CM</v>
          </cell>
          <cell r="AS467">
            <v>0</v>
          </cell>
          <cell r="AT467" t="str">
            <v>CM</v>
          </cell>
          <cell r="AU467">
            <v>0</v>
          </cell>
          <cell r="AW467">
            <v>0</v>
          </cell>
        </row>
        <row r="468">
          <cell r="B468" t="str">
            <v>H1C6JMELCT0-050</v>
          </cell>
          <cell r="C468" t="str">
            <v>DARA LED ESKİTME SARKIT 50cm</v>
          </cell>
          <cell r="D468" t="str">
            <v>DARA LED BRUSHED BRASS PENDANT 50cm</v>
          </cell>
          <cell r="E468" t="str">
            <v xml:space="preserve">METAL PLEKSİ ESKİTME SOFT   </v>
          </cell>
          <cell r="F468" t="str">
            <v>9405.11.90.00.00</v>
          </cell>
          <cell r="G468" t="str">
            <v>AVİZE</v>
          </cell>
          <cell r="H468" t="str">
            <v>T1A6116300-50</v>
          </cell>
          <cell r="I468" t="str">
            <v>İÇ</v>
          </cell>
          <cell r="J468" t="str">
            <v>AVİZE.SARK</v>
          </cell>
          <cell r="K468" t="str">
            <v>DARA</v>
          </cell>
          <cell r="L468" t="str">
            <v/>
          </cell>
          <cell r="M468" t="str">
            <v/>
          </cell>
          <cell r="N468" t="str">
            <v>MD6434-50</v>
          </cell>
          <cell r="O468" t="str">
            <v>HEKA</v>
          </cell>
          <cell r="P468" t="str">
            <v>ADET</v>
          </cell>
          <cell r="Q468" t="str">
            <v>LED</v>
          </cell>
          <cell r="R468" t="str">
            <v>METAL</v>
          </cell>
          <cell r="S468" t="str">
            <v>ESKİTME</v>
          </cell>
          <cell r="T468" t="str">
            <v>PLEKSİ</v>
          </cell>
          <cell r="U468" t="str">
            <v>SOFT</v>
          </cell>
          <cell r="AD468" t="str">
            <v>N/A</v>
          </cell>
          <cell r="AE468" t="str">
            <v>01</v>
          </cell>
          <cell r="AF468">
            <v>3</v>
          </cell>
          <cell r="AG468" t="str">
            <v>ADET</v>
          </cell>
          <cell r="AH468">
            <v>70</v>
          </cell>
          <cell r="AI468" t="str">
            <v>CNY</v>
          </cell>
          <cell r="AJ468">
            <v>3060</v>
          </cell>
          <cell r="AK468" t="str">
            <v>TL</v>
          </cell>
          <cell r="AL468">
            <v>1</v>
          </cell>
          <cell r="AM468" t="str">
            <v>8684127501835</v>
          </cell>
          <cell r="AO468">
            <v>0</v>
          </cell>
          <cell r="AQ468">
            <v>50</v>
          </cell>
          <cell r="AR468" t="str">
            <v>CM</v>
          </cell>
          <cell r="AS468">
            <v>3</v>
          </cell>
          <cell r="AT468" t="str">
            <v>CM</v>
          </cell>
          <cell r="AU468">
            <v>0</v>
          </cell>
          <cell r="AW468">
            <v>0</v>
          </cell>
        </row>
        <row r="469">
          <cell r="B469" t="str">
            <v>H1C6WRSJMER-011</v>
          </cell>
          <cell r="C469" t="str">
            <v>TEOS SİYAH MERMER SARKIT 11cm</v>
          </cell>
          <cell r="D469" t="str">
            <v>TEOS BLACK MARBLE PENDANT 11cm</v>
          </cell>
          <cell r="E469" t="str">
            <v xml:space="preserve">MERMER METAL SİYAH ESKİTME   </v>
          </cell>
          <cell r="F469" t="str">
            <v>9405.11.90.00.00</v>
          </cell>
          <cell r="G469" t="str">
            <v>AVİZE</v>
          </cell>
          <cell r="H469" t="str">
            <v>T1A6113200-11</v>
          </cell>
          <cell r="I469" t="str">
            <v>İÇ</v>
          </cell>
          <cell r="J469" t="str">
            <v>AVİZE.SARK</v>
          </cell>
          <cell r="K469" t="str">
            <v>TEOS</v>
          </cell>
          <cell r="L469" t="str">
            <v/>
          </cell>
          <cell r="M469" t="str">
            <v/>
          </cell>
          <cell r="N469" t="str">
            <v>MD6349-BC</v>
          </cell>
          <cell r="O469" t="str">
            <v>HEKA</v>
          </cell>
          <cell r="P469" t="str">
            <v>ADET</v>
          </cell>
          <cell r="Q469" t="str">
            <v>LED</v>
          </cell>
          <cell r="R469" t="str">
            <v>MERMER</v>
          </cell>
          <cell r="S469" t="str">
            <v>SİYAH</v>
          </cell>
          <cell r="T469" t="str">
            <v>METAL</v>
          </cell>
          <cell r="U469" t="str">
            <v>ESKİTME</v>
          </cell>
          <cell r="AD469" t="str">
            <v>DAİRE</v>
          </cell>
          <cell r="AE469" t="str">
            <v>01</v>
          </cell>
          <cell r="AF469">
            <v>1</v>
          </cell>
          <cell r="AG469" t="str">
            <v>ADET</v>
          </cell>
          <cell r="AH469">
            <v>115</v>
          </cell>
          <cell r="AI469" t="str">
            <v>CNY</v>
          </cell>
          <cell r="AJ469">
            <v>1250</v>
          </cell>
          <cell r="AK469" t="str">
            <v>TL</v>
          </cell>
          <cell r="AL469">
            <v>1</v>
          </cell>
          <cell r="AM469" t="str">
            <v>8684127504874</v>
          </cell>
          <cell r="AO469">
            <v>0</v>
          </cell>
          <cell r="AQ469">
            <v>15</v>
          </cell>
          <cell r="AR469" t="str">
            <v>CM</v>
          </cell>
          <cell r="AS469">
            <v>11</v>
          </cell>
          <cell r="AT469" t="str">
            <v>CM</v>
          </cell>
          <cell r="AU469">
            <v>0</v>
          </cell>
          <cell r="AW469">
            <v>0</v>
          </cell>
        </row>
        <row r="470">
          <cell r="B470" t="str">
            <v>H1C2WRSJMER-016</v>
          </cell>
          <cell r="C470" t="str">
            <v>RAVANDA SİYAH MERMER SARKIT 16cm</v>
          </cell>
          <cell r="D470" t="str">
            <v>RAVANDA BLACK MARBLE PENDANT 16cm</v>
          </cell>
          <cell r="E470" t="str">
            <v xml:space="preserve">MERMER METAL SİYAH ESKİTME   </v>
          </cell>
          <cell r="F470" t="str">
            <v>9405.19.90.00.00</v>
          </cell>
          <cell r="G470" t="str">
            <v>AVİZE</v>
          </cell>
          <cell r="H470" t="str">
            <v>T1A2321100-16</v>
          </cell>
          <cell r="I470" t="str">
            <v>İÇ</v>
          </cell>
          <cell r="J470" t="str">
            <v>AVİZE.SARK</v>
          </cell>
          <cell r="K470" t="str">
            <v>RAVANDA</v>
          </cell>
          <cell r="L470" t="str">
            <v/>
          </cell>
          <cell r="M470" t="str">
            <v/>
          </cell>
          <cell r="N470" t="str">
            <v>MD6351-16-BC</v>
          </cell>
          <cell r="O470" t="str">
            <v>HEKA</v>
          </cell>
          <cell r="P470" t="str">
            <v>ADET</v>
          </cell>
          <cell r="Q470" t="str">
            <v>E27</v>
          </cell>
          <cell r="R470" t="str">
            <v>MERMER</v>
          </cell>
          <cell r="S470" t="str">
            <v>SİYAH</v>
          </cell>
          <cell r="T470" t="str">
            <v>METAL</v>
          </cell>
          <cell r="U470" t="str">
            <v>ESKİTME</v>
          </cell>
          <cell r="AD470" t="str">
            <v>DAİRE</v>
          </cell>
          <cell r="AF470">
            <v>1</v>
          </cell>
          <cell r="AG470" t="str">
            <v>ADET</v>
          </cell>
          <cell r="AH470">
            <v>135</v>
          </cell>
          <cell r="AI470" t="str">
            <v>CNY</v>
          </cell>
          <cell r="AJ470">
            <v>4150</v>
          </cell>
          <cell r="AK470" t="str">
            <v>TL</v>
          </cell>
          <cell r="AL470">
            <v>1</v>
          </cell>
          <cell r="AM470" t="str">
            <v>8684127508872</v>
          </cell>
          <cell r="AO470">
            <v>0</v>
          </cell>
          <cell r="AQ470">
            <v>22</v>
          </cell>
          <cell r="AR470" t="str">
            <v>CM</v>
          </cell>
          <cell r="AS470">
            <v>18</v>
          </cell>
          <cell r="AT470" t="str">
            <v>CM</v>
          </cell>
          <cell r="AU470">
            <v>0</v>
          </cell>
          <cell r="AW470">
            <v>0</v>
          </cell>
        </row>
        <row r="471">
          <cell r="B471" t="str">
            <v>T1C2JMP000T-008</v>
          </cell>
          <cell r="C471" t="str">
            <v>ARYANA DEKORATİF TIRTIKLI PLATİN DUY</v>
          </cell>
          <cell r="D471" t="str">
            <v>ARYANA DECORATIVE SERRATED PLATINUM LAMP HOLDER</v>
          </cell>
          <cell r="E471" t="str">
            <v>METAL YOK PLATİN YOK</v>
          </cell>
          <cell r="F471" t="str">
            <v>9405.19.90.00.00</v>
          </cell>
          <cell r="G471" t="str">
            <v>ZPARCA</v>
          </cell>
          <cell r="H471" t="str">
            <v>T1A21P0101-01</v>
          </cell>
          <cell r="I471" t="str">
            <v>İÇ</v>
          </cell>
          <cell r="J471" t="str">
            <v>ZPARCA</v>
          </cell>
          <cell r="K471" t="str">
            <v>ARYANA</v>
          </cell>
          <cell r="L471" t="str">
            <v/>
          </cell>
          <cell r="M471" t="str">
            <v/>
          </cell>
          <cell r="N471" t="str">
            <v>ERD-118P</v>
          </cell>
          <cell r="O471" t="str">
            <v>HEKA</v>
          </cell>
          <cell r="P471" t="str">
            <v>ADET</v>
          </cell>
          <cell r="Q471" t="str">
            <v>E27</v>
          </cell>
          <cell r="R471" t="str">
            <v>METAL</v>
          </cell>
          <cell r="S471" t="str">
            <v>PLATİN</v>
          </cell>
          <cell r="T471" t="str">
            <v>YOK</v>
          </cell>
          <cell r="U471" t="str">
            <v>YOK</v>
          </cell>
          <cell r="AD471" t="str">
            <v>TIRTIKLI</v>
          </cell>
          <cell r="AE471" t="str">
            <v>02</v>
          </cell>
          <cell r="AF471">
            <v>0</v>
          </cell>
          <cell r="AG471" t="str">
            <v>ADET</v>
          </cell>
          <cell r="AJ471">
            <v>429</v>
          </cell>
          <cell r="AK471" t="str">
            <v>TL</v>
          </cell>
          <cell r="AL471">
            <v>1</v>
          </cell>
          <cell r="AM471" t="str">
            <v>8684127505895</v>
          </cell>
          <cell r="AO471">
            <v>0</v>
          </cell>
          <cell r="AQ471">
            <v>5</v>
          </cell>
          <cell r="AR471" t="str">
            <v>CM</v>
          </cell>
          <cell r="AS471">
            <v>7.5</v>
          </cell>
          <cell r="AT471" t="str">
            <v>CM</v>
          </cell>
          <cell r="AU471">
            <v>0</v>
          </cell>
          <cell r="AW471">
            <v>0</v>
          </cell>
        </row>
        <row r="472">
          <cell r="B472" t="str">
            <v>01.030.00.04.03</v>
          </cell>
          <cell r="C472" t="str">
            <v>YUVARLAK TEPSİ ALTIN 30cm</v>
          </cell>
          <cell r="D472" t="str">
            <v>GOLD ROUND TRAY 30cm</v>
          </cell>
          <cell r="E472" t="str">
            <v/>
          </cell>
          <cell r="F472" t="str">
            <v/>
          </cell>
          <cell r="G472" t="str">
            <v>ZPARCA</v>
          </cell>
          <cell r="H472" t="str">
            <v>01.030.00.04.03</v>
          </cell>
          <cell r="I472" t="str">
            <v>İÇ</v>
          </cell>
          <cell r="J472" t="str">
            <v>ZPARCA</v>
          </cell>
          <cell r="K472" t="str">
            <v/>
          </cell>
          <cell r="L472" t="str">
            <v/>
          </cell>
          <cell r="M472" t="str">
            <v>ÜRTM:7GÜN</v>
          </cell>
          <cell r="N472" t="str">
            <v/>
          </cell>
          <cell r="O472" t="str">
            <v>HEKA</v>
          </cell>
          <cell r="P472" t="str">
            <v>ADET</v>
          </cell>
          <cell r="R472" t="str">
            <v>METAL</v>
          </cell>
          <cell r="S472" t="str">
            <v>GOLD</v>
          </cell>
          <cell r="AF472">
            <v>22</v>
          </cell>
          <cell r="AG472" t="str">
            <v>ADET</v>
          </cell>
          <cell r="AH472">
            <v>18</v>
          </cell>
          <cell r="AI472" t="str">
            <v>CNY</v>
          </cell>
          <cell r="AJ472">
            <v>1310</v>
          </cell>
          <cell r="AK472" t="str">
            <v>TL</v>
          </cell>
          <cell r="AL472">
            <v>1</v>
          </cell>
          <cell r="AM472" t="str">
            <v>01.030.00.04.03</v>
          </cell>
          <cell r="AO472">
            <v>0</v>
          </cell>
          <cell r="AQ472">
            <v>0</v>
          </cell>
          <cell r="AS472">
            <v>100</v>
          </cell>
          <cell r="AU472">
            <v>0</v>
          </cell>
          <cell r="AW472">
            <v>0</v>
          </cell>
        </row>
        <row r="473">
          <cell r="B473" t="str">
            <v>01.035.00.04.05</v>
          </cell>
          <cell r="C473" t="str">
            <v>YUVARLAK TEPSİ SİYAH 35cm</v>
          </cell>
          <cell r="D473" t="str">
            <v>BLACK ROUND TRAY 35cm</v>
          </cell>
          <cell r="E473" t="str">
            <v/>
          </cell>
          <cell r="F473" t="str">
            <v/>
          </cell>
          <cell r="G473" t="str">
            <v>ZPARCA</v>
          </cell>
          <cell r="H473" t="str">
            <v>01.035.00.04.05</v>
          </cell>
          <cell r="I473" t="str">
            <v>İÇ</v>
          </cell>
          <cell r="J473" t="str">
            <v>ZPARCA</v>
          </cell>
          <cell r="K473" t="str">
            <v/>
          </cell>
          <cell r="L473" t="str">
            <v/>
          </cell>
          <cell r="M473" t="str">
            <v>ÜRTM:7GÜN</v>
          </cell>
          <cell r="N473" t="str">
            <v/>
          </cell>
          <cell r="O473" t="str">
            <v>HEKA</v>
          </cell>
          <cell r="P473" t="str">
            <v>ADET</v>
          </cell>
          <cell r="R473" t="str">
            <v>METAL</v>
          </cell>
          <cell r="S473" t="str">
            <v>SİYAH</v>
          </cell>
          <cell r="AF473">
            <v>30</v>
          </cell>
          <cell r="AG473" t="str">
            <v>ADET</v>
          </cell>
          <cell r="AH473">
            <v>15</v>
          </cell>
          <cell r="AI473" t="str">
            <v>CNY</v>
          </cell>
          <cell r="AJ473">
            <v>940</v>
          </cell>
          <cell r="AK473" t="str">
            <v>TL</v>
          </cell>
          <cell r="AL473">
            <v>1</v>
          </cell>
          <cell r="AM473" t="str">
            <v>01.035.00.04.05</v>
          </cell>
          <cell r="AO473">
            <v>0</v>
          </cell>
          <cell r="AQ473">
            <v>0</v>
          </cell>
          <cell r="AS473">
            <v>100</v>
          </cell>
          <cell r="AU473">
            <v>0</v>
          </cell>
          <cell r="AW473">
            <v>0</v>
          </cell>
        </row>
        <row r="474">
          <cell r="B474" t="str">
            <v>H1W3JM3ECT0-063</v>
          </cell>
          <cell r="C474" t="str">
            <v>LİKYA ÜÇ CAMLI MAT KROM APLİK</v>
          </cell>
          <cell r="D474" t="str">
            <v>LİKYA 3 GLASS BRUSHED CHROME WALL LAMP</v>
          </cell>
          <cell r="E474" t="str">
            <v>METAL CAM MAT KROM SOFT</v>
          </cell>
          <cell r="F474" t="str">
            <v>9405.19.90.00.00</v>
          </cell>
          <cell r="G474" t="str">
            <v>APLİK</v>
          </cell>
          <cell r="H474" t="str">
            <v>H1W3162100-03</v>
          </cell>
          <cell r="I474" t="str">
            <v>İÇ</v>
          </cell>
          <cell r="J474" t="str">
            <v>APLİK</v>
          </cell>
          <cell r="K474" t="str">
            <v>LİKYA</v>
          </cell>
          <cell r="L474" t="str">
            <v/>
          </cell>
          <cell r="M474" t="str">
            <v>ÜRTM:15GÜN</v>
          </cell>
          <cell r="N474" t="str">
            <v>HK20029</v>
          </cell>
          <cell r="O474" t="str">
            <v>HEKA</v>
          </cell>
          <cell r="P474" t="str">
            <v>ADET</v>
          </cell>
          <cell r="Q474" t="str">
            <v>G9</v>
          </cell>
          <cell r="R474" t="str">
            <v>METAL</v>
          </cell>
          <cell r="S474" t="str">
            <v>MAT KROM</v>
          </cell>
          <cell r="T474" t="str">
            <v>CAM</v>
          </cell>
          <cell r="U474" t="str">
            <v>SOFT</v>
          </cell>
          <cell r="AD474" t="str">
            <v>N/A</v>
          </cell>
          <cell r="AE474" t="str">
            <v>04</v>
          </cell>
          <cell r="AF474">
            <v>0</v>
          </cell>
          <cell r="AG474" t="str">
            <v>ADET</v>
          </cell>
          <cell r="AH474">
            <v>500</v>
          </cell>
          <cell r="AI474" t="str">
            <v>TL</v>
          </cell>
          <cell r="AJ474">
            <v>5695</v>
          </cell>
          <cell r="AK474" t="str">
            <v>TL</v>
          </cell>
          <cell r="AL474">
            <v>1</v>
          </cell>
          <cell r="AM474" t="str">
            <v>8684127502375</v>
          </cell>
          <cell r="AO474">
            <v>0</v>
          </cell>
          <cell r="AQ474">
            <v>16</v>
          </cell>
          <cell r="AR474" t="str">
            <v>CM</v>
          </cell>
          <cell r="AS474">
            <v>62</v>
          </cell>
          <cell r="AT474" t="str">
            <v>CM</v>
          </cell>
          <cell r="AU474">
            <v>0</v>
          </cell>
          <cell r="AW474">
            <v>0</v>
          </cell>
        </row>
        <row r="475">
          <cell r="B475" t="str">
            <v>H1W4JMEERFR-020</v>
          </cell>
          <cell r="C475" t="str">
            <v>BATUR FÜME SARKIT 20cm</v>
          </cell>
          <cell r="D475" t="str">
            <v>BATUR SMOKY PENDANT 20cm</v>
          </cell>
          <cell r="E475" t="str">
            <v>METAL CAM ESKİTME FÜME</v>
          </cell>
          <cell r="F475" t="str">
            <v>9405.19.90.00.00</v>
          </cell>
          <cell r="G475" t="str">
            <v>AVİZE</v>
          </cell>
          <cell r="H475" t="str">
            <v>H1A4112200-20</v>
          </cell>
          <cell r="I475" t="str">
            <v>İÇ</v>
          </cell>
          <cell r="J475" t="str">
            <v>AVİZE.SARK</v>
          </cell>
          <cell r="K475" t="str">
            <v>BATUR</v>
          </cell>
          <cell r="L475" t="str">
            <v/>
          </cell>
          <cell r="M475" t="str">
            <v/>
          </cell>
          <cell r="N475" t="str">
            <v>HK20050</v>
          </cell>
          <cell r="O475" t="str">
            <v>HEKA</v>
          </cell>
          <cell r="P475" t="str">
            <v>ADET</v>
          </cell>
          <cell r="Q475" t="str">
            <v>G4</v>
          </cell>
          <cell r="R475" t="str">
            <v>METAL</v>
          </cell>
          <cell r="S475" t="str">
            <v>ESKİTME</v>
          </cell>
          <cell r="T475" t="str">
            <v>CAM</v>
          </cell>
          <cell r="U475" t="str">
            <v>FÜME</v>
          </cell>
          <cell r="AD475" t="str">
            <v>DAİRE</v>
          </cell>
          <cell r="AE475" t="str">
            <v>02</v>
          </cell>
          <cell r="AF475">
            <v>0</v>
          </cell>
          <cell r="AG475" t="str">
            <v>ADET</v>
          </cell>
          <cell r="AH475">
            <v>75</v>
          </cell>
          <cell r="AI475" t="str">
            <v>TL</v>
          </cell>
          <cell r="AJ475">
            <v>3120</v>
          </cell>
          <cell r="AK475" t="str">
            <v>TL</v>
          </cell>
          <cell r="AL475">
            <v>1</v>
          </cell>
          <cell r="AM475" t="str">
            <v>8684127506007</v>
          </cell>
          <cell r="AO475">
            <v>0</v>
          </cell>
          <cell r="AQ475">
            <v>41</v>
          </cell>
          <cell r="AR475" t="str">
            <v>CM</v>
          </cell>
          <cell r="AS475">
            <v>20</v>
          </cell>
          <cell r="AT475" t="str">
            <v>CM</v>
          </cell>
          <cell r="AU475">
            <v>0</v>
          </cell>
          <cell r="AW475">
            <v>0</v>
          </cell>
        </row>
        <row r="476">
          <cell r="B476" t="str">
            <v>H1W3JRSECT0-063</v>
          </cell>
          <cell r="C476" t="str">
            <v>LİKYA ÜÇ CAMLI SİYAH APLİK</v>
          </cell>
          <cell r="D476" t="str">
            <v>LİKYA 3 GLASS BLACK WALL LAMP</v>
          </cell>
          <cell r="E476" t="str">
            <v>METAL CAM SİYAH SOFT</v>
          </cell>
          <cell r="F476" t="str">
            <v>9405.19.90.00.00</v>
          </cell>
          <cell r="G476" t="str">
            <v>APLİK</v>
          </cell>
          <cell r="H476" t="str">
            <v>H1W3142100-03</v>
          </cell>
          <cell r="I476" t="str">
            <v>İÇ</v>
          </cell>
          <cell r="J476" t="str">
            <v>APLİK</v>
          </cell>
          <cell r="K476" t="str">
            <v>LİKYA</v>
          </cell>
          <cell r="L476" t="str">
            <v/>
          </cell>
          <cell r="M476" t="str">
            <v>ÜRTM:15GÜN</v>
          </cell>
          <cell r="N476" t="str">
            <v>HK20030</v>
          </cell>
          <cell r="O476" t="str">
            <v>HEKA</v>
          </cell>
          <cell r="P476" t="str">
            <v>ADET</v>
          </cell>
          <cell r="Q476" t="str">
            <v>G9</v>
          </cell>
          <cell r="R476" t="str">
            <v>METAL</v>
          </cell>
          <cell r="S476" t="str">
            <v>SİYAH</v>
          </cell>
          <cell r="T476" t="str">
            <v>CAM</v>
          </cell>
          <cell r="U476" t="str">
            <v>SOFT</v>
          </cell>
          <cell r="AD476" t="str">
            <v>N/A</v>
          </cell>
          <cell r="AE476" t="str">
            <v>04</v>
          </cell>
          <cell r="AF476">
            <v>5</v>
          </cell>
          <cell r="AG476" t="str">
            <v>ADET</v>
          </cell>
          <cell r="AH476">
            <v>300</v>
          </cell>
          <cell r="AI476" t="str">
            <v>TL</v>
          </cell>
          <cell r="AJ476">
            <v>5695</v>
          </cell>
          <cell r="AK476" t="str">
            <v>TL</v>
          </cell>
          <cell r="AL476">
            <v>1</v>
          </cell>
          <cell r="AM476" t="str">
            <v>8684127505284</v>
          </cell>
          <cell r="AO476">
            <v>0</v>
          </cell>
          <cell r="AQ476">
            <v>16</v>
          </cell>
          <cell r="AR476" t="str">
            <v>CM</v>
          </cell>
          <cell r="AS476">
            <v>62</v>
          </cell>
          <cell r="AT476" t="str">
            <v>CM</v>
          </cell>
          <cell r="AU476">
            <v>0</v>
          </cell>
          <cell r="AW476">
            <v>0</v>
          </cell>
        </row>
        <row r="477">
          <cell r="B477" t="str">
            <v>H1M1122400-01</v>
          </cell>
          <cell r="C477" t="str">
            <v xml:space="preserve">CASTRO KARE MODEL MASA LAMBASI GOLD RENK </v>
          </cell>
          <cell r="D477" t="str">
            <v/>
          </cell>
          <cell r="E477" t="str">
            <v/>
          </cell>
          <cell r="F477" t="str">
            <v/>
          </cell>
          <cell r="G477" t="str">
            <v>SARKIT</v>
          </cell>
          <cell r="H477" t="str">
            <v>H1M1122400-01</v>
          </cell>
          <cell r="I477" t="str">
            <v>SARKIT</v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  <cell r="N477" t="str">
            <v/>
          </cell>
          <cell r="P477" t="str">
            <v>ADET</v>
          </cell>
          <cell r="AF477">
            <v>2</v>
          </cell>
          <cell r="AG477" t="str">
            <v>ADET</v>
          </cell>
          <cell r="AL477">
            <v>0</v>
          </cell>
          <cell r="AM477" t="str">
            <v>1234567155531</v>
          </cell>
          <cell r="AO477">
            <v>0</v>
          </cell>
          <cell r="AQ477">
            <v>0</v>
          </cell>
          <cell r="AS477">
            <v>0</v>
          </cell>
          <cell r="AU477">
            <v>0</v>
          </cell>
          <cell r="AW477">
            <v>0</v>
          </cell>
        </row>
        <row r="478">
          <cell r="B478" t="str">
            <v>H1W3JRSECTD-026</v>
          </cell>
          <cell r="C478" t="str">
            <v>AFRODİT TEKLİ SİYAH APLİK</v>
          </cell>
          <cell r="D478" t="str">
            <v>AFRODİT SINGLE BLACK WALL LAMP</v>
          </cell>
          <cell r="E478" t="str">
            <v>METAL CAM SİYAH SOFT</v>
          </cell>
          <cell r="F478" t="str">
            <v>9405.19.90.00.00</v>
          </cell>
          <cell r="G478" t="str">
            <v>APLİK</v>
          </cell>
          <cell r="H478" t="str">
            <v>T1W3142100-01</v>
          </cell>
          <cell r="I478" t="str">
            <v>İÇ</v>
          </cell>
          <cell r="J478" t="str">
            <v>APLİK</v>
          </cell>
          <cell r="K478" t="str">
            <v>AFRODİT</v>
          </cell>
          <cell r="L478" t="str">
            <v/>
          </cell>
          <cell r="M478" t="str">
            <v>ÜRTM;15GÜN</v>
          </cell>
          <cell r="N478" t="str">
            <v>MB021-1-BC</v>
          </cell>
          <cell r="O478" t="str">
            <v>HEKA</v>
          </cell>
          <cell r="P478" t="str">
            <v>ADET</v>
          </cell>
          <cell r="Q478" t="str">
            <v>G9</v>
          </cell>
          <cell r="R478" t="str">
            <v>METAL</v>
          </cell>
          <cell r="S478" t="str">
            <v>SİYAH</v>
          </cell>
          <cell r="T478" t="str">
            <v>CAM</v>
          </cell>
          <cell r="U478" t="str">
            <v>SOFT</v>
          </cell>
          <cell r="AD478" t="str">
            <v>DİKDÖRTGEN</v>
          </cell>
          <cell r="AE478" t="str">
            <v>01</v>
          </cell>
          <cell r="AF478">
            <v>11</v>
          </cell>
          <cell r="AG478" t="str">
            <v>ADET</v>
          </cell>
          <cell r="AH478">
            <v>100</v>
          </cell>
          <cell r="AI478" t="str">
            <v>TL</v>
          </cell>
          <cell r="AJ478">
            <v>5440</v>
          </cell>
          <cell r="AK478" t="str">
            <v>TL</v>
          </cell>
          <cell r="AL478">
            <v>1</v>
          </cell>
          <cell r="AM478" t="str">
            <v>8684127505239</v>
          </cell>
          <cell r="AO478">
            <v>0</v>
          </cell>
          <cell r="AQ478">
            <v>28</v>
          </cell>
          <cell r="AR478" t="str">
            <v>CM</v>
          </cell>
          <cell r="AS478">
            <v>17</v>
          </cell>
          <cell r="AT478" t="str">
            <v>CM</v>
          </cell>
          <cell r="AU478">
            <v>0</v>
          </cell>
          <cell r="AW478">
            <v>0</v>
          </cell>
        </row>
        <row r="479">
          <cell r="B479" t="str">
            <v>H1C6JMEECT0-080</v>
          </cell>
          <cell r="C479" t="str">
            <v>LUANDA LED ESKİTME SARKIT 80cm</v>
          </cell>
          <cell r="D479" t="str">
            <v>LUANDA LED BRUSHED BRASS PENDANT 80cm</v>
          </cell>
          <cell r="E479" t="str">
            <v xml:space="preserve">METAL CAM  ESKİTME SOFT   </v>
          </cell>
          <cell r="F479" t="str">
            <v>9405.11.90.00.00</v>
          </cell>
          <cell r="G479" t="str">
            <v>AVİZE</v>
          </cell>
          <cell r="H479" t="str">
            <v>T1A6211100-80</v>
          </cell>
          <cell r="I479" t="str">
            <v>İÇ</v>
          </cell>
          <cell r="J479" t="str">
            <v>AVİZE.SARK</v>
          </cell>
          <cell r="K479" t="str">
            <v>LUANDA</v>
          </cell>
          <cell r="L479" t="str">
            <v/>
          </cell>
          <cell r="M479" t="str">
            <v xml:space="preserve"> </v>
          </cell>
          <cell r="N479" t="str">
            <v>2077-80</v>
          </cell>
          <cell r="O479" t="str">
            <v>HEKA</v>
          </cell>
          <cell r="P479" t="str">
            <v>ADET</v>
          </cell>
          <cell r="Q479" t="str">
            <v>LED</v>
          </cell>
          <cell r="R479" t="str">
            <v>METAL</v>
          </cell>
          <cell r="S479" t="str">
            <v>ESKİTME</v>
          </cell>
          <cell r="T479" t="str">
            <v>CAM</v>
          </cell>
          <cell r="U479" t="str">
            <v>SOFT</v>
          </cell>
          <cell r="AD479" t="str">
            <v>N/A</v>
          </cell>
          <cell r="AE479" t="str">
            <v>01</v>
          </cell>
          <cell r="AF479">
            <v>1</v>
          </cell>
          <cell r="AG479" t="str">
            <v>ADET</v>
          </cell>
          <cell r="AH479">
            <v>144</v>
          </cell>
          <cell r="AI479" t="str">
            <v>CNY</v>
          </cell>
          <cell r="AJ479">
            <v>6069</v>
          </cell>
          <cell r="AK479" t="str">
            <v>TL</v>
          </cell>
          <cell r="AL479">
            <v>1</v>
          </cell>
          <cell r="AM479" t="str">
            <v>8684127502436</v>
          </cell>
          <cell r="AO479">
            <v>1.29</v>
          </cell>
          <cell r="AP479" t="str">
            <v>KG</v>
          </cell>
          <cell r="AQ479">
            <v>6</v>
          </cell>
          <cell r="AR479" t="str">
            <v>CM</v>
          </cell>
          <cell r="AS479">
            <v>6</v>
          </cell>
          <cell r="AT479" t="str">
            <v>CM</v>
          </cell>
          <cell r="AU479">
            <v>0</v>
          </cell>
          <cell r="AW479">
            <v>0</v>
          </cell>
        </row>
        <row r="480">
          <cell r="B480" t="str">
            <v>H1T1JMGNRBR-048</v>
          </cell>
          <cell r="C480" t="str">
            <v>KOMOR MASA LAMBASI</v>
          </cell>
          <cell r="D480" t="str">
            <v>KOMOR TABLE LAMP</v>
          </cell>
          <cell r="E480" t="str">
            <v xml:space="preserve">METAL PORSELEN GOLD BEYAZ   </v>
          </cell>
          <cell r="F480" t="str">
            <v>9405.29.90.00.00</v>
          </cell>
          <cell r="G480" t="str">
            <v>MASA LAMBASI</v>
          </cell>
          <cell r="H480" t="str">
            <v>T1M112P100-05</v>
          </cell>
          <cell r="I480" t="str">
            <v>İÇ</v>
          </cell>
          <cell r="J480" t="str">
            <v>MASAABAJ</v>
          </cell>
          <cell r="K480" t="str">
            <v>KOMOR</v>
          </cell>
          <cell r="L480" t="str">
            <v/>
          </cell>
          <cell r="M480" t="str">
            <v/>
          </cell>
          <cell r="N480" t="str">
            <v>7161-5T</v>
          </cell>
          <cell r="O480" t="str">
            <v>HEKA</v>
          </cell>
          <cell r="P480" t="str">
            <v>ADET</v>
          </cell>
          <cell r="Q480" t="str">
            <v>E14</v>
          </cell>
          <cell r="R480" t="str">
            <v>METAL</v>
          </cell>
          <cell r="S480" t="str">
            <v>GOLD</v>
          </cell>
          <cell r="T480" t="str">
            <v>PORSELEN</v>
          </cell>
          <cell r="U480" t="str">
            <v>BEYAZ</v>
          </cell>
          <cell r="AD480" t="str">
            <v>DAİRE</v>
          </cell>
          <cell r="AE480" t="str">
            <v>06</v>
          </cell>
          <cell r="AF480">
            <v>0</v>
          </cell>
          <cell r="AG480" t="str">
            <v>ADET</v>
          </cell>
          <cell r="AH480">
            <v>246</v>
          </cell>
          <cell r="AI480" t="str">
            <v>CNY</v>
          </cell>
          <cell r="AJ480">
            <v>3950</v>
          </cell>
          <cell r="AK480" t="str">
            <v>TL</v>
          </cell>
          <cell r="AL480">
            <v>1</v>
          </cell>
          <cell r="AM480" t="str">
            <v>8684127503044</v>
          </cell>
          <cell r="AO480">
            <v>0</v>
          </cell>
          <cell r="AQ480">
            <v>0</v>
          </cell>
          <cell r="AR480" t="str">
            <v>CM</v>
          </cell>
          <cell r="AS480">
            <v>0</v>
          </cell>
          <cell r="AT480" t="str">
            <v>CM</v>
          </cell>
          <cell r="AU480">
            <v>0</v>
          </cell>
          <cell r="AW480">
            <v>0</v>
          </cell>
        </row>
        <row r="481">
          <cell r="B481" t="str">
            <v>H1S5CMB000L-090</v>
          </cell>
          <cell r="C481" t="str">
            <v>BELLA BAKIR DÜZ SPOT 60X90 mm</v>
          </cell>
          <cell r="D481" t="str">
            <v>BELLA COPPER PLAIN SPOTLIGHT 60X90 mm</v>
          </cell>
          <cell r="E481" t="str">
            <v xml:space="preserve">ALUMİNYUM YOK BAKIR YOK   </v>
          </cell>
          <cell r="F481" t="str">
            <v>9405.19.90.00.00</v>
          </cell>
          <cell r="G481" t="str">
            <v>TEKNİK</v>
          </cell>
          <cell r="H481" t="str">
            <v>T1S5A400X0-09</v>
          </cell>
          <cell r="I481" t="str">
            <v>İÇ</v>
          </cell>
          <cell r="J481" t="str">
            <v>TEKNİK</v>
          </cell>
          <cell r="K481" t="str">
            <v>BELLA</v>
          </cell>
          <cell r="L481" t="str">
            <v/>
          </cell>
          <cell r="M481" t="str">
            <v/>
          </cell>
          <cell r="N481" t="str">
            <v>BELLA-7</v>
          </cell>
          <cell r="O481" t="str">
            <v>HEKA</v>
          </cell>
          <cell r="P481" t="str">
            <v>ADET</v>
          </cell>
          <cell r="Q481" t="str">
            <v>GU10</v>
          </cell>
          <cell r="R481" t="str">
            <v>ALUMİNYUM</v>
          </cell>
          <cell r="S481" t="str">
            <v>BAKIR</v>
          </cell>
          <cell r="T481" t="str">
            <v>YOK</v>
          </cell>
          <cell r="U481" t="str">
            <v>YOK</v>
          </cell>
          <cell r="AD481" t="str">
            <v>DÜZ</v>
          </cell>
          <cell r="AE481" t="str">
            <v>02</v>
          </cell>
          <cell r="AF481">
            <v>0</v>
          </cell>
          <cell r="AG481" t="str">
            <v>ADET</v>
          </cell>
          <cell r="AH481">
            <v>19.5</v>
          </cell>
          <cell r="AI481" t="str">
            <v>CNY</v>
          </cell>
          <cell r="AJ481">
            <v>1249</v>
          </cell>
          <cell r="AK481" t="str">
            <v>TL</v>
          </cell>
          <cell r="AL481">
            <v>1</v>
          </cell>
          <cell r="AM481" t="str">
            <v>8684127501163</v>
          </cell>
          <cell r="AO481">
            <v>0</v>
          </cell>
          <cell r="AQ481">
            <v>10</v>
          </cell>
          <cell r="AR481" t="str">
            <v>CM</v>
          </cell>
          <cell r="AS481">
            <v>23</v>
          </cell>
          <cell r="AT481" t="str">
            <v>CM</v>
          </cell>
          <cell r="AU481">
            <v>0</v>
          </cell>
          <cell r="AW481">
            <v>0</v>
          </cell>
        </row>
        <row r="482">
          <cell r="B482" t="str">
            <v>H1S5CRB000L-140</v>
          </cell>
          <cell r="C482" t="str">
            <v>MİA BEYAZ DÜZ SPOT 60X140 mm</v>
          </cell>
          <cell r="D482" t="str">
            <v>MİA WHITE PLAIN SPOTLIGHT 60X140 mm</v>
          </cell>
          <cell r="E482" t="str">
            <v xml:space="preserve">ALUMİNYUM YOK BEYAZ YOK   </v>
          </cell>
          <cell r="F482" t="str">
            <v>9405.19.90.00.00</v>
          </cell>
          <cell r="G482" t="str">
            <v>TEKNİK</v>
          </cell>
          <cell r="H482" t="str">
            <v>T1S5A100X0-14</v>
          </cell>
          <cell r="I482" t="str">
            <v>İÇ</v>
          </cell>
          <cell r="J482" t="str">
            <v>TEKNİK</v>
          </cell>
          <cell r="K482" t="str">
            <v>MİA</v>
          </cell>
          <cell r="L482" t="str">
            <v/>
          </cell>
          <cell r="M482" t="str">
            <v/>
          </cell>
          <cell r="N482" t="str">
            <v>MİA-1</v>
          </cell>
          <cell r="O482" t="str">
            <v>HEKA</v>
          </cell>
          <cell r="P482" t="str">
            <v>ADET</v>
          </cell>
          <cell r="Q482" t="str">
            <v>GU10</v>
          </cell>
          <cell r="R482" t="str">
            <v>ALUMİNYUM</v>
          </cell>
          <cell r="S482" t="str">
            <v>BEYAZ</v>
          </cell>
          <cell r="T482" t="str">
            <v>YOK</v>
          </cell>
          <cell r="U482" t="str">
            <v>YOK</v>
          </cell>
          <cell r="AD482" t="str">
            <v>DÜZ</v>
          </cell>
          <cell r="AE482" t="str">
            <v>01</v>
          </cell>
          <cell r="AF482">
            <v>61</v>
          </cell>
          <cell r="AG482" t="str">
            <v>ADET</v>
          </cell>
          <cell r="AH482">
            <v>22</v>
          </cell>
          <cell r="AI482" t="str">
            <v>CNY</v>
          </cell>
          <cell r="AJ482">
            <v>1630</v>
          </cell>
          <cell r="AK482" t="str">
            <v>TL</v>
          </cell>
          <cell r="AL482">
            <v>1</v>
          </cell>
          <cell r="AM482" t="str">
            <v>8684127501286</v>
          </cell>
          <cell r="AO482">
            <v>0</v>
          </cell>
          <cell r="AQ482">
            <v>140</v>
          </cell>
          <cell r="AR482" t="str">
            <v>CM</v>
          </cell>
          <cell r="AS482">
            <v>60</v>
          </cell>
          <cell r="AT482" t="str">
            <v>CM</v>
          </cell>
          <cell r="AU482">
            <v>0</v>
          </cell>
          <cell r="AW482">
            <v>0</v>
          </cell>
        </row>
        <row r="483">
          <cell r="B483" t="str">
            <v>H1S5CMB000T-120</v>
          </cell>
          <cell r="C483" t="str">
            <v>SELİNA BAKIR TIRTIKLI SPOT 40X120 mm</v>
          </cell>
          <cell r="D483" t="str">
            <v>SELİNA COPPER SERRATED SPOTLIGHT 40X120 mm</v>
          </cell>
          <cell r="E483" t="str">
            <v xml:space="preserve">ALUMİNYUM YOK BAKIR YOK   </v>
          </cell>
          <cell r="F483" t="str">
            <v>9405.19.90.00.00</v>
          </cell>
          <cell r="G483" t="str">
            <v>TEKNİK</v>
          </cell>
          <cell r="H483" t="str">
            <v>T1S5A400T0-12</v>
          </cell>
          <cell r="I483" t="str">
            <v>İÇ</v>
          </cell>
          <cell r="J483" t="str">
            <v>TEKNİK</v>
          </cell>
          <cell r="K483" t="str">
            <v>SELİNA</v>
          </cell>
          <cell r="L483" t="str">
            <v/>
          </cell>
          <cell r="M483" t="str">
            <v/>
          </cell>
          <cell r="N483" t="str">
            <v>SELİNA-8</v>
          </cell>
          <cell r="O483" t="str">
            <v>HEKA</v>
          </cell>
          <cell r="P483" t="str">
            <v>ADET</v>
          </cell>
          <cell r="Q483" t="str">
            <v>GU10</v>
          </cell>
          <cell r="R483" t="str">
            <v>ALUMİNYUM</v>
          </cell>
          <cell r="S483" t="str">
            <v>BAKIR</v>
          </cell>
          <cell r="T483" t="str">
            <v>YOK</v>
          </cell>
          <cell r="U483" t="str">
            <v>YOK</v>
          </cell>
          <cell r="AD483" t="str">
            <v>TIRTIKLI</v>
          </cell>
          <cell r="AE483" t="str">
            <v>01</v>
          </cell>
          <cell r="AF483">
            <v>113</v>
          </cell>
          <cell r="AG483" t="str">
            <v>ADET</v>
          </cell>
          <cell r="AH483">
            <v>13.5</v>
          </cell>
          <cell r="AI483" t="str">
            <v>CNY</v>
          </cell>
          <cell r="AJ483">
            <v>1500</v>
          </cell>
          <cell r="AK483" t="str">
            <v>TL</v>
          </cell>
          <cell r="AL483">
            <v>1</v>
          </cell>
          <cell r="AM483" t="str">
            <v>8684127501279</v>
          </cell>
          <cell r="AO483">
            <v>0</v>
          </cell>
          <cell r="AQ483">
            <v>120</v>
          </cell>
          <cell r="AR483" t="str">
            <v>CM</v>
          </cell>
          <cell r="AS483">
            <v>40</v>
          </cell>
          <cell r="AT483" t="str">
            <v>CM</v>
          </cell>
          <cell r="AU483">
            <v>0</v>
          </cell>
          <cell r="AW483">
            <v>0</v>
          </cell>
        </row>
        <row r="484">
          <cell r="B484" t="str">
            <v>H1C2JMGWRYR-010</v>
          </cell>
          <cell r="C484" t="str">
            <v>KÜMBET YEŞİL MERMER SARKIT 10cm</v>
          </cell>
          <cell r="D484" t="str">
            <v>KÜMBET GREEN MARBLE PENDANT 10cm</v>
          </cell>
          <cell r="E484" t="str">
            <v xml:space="preserve">METAL MERMER GOLD YEŞİL   </v>
          </cell>
          <cell r="F484" t="str">
            <v>9405.19.90.00.00</v>
          </cell>
          <cell r="G484" t="str">
            <v>AVİZE</v>
          </cell>
          <cell r="H484" t="str">
            <v>T1A2341100-10</v>
          </cell>
          <cell r="I484" t="str">
            <v>İÇ</v>
          </cell>
          <cell r="J484" t="str">
            <v>AVİZE.SARK</v>
          </cell>
          <cell r="K484" t="str">
            <v>KÜMBET</v>
          </cell>
          <cell r="L484" t="str">
            <v/>
          </cell>
          <cell r="M484" t="str">
            <v/>
          </cell>
          <cell r="N484" t="str">
            <v>MD6353-10-GC</v>
          </cell>
          <cell r="O484" t="str">
            <v>HEKA</v>
          </cell>
          <cell r="P484" t="str">
            <v>ADET</v>
          </cell>
          <cell r="Q484" t="str">
            <v>E27</v>
          </cell>
          <cell r="R484" t="str">
            <v>METAL</v>
          </cell>
          <cell r="S484" t="str">
            <v>GOLD</v>
          </cell>
          <cell r="T484" t="str">
            <v>MERMER</v>
          </cell>
          <cell r="U484" t="str">
            <v>YEŞİL</v>
          </cell>
          <cell r="AD484" t="str">
            <v>DAİRE</v>
          </cell>
          <cell r="AE484" t="str">
            <v>02</v>
          </cell>
          <cell r="AF484">
            <v>1</v>
          </cell>
          <cell r="AG484" t="str">
            <v>ADET</v>
          </cell>
          <cell r="AH484">
            <v>125</v>
          </cell>
          <cell r="AI484" t="str">
            <v>CNY</v>
          </cell>
          <cell r="AJ484">
            <v>1200</v>
          </cell>
          <cell r="AK484" t="str">
            <v>TL</v>
          </cell>
          <cell r="AL484">
            <v>1</v>
          </cell>
          <cell r="AM484" t="str">
            <v>8684127508902</v>
          </cell>
          <cell r="AO484">
            <v>0</v>
          </cell>
          <cell r="AQ484">
            <v>20</v>
          </cell>
          <cell r="AR484" t="str">
            <v>CM</v>
          </cell>
          <cell r="AS484">
            <v>10</v>
          </cell>
          <cell r="AT484" t="str">
            <v>CM</v>
          </cell>
          <cell r="AU484">
            <v>0</v>
          </cell>
          <cell r="AW484">
            <v>0</v>
          </cell>
        </row>
        <row r="485">
          <cell r="B485" t="str">
            <v>H1C6WRYJMER-011</v>
          </cell>
          <cell r="C485" t="str">
            <v>TEOS YEŞİL MERMER SARKIT 11cm</v>
          </cell>
          <cell r="D485" t="str">
            <v>TEOS GREEN MARBLE PENDANT 11cm</v>
          </cell>
          <cell r="E485" t="str">
            <v xml:space="preserve">MERMER METAL YEŞİL ESKİTME   </v>
          </cell>
          <cell r="F485" t="str">
            <v>9405.11.90.00.00</v>
          </cell>
          <cell r="G485" t="str">
            <v>AVİZE</v>
          </cell>
          <cell r="H485" t="str">
            <v>T1A6113400-11</v>
          </cell>
          <cell r="I485" t="str">
            <v>İÇ</v>
          </cell>
          <cell r="J485" t="str">
            <v>AVİZE.SARK</v>
          </cell>
          <cell r="K485" t="str">
            <v>TEOS</v>
          </cell>
          <cell r="L485" t="str">
            <v/>
          </cell>
          <cell r="M485" t="str">
            <v/>
          </cell>
          <cell r="N485" t="str">
            <v>MD6349-GC</v>
          </cell>
          <cell r="O485" t="str">
            <v>HEKA</v>
          </cell>
          <cell r="P485" t="str">
            <v>ADET</v>
          </cell>
          <cell r="Q485" t="str">
            <v>LED</v>
          </cell>
          <cell r="R485" t="str">
            <v>MERMER</v>
          </cell>
          <cell r="S485" t="str">
            <v>YEŞİL</v>
          </cell>
          <cell r="T485" t="str">
            <v>METAL</v>
          </cell>
          <cell r="U485" t="str">
            <v>ESKİTME</v>
          </cell>
          <cell r="AD485" t="str">
            <v>DAİRE</v>
          </cell>
          <cell r="AE485" t="str">
            <v>01</v>
          </cell>
          <cell r="AF485">
            <v>0</v>
          </cell>
          <cell r="AG485" t="str">
            <v>ADET</v>
          </cell>
          <cell r="AH485">
            <v>115</v>
          </cell>
          <cell r="AI485" t="str">
            <v>CNY</v>
          </cell>
          <cell r="AJ485">
            <v>1250</v>
          </cell>
          <cell r="AK485" t="str">
            <v>TL</v>
          </cell>
          <cell r="AL485">
            <v>1</v>
          </cell>
          <cell r="AM485" t="str">
            <v>8684127504591</v>
          </cell>
          <cell r="AO485">
            <v>0</v>
          </cell>
          <cell r="AQ485">
            <v>15</v>
          </cell>
          <cell r="AR485" t="str">
            <v>CM</v>
          </cell>
          <cell r="AS485">
            <v>11</v>
          </cell>
          <cell r="AT485" t="str">
            <v>CM</v>
          </cell>
          <cell r="AU485">
            <v>0</v>
          </cell>
          <cell r="AW485">
            <v>0</v>
          </cell>
        </row>
        <row r="486">
          <cell r="B486" t="str">
            <v>T1C6JMEWRYR-016</v>
          </cell>
          <cell r="C486" t="str">
            <v>*MD6349* YEŞİL 16 CM ÇAPINDA MERMER SARKIT</v>
          </cell>
          <cell r="D486" t="str">
            <v>N/A</v>
          </cell>
          <cell r="E486" t="str">
            <v>METAL MERMER ESKİTME YEŞİL</v>
          </cell>
          <cell r="F486" t="str">
            <v>9405.11.90.00.00</v>
          </cell>
          <cell r="G486" t="str">
            <v>AVİZE</v>
          </cell>
          <cell r="H486" t="str">
            <v>T1A6113400-16</v>
          </cell>
          <cell r="I486" t="str">
            <v>İÇ</v>
          </cell>
          <cell r="J486" t="str">
            <v>SARKIT</v>
          </cell>
          <cell r="K486" t="str">
            <v>MD6349Y</v>
          </cell>
          <cell r="L486" t="str">
            <v/>
          </cell>
          <cell r="M486" t="str">
            <v/>
          </cell>
          <cell r="N486" t="str">
            <v>MD6349Y</v>
          </cell>
          <cell r="O486" t="str">
            <v>HEKA</v>
          </cell>
          <cell r="P486" t="str">
            <v>ADET</v>
          </cell>
          <cell r="Q486" t="str">
            <v>LED</v>
          </cell>
          <cell r="R486" t="str">
            <v>METAL</v>
          </cell>
          <cell r="S486" t="str">
            <v>ESKİTME</v>
          </cell>
          <cell r="T486" t="str">
            <v>MERMER</v>
          </cell>
          <cell r="U486" t="str">
            <v>YEŞİL</v>
          </cell>
          <cell r="AD486" t="str">
            <v>DAİRE</v>
          </cell>
          <cell r="AE486" t="str">
            <v>01</v>
          </cell>
          <cell r="AF486">
            <v>0</v>
          </cell>
          <cell r="AG486" t="str">
            <v>ADET</v>
          </cell>
          <cell r="AH486">
            <v>135</v>
          </cell>
          <cell r="AI486" t="str">
            <v>CNY</v>
          </cell>
          <cell r="AJ486">
            <v>990</v>
          </cell>
          <cell r="AK486" t="str">
            <v>TL</v>
          </cell>
          <cell r="AL486">
            <v>1</v>
          </cell>
          <cell r="AM486" t="str">
            <v>8684128123451</v>
          </cell>
          <cell r="AO486">
            <v>0</v>
          </cell>
          <cell r="AQ486">
            <v>25</v>
          </cell>
          <cell r="AR486" t="str">
            <v>CM</v>
          </cell>
          <cell r="AS486">
            <v>16</v>
          </cell>
          <cell r="AT486" t="str">
            <v>CM</v>
          </cell>
          <cell r="AU486">
            <v>0</v>
          </cell>
          <cell r="AW486">
            <v>0</v>
          </cell>
        </row>
        <row r="487">
          <cell r="B487" t="str">
            <v>H1W4JMEECSR-020</v>
          </cell>
          <cell r="C487" t="str">
            <v>BATUR ŞEFFAF SARKIT 20cm</v>
          </cell>
          <cell r="D487" t="str">
            <v>BATUR CLEAR PENDANT 20cm</v>
          </cell>
          <cell r="E487" t="str">
            <v>METAL CAM ESKİTME ŞEFFAF</v>
          </cell>
          <cell r="F487" t="str">
            <v>9405.19.90.00.00</v>
          </cell>
          <cell r="G487" t="str">
            <v>AVİZE</v>
          </cell>
          <cell r="H487" t="str">
            <v>H1A4112400-20</v>
          </cell>
          <cell r="I487" t="str">
            <v>İÇ</v>
          </cell>
          <cell r="J487" t="str">
            <v>AVİZE.SARK</v>
          </cell>
          <cell r="K487" t="str">
            <v>BATUR</v>
          </cell>
          <cell r="L487" t="str">
            <v/>
          </cell>
          <cell r="M487" t="str">
            <v/>
          </cell>
          <cell r="N487" t="str">
            <v>HK20047</v>
          </cell>
          <cell r="O487" t="str">
            <v>HEKA</v>
          </cell>
          <cell r="P487" t="str">
            <v>ADET</v>
          </cell>
          <cell r="Q487" t="str">
            <v>G4</v>
          </cell>
          <cell r="R487" t="str">
            <v>METAL</v>
          </cell>
          <cell r="S487" t="str">
            <v>ESKİTME</v>
          </cell>
          <cell r="T487" t="str">
            <v>CAM</v>
          </cell>
          <cell r="U487" t="str">
            <v>ŞEFFAF</v>
          </cell>
          <cell r="AD487" t="str">
            <v>DAİRE</v>
          </cell>
          <cell r="AE487" t="str">
            <v>02</v>
          </cell>
          <cell r="AF487">
            <v>0</v>
          </cell>
          <cell r="AG487" t="str">
            <v>ADET</v>
          </cell>
          <cell r="AH487">
            <v>75</v>
          </cell>
          <cell r="AI487" t="str">
            <v>TL</v>
          </cell>
          <cell r="AJ487">
            <v>3120</v>
          </cell>
          <cell r="AK487" t="str">
            <v>TL</v>
          </cell>
          <cell r="AL487">
            <v>1</v>
          </cell>
          <cell r="AM487" t="str">
            <v>8684127506014</v>
          </cell>
          <cell r="AO487">
            <v>0</v>
          </cell>
          <cell r="AQ487">
            <v>41</v>
          </cell>
          <cell r="AR487" t="str">
            <v>CM</v>
          </cell>
          <cell r="AS487">
            <v>20</v>
          </cell>
          <cell r="AT487" t="str">
            <v>CM</v>
          </cell>
          <cell r="AU487">
            <v>0</v>
          </cell>
          <cell r="AW487">
            <v>0</v>
          </cell>
        </row>
        <row r="488">
          <cell r="B488" t="str">
            <v>H1W4JMEERLR-025</v>
          </cell>
          <cell r="C488" t="str">
            <v>BATUR BAL SARKIT 25cm</v>
          </cell>
          <cell r="D488" t="str">
            <v>BATUR AMBER PENDANT 25cm</v>
          </cell>
          <cell r="E488" t="str">
            <v>METAL CAM ESKİTME BAL</v>
          </cell>
          <cell r="F488" t="str">
            <v>9405.19.90.00.00</v>
          </cell>
          <cell r="G488" t="str">
            <v>AVİZE</v>
          </cell>
          <cell r="H488" t="str">
            <v>H1A4112300-25</v>
          </cell>
          <cell r="I488" t="str">
            <v>İÇ</v>
          </cell>
          <cell r="J488" t="str">
            <v>AVİZE.SARK</v>
          </cell>
          <cell r="K488" t="str">
            <v>BATUR</v>
          </cell>
          <cell r="L488" t="str">
            <v/>
          </cell>
          <cell r="M488" t="str">
            <v/>
          </cell>
          <cell r="N488" t="str">
            <v>HK20054</v>
          </cell>
          <cell r="O488" t="str">
            <v>HEKA</v>
          </cell>
          <cell r="P488" t="str">
            <v>ADET</v>
          </cell>
          <cell r="Q488" t="str">
            <v>G4</v>
          </cell>
          <cell r="R488" t="str">
            <v>METAL</v>
          </cell>
          <cell r="S488" t="str">
            <v>ESKİTME</v>
          </cell>
          <cell r="T488" t="str">
            <v>CAM</v>
          </cell>
          <cell r="U488" t="str">
            <v>BAL</v>
          </cell>
          <cell r="AD488" t="str">
            <v>DAİRE</v>
          </cell>
          <cell r="AE488" t="str">
            <v>02</v>
          </cell>
          <cell r="AF488">
            <v>0</v>
          </cell>
          <cell r="AG488" t="str">
            <v>ADET</v>
          </cell>
          <cell r="AH488">
            <v>75</v>
          </cell>
          <cell r="AI488" t="str">
            <v>TL</v>
          </cell>
          <cell r="AJ488">
            <v>3778</v>
          </cell>
          <cell r="AK488" t="str">
            <v>TL</v>
          </cell>
          <cell r="AL488">
            <v>1</v>
          </cell>
          <cell r="AM488" t="str">
            <v>8684127506021</v>
          </cell>
          <cell r="AO488">
            <v>0</v>
          </cell>
          <cell r="AQ488">
            <v>46</v>
          </cell>
          <cell r="AR488" t="str">
            <v>CM</v>
          </cell>
          <cell r="AS488">
            <v>25</v>
          </cell>
          <cell r="AT488" t="str">
            <v>CM</v>
          </cell>
          <cell r="AU488">
            <v>0</v>
          </cell>
          <cell r="AW488">
            <v>0</v>
          </cell>
        </row>
        <row r="489">
          <cell r="B489" t="str">
            <v>H1W6JMEWRBR-030</v>
          </cell>
          <cell r="C489" t="str">
            <v>KAMPALA MERMER APLİK 30cm</v>
          </cell>
          <cell r="D489" t="str">
            <v>KAMPALA MARBLE WALL LAMP 30cm</v>
          </cell>
          <cell r="E489" t="str">
            <v>METAL MERMER ESKİTME BEYAZ</v>
          </cell>
          <cell r="F489" t="str">
            <v>9405.11.90.00.00</v>
          </cell>
          <cell r="G489" t="str">
            <v>APLİK</v>
          </cell>
          <cell r="H489" t="str">
            <v>T1W6311100-30</v>
          </cell>
          <cell r="I489" t="str">
            <v>İÇ</v>
          </cell>
          <cell r="J489" t="str">
            <v>APLİK</v>
          </cell>
          <cell r="K489" t="str">
            <v>KAMPALA</v>
          </cell>
          <cell r="L489" t="str">
            <v/>
          </cell>
          <cell r="M489" t="str">
            <v/>
          </cell>
          <cell r="N489" t="str">
            <v>HKA-24106</v>
          </cell>
          <cell r="O489" t="str">
            <v>HEKA</v>
          </cell>
          <cell r="P489" t="str">
            <v>ADET</v>
          </cell>
          <cell r="Q489" t="str">
            <v>LED</v>
          </cell>
          <cell r="R489" t="str">
            <v>METAL</v>
          </cell>
          <cell r="S489" t="str">
            <v>ESKİTME</v>
          </cell>
          <cell r="T489" t="str">
            <v>MERMER</v>
          </cell>
          <cell r="U489" t="str">
            <v>BEYAZ</v>
          </cell>
          <cell r="AD489" t="str">
            <v>DAİRE</v>
          </cell>
          <cell r="AF489">
            <v>75</v>
          </cell>
          <cell r="AG489" t="str">
            <v>ADET</v>
          </cell>
          <cell r="AH489">
            <v>140</v>
          </cell>
          <cell r="AI489" t="str">
            <v>CNY</v>
          </cell>
          <cell r="AJ489">
            <v>9800</v>
          </cell>
          <cell r="AK489" t="str">
            <v>TL</v>
          </cell>
          <cell r="AL489">
            <v>1</v>
          </cell>
          <cell r="AM489" t="str">
            <v>8684127502139</v>
          </cell>
          <cell r="AO489">
            <v>0</v>
          </cell>
          <cell r="AQ489">
            <v>0</v>
          </cell>
          <cell r="AR489" t="str">
            <v>CM</v>
          </cell>
          <cell r="AS489">
            <v>0</v>
          </cell>
          <cell r="AT489" t="str">
            <v>CM</v>
          </cell>
          <cell r="AU489">
            <v>0</v>
          </cell>
          <cell r="AW489">
            <v>0</v>
          </cell>
        </row>
        <row r="490">
          <cell r="B490" t="str">
            <v>H1C6JMEECT0-060</v>
          </cell>
          <cell r="C490" t="str">
            <v>LUANDA LED ESKİTME SARKIT 60cm</v>
          </cell>
          <cell r="D490" t="str">
            <v>LUANDA LED BRUSHED BRASS PENDANT 60cm</v>
          </cell>
          <cell r="E490" t="str">
            <v xml:space="preserve">METAL CAM  ESKİTME SOFT   </v>
          </cell>
          <cell r="F490" t="str">
            <v>9405.11.90.00.00</v>
          </cell>
          <cell r="G490" t="str">
            <v>AVİZE</v>
          </cell>
          <cell r="H490" t="str">
            <v>T1A6211100-60</v>
          </cell>
          <cell r="I490" t="str">
            <v>İÇ</v>
          </cell>
          <cell r="J490" t="str">
            <v>AVİZE.SARK</v>
          </cell>
          <cell r="K490" t="str">
            <v>LUANDA</v>
          </cell>
          <cell r="L490" t="str">
            <v/>
          </cell>
          <cell r="M490" t="str">
            <v xml:space="preserve"> </v>
          </cell>
          <cell r="N490" t="str">
            <v>2077-60</v>
          </cell>
          <cell r="O490" t="str">
            <v>HEKA</v>
          </cell>
          <cell r="P490" t="str">
            <v>ADET</v>
          </cell>
          <cell r="Q490" t="str">
            <v>LED</v>
          </cell>
          <cell r="R490" t="str">
            <v>METAL</v>
          </cell>
          <cell r="S490" t="str">
            <v>ESKİTME</v>
          </cell>
          <cell r="T490" t="str">
            <v>CAM</v>
          </cell>
          <cell r="U490" t="str">
            <v>SOFT</v>
          </cell>
          <cell r="AD490" t="str">
            <v>N/A</v>
          </cell>
          <cell r="AE490" t="str">
            <v>01</v>
          </cell>
          <cell r="AF490">
            <v>0</v>
          </cell>
          <cell r="AG490" t="str">
            <v>ADET</v>
          </cell>
          <cell r="AH490">
            <v>94</v>
          </cell>
          <cell r="AI490" t="str">
            <v>CNY</v>
          </cell>
          <cell r="AJ490">
            <v>4094</v>
          </cell>
          <cell r="AK490" t="str">
            <v>TL</v>
          </cell>
          <cell r="AL490">
            <v>1</v>
          </cell>
          <cell r="AM490" t="str">
            <v>8684127502429</v>
          </cell>
          <cell r="AO490">
            <v>0.96</v>
          </cell>
          <cell r="AP490" t="str">
            <v>KG</v>
          </cell>
          <cell r="AQ490">
            <v>6.5</v>
          </cell>
          <cell r="AR490" t="str">
            <v>CM</v>
          </cell>
          <cell r="AS490">
            <v>6.5</v>
          </cell>
          <cell r="AT490" t="str">
            <v>CM</v>
          </cell>
          <cell r="AU490">
            <v>0</v>
          </cell>
          <cell r="AW490">
            <v>0</v>
          </cell>
        </row>
        <row r="491">
          <cell r="B491" t="str">
            <v>H1W1JMGNRBR-036</v>
          </cell>
          <cell r="C491" t="str">
            <v>KOMOR APLİK</v>
          </cell>
          <cell r="D491" t="str">
            <v>KOMOR WALL LAMP</v>
          </cell>
          <cell r="E491" t="str">
            <v>METAL PORSELEN GOLD BEYAZ</v>
          </cell>
          <cell r="F491" t="str">
            <v>9405.19.90.00.00</v>
          </cell>
          <cell r="G491" t="str">
            <v>APLİK</v>
          </cell>
          <cell r="H491" t="str">
            <v>T1W112P100-01</v>
          </cell>
          <cell r="I491" t="str">
            <v>İÇ</v>
          </cell>
          <cell r="J491" t="str">
            <v>APLİK</v>
          </cell>
          <cell r="K491" t="str">
            <v>KOMOR</v>
          </cell>
          <cell r="L491" t="str">
            <v/>
          </cell>
          <cell r="M491" t="str">
            <v/>
          </cell>
          <cell r="N491" t="str">
            <v>7161-1W</v>
          </cell>
          <cell r="O491" t="str">
            <v>HEKA</v>
          </cell>
          <cell r="P491" t="str">
            <v>ADET</v>
          </cell>
          <cell r="Q491" t="str">
            <v>E14</v>
          </cell>
          <cell r="R491" t="str">
            <v>METAL</v>
          </cell>
          <cell r="S491" t="str">
            <v>GOLD</v>
          </cell>
          <cell r="T491" t="str">
            <v>PORSELEN</v>
          </cell>
          <cell r="U491" t="str">
            <v>BEYAZ</v>
          </cell>
          <cell r="AD491" t="str">
            <v>DAİRE</v>
          </cell>
          <cell r="AE491" t="str">
            <v>01</v>
          </cell>
          <cell r="AF491">
            <v>2</v>
          </cell>
          <cell r="AG491" t="str">
            <v>ADET</v>
          </cell>
          <cell r="AH491">
            <v>67</v>
          </cell>
          <cell r="AI491" t="str">
            <v>CNY</v>
          </cell>
          <cell r="AJ491">
            <v>3750</v>
          </cell>
          <cell r="AK491" t="str">
            <v>TL</v>
          </cell>
          <cell r="AL491">
            <v>1</v>
          </cell>
          <cell r="AM491" t="str">
            <v>8684127502214</v>
          </cell>
          <cell r="AO491">
            <v>0</v>
          </cell>
          <cell r="AQ491">
            <v>0</v>
          </cell>
          <cell r="AR491" t="str">
            <v>CM</v>
          </cell>
          <cell r="AS491">
            <v>0</v>
          </cell>
          <cell r="AT491" t="str">
            <v>CM</v>
          </cell>
          <cell r="AU491">
            <v>0</v>
          </cell>
          <cell r="AW491">
            <v>0</v>
          </cell>
        </row>
        <row r="492">
          <cell r="B492" t="str">
            <v>H1C5JMEBCS0-090</v>
          </cell>
          <cell r="C492" t="str">
            <v>CİBUTİ AKRİLİK SALON AVİZE</v>
          </cell>
          <cell r="D492" t="str">
            <v>CİBUTİ ACRYLIC LIVING ROOM CHANDELIER</v>
          </cell>
          <cell r="E492" t="str">
            <v xml:space="preserve">METAL AKRİLİK ESKİTME ŞEFFAF   </v>
          </cell>
          <cell r="F492" t="str">
            <v>9405.19.90.00.00</v>
          </cell>
          <cell r="G492" t="str">
            <v>AVİZE</v>
          </cell>
          <cell r="H492" t="str">
            <v>T1A6621200-99</v>
          </cell>
          <cell r="I492" t="str">
            <v>İÇ</v>
          </cell>
          <cell r="J492" t="str">
            <v>AVİZE.SARK</v>
          </cell>
          <cell r="K492" t="str">
            <v>CİBUTİ</v>
          </cell>
          <cell r="L492" t="str">
            <v/>
          </cell>
          <cell r="M492" t="str">
            <v xml:space="preserve"> </v>
          </cell>
          <cell r="N492" t="str">
            <v>6689-L1000</v>
          </cell>
          <cell r="O492" t="str">
            <v>HEKA</v>
          </cell>
          <cell r="P492" t="str">
            <v>ADET</v>
          </cell>
          <cell r="Q492" t="str">
            <v>GU10</v>
          </cell>
          <cell r="R492" t="str">
            <v>METAL</v>
          </cell>
          <cell r="S492" t="str">
            <v>ESKİTME</v>
          </cell>
          <cell r="T492" t="str">
            <v>AKRİLİK</v>
          </cell>
          <cell r="U492" t="str">
            <v>ŞEFFAF</v>
          </cell>
          <cell r="AD492" t="str">
            <v>N/A</v>
          </cell>
          <cell r="AE492" t="str">
            <v>03</v>
          </cell>
          <cell r="AF492">
            <v>0</v>
          </cell>
          <cell r="AG492" t="str">
            <v>ADET</v>
          </cell>
          <cell r="AH492">
            <v>240</v>
          </cell>
          <cell r="AI492" t="str">
            <v>CNY</v>
          </cell>
          <cell r="AJ492">
            <v>4950</v>
          </cell>
          <cell r="AK492" t="str">
            <v>TL</v>
          </cell>
          <cell r="AL492">
            <v>1</v>
          </cell>
          <cell r="AM492" t="str">
            <v>8684127506236</v>
          </cell>
          <cell r="AO492">
            <v>0</v>
          </cell>
          <cell r="AQ492">
            <v>90</v>
          </cell>
          <cell r="AR492" t="str">
            <v>CM</v>
          </cell>
          <cell r="AS492">
            <v>20</v>
          </cell>
          <cell r="AT492" t="str">
            <v>CM</v>
          </cell>
          <cell r="AU492">
            <v>0</v>
          </cell>
          <cell r="AW492">
            <v>0</v>
          </cell>
        </row>
        <row r="493">
          <cell r="B493" t="str">
            <v>H1W3JME0000-076</v>
          </cell>
          <cell r="C493" t="str">
            <v>ANGOLA İKİLİ ESKİTME APLİK</v>
          </cell>
          <cell r="D493" t="str">
            <v>ANGOLA DOUBLE BRUSHED BRASS WALL LAMP</v>
          </cell>
          <cell r="E493" t="str">
            <v>METAL YOK ESKİTME YOK</v>
          </cell>
          <cell r="F493" t="str">
            <v>9405.19.90.00.00</v>
          </cell>
          <cell r="G493" t="str">
            <v>APLİK</v>
          </cell>
          <cell r="H493" t="str">
            <v>T1W3110000-75</v>
          </cell>
          <cell r="I493" t="str">
            <v>İÇ</v>
          </cell>
          <cell r="J493" t="str">
            <v>APLİK</v>
          </cell>
          <cell r="K493" t="str">
            <v>ANGOLA</v>
          </cell>
          <cell r="L493" t="str">
            <v/>
          </cell>
          <cell r="M493" t="str">
            <v/>
          </cell>
          <cell r="N493" t="str">
            <v>XQL-B6902-2</v>
          </cell>
          <cell r="O493" t="str">
            <v>HEKA</v>
          </cell>
          <cell r="P493" t="str">
            <v>ADET</v>
          </cell>
          <cell r="Q493" t="str">
            <v>G9</v>
          </cell>
          <cell r="R493" t="str">
            <v>METAL</v>
          </cell>
          <cell r="S493" t="str">
            <v>ESKİTME</v>
          </cell>
          <cell r="T493" t="str">
            <v>YOK</v>
          </cell>
          <cell r="U493" t="str">
            <v>YOK</v>
          </cell>
          <cell r="AD493" t="str">
            <v>N/A</v>
          </cell>
          <cell r="AE493" t="str">
            <v>03</v>
          </cell>
          <cell r="AF493">
            <v>0</v>
          </cell>
          <cell r="AG493" t="str">
            <v>ADET</v>
          </cell>
          <cell r="AH493">
            <v>75</v>
          </cell>
          <cell r="AI493" t="str">
            <v>CNY</v>
          </cell>
          <cell r="AJ493">
            <v>4284</v>
          </cell>
          <cell r="AK493" t="str">
            <v>TL</v>
          </cell>
          <cell r="AL493">
            <v>1</v>
          </cell>
          <cell r="AM493" t="str">
            <v>8684127501446</v>
          </cell>
          <cell r="AO493">
            <v>0</v>
          </cell>
          <cell r="AQ493">
            <v>0</v>
          </cell>
          <cell r="AR493" t="str">
            <v>CM</v>
          </cell>
          <cell r="AS493">
            <v>0</v>
          </cell>
          <cell r="AT493" t="str">
            <v>CM</v>
          </cell>
          <cell r="AU493">
            <v>0</v>
          </cell>
          <cell r="AW493">
            <v>0</v>
          </cell>
        </row>
        <row r="494">
          <cell r="B494" t="str">
            <v>T1C6JMEWRYR-020</v>
          </cell>
          <cell r="C494" t="str">
            <v>*MD6352* YEŞİL 20 CM ÇAPINDA MERMER SARKIT</v>
          </cell>
          <cell r="D494" t="str">
            <v>N/A</v>
          </cell>
          <cell r="E494" t="str">
            <v>METAL MERMER ESKİTME YEŞİL</v>
          </cell>
          <cell r="F494" t="str">
            <v>9405.11.90.00.00</v>
          </cell>
          <cell r="G494" t="str">
            <v>AVİZE</v>
          </cell>
          <cell r="H494" t="str">
            <v>T1A6113400-20</v>
          </cell>
          <cell r="I494" t="str">
            <v>İÇ</v>
          </cell>
          <cell r="J494" t="str">
            <v>SARKIT</v>
          </cell>
          <cell r="K494" t="str">
            <v>MD6352Y</v>
          </cell>
          <cell r="L494" t="str">
            <v/>
          </cell>
          <cell r="M494" t="str">
            <v/>
          </cell>
          <cell r="N494" t="str">
            <v>MD6352Y</v>
          </cell>
          <cell r="O494" t="str">
            <v>HEKA</v>
          </cell>
          <cell r="P494" t="str">
            <v>ADET</v>
          </cell>
          <cell r="Q494" t="str">
            <v>LED</v>
          </cell>
          <cell r="R494" t="str">
            <v>METAL</v>
          </cell>
          <cell r="S494" t="str">
            <v>ESKİTME</v>
          </cell>
          <cell r="T494" t="str">
            <v>MERMER</v>
          </cell>
          <cell r="U494" t="str">
            <v>YEŞİL</v>
          </cell>
          <cell r="AD494" t="str">
            <v>DAİRE</v>
          </cell>
          <cell r="AE494" t="str">
            <v>01</v>
          </cell>
          <cell r="AF494">
            <v>0</v>
          </cell>
          <cell r="AG494" t="str">
            <v>ADET</v>
          </cell>
          <cell r="AH494">
            <v>175</v>
          </cell>
          <cell r="AI494" t="str">
            <v>CNY</v>
          </cell>
          <cell r="AJ494">
            <v>1760</v>
          </cell>
          <cell r="AK494" t="str">
            <v>TL</v>
          </cell>
          <cell r="AL494">
            <v>1</v>
          </cell>
          <cell r="AM494" t="str">
            <v>8684127509435</v>
          </cell>
          <cell r="AO494">
            <v>0</v>
          </cell>
          <cell r="AQ494">
            <v>29</v>
          </cell>
          <cell r="AR494" t="str">
            <v>CM</v>
          </cell>
          <cell r="AS494">
            <v>20</v>
          </cell>
          <cell r="AT494" t="str">
            <v>CM</v>
          </cell>
          <cell r="AU494">
            <v>0</v>
          </cell>
          <cell r="AW494">
            <v>0</v>
          </cell>
        </row>
        <row r="495">
          <cell r="B495" t="str">
            <v>T1C6JMEWRBR-020</v>
          </cell>
          <cell r="C495" t="str">
            <v>*MD6352* BEYAZ 20 CM ÇAPINDA MERMER SARKIT</v>
          </cell>
          <cell r="D495" t="str">
            <v>N/A</v>
          </cell>
          <cell r="E495" t="str">
            <v>METAL MERMER ESKİTME BEYAZ</v>
          </cell>
          <cell r="F495" t="str">
            <v>9405.11.90.00.00</v>
          </cell>
          <cell r="G495" t="str">
            <v>AVİZE</v>
          </cell>
          <cell r="H495" t="str">
            <v>T1A6113100-20</v>
          </cell>
          <cell r="I495" t="str">
            <v>İÇ</v>
          </cell>
          <cell r="J495" t="str">
            <v>SARKIT</v>
          </cell>
          <cell r="K495" t="str">
            <v>MD6352B</v>
          </cell>
          <cell r="L495" t="str">
            <v/>
          </cell>
          <cell r="M495" t="str">
            <v/>
          </cell>
          <cell r="N495" t="str">
            <v>MD6352B</v>
          </cell>
          <cell r="O495" t="str">
            <v>HEKA</v>
          </cell>
          <cell r="P495" t="str">
            <v>ADET</v>
          </cell>
          <cell r="Q495" t="str">
            <v>LED</v>
          </cell>
          <cell r="R495" t="str">
            <v>METAL</v>
          </cell>
          <cell r="S495" t="str">
            <v>ESKİTME</v>
          </cell>
          <cell r="T495" t="str">
            <v>MERMER</v>
          </cell>
          <cell r="U495" t="str">
            <v>BEYAZ</v>
          </cell>
          <cell r="AD495" t="str">
            <v>DAİRE</v>
          </cell>
          <cell r="AE495" t="str">
            <v>01</v>
          </cell>
          <cell r="AF495">
            <v>0</v>
          </cell>
          <cell r="AG495" t="str">
            <v>ADET</v>
          </cell>
          <cell r="AH495">
            <v>175</v>
          </cell>
          <cell r="AI495" t="str">
            <v>CNY</v>
          </cell>
          <cell r="AJ495">
            <v>1760</v>
          </cell>
          <cell r="AK495" t="str">
            <v>TL</v>
          </cell>
          <cell r="AL495">
            <v>1</v>
          </cell>
          <cell r="AM495" t="str">
            <v>8684127509411</v>
          </cell>
          <cell r="AO495">
            <v>0</v>
          </cell>
          <cell r="AQ495">
            <v>29</v>
          </cell>
          <cell r="AR495" t="str">
            <v>CM</v>
          </cell>
          <cell r="AS495">
            <v>20</v>
          </cell>
          <cell r="AT495" t="str">
            <v>CM</v>
          </cell>
          <cell r="AU495">
            <v>0</v>
          </cell>
          <cell r="AW495">
            <v>0</v>
          </cell>
        </row>
        <row r="496">
          <cell r="B496" t="str">
            <v>01.050.00.04.01</v>
          </cell>
          <cell r="C496" t="str">
            <v>YUVARLAK TEPSİ SİYAH 50cm</v>
          </cell>
          <cell r="D496" t="str">
            <v>BLACK ROUND TRAY 50cm</v>
          </cell>
          <cell r="E496" t="str">
            <v/>
          </cell>
          <cell r="F496" t="str">
            <v/>
          </cell>
          <cell r="G496" t="str">
            <v>ZPARCA</v>
          </cell>
          <cell r="H496" t="str">
            <v>01.050.00.04.01</v>
          </cell>
          <cell r="I496" t="str">
            <v>İÇ</v>
          </cell>
          <cell r="J496" t="str">
            <v>ZPARCA</v>
          </cell>
          <cell r="K496" t="str">
            <v/>
          </cell>
          <cell r="L496" t="str">
            <v/>
          </cell>
          <cell r="M496" t="str">
            <v>ÜRTM:7GÜN</v>
          </cell>
          <cell r="N496" t="str">
            <v/>
          </cell>
          <cell r="O496" t="str">
            <v>HEKA</v>
          </cell>
          <cell r="P496" t="str">
            <v>ADET</v>
          </cell>
          <cell r="R496" t="str">
            <v>METAL</v>
          </cell>
          <cell r="S496" t="str">
            <v>SİYAH</v>
          </cell>
          <cell r="AF496">
            <v>59</v>
          </cell>
          <cell r="AG496" t="str">
            <v>ADET</v>
          </cell>
          <cell r="AH496">
            <v>36</v>
          </cell>
          <cell r="AI496" t="str">
            <v>CNY</v>
          </cell>
          <cell r="AJ496">
            <v>1220</v>
          </cell>
          <cell r="AK496" t="str">
            <v>TL</v>
          </cell>
          <cell r="AL496">
            <v>1</v>
          </cell>
          <cell r="AM496" t="str">
            <v>01.050.00.04.01</v>
          </cell>
          <cell r="AO496">
            <v>0</v>
          </cell>
          <cell r="AQ496">
            <v>0</v>
          </cell>
          <cell r="AS496">
            <v>100</v>
          </cell>
          <cell r="AU496">
            <v>0</v>
          </cell>
          <cell r="AW496">
            <v>0</v>
          </cell>
        </row>
        <row r="497">
          <cell r="B497" t="str">
            <v>H1C1JMG0000-040</v>
          </cell>
          <cell r="C497" t="str">
            <v>ASTARA 2 Lİ GİNGKO YAPRAK SARKIT</v>
          </cell>
          <cell r="D497" t="str">
            <v>ASTARA DOUBLE GINGKO LEAF PENDANT</v>
          </cell>
          <cell r="E497" t="str">
            <v>METAL YOK GOLD YOK</v>
          </cell>
          <cell r="F497" t="str">
            <v>9405.19.90.00.00</v>
          </cell>
          <cell r="G497" t="str">
            <v>AVİZE</v>
          </cell>
          <cell r="H497" t="str">
            <v>H1A1120002-40</v>
          </cell>
          <cell r="I497" t="str">
            <v>İÇ</v>
          </cell>
          <cell r="J497" t="str">
            <v>AVİZE.SARK</v>
          </cell>
          <cell r="K497" t="str">
            <v>ASTARA</v>
          </cell>
          <cell r="L497" t="str">
            <v/>
          </cell>
          <cell r="M497" t="str">
            <v/>
          </cell>
          <cell r="N497" t="str">
            <v/>
          </cell>
          <cell r="O497" t="str">
            <v>LIGHTIST</v>
          </cell>
          <cell r="P497" t="str">
            <v>ADET</v>
          </cell>
          <cell r="Q497" t="str">
            <v>E14</v>
          </cell>
          <cell r="R497" t="str">
            <v>METAL</v>
          </cell>
          <cell r="S497" t="str">
            <v>GOLD</v>
          </cell>
          <cell r="T497" t="str">
            <v>YOK</v>
          </cell>
          <cell r="U497" t="str">
            <v>YOK</v>
          </cell>
          <cell r="AD497" t="str">
            <v>N/A</v>
          </cell>
          <cell r="AE497" t="str">
            <v>02</v>
          </cell>
          <cell r="AF497">
            <v>0</v>
          </cell>
          <cell r="AG497" t="str">
            <v>ADET</v>
          </cell>
          <cell r="AH497">
            <v>4750</v>
          </cell>
          <cell r="AI497" t="str">
            <v>TL</v>
          </cell>
          <cell r="AJ497">
            <v>15750</v>
          </cell>
          <cell r="AK497" t="str">
            <v>TL</v>
          </cell>
          <cell r="AL497">
            <v>1</v>
          </cell>
          <cell r="AM497" t="str">
            <v>8684127509534</v>
          </cell>
          <cell r="AO497">
            <v>0</v>
          </cell>
          <cell r="AQ497">
            <v>9</v>
          </cell>
          <cell r="AR497" t="str">
            <v>CM</v>
          </cell>
          <cell r="AS497">
            <v>40</v>
          </cell>
          <cell r="AT497" t="str">
            <v>CM</v>
          </cell>
          <cell r="AU497">
            <v>0</v>
          </cell>
          <cell r="AW497">
            <v>0</v>
          </cell>
        </row>
        <row r="498">
          <cell r="B498" t="str">
            <v>H1W2JMK0000-047</v>
          </cell>
          <cell r="C498" t="str">
            <v>BRUBECK MAT KROM APLİK</v>
          </cell>
          <cell r="D498" t="str">
            <v>BRUBECK CHROME WALL LAMP</v>
          </cell>
          <cell r="E498" t="str">
            <v>METAL YOK KROM YOK</v>
          </cell>
          <cell r="F498" t="str">
            <v>9405.19.90.00.00</v>
          </cell>
          <cell r="G498" t="str">
            <v>APLİK</v>
          </cell>
          <cell r="H498" t="str">
            <v>H1W2160000-47</v>
          </cell>
          <cell r="I498" t="str">
            <v>İÇ</v>
          </cell>
          <cell r="J498" t="str">
            <v>APLİK</v>
          </cell>
          <cell r="K498" t="str">
            <v>BRUBECK</v>
          </cell>
          <cell r="L498" t="str">
            <v/>
          </cell>
          <cell r="M498" t="str">
            <v>ÜRTM:15GÜN</v>
          </cell>
          <cell r="N498" t="str">
            <v>HK20065</v>
          </cell>
          <cell r="O498" t="str">
            <v>HEKA</v>
          </cell>
          <cell r="P498" t="str">
            <v>ADET</v>
          </cell>
          <cell r="Q498" t="str">
            <v>E27</v>
          </cell>
          <cell r="R498" t="str">
            <v>METAL</v>
          </cell>
          <cell r="S498" t="str">
            <v>KROM</v>
          </cell>
          <cell r="T498" t="str">
            <v>YOK</v>
          </cell>
          <cell r="U498" t="str">
            <v>YOK</v>
          </cell>
          <cell r="AD498" t="str">
            <v>N/A</v>
          </cell>
          <cell r="AE498" t="str">
            <v>02</v>
          </cell>
          <cell r="AF498">
            <v>19</v>
          </cell>
          <cell r="AG498" t="str">
            <v>ADET</v>
          </cell>
          <cell r="AH498">
            <v>300</v>
          </cell>
          <cell r="AI498" t="str">
            <v>TL</v>
          </cell>
          <cell r="AJ498">
            <v>4998</v>
          </cell>
          <cell r="AK498" t="str">
            <v>TL</v>
          </cell>
          <cell r="AL498">
            <v>1</v>
          </cell>
          <cell r="AM498" t="str">
            <v>8684127501682</v>
          </cell>
          <cell r="AO498">
            <v>0</v>
          </cell>
          <cell r="AQ498">
            <v>0</v>
          </cell>
          <cell r="AR498" t="str">
            <v>CM</v>
          </cell>
          <cell r="AS498">
            <v>0</v>
          </cell>
          <cell r="AT498" t="str">
            <v>CM</v>
          </cell>
          <cell r="AU498">
            <v>0</v>
          </cell>
          <cell r="AW498">
            <v>0</v>
          </cell>
        </row>
        <row r="499">
          <cell r="B499" t="str">
            <v>H1W6JRSLCTL-050</v>
          </cell>
          <cell r="C499" t="str">
            <v>ASSOS LED SİYAH APLİK 50cm</v>
          </cell>
          <cell r="D499" t="str">
            <v>ASSOS LED BLACK WALL LAMP 50cm</v>
          </cell>
          <cell r="E499" t="str">
            <v>METAL PLEKSİ SİYAH SOFT</v>
          </cell>
          <cell r="F499" t="str">
            <v>9405.11.90.00.00</v>
          </cell>
          <cell r="G499" t="str">
            <v>APLİK</v>
          </cell>
          <cell r="H499" t="str">
            <v>T1W6148100-50</v>
          </cell>
          <cell r="I499" t="str">
            <v>İÇ</v>
          </cell>
          <cell r="J499" t="str">
            <v>APLİK</v>
          </cell>
          <cell r="K499" t="str">
            <v>ASSOS</v>
          </cell>
          <cell r="L499" t="str">
            <v/>
          </cell>
          <cell r="M499" t="str">
            <v>ÜRTM:15GÜN</v>
          </cell>
          <cell r="N499" t="str">
            <v>B9905-BC-50</v>
          </cell>
          <cell r="O499" t="str">
            <v>HEKA</v>
          </cell>
          <cell r="P499" t="str">
            <v>ADET</v>
          </cell>
          <cell r="Q499" t="str">
            <v>LED</v>
          </cell>
          <cell r="R499" t="str">
            <v>METAL</v>
          </cell>
          <cell r="S499" t="str">
            <v>SİYAH</v>
          </cell>
          <cell r="T499" t="str">
            <v>PLEKSİ</v>
          </cell>
          <cell r="U499" t="str">
            <v>SOFT</v>
          </cell>
          <cell r="AD499" t="str">
            <v>DÜZ</v>
          </cell>
          <cell r="AF499">
            <v>0</v>
          </cell>
          <cell r="AG499" t="str">
            <v>ADET</v>
          </cell>
          <cell r="AH499">
            <v>47.5</v>
          </cell>
          <cell r="AI499" t="str">
            <v>CNY</v>
          </cell>
          <cell r="AJ499">
            <v>4200</v>
          </cell>
          <cell r="AK499" t="str">
            <v>TL</v>
          </cell>
          <cell r="AL499">
            <v>1</v>
          </cell>
          <cell r="AM499" t="str">
            <v>8684127501590</v>
          </cell>
          <cell r="AO499">
            <v>0</v>
          </cell>
          <cell r="AQ499">
            <v>50</v>
          </cell>
          <cell r="AR499" t="str">
            <v>CM</v>
          </cell>
          <cell r="AS499">
            <v>8</v>
          </cell>
          <cell r="AT499" t="str">
            <v>CM</v>
          </cell>
          <cell r="AU499">
            <v>0</v>
          </cell>
          <cell r="AW499">
            <v>0</v>
          </cell>
        </row>
        <row r="500">
          <cell r="B500" t="str">
            <v>H1C3JMKECT0-059</v>
          </cell>
          <cell r="C500" t="str">
            <v>HALLE ÜÇLÜ KROM AVİZE</v>
          </cell>
          <cell r="D500" t="str">
            <v>HALLE TRIPLE CHROME CHANDELIER</v>
          </cell>
          <cell r="E500" t="str">
            <v>METAL CAM KROM SOFT</v>
          </cell>
          <cell r="F500" t="str">
            <v>9405.19.90.00.00</v>
          </cell>
          <cell r="G500" t="str">
            <v>AVİZE</v>
          </cell>
          <cell r="H500" t="str">
            <v>H1A3132100-00</v>
          </cell>
          <cell r="I500" t="str">
            <v>İÇ</v>
          </cell>
          <cell r="J500" t="str">
            <v>AVİZE.SARK</v>
          </cell>
          <cell r="K500" t="str">
            <v>HALLE</v>
          </cell>
          <cell r="L500" t="str">
            <v/>
          </cell>
          <cell r="M500" t="str">
            <v/>
          </cell>
          <cell r="N500" t="str">
            <v/>
          </cell>
          <cell r="O500" t="str">
            <v>HEKA</v>
          </cell>
          <cell r="P500" t="str">
            <v>ADET</v>
          </cell>
          <cell r="Q500" t="str">
            <v>G9</v>
          </cell>
          <cell r="R500" t="str">
            <v>METAL</v>
          </cell>
          <cell r="S500" t="str">
            <v>KROM</v>
          </cell>
          <cell r="T500" t="str">
            <v>CAM</v>
          </cell>
          <cell r="U500" t="str">
            <v>SOFT</v>
          </cell>
          <cell r="AD500" t="str">
            <v>N/A</v>
          </cell>
          <cell r="AE500" t="str">
            <v>04</v>
          </cell>
          <cell r="AF500">
            <v>0</v>
          </cell>
          <cell r="AG500" t="str">
            <v>ADET</v>
          </cell>
          <cell r="AJ500">
            <v>1750</v>
          </cell>
          <cell r="AK500" t="str">
            <v>TL</v>
          </cell>
          <cell r="AL500">
            <v>1</v>
          </cell>
          <cell r="AM500" t="str">
            <v>8684127509794</v>
          </cell>
          <cell r="AO500">
            <v>0</v>
          </cell>
          <cell r="AQ500">
            <v>10</v>
          </cell>
          <cell r="AR500" t="str">
            <v>CM</v>
          </cell>
          <cell r="AS500">
            <v>59</v>
          </cell>
          <cell r="AT500" t="str">
            <v>CM</v>
          </cell>
          <cell r="AU500">
            <v>0</v>
          </cell>
          <cell r="AW500">
            <v>0</v>
          </cell>
        </row>
        <row r="501">
          <cell r="B501" t="str">
            <v>H1C3JMGECT0-059</v>
          </cell>
          <cell r="C501" t="str">
            <v>HALLE ÜÇLÜ ALTIN AVİZE</v>
          </cell>
          <cell r="D501" t="str">
            <v>HALLE TRIPLE GOLD CHANDELIER</v>
          </cell>
          <cell r="E501" t="str">
            <v>METAL CAM GOLD SOFT</v>
          </cell>
          <cell r="F501" t="str">
            <v>9405.19.90.00.00</v>
          </cell>
          <cell r="G501" t="str">
            <v>AVİZE</v>
          </cell>
          <cell r="H501" t="str">
            <v>H1A3122100-00</v>
          </cell>
          <cell r="I501" t="str">
            <v>İÇ</v>
          </cell>
          <cell r="J501" t="str">
            <v>AVİZE.SARK</v>
          </cell>
          <cell r="K501" t="str">
            <v>HALLE</v>
          </cell>
          <cell r="L501" t="str">
            <v/>
          </cell>
          <cell r="M501" t="str">
            <v/>
          </cell>
          <cell r="N501" t="str">
            <v/>
          </cell>
          <cell r="O501" t="str">
            <v>HEKA</v>
          </cell>
          <cell r="P501" t="str">
            <v>ADET</v>
          </cell>
          <cell r="Q501" t="str">
            <v>G9</v>
          </cell>
          <cell r="R501" t="str">
            <v>METAL</v>
          </cell>
          <cell r="S501" t="str">
            <v>GOLD</v>
          </cell>
          <cell r="T501" t="str">
            <v>CAM</v>
          </cell>
          <cell r="U501" t="str">
            <v>SOFT</v>
          </cell>
          <cell r="AD501" t="str">
            <v>N/A</v>
          </cell>
          <cell r="AE501" t="str">
            <v>04</v>
          </cell>
          <cell r="AF501">
            <v>0</v>
          </cell>
          <cell r="AG501" t="str">
            <v>ADET</v>
          </cell>
          <cell r="AJ501">
            <v>1750</v>
          </cell>
          <cell r="AK501" t="str">
            <v>TL</v>
          </cell>
          <cell r="AL501">
            <v>1</v>
          </cell>
          <cell r="AM501" t="str">
            <v>8684127509787</v>
          </cell>
          <cell r="AO501">
            <v>0</v>
          </cell>
          <cell r="AQ501">
            <v>10</v>
          </cell>
          <cell r="AR501" t="str">
            <v>CM</v>
          </cell>
          <cell r="AS501">
            <v>59</v>
          </cell>
          <cell r="AT501" t="str">
            <v>CM</v>
          </cell>
          <cell r="AU501">
            <v>0</v>
          </cell>
          <cell r="AW501">
            <v>0</v>
          </cell>
        </row>
        <row r="502">
          <cell r="B502" t="str">
            <v>H1W6WRBJMER-030</v>
          </cell>
          <cell r="C502" t="str">
            <v>ASPENDOS TEKLİ MERMER ESKİTME APLİK 30cm</v>
          </cell>
          <cell r="D502" t="str">
            <v>ASPENDOS SINGLE MARBLE BRUSHED BRASS WALL LAMP 30cm</v>
          </cell>
          <cell r="E502" t="str">
            <v>MERMER METAL BEYAZ ESKİTME</v>
          </cell>
          <cell r="F502" t="str">
            <v>9405.11.90.00.00</v>
          </cell>
          <cell r="G502" t="str">
            <v>APLİK</v>
          </cell>
          <cell r="H502" t="str">
            <v>H1W6314300-30</v>
          </cell>
          <cell r="I502" t="str">
            <v>İÇ</v>
          </cell>
          <cell r="J502" t="str">
            <v>APLİK</v>
          </cell>
          <cell r="K502" t="str">
            <v>ASPENDOS</v>
          </cell>
          <cell r="L502" t="str">
            <v/>
          </cell>
          <cell r="M502" t="str">
            <v>28.02.2026</v>
          </cell>
          <cell r="N502" t="str">
            <v>HKA-24099</v>
          </cell>
          <cell r="O502" t="str">
            <v>HEKA</v>
          </cell>
          <cell r="P502" t="str">
            <v>ADET</v>
          </cell>
          <cell r="Q502" t="str">
            <v>LED</v>
          </cell>
          <cell r="R502" t="str">
            <v>MERMER</v>
          </cell>
          <cell r="S502" t="str">
            <v>BEYAZ</v>
          </cell>
          <cell r="T502" t="str">
            <v>METAL</v>
          </cell>
          <cell r="U502" t="str">
            <v>ESKİTME</v>
          </cell>
          <cell r="AD502" t="str">
            <v>DAİRE</v>
          </cell>
          <cell r="AF502">
            <v>2</v>
          </cell>
          <cell r="AG502" t="str">
            <v>ADET</v>
          </cell>
          <cell r="AH502">
            <v>135</v>
          </cell>
          <cell r="AI502" t="str">
            <v>CNY</v>
          </cell>
          <cell r="AJ502">
            <v>11600</v>
          </cell>
          <cell r="AK502" t="str">
            <v>TL</v>
          </cell>
          <cell r="AL502">
            <v>1</v>
          </cell>
          <cell r="AM502" t="str">
            <v>8684127506137</v>
          </cell>
          <cell r="AO502">
            <v>0</v>
          </cell>
          <cell r="AQ502">
            <v>6</v>
          </cell>
          <cell r="AR502" t="str">
            <v>CM</v>
          </cell>
          <cell r="AS502">
            <v>30</v>
          </cell>
          <cell r="AT502" t="str">
            <v>CM</v>
          </cell>
          <cell r="AU502">
            <v>0</v>
          </cell>
          <cell r="AW502">
            <v>0</v>
          </cell>
        </row>
        <row r="503">
          <cell r="B503" t="str">
            <v>H1C6JMGECTR-030</v>
          </cell>
          <cell r="C503" t="str">
            <v>APPLE OPAL CAM SARKIT 30cm</v>
          </cell>
          <cell r="D503" t="str">
            <v>APPLE OPAL GLASS PENDANT 30cm</v>
          </cell>
          <cell r="E503" t="str">
            <v xml:space="preserve">METAL CAM  GOLD SOFT   </v>
          </cell>
          <cell r="F503" t="str">
            <v>9405.11.90.00.00</v>
          </cell>
          <cell r="G503" t="str">
            <v>AVİZE</v>
          </cell>
          <cell r="H503" t="str">
            <v>T1A6211100-30</v>
          </cell>
          <cell r="I503" t="str">
            <v>İÇ</v>
          </cell>
          <cell r="J503" t="str">
            <v>AVİZE.SARK</v>
          </cell>
          <cell r="K503" t="str">
            <v>APPLE</v>
          </cell>
          <cell r="L503" t="str">
            <v/>
          </cell>
          <cell r="M503" t="str">
            <v/>
          </cell>
          <cell r="N503" t="str">
            <v>HKA-24131</v>
          </cell>
          <cell r="O503" t="str">
            <v>HEKA</v>
          </cell>
          <cell r="P503" t="str">
            <v>ADET</v>
          </cell>
          <cell r="Q503" t="str">
            <v>LED</v>
          </cell>
          <cell r="R503" t="str">
            <v>METAL</v>
          </cell>
          <cell r="S503" t="str">
            <v>GOLD</v>
          </cell>
          <cell r="T503" t="str">
            <v>CAM</v>
          </cell>
          <cell r="U503" t="str">
            <v>SOFT</v>
          </cell>
          <cell r="AD503" t="str">
            <v>DAİRE</v>
          </cell>
          <cell r="AF503">
            <v>21</v>
          </cell>
          <cell r="AG503" t="str">
            <v>ADET</v>
          </cell>
          <cell r="AH503">
            <v>70</v>
          </cell>
          <cell r="AI503" t="str">
            <v>CNY</v>
          </cell>
          <cell r="AJ503">
            <v>6550</v>
          </cell>
          <cell r="AK503" t="str">
            <v>TL</v>
          </cell>
          <cell r="AL503">
            <v>1</v>
          </cell>
          <cell r="AM503" t="str">
            <v>8684127501453</v>
          </cell>
          <cell r="AO503">
            <v>0</v>
          </cell>
          <cell r="AQ503">
            <v>45</v>
          </cell>
          <cell r="AR503" t="str">
            <v>CM</v>
          </cell>
          <cell r="AS503">
            <v>30</v>
          </cell>
          <cell r="AT503" t="str">
            <v>CM</v>
          </cell>
          <cell r="AU503">
            <v>0</v>
          </cell>
          <cell r="AW503">
            <v>0</v>
          </cell>
        </row>
        <row r="504">
          <cell r="B504" t="str">
            <v>H1W6JMELCTL-080</v>
          </cell>
          <cell r="C504" t="str">
            <v>AKRA LED APLİK 80cm</v>
          </cell>
          <cell r="D504" t="str">
            <v>AKRA LED WALL LAMP 80cm</v>
          </cell>
          <cell r="E504" t="str">
            <v>METAL PLEKSİ ESKİTME SOFT</v>
          </cell>
          <cell r="F504" t="str">
            <v>9405.11.90.00.00</v>
          </cell>
          <cell r="G504" t="str">
            <v>APLİK</v>
          </cell>
          <cell r="H504" t="str">
            <v>T1W6631100-80</v>
          </cell>
          <cell r="I504" t="str">
            <v>İÇ</v>
          </cell>
          <cell r="J504" t="str">
            <v>APLİK</v>
          </cell>
          <cell r="K504" t="str">
            <v>AKRA</v>
          </cell>
          <cell r="L504" t="str">
            <v>Ç</v>
          </cell>
          <cell r="M504" t="str">
            <v/>
          </cell>
          <cell r="N504" t="str">
            <v>HKA-24328</v>
          </cell>
          <cell r="O504" t="str">
            <v>HEKA</v>
          </cell>
          <cell r="P504" t="str">
            <v>ADET</v>
          </cell>
          <cell r="Q504" t="str">
            <v>LED</v>
          </cell>
          <cell r="R504" t="str">
            <v>METAL</v>
          </cell>
          <cell r="S504" t="str">
            <v>ESKİTME</v>
          </cell>
          <cell r="T504" t="str">
            <v>PLEKSİ</v>
          </cell>
          <cell r="U504" t="str">
            <v>SOFT</v>
          </cell>
          <cell r="AD504" t="str">
            <v>DÜZ</v>
          </cell>
          <cell r="AF504">
            <v>43</v>
          </cell>
          <cell r="AG504" t="str">
            <v>ADET</v>
          </cell>
          <cell r="AH504">
            <v>70</v>
          </cell>
          <cell r="AI504" t="str">
            <v>CNY</v>
          </cell>
          <cell r="AJ504">
            <v>6950</v>
          </cell>
          <cell r="AK504" t="str">
            <v>TL</v>
          </cell>
          <cell r="AL504">
            <v>1</v>
          </cell>
          <cell r="AM504" t="str">
            <v>8684127501378</v>
          </cell>
          <cell r="AO504">
            <v>0</v>
          </cell>
          <cell r="AQ504">
            <v>0</v>
          </cell>
          <cell r="AR504" t="str">
            <v>CM</v>
          </cell>
          <cell r="AS504">
            <v>0</v>
          </cell>
          <cell r="AT504" t="str">
            <v>CM</v>
          </cell>
          <cell r="AU504">
            <v>0</v>
          </cell>
          <cell r="AW504">
            <v>0</v>
          </cell>
        </row>
        <row r="505">
          <cell r="B505" t="str">
            <v>H1W6JMELCTL-101</v>
          </cell>
          <cell r="C505" t="str">
            <v>AKRA LED APLİK 100cm</v>
          </cell>
          <cell r="D505" t="str">
            <v>AKRA LED WALL LAMP 100cm</v>
          </cell>
          <cell r="E505" t="str">
            <v>METAL PLEKSİ ESKİTME SOFT</v>
          </cell>
          <cell r="F505" t="str">
            <v>9405.11.90.00.00</v>
          </cell>
          <cell r="G505" t="str">
            <v>APLİK</v>
          </cell>
          <cell r="H505" t="str">
            <v>T1W6631100-99</v>
          </cell>
          <cell r="I505" t="str">
            <v>İÇ</v>
          </cell>
          <cell r="J505" t="str">
            <v>APLİK</v>
          </cell>
          <cell r="K505" t="str">
            <v>AKRA</v>
          </cell>
          <cell r="L505" t="str">
            <v/>
          </cell>
          <cell r="M505" t="str">
            <v/>
          </cell>
          <cell r="N505" t="str">
            <v>HKA-24329</v>
          </cell>
          <cell r="O505" t="str">
            <v>HEKA</v>
          </cell>
          <cell r="P505" t="str">
            <v>ADET</v>
          </cell>
          <cell r="Q505" t="str">
            <v>LED</v>
          </cell>
          <cell r="R505" t="str">
            <v>METAL</v>
          </cell>
          <cell r="S505" t="str">
            <v>ESKİTME</v>
          </cell>
          <cell r="T505" t="str">
            <v>PLEKSİ</v>
          </cell>
          <cell r="U505" t="str">
            <v>SOFT</v>
          </cell>
          <cell r="AD505" t="str">
            <v>DÜZ</v>
          </cell>
          <cell r="AF505">
            <v>30</v>
          </cell>
          <cell r="AG505" t="str">
            <v>ADET</v>
          </cell>
          <cell r="AH505">
            <v>80</v>
          </cell>
          <cell r="AI505" t="str">
            <v>CNY</v>
          </cell>
          <cell r="AJ505">
            <v>8350</v>
          </cell>
          <cell r="AK505" t="str">
            <v>TL</v>
          </cell>
          <cell r="AL505">
            <v>1</v>
          </cell>
          <cell r="AM505" t="str">
            <v>8684127501361</v>
          </cell>
          <cell r="AO505">
            <v>0</v>
          </cell>
          <cell r="AQ505">
            <v>0</v>
          </cell>
          <cell r="AR505" t="str">
            <v>CM</v>
          </cell>
          <cell r="AS505">
            <v>0</v>
          </cell>
          <cell r="AT505" t="str">
            <v>CM</v>
          </cell>
          <cell r="AU505">
            <v>0</v>
          </cell>
          <cell r="AW505">
            <v>0</v>
          </cell>
        </row>
        <row r="506">
          <cell r="B506" t="str">
            <v>H1W1JRSWRB0-032</v>
          </cell>
          <cell r="C506" t="str">
            <v>ARDIÇ SİYAH APLİK KÜÇÜK</v>
          </cell>
          <cell r="D506" t="str">
            <v>ARDIÇ BLACK WALL LAMP SMALL</v>
          </cell>
          <cell r="E506" t="str">
            <v>METAL MERMER SİYAH BEYAZ</v>
          </cell>
          <cell r="F506" t="str">
            <v>9405.19.90.00.00</v>
          </cell>
          <cell r="G506" t="str">
            <v>APLİK</v>
          </cell>
          <cell r="H506" t="str">
            <v>T1W1143100-32</v>
          </cell>
          <cell r="I506" t="str">
            <v>İÇ</v>
          </cell>
          <cell r="J506" t="str">
            <v>APLİK</v>
          </cell>
          <cell r="K506" t="str">
            <v>ARDIÇ</v>
          </cell>
          <cell r="L506" t="str">
            <v/>
          </cell>
          <cell r="M506" t="str">
            <v/>
          </cell>
          <cell r="N506" t="str">
            <v>002-BC-S</v>
          </cell>
          <cell r="O506" t="str">
            <v>HEKA</v>
          </cell>
          <cell r="P506" t="str">
            <v>ADET</v>
          </cell>
          <cell r="Q506" t="str">
            <v>E14</v>
          </cell>
          <cell r="R506" t="str">
            <v>METAL</v>
          </cell>
          <cell r="S506" t="str">
            <v>SİYAH</v>
          </cell>
          <cell r="T506" t="str">
            <v>MERMER</v>
          </cell>
          <cell r="U506" t="str">
            <v>BEYAZ</v>
          </cell>
          <cell r="AD506" t="str">
            <v>N/A</v>
          </cell>
          <cell r="AE506" t="str">
            <v>02</v>
          </cell>
          <cell r="AF506">
            <v>0</v>
          </cell>
          <cell r="AG506" t="str">
            <v>ADET</v>
          </cell>
          <cell r="AH506">
            <v>97.65</v>
          </cell>
          <cell r="AI506" t="str">
            <v>CNY</v>
          </cell>
          <cell r="AJ506">
            <v>4760</v>
          </cell>
          <cell r="AK506" t="str">
            <v>TL</v>
          </cell>
          <cell r="AL506">
            <v>1</v>
          </cell>
          <cell r="AM506" t="str">
            <v>8684127501484</v>
          </cell>
          <cell r="AO506">
            <v>0</v>
          </cell>
          <cell r="AQ506">
            <v>32</v>
          </cell>
          <cell r="AR506" t="str">
            <v>CM</v>
          </cell>
          <cell r="AS506">
            <v>14</v>
          </cell>
          <cell r="AT506" t="str">
            <v>CM</v>
          </cell>
          <cell r="AU506">
            <v>0</v>
          </cell>
          <cell r="AW506">
            <v>0</v>
          </cell>
        </row>
        <row r="507">
          <cell r="B507" t="str">
            <v>H1S5CMB000T-210</v>
          </cell>
          <cell r="C507" t="str">
            <v>EVA BAKIR TIRTIKLI SPOT 60X210 mm</v>
          </cell>
          <cell r="D507" t="str">
            <v>EVA COPPER SERRATED SPOTLIGHT 60X210 mm</v>
          </cell>
          <cell r="E507" t="str">
            <v xml:space="preserve">ALUMİNYUM YOK BAKIR YOK   </v>
          </cell>
          <cell r="F507" t="str">
            <v>9405.19.90.00.00</v>
          </cell>
          <cell r="G507" t="str">
            <v>TEKNİK</v>
          </cell>
          <cell r="H507" t="str">
            <v>T1S5A400T0-21</v>
          </cell>
          <cell r="I507" t="str">
            <v>İÇ</v>
          </cell>
          <cell r="J507" t="str">
            <v>TEKNİK</v>
          </cell>
          <cell r="K507" t="str">
            <v>EVA</v>
          </cell>
          <cell r="L507" t="str">
            <v/>
          </cell>
          <cell r="M507" t="str">
            <v/>
          </cell>
          <cell r="N507" t="str">
            <v>EVA-8</v>
          </cell>
          <cell r="O507" t="str">
            <v>HEKA</v>
          </cell>
          <cell r="P507" t="str">
            <v>ADET</v>
          </cell>
          <cell r="Q507" t="str">
            <v>GU10</v>
          </cell>
          <cell r="R507" t="str">
            <v>ALUMİNYUM</v>
          </cell>
          <cell r="S507" t="str">
            <v>BAKIR</v>
          </cell>
          <cell r="T507" t="str">
            <v>YOK</v>
          </cell>
          <cell r="U507" t="str">
            <v>YOK</v>
          </cell>
          <cell r="AD507" t="str">
            <v>TIRTIKLI</v>
          </cell>
          <cell r="AE507" t="str">
            <v>01</v>
          </cell>
          <cell r="AF507">
            <v>139</v>
          </cell>
          <cell r="AG507" t="str">
            <v>ADET</v>
          </cell>
          <cell r="AH507">
            <v>24.5</v>
          </cell>
          <cell r="AI507" t="str">
            <v>CNY</v>
          </cell>
          <cell r="AJ507">
            <v>2640</v>
          </cell>
          <cell r="AK507" t="str">
            <v>TL</v>
          </cell>
          <cell r="AL507">
            <v>1</v>
          </cell>
          <cell r="AM507" t="str">
            <v>8684127500906</v>
          </cell>
          <cell r="AO507">
            <v>0</v>
          </cell>
          <cell r="AQ507">
            <v>210</v>
          </cell>
          <cell r="AR507" t="str">
            <v>CM</v>
          </cell>
          <cell r="AS507">
            <v>60</v>
          </cell>
          <cell r="AT507" t="str">
            <v>CM</v>
          </cell>
          <cell r="AU507">
            <v>0</v>
          </cell>
          <cell r="AW507">
            <v>0</v>
          </cell>
        </row>
        <row r="508">
          <cell r="B508" t="str">
            <v>CG1F1C1M2E3M0</v>
          </cell>
          <cell r="C508" t="str">
            <v>ERD-248 G45 BAL 6W 2500K E14 LED AMPUL</v>
          </cell>
          <cell r="D508" t="str">
            <v>ERD-248 G45 AMBER 6W 2500K E14 LED BULB</v>
          </cell>
          <cell r="E508" t="str">
            <v>CAM METAL BAL FLAMENT DIMMSIZ G45</v>
          </cell>
          <cell r="F508" t="str">
            <v>8539.52.00.00.00</v>
          </cell>
          <cell r="G508" t="str">
            <v>AMPUL</v>
          </cell>
          <cell r="H508" t="str">
            <v>CF11112D30V01</v>
          </cell>
          <cell r="I508" t="str">
            <v>İÇ</v>
          </cell>
          <cell r="J508" t="str">
            <v>AMPUL</v>
          </cell>
          <cell r="K508" t="str">
            <v>ERD-248</v>
          </cell>
          <cell r="L508" t="str">
            <v/>
          </cell>
          <cell r="M508" t="str">
            <v/>
          </cell>
          <cell r="N508" t="str">
            <v>ERD-248</v>
          </cell>
          <cell r="O508" t="str">
            <v>HEKA</v>
          </cell>
          <cell r="P508" t="str">
            <v>ADET</v>
          </cell>
          <cell r="Q508" t="str">
            <v>E14</v>
          </cell>
          <cell r="R508" t="str">
            <v>CAM</v>
          </cell>
          <cell r="S508" t="str">
            <v>BAL</v>
          </cell>
          <cell r="T508" t="str">
            <v>METAL</v>
          </cell>
          <cell r="V508" t="str">
            <v>F</v>
          </cell>
          <cell r="W508" t="str">
            <v>FLAMENT</v>
          </cell>
          <cell r="X508" t="str">
            <v>220V</v>
          </cell>
          <cell r="Y508" t="str">
            <v>6 WATT</v>
          </cell>
          <cell r="Z508" t="str">
            <v>2500 K</v>
          </cell>
          <cell r="AA508" t="str">
            <v>DIMMSIZ</v>
          </cell>
          <cell r="AB508" t="str">
            <v>501-600</v>
          </cell>
          <cell r="AC508" t="str">
            <v>G45</v>
          </cell>
          <cell r="AD508" t="str">
            <v>N/A</v>
          </cell>
          <cell r="AF508">
            <v>9</v>
          </cell>
          <cell r="AG508" t="str">
            <v>ADET</v>
          </cell>
          <cell r="AH508">
            <v>0.35899999999999999</v>
          </cell>
          <cell r="AI508" t="str">
            <v>USD</v>
          </cell>
          <cell r="AJ508">
            <v>41.9</v>
          </cell>
          <cell r="AK508" t="str">
            <v>TL</v>
          </cell>
          <cell r="AL508">
            <v>1</v>
          </cell>
          <cell r="AM508" t="str">
            <v>8684127503921</v>
          </cell>
          <cell r="AN508" t="str">
            <v>8684127500791</v>
          </cell>
          <cell r="AO508">
            <v>0</v>
          </cell>
          <cell r="AQ508">
            <v>4.5</v>
          </cell>
          <cell r="AR508" t="str">
            <v>CM</v>
          </cell>
          <cell r="AS508">
            <v>4.5</v>
          </cell>
          <cell r="AT508" t="str">
            <v>CM</v>
          </cell>
          <cell r="AU508">
            <v>0</v>
          </cell>
          <cell r="AW508">
            <v>0</v>
          </cell>
        </row>
        <row r="509">
          <cell r="B509" t="str">
            <v>01.100.10.01.01</v>
          </cell>
          <cell r="C509" t="str">
            <v>DİKDÖRTGEN TEPSİ ESKİTME 100x10cm</v>
          </cell>
          <cell r="D509" t="str">
            <v>BRUSHED BRASS RECTANGLE TRAY 100x10cm</v>
          </cell>
          <cell r="E509" t="str">
            <v/>
          </cell>
          <cell r="F509" t="str">
            <v/>
          </cell>
          <cell r="G509" t="str">
            <v>ZPARCA</v>
          </cell>
          <cell r="H509" t="str">
            <v>01.100.10.01.01</v>
          </cell>
          <cell r="I509" t="str">
            <v>İÇ</v>
          </cell>
          <cell r="J509" t="str">
            <v>ZPARCA</v>
          </cell>
          <cell r="K509" t="str">
            <v/>
          </cell>
          <cell r="L509" t="str">
            <v/>
          </cell>
          <cell r="M509" t="str">
            <v>ÜRTM:7GÜN</v>
          </cell>
          <cell r="N509" t="str">
            <v/>
          </cell>
          <cell r="O509" t="str">
            <v>HEKA</v>
          </cell>
          <cell r="P509" t="str">
            <v>ADET</v>
          </cell>
          <cell r="R509" t="str">
            <v>METAL</v>
          </cell>
          <cell r="S509" t="str">
            <v>ESKİTME</v>
          </cell>
          <cell r="AF509">
            <v>15</v>
          </cell>
          <cell r="AG509" t="str">
            <v>ADET</v>
          </cell>
          <cell r="AH509">
            <v>68</v>
          </cell>
          <cell r="AI509" t="str">
            <v>CNY</v>
          </cell>
          <cell r="AJ509">
            <v>4170</v>
          </cell>
          <cell r="AK509" t="str">
            <v>TL</v>
          </cell>
          <cell r="AL509">
            <v>1</v>
          </cell>
          <cell r="AM509" t="str">
            <v>01.100.10.01.01</v>
          </cell>
          <cell r="AO509">
            <v>0</v>
          </cell>
          <cell r="AQ509">
            <v>0</v>
          </cell>
          <cell r="AS509">
            <v>100</v>
          </cell>
          <cell r="AU509">
            <v>0</v>
          </cell>
          <cell r="AW509">
            <v>0</v>
          </cell>
        </row>
        <row r="510">
          <cell r="B510" t="str">
            <v>01.080.00.04.01</v>
          </cell>
          <cell r="C510" t="str">
            <v>YUVARLAK TEPSİ ESKİTME 80cm</v>
          </cell>
          <cell r="D510" t="str">
            <v>BRUSHED BRASS ROUND TRAY 80cm</v>
          </cell>
          <cell r="E510" t="str">
            <v/>
          </cell>
          <cell r="F510" t="str">
            <v/>
          </cell>
          <cell r="G510" t="str">
            <v>ZPARCA</v>
          </cell>
          <cell r="H510" t="str">
            <v>01.080.00.04.01</v>
          </cell>
          <cell r="I510" t="str">
            <v>İÇ</v>
          </cell>
          <cell r="J510" t="str">
            <v>ZPARCA</v>
          </cell>
          <cell r="K510" t="str">
            <v/>
          </cell>
          <cell r="L510" t="str">
            <v/>
          </cell>
          <cell r="M510" t="str">
            <v>15.02.2026</v>
          </cell>
          <cell r="N510" t="str">
            <v/>
          </cell>
          <cell r="O510" t="str">
            <v>HEKA</v>
          </cell>
          <cell r="P510" t="str">
            <v>ADET</v>
          </cell>
          <cell r="R510" t="str">
            <v>METAL</v>
          </cell>
          <cell r="S510" t="str">
            <v>AÇIK ESKİTME</v>
          </cell>
          <cell r="AF510">
            <v>14</v>
          </cell>
          <cell r="AG510" t="str">
            <v>ADET</v>
          </cell>
          <cell r="AH510">
            <v>210</v>
          </cell>
          <cell r="AI510" t="str">
            <v>CNY</v>
          </cell>
          <cell r="AJ510">
            <v>14750</v>
          </cell>
          <cell r="AK510" t="str">
            <v>TL</v>
          </cell>
          <cell r="AL510">
            <v>1</v>
          </cell>
          <cell r="AM510" t="str">
            <v>01.080.00.04.01</v>
          </cell>
          <cell r="AO510">
            <v>0</v>
          </cell>
          <cell r="AQ510">
            <v>0</v>
          </cell>
          <cell r="AS510">
            <v>100</v>
          </cell>
          <cell r="AU510">
            <v>0</v>
          </cell>
          <cell r="AW510">
            <v>0</v>
          </cell>
        </row>
        <row r="511">
          <cell r="B511" t="str">
            <v>01.080.00.04.05</v>
          </cell>
          <cell r="C511" t="str">
            <v>YUVARLAK TEPSİ SİYAH 80cm</v>
          </cell>
          <cell r="D511" t="str">
            <v>BLACK ROUND TRAY 80cm</v>
          </cell>
          <cell r="E511" t="str">
            <v/>
          </cell>
          <cell r="F511" t="str">
            <v/>
          </cell>
          <cell r="G511" t="str">
            <v>ZPARCA</v>
          </cell>
          <cell r="H511" t="str">
            <v>01.080.00.04.05</v>
          </cell>
          <cell r="I511" t="str">
            <v>İÇ</v>
          </cell>
          <cell r="J511" t="str">
            <v>ZPARCA</v>
          </cell>
          <cell r="K511" t="str">
            <v/>
          </cell>
          <cell r="L511" t="str">
            <v/>
          </cell>
          <cell r="M511" t="str">
            <v>ÜRTM:7GÜN</v>
          </cell>
          <cell r="N511" t="str">
            <v/>
          </cell>
          <cell r="O511" t="str">
            <v>HEKA</v>
          </cell>
          <cell r="P511" t="str">
            <v>ADET</v>
          </cell>
          <cell r="R511" t="str">
            <v>METAL</v>
          </cell>
          <cell r="S511" t="str">
            <v>SİYAH</v>
          </cell>
          <cell r="AF511">
            <v>5</v>
          </cell>
          <cell r="AG511" t="str">
            <v>ADET</v>
          </cell>
          <cell r="AH511">
            <v>210</v>
          </cell>
          <cell r="AI511" t="str">
            <v>CNY</v>
          </cell>
          <cell r="AJ511">
            <v>8650</v>
          </cell>
          <cell r="AK511" t="str">
            <v>TL</v>
          </cell>
          <cell r="AL511">
            <v>1</v>
          </cell>
          <cell r="AM511" t="str">
            <v>01.080.00.04.05</v>
          </cell>
          <cell r="AO511">
            <v>0</v>
          </cell>
          <cell r="AQ511">
            <v>0</v>
          </cell>
          <cell r="AS511">
            <v>100</v>
          </cell>
          <cell r="AU511">
            <v>0</v>
          </cell>
          <cell r="AW511">
            <v>0</v>
          </cell>
        </row>
        <row r="512">
          <cell r="B512" t="str">
            <v>H1W1JMKHRR0-050</v>
          </cell>
          <cell r="C512" t="str">
            <v>KAZAH ABAJUR KROM APLİK</v>
          </cell>
          <cell r="D512" t="str">
            <v>KAZAH LAMPSHADE CHROME WALL LAMP</v>
          </cell>
          <cell r="E512" t="str">
            <v>METAL KUMAŞ KROM KREM</v>
          </cell>
          <cell r="F512" t="str">
            <v>9405.19.90.00.00</v>
          </cell>
          <cell r="G512" t="str">
            <v>APLİK</v>
          </cell>
          <cell r="H512" t="str">
            <v>H1W1139200-50</v>
          </cell>
          <cell r="I512" t="str">
            <v>İÇ</v>
          </cell>
          <cell r="J512" t="str">
            <v>APLİK</v>
          </cell>
          <cell r="K512" t="str">
            <v>KAZAH</v>
          </cell>
          <cell r="L512" t="str">
            <v/>
          </cell>
          <cell r="M512" t="str">
            <v/>
          </cell>
          <cell r="N512" t="str">
            <v>MRT-01K</v>
          </cell>
          <cell r="O512" t="str">
            <v>HEKA</v>
          </cell>
          <cell r="P512" t="str">
            <v>ADET</v>
          </cell>
          <cell r="Q512" t="str">
            <v>E14</v>
          </cell>
          <cell r="R512" t="str">
            <v>METAL</v>
          </cell>
          <cell r="S512" t="str">
            <v>KROM</v>
          </cell>
          <cell r="T512" t="str">
            <v>KUMAŞ</v>
          </cell>
          <cell r="U512" t="str">
            <v>KREM</v>
          </cell>
          <cell r="AD512" t="str">
            <v>N/A</v>
          </cell>
          <cell r="AE512" t="str">
            <v>02</v>
          </cell>
          <cell r="AF512">
            <v>0</v>
          </cell>
          <cell r="AG512" t="str">
            <v>ADET</v>
          </cell>
          <cell r="AH512">
            <v>300</v>
          </cell>
          <cell r="AI512" t="str">
            <v>TL</v>
          </cell>
          <cell r="AJ512">
            <v>395</v>
          </cell>
          <cell r="AK512" t="str">
            <v>TL</v>
          </cell>
          <cell r="AL512">
            <v>1</v>
          </cell>
          <cell r="AM512" t="str">
            <v>8684127509879</v>
          </cell>
          <cell r="AO512">
            <v>0</v>
          </cell>
          <cell r="AQ512">
            <v>21</v>
          </cell>
          <cell r="AR512" t="str">
            <v>CM</v>
          </cell>
          <cell r="AS512">
            <v>50</v>
          </cell>
          <cell r="AT512" t="str">
            <v>CM</v>
          </cell>
          <cell r="AU512">
            <v>0</v>
          </cell>
          <cell r="AW512">
            <v>0</v>
          </cell>
        </row>
        <row r="513">
          <cell r="B513" t="str">
            <v>H1W3JMKWRB0-050</v>
          </cell>
          <cell r="C513" t="str">
            <v>HRİSTOS MERMER KROM APLİK</v>
          </cell>
          <cell r="D513" t="str">
            <v>HRİSTOS MARBLE CHROME WALL LAMP</v>
          </cell>
          <cell r="E513" t="str">
            <v>METAL MERMER KROM BEYAZ</v>
          </cell>
          <cell r="F513" t="str">
            <v>9405.19.90.00.00</v>
          </cell>
          <cell r="G513" t="str">
            <v>APLİK</v>
          </cell>
          <cell r="H513" t="str">
            <v>T1W3133100-50</v>
          </cell>
          <cell r="I513" t="str">
            <v>İÇ</v>
          </cell>
          <cell r="J513" t="str">
            <v>APLİK</v>
          </cell>
          <cell r="K513" t="str">
            <v>HRİSTOS</v>
          </cell>
          <cell r="L513" t="str">
            <v/>
          </cell>
          <cell r="M513" t="str">
            <v>ÜRTM:15GÜN</v>
          </cell>
          <cell r="N513" t="str">
            <v>HKA-24027</v>
          </cell>
          <cell r="O513" t="str">
            <v>HEKA</v>
          </cell>
          <cell r="P513" t="str">
            <v>ADET</v>
          </cell>
          <cell r="Q513" t="str">
            <v>G9</v>
          </cell>
          <cell r="R513" t="str">
            <v>METAL</v>
          </cell>
          <cell r="S513" t="str">
            <v>KROM</v>
          </cell>
          <cell r="T513" t="str">
            <v>MERMER</v>
          </cell>
          <cell r="U513" t="str">
            <v>BEYAZ</v>
          </cell>
          <cell r="AD513" t="str">
            <v>N/A</v>
          </cell>
          <cell r="AE513" t="str">
            <v>02</v>
          </cell>
          <cell r="AF513">
            <v>0</v>
          </cell>
          <cell r="AG513" t="str">
            <v>ADET</v>
          </cell>
          <cell r="AH513">
            <v>100</v>
          </cell>
          <cell r="AI513" t="str">
            <v>CNY</v>
          </cell>
          <cell r="AJ513">
            <v>6750</v>
          </cell>
          <cell r="AK513" t="str">
            <v>TL</v>
          </cell>
          <cell r="AL513">
            <v>1</v>
          </cell>
          <cell r="AM513" t="str">
            <v>8684127502085</v>
          </cell>
          <cell r="AO513">
            <v>0</v>
          </cell>
          <cell r="AQ513">
            <v>0</v>
          </cell>
          <cell r="AR513" t="str">
            <v>CM</v>
          </cell>
          <cell r="AS513">
            <v>0</v>
          </cell>
          <cell r="AT513" t="str">
            <v>CM</v>
          </cell>
          <cell r="AU513">
            <v>0</v>
          </cell>
          <cell r="AW513">
            <v>0</v>
          </cell>
        </row>
        <row r="514">
          <cell r="B514" t="str">
            <v>H1C2JMGWRSR-010</v>
          </cell>
          <cell r="C514" t="str">
            <v>KÜMBET SİYAH MERMER SARKIT 10cm</v>
          </cell>
          <cell r="D514" t="str">
            <v>KÜMBET BLACK MARBLE PENDANT 10cm</v>
          </cell>
          <cell r="E514" t="str">
            <v xml:space="preserve">METAL MERMER GOLD SİYAH   </v>
          </cell>
          <cell r="F514" t="str">
            <v>9405.19.90.00.00</v>
          </cell>
          <cell r="G514" t="str">
            <v>AVİZE</v>
          </cell>
          <cell r="H514" t="str">
            <v>T1A2321100-10</v>
          </cell>
          <cell r="I514" t="str">
            <v>İÇ</v>
          </cell>
          <cell r="J514" t="str">
            <v>AVİZE.SARK</v>
          </cell>
          <cell r="K514" t="str">
            <v>KÜMBET</v>
          </cell>
          <cell r="L514" t="str">
            <v/>
          </cell>
          <cell r="M514" t="str">
            <v/>
          </cell>
          <cell r="N514" t="str">
            <v>MD6353-10-BC</v>
          </cell>
          <cell r="O514" t="str">
            <v>HEKA</v>
          </cell>
          <cell r="P514" t="str">
            <v>ADET</v>
          </cell>
          <cell r="Q514" t="str">
            <v>E27</v>
          </cell>
          <cell r="R514" t="str">
            <v>METAL</v>
          </cell>
          <cell r="S514" t="str">
            <v>GOLD</v>
          </cell>
          <cell r="T514" t="str">
            <v>MERMER</v>
          </cell>
          <cell r="U514" t="str">
            <v>SİYAH</v>
          </cell>
          <cell r="AD514" t="str">
            <v>DAİRE</v>
          </cell>
          <cell r="AE514" t="str">
            <v>02</v>
          </cell>
          <cell r="AF514">
            <v>0</v>
          </cell>
          <cell r="AG514" t="str">
            <v>ADET</v>
          </cell>
          <cell r="AH514">
            <v>125</v>
          </cell>
          <cell r="AI514" t="str">
            <v>CNY</v>
          </cell>
          <cell r="AJ514">
            <v>1200</v>
          </cell>
          <cell r="AK514" t="str">
            <v>TL</v>
          </cell>
          <cell r="AL514">
            <v>1</v>
          </cell>
          <cell r="AM514" t="str">
            <v>8684127508896</v>
          </cell>
          <cell r="AO514">
            <v>0</v>
          </cell>
          <cell r="AQ514">
            <v>20</v>
          </cell>
          <cell r="AR514" t="str">
            <v>CM</v>
          </cell>
          <cell r="AS514">
            <v>10</v>
          </cell>
          <cell r="AT514" t="str">
            <v>CM</v>
          </cell>
          <cell r="AU514">
            <v>0</v>
          </cell>
          <cell r="AW514">
            <v>0</v>
          </cell>
        </row>
        <row r="515">
          <cell r="B515" t="str">
            <v>T1C6JMEWRSR-016</v>
          </cell>
          <cell r="C515" t="str">
            <v>*MD6349* SİYAH 16 CM ÇAPINDA MERMER SARKIT</v>
          </cell>
          <cell r="D515" t="str">
            <v>N/A</v>
          </cell>
          <cell r="E515" t="str">
            <v>METAL MERMER ESKİTME SİYAH</v>
          </cell>
          <cell r="F515" t="str">
            <v>9405.11.90.00.00</v>
          </cell>
          <cell r="G515" t="str">
            <v>AVİZE</v>
          </cell>
          <cell r="H515" t="str">
            <v>T1A6113200-16</v>
          </cell>
          <cell r="I515" t="str">
            <v>İÇ</v>
          </cell>
          <cell r="J515" t="str">
            <v>AVİZE.SARK</v>
          </cell>
          <cell r="K515" t="str">
            <v>MD6349S</v>
          </cell>
          <cell r="L515" t="str">
            <v/>
          </cell>
          <cell r="M515" t="str">
            <v/>
          </cell>
          <cell r="N515" t="str">
            <v>MD6349S</v>
          </cell>
          <cell r="O515" t="str">
            <v>HEKA</v>
          </cell>
          <cell r="P515" t="str">
            <v>ADET</v>
          </cell>
          <cell r="Q515" t="str">
            <v>LED</v>
          </cell>
          <cell r="R515" t="str">
            <v>METAL</v>
          </cell>
          <cell r="S515" t="str">
            <v>ESKİTME</v>
          </cell>
          <cell r="T515" t="str">
            <v>MERMER</v>
          </cell>
          <cell r="U515" t="str">
            <v>SİYAH</v>
          </cell>
          <cell r="AD515" t="str">
            <v>DAİRE</v>
          </cell>
          <cell r="AE515" t="str">
            <v>01</v>
          </cell>
          <cell r="AF515">
            <v>0</v>
          </cell>
          <cell r="AG515" t="str">
            <v>ADET</v>
          </cell>
          <cell r="AH515">
            <v>135</v>
          </cell>
          <cell r="AI515" t="str">
            <v>CNY</v>
          </cell>
          <cell r="AJ515">
            <v>3770</v>
          </cell>
          <cell r="AK515" t="str">
            <v>TL</v>
          </cell>
          <cell r="AL515">
            <v>1</v>
          </cell>
          <cell r="AM515" t="str">
            <v>8684128123456</v>
          </cell>
          <cell r="AO515">
            <v>0</v>
          </cell>
          <cell r="AQ515">
            <v>25</v>
          </cell>
          <cell r="AR515" t="str">
            <v>CM</v>
          </cell>
          <cell r="AS515">
            <v>16</v>
          </cell>
          <cell r="AT515" t="str">
            <v>CM</v>
          </cell>
          <cell r="AU515">
            <v>0</v>
          </cell>
          <cell r="AW515">
            <v>0</v>
          </cell>
        </row>
        <row r="516">
          <cell r="B516" t="str">
            <v>T1C2JMP000L-008</v>
          </cell>
          <cell r="C516" t="str">
            <v>ANDORRA DEKORATİF DÜZ PLATİN DUY</v>
          </cell>
          <cell r="D516" t="str">
            <v>ARYANA DECORATIVE PLAIN PLATINUM LAMP HOLDER</v>
          </cell>
          <cell r="E516" t="str">
            <v>METAL YOK PLATİN YOK</v>
          </cell>
          <cell r="F516" t="str">
            <v>9405.19.90.00.00</v>
          </cell>
          <cell r="G516" t="str">
            <v>ZPARCA</v>
          </cell>
          <cell r="H516" t="str">
            <v>T1A21P0100-01</v>
          </cell>
          <cell r="I516" t="str">
            <v>İÇ</v>
          </cell>
          <cell r="J516" t="str">
            <v>ZPARCA</v>
          </cell>
          <cell r="K516" t="str">
            <v>ARYANA</v>
          </cell>
          <cell r="L516" t="str">
            <v/>
          </cell>
          <cell r="M516" t="str">
            <v/>
          </cell>
          <cell r="N516" t="str">
            <v>ERD-119P</v>
          </cell>
          <cell r="O516" t="str">
            <v>HEKA</v>
          </cell>
          <cell r="P516" t="str">
            <v>ADET</v>
          </cell>
          <cell r="Q516" t="str">
            <v>E27</v>
          </cell>
          <cell r="R516" t="str">
            <v>METAL</v>
          </cell>
          <cell r="S516" t="str">
            <v>PLATİN</v>
          </cell>
          <cell r="T516" t="str">
            <v>YOK</v>
          </cell>
          <cell r="U516" t="str">
            <v>YOK</v>
          </cell>
          <cell r="AD516" t="str">
            <v>DÜZ</v>
          </cell>
          <cell r="AE516" t="str">
            <v>02</v>
          </cell>
          <cell r="AF516">
            <v>0</v>
          </cell>
          <cell r="AG516" t="str">
            <v>ADET</v>
          </cell>
          <cell r="AJ516">
            <v>150</v>
          </cell>
          <cell r="AK516" t="str">
            <v>TL</v>
          </cell>
          <cell r="AL516">
            <v>1</v>
          </cell>
          <cell r="AM516" t="str">
            <v>8684127509336</v>
          </cell>
          <cell r="AO516">
            <v>0</v>
          </cell>
          <cell r="AQ516">
            <v>5</v>
          </cell>
          <cell r="AR516" t="str">
            <v>CM</v>
          </cell>
          <cell r="AS516">
            <v>7.5</v>
          </cell>
          <cell r="AT516" t="str">
            <v>CM</v>
          </cell>
          <cell r="AU516">
            <v>0</v>
          </cell>
          <cell r="AW516">
            <v>0</v>
          </cell>
        </row>
        <row r="517">
          <cell r="B517" t="str">
            <v>01.030.00.04.05</v>
          </cell>
          <cell r="C517" t="str">
            <v>YUVARLAK TEPSİ SİYAH 30cm</v>
          </cell>
          <cell r="D517" t="str">
            <v>BLACK ROUND TRAY 30cm</v>
          </cell>
          <cell r="E517" t="str">
            <v/>
          </cell>
          <cell r="F517" t="str">
            <v/>
          </cell>
          <cell r="G517" t="str">
            <v>ZPARCA</v>
          </cell>
          <cell r="H517" t="str">
            <v>01.030.00.04.05</v>
          </cell>
          <cell r="I517" t="str">
            <v>İÇ</v>
          </cell>
          <cell r="J517" t="str">
            <v>ZPARCA</v>
          </cell>
          <cell r="K517" t="str">
            <v/>
          </cell>
          <cell r="L517" t="str">
            <v/>
          </cell>
          <cell r="M517" t="str">
            <v>ÜRTM:7GÜN</v>
          </cell>
          <cell r="N517" t="str">
            <v/>
          </cell>
          <cell r="O517" t="str">
            <v>HEKA</v>
          </cell>
          <cell r="P517" t="str">
            <v>ADET</v>
          </cell>
          <cell r="R517" t="str">
            <v>METAL</v>
          </cell>
          <cell r="S517" t="str">
            <v>SİYAH</v>
          </cell>
          <cell r="AF517">
            <v>31</v>
          </cell>
          <cell r="AG517" t="str">
            <v>ADET</v>
          </cell>
          <cell r="AH517">
            <v>16</v>
          </cell>
          <cell r="AI517" t="str">
            <v>CNY</v>
          </cell>
          <cell r="AJ517">
            <v>855</v>
          </cell>
          <cell r="AK517" t="str">
            <v>TL</v>
          </cell>
          <cell r="AL517">
            <v>1</v>
          </cell>
          <cell r="AM517" t="str">
            <v>01.030.00.04.05</v>
          </cell>
          <cell r="AO517">
            <v>0</v>
          </cell>
          <cell r="AQ517">
            <v>0</v>
          </cell>
          <cell r="AS517">
            <v>100</v>
          </cell>
          <cell r="AU517">
            <v>0</v>
          </cell>
          <cell r="AW517">
            <v>0</v>
          </cell>
        </row>
        <row r="518">
          <cell r="B518" t="str">
            <v>H1W2JRB0000-047</v>
          </cell>
          <cell r="C518" t="str">
            <v>BRUBECK BEYAZ APLİK</v>
          </cell>
          <cell r="D518" t="str">
            <v>BRUBECK WHITE WALL LAMP</v>
          </cell>
          <cell r="E518" t="str">
            <v>METAL YOK BEYAZ YOK</v>
          </cell>
          <cell r="F518" t="str">
            <v>9405.19.90.00.00</v>
          </cell>
          <cell r="G518" t="str">
            <v>APLİK</v>
          </cell>
          <cell r="H518" t="str">
            <v>H1W2190000-47</v>
          </cell>
          <cell r="I518" t="str">
            <v>İÇ</v>
          </cell>
          <cell r="J518" t="str">
            <v>APLİK</v>
          </cell>
          <cell r="K518" t="str">
            <v>BRUBECK</v>
          </cell>
          <cell r="L518" t="str">
            <v/>
          </cell>
          <cell r="M518" t="str">
            <v>ÜRTM:15GÜN</v>
          </cell>
          <cell r="N518" t="str">
            <v>HK20063</v>
          </cell>
          <cell r="O518" t="str">
            <v>HEKA</v>
          </cell>
          <cell r="P518" t="str">
            <v>ADET</v>
          </cell>
          <cell r="Q518" t="str">
            <v>E27</v>
          </cell>
          <cell r="R518" t="str">
            <v>METAL</v>
          </cell>
          <cell r="S518" t="str">
            <v>BEYAZ</v>
          </cell>
          <cell r="T518" t="str">
            <v>YOK</v>
          </cell>
          <cell r="U518" t="str">
            <v>YOK</v>
          </cell>
          <cell r="AD518" t="str">
            <v>N/A</v>
          </cell>
          <cell r="AE518" t="str">
            <v>03</v>
          </cell>
          <cell r="AF518">
            <v>0</v>
          </cell>
          <cell r="AG518" t="str">
            <v>ADET</v>
          </cell>
          <cell r="AH518">
            <v>300</v>
          </cell>
          <cell r="AI518" t="str">
            <v>TL</v>
          </cell>
          <cell r="AJ518">
            <v>2100</v>
          </cell>
          <cell r="AK518" t="str">
            <v>TL</v>
          </cell>
          <cell r="AL518">
            <v>1</v>
          </cell>
          <cell r="AM518" t="str">
            <v>8684127509206</v>
          </cell>
          <cell r="AO518">
            <v>0</v>
          </cell>
          <cell r="AQ518">
            <v>0</v>
          </cell>
          <cell r="AR518" t="str">
            <v>CM</v>
          </cell>
          <cell r="AS518">
            <v>0</v>
          </cell>
          <cell r="AT518" t="str">
            <v>CM</v>
          </cell>
          <cell r="AU518">
            <v>0</v>
          </cell>
          <cell r="AW518">
            <v>0</v>
          </cell>
        </row>
        <row r="519">
          <cell r="B519" t="str">
            <v>H1W3JM3ECT0-043</v>
          </cell>
          <cell r="C519" t="str">
            <v>YOROS İKİ CAMLI MAT KROM APLİK</v>
          </cell>
          <cell r="D519" t="str">
            <v>YOROS 2 GLASS BRUSHED CHROME WALL LAMP</v>
          </cell>
          <cell r="E519" t="str">
            <v>METAL CAM MAT KROM SOFT</v>
          </cell>
          <cell r="F519" t="str">
            <v>9405.19.90.00.00</v>
          </cell>
          <cell r="G519" t="str">
            <v>APLİK</v>
          </cell>
          <cell r="H519" t="str">
            <v>H1W3162100-02</v>
          </cell>
          <cell r="I519" t="str">
            <v>İÇ</v>
          </cell>
          <cell r="J519" t="str">
            <v>APLİK</v>
          </cell>
          <cell r="K519" t="str">
            <v>YOROS</v>
          </cell>
          <cell r="L519" t="str">
            <v/>
          </cell>
          <cell r="M519" t="str">
            <v>ÜRTM:15GÜN</v>
          </cell>
          <cell r="N519" t="str">
            <v>HK20025</v>
          </cell>
          <cell r="O519" t="str">
            <v>HEKA</v>
          </cell>
          <cell r="P519" t="str">
            <v>ADET</v>
          </cell>
          <cell r="Q519" t="str">
            <v>G9</v>
          </cell>
          <cell r="R519" t="str">
            <v>METAL</v>
          </cell>
          <cell r="S519" t="str">
            <v>MAT KROM</v>
          </cell>
          <cell r="T519" t="str">
            <v>CAM</v>
          </cell>
          <cell r="U519" t="str">
            <v>SOFT</v>
          </cell>
          <cell r="AD519" t="str">
            <v>N/A</v>
          </cell>
          <cell r="AE519" t="str">
            <v>03</v>
          </cell>
          <cell r="AF519">
            <v>2</v>
          </cell>
          <cell r="AG519" t="str">
            <v>ADET</v>
          </cell>
          <cell r="AH519">
            <v>150</v>
          </cell>
          <cell r="AI519" t="str">
            <v>TL</v>
          </cell>
          <cell r="AJ519">
            <v>4250</v>
          </cell>
          <cell r="AK519" t="str">
            <v>TL</v>
          </cell>
          <cell r="AL519">
            <v>1</v>
          </cell>
          <cell r="AM519" t="str">
            <v>8684127505314</v>
          </cell>
          <cell r="AO519">
            <v>0</v>
          </cell>
          <cell r="AQ519">
            <v>15</v>
          </cell>
          <cell r="AR519" t="str">
            <v>CM</v>
          </cell>
          <cell r="AS519">
            <v>42</v>
          </cell>
          <cell r="AT519" t="str">
            <v>CM</v>
          </cell>
          <cell r="AU519">
            <v>0</v>
          </cell>
          <cell r="AW519">
            <v>0</v>
          </cell>
        </row>
        <row r="520">
          <cell r="B520" t="str">
            <v>H1C6JMELCT0-060</v>
          </cell>
          <cell r="C520" t="str">
            <v>DARA LED ESKİTME SARKIT 60cm</v>
          </cell>
          <cell r="D520" t="str">
            <v>DARA LED BRUSHED BRASS PENDANT 60cm</v>
          </cell>
          <cell r="E520" t="str">
            <v xml:space="preserve">METAL PLEKSİ ESKİTME SOFT   </v>
          </cell>
          <cell r="F520" t="str">
            <v>9405.11.90.00.00</v>
          </cell>
          <cell r="G520" t="str">
            <v>AVİZE</v>
          </cell>
          <cell r="H520" t="str">
            <v>T1A6116300-60</v>
          </cell>
          <cell r="I520" t="str">
            <v>İÇ</v>
          </cell>
          <cell r="J520" t="str">
            <v>AVİZE.SARK</v>
          </cell>
          <cell r="K520" t="str">
            <v>DARA</v>
          </cell>
          <cell r="L520" t="str">
            <v/>
          </cell>
          <cell r="M520" t="str">
            <v/>
          </cell>
          <cell r="N520" t="str">
            <v>MD-6434-60</v>
          </cell>
          <cell r="O520" t="str">
            <v>HEKA</v>
          </cell>
          <cell r="P520" t="str">
            <v>ADET</v>
          </cell>
          <cell r="Q520" t="str">
            <v>LED</v>
          </cell>
          <cell r="R520" t="str">
            <v>METAL</v>
          </cell>
          <cell r="S520" t="str">
            <v>ESKİTME</v>
          </cell>
          <cell r="T520" t="str">
            <v>PLEKSİ</v>
          </cell>
          <cell r="U520" t="str">
            <v>SOFT</v>
          </cell>
          <cell r="AD520" t="str">
            <v>N/A</v>
          </cell>
          <cell r="AF520">
            <v>35</v>
          </cell>
          <cell r="AG520" t="str">
            <v>ADET</v>
          </cell>
          <cell r="AH520">
            <v>80</v>
          </cell>
          <cell r="AI520" t="str">
            <v>CNY</v>
          </cell>
          <cell r="AJ520">
            <v>3400</v>
          </cell>
          <cell r="AK520" t="str">
            <v>TL</v>
          </cell>
          <cell r="AL520">
            <v>1</v>
          </cell>
          <cell r="AM520" t="str">
            <v>8684127501842</v>
          </cell>
          <cell r="AO520">
            <v>0</v>
          </cell>
          <cell r="AQ520">
            <v>60</v>
          </cell>
          <cell r="AR520" t="str">
            <v>CM</v>
          </cell>
          <cell r="AS520">
            <v>3</v>
          </cell>
          <cell r="AT520" t="str">
            <v>CM</v>
          </cell>
          <cell r="AU520">
            <v>0</v>
          </cell>
          <cell r="AW520">
            <v>0</v>
          </cell>
        </row>
        <row r="521">
          <cell r="B521" t="str">
            <v>T1C2JMB000L-008</v>
          </cell>
          <cell r="C521" t="str">
            <v>ANDORRA DEKORATİF BAKIR DUY</v>
          </cell>
          <cell r="D521" t="str">
            <v>ANDORRA DECORATIVE COPPER LAMP HOLDER</v>
          </cell>
          <cell r="E521" t="str">
            <v>METAL YOK BAKIR YOK</v>
          </cell>
          <cell r="F521" t="str">
            <v>9405.19.90.00.00</v>
          </cell>
          <cell r="G521" t="str">
            <v>ZPARCA</v>
          </cell>
          <cell r="H521" t="str">
            <v>T1A2150001-01</v>
          </cell>
          <cell r="I521" t="str">
            <v>İÇ</v>
          </cell>
          <cell r="J521" t="str">
            <v>ZPARCA</v>
          </cell>
          <cell r="K521" t="str">
            <v>ANDORRA</v>
          </cell>
          <cell r="L521" t="str">
            <v/>
          </cell>
          <cell r="M521" t="str">
            <v/>
          </cell>
          <cell r="N521" t="str">
            <v>ERD-119B</v>
          </cell>
          <cell r="O521" t="str">
            <v>HEKA</v>
          </cell>
          <cell r="P521" t="str">
            <v>ADET</v>
          </cell>
          <cell r="Q521" t="str">
            <v>E27</v>
          </cell>
          <cell r="R521" t="str">
            <v>METAL</v>
          </cell>
          <cell r="S521" t="str">
            <v>BAKIR</v>
          </cell>
          <cell r="T521" t="str">
            <v>YOK</v>
          </cell>
          <cell r="U521" t="str">
            <v>YOK</v>
          </cell>
          <cell r="AD521" t="str">
            <v>DÜZ</v>
          </cell>
          <cell r="AE521" t="str">
            <v>02</v>
          </cell>
          <cell r="AF521">
            <v>248</v>
          </cell>
          <cell r="AG521" t="str">
            <v>ADET</v>
          </cell>
          <cell r="AJ521">
            <v>595</v>
          </cell>
          <cell r="AK521" t="str">
            <v>TL</v>
          </cell>
          <cell r="AL521">
            <v>1</v>
          </cell>
          <cell r="AM521" t="str">
            <v>8684127505833</v>
          </cell>
          <cell r="AO521">
            <v>0</v>
          </cell>
          <cell r="AQ521">
            <v>5</v>
          </cell>
          <cell r="AR521" t="str">
            <v>CM</v>
          </cell>
          <cell r="AS521">
            <v>7.5</v>
          </cell>
          <cell r="AT521" t="str">
            <v>CM</v>
          </cell>
          <cell r="AU521">
            <v>0</v>
          </cell>
          <cell r="AW521">
            <v>0</v>
          </cell>
        </row>
        <row r="522">
          <cell r="B522" t="str">
            <v>T1C2JMB000T-008</v>
          </cell>
          <cell r="C522" t="str">
            <v>ARYANA DEKORATİF TIRTIKLI BAKIR DUY</v>
          </cell>
          <cell r="D522" t="str">
            <v>ARYANA DECORATIVE SERRATED COPPER LAMP HOLDER</v>
          </cell>
          <cell r="E522" t="str">
            <v>METAL YOK BAKIR YOK</v>
          </cell>
          <cell r="F522" t="str">
            <v>9405.19.90.00.00</v>
          </cell>
          <cell r="G522" t="str">
            <v>ZPARCA</v>
          </cell>
          <cell r="H522" t="str">
            <v>T1A2150100-01</v>
          </cell>
          <cell r="I522" t="str">
            <v>İÇ</v>
          </cell>
          <cell r="J522" t="str">
            <v>ZPARCA</v>
          </cell>
          <cell r="K522" t="str">
            <v>ARYANA</v>
          </cell>
          <cell r="L522" t="str">
            <v/>
          </cell>
          <cell r="M522" t="str">
            <v/>
          </cell>
          <cell r="N522" t="str">
            <v>ERD-118B</v>
          </cell>
          <cell r="O522" t="str">
            <v>HEKA</v>
          </cell>
          <cell r="P522" t="str">
            <v>ADET</v>
          </cell>
          <cell r="Q522" t="str">
            <v>E27</v>
          </cell>
          <cell r="R522" t="str">
            <v>METAL</v>
          </cell>
          <cell r="S522" t="str">
            <v>BAKIR</v>
          </cell>
          <cell r="T522" t="str">
            <v>YOK</v>
          </cell>
          <cell r="U522" t="str">
            <v>YOK</v>
          </cell>
          <cell r="AD522" t="str">
            <v>TIRTIKLI</v>
          </cell>
          <cell r="AE522" t="str">
            <v>02</v>
          </cell>
          <cell r="AF522">
            <v>344</v>
          </cell>
          <cell r="AG522" t="str">
            <v>ADET</v>
          </cell>
          <cell r="AJ522">
            <v>595</v>
          </cell>
          <cell r="AK522" t="str">
            <v>TL</v>
          </cell>
          <cell r="AL522">
            <v>1</v>
          </cell>
          <cell r="AM522" t="str">
            <v>8684127509312</v>
          </cell>
          <cell r="AO522">
            <v>0</v>
          </cell>
          <cell r="AQ522">
            <v>5</v>
          </cell>
          <cell r="AR522" t="str">
            <v>CM</v>
          </cell>
          <cell r="AS522">
            <v>7.5</v>
          </cell>
          <cell r="AT522" t="str">
            <v>CM</v>
          </cell>
          <cell r="AU522">
            <v>0</v>
          </cell>
          <cell r="AW522">
            <v>0</v>
          </cell>
        </row>
        <row r="523">
          <cell r="B523" t="str">
            <v>H1W3JMKECT0-063</v>
          </cell>
          <cell r="C523" t="str">
            <v>LİKYA ÜÇ CAMLI KROM APLİK</v>
          </cell>
          <cell r="D523" t="str">
            <v>LİKYA 3 GLASS CHROME WALL LAMP</v>
          </cell>
          <cell r="E523" t="str">
            <v>METAL CAM KROM SOFT</v>
          </cell>
          <cell r="F523" t="str">
            <v>9405.19.90.00.00</v>
          </cell>
          <cell r="G523" t="str">
            <v>APLİK</v>
          </cell>
          <cell r="H523" t="str">
            <v>H1W3132100-03</v>
          </cell>
          <cell r="I523" t="str">
            <v>İÇ</v>
          </cell>
          <cell r="J523" t="str">
            <v>APLİK</v>
          </cell>
          <cell r="K523" t="str">
            <v>LİKYA</v>
          </cell>
          <cell r="L523" t="str">
            <v/>
          </cell>
          <cell r="M523" t="str">
            <v>ÜRTM:15GÜN</v>
          </cell>
          <cell r="N523" t="str">
            <v>HK20028</v>
          </cell>
          <cell r="O523" t="str">
            <v>HEKA</v>
          </cell>
          <cell r="P523" t="str">
            <v>ADET</v>
          </cell>
          <cell r="Q523" t="str">
            <v>G9</v>
          </cell>
          <cell r="R523" t="str">
            <v>METAL</v>
          </cell>
          <cell r="S523" t="str">
            <v>KROM</v>
          </cell>
          <cell r="T523" t="str">
            <v>CAM</v>
          </cell>
          <cell r="U523" t="str">
            <v>SOFT</v>
          </cell>
          <cell r="AD523" t="str">
            <v>N/A</v>
          </cell>
          <cell r="AE523" t="str">
            <v>04</v>
          </cell>
          <cell r="AF523">
            <v>1</v>
          </cell>
          <cell r="AG523" t="str">
            <v>ADET</v>
          </cell>
          <cell r="AH523">
            <v>300</v>
          </cell>
          <cell r="AI523" t="str">
            <v>TL</v>
          </cell>
          <cell r="AJ523">
            <v>5695</v>
          </cell>
          <cell r="AK523" t="str">
            <v>TL</v>
          </cell>
          <cell r="AL523">
            <v>1</v>
          </cell>
          <cell r="AM523" t="str">
            <v>8684127505109</v>
          </cell>
          <cell r="AO523">
            <v>0</v>
          </cell>
          <cell r="AQ523">
            <v>63</v>
          </cell>
          <cell r="AR523" t="str">
            <v>CM</v>
          </cell>
          <cell r="AS523">
            <v>22</v>
          </cell>
          <cell r="AT523" t="str">
            <v>CM</v>
          </cell>
          <cell r="AU523">
            <v>0</v>
          </cell>
          <cell r="AW523">
            <v>0</v>
          </cell>
        </row>
        <row r="524">
          <cell r="B524" t="str">
            <v>H1W3JRSECT0-043</v>
          </cell>
          <cell r="C524" t="str">
            <v>YOROS İKİ CAMLI SİYAH APLİK</v>
          </cell>
          <cell r="D524" t="str">
            <v>YOROS 2 GLASS BLACK WALL LAMP</v>
          </cell>
          <cell r="E524" t="str">
            <v>METAL CAM SİYAH SOFT</v>
          </cell>
          <cell r="F524" t="str">
            <v>9405.19.90.00.00</v>
          </cell>
          <cell r="G524" t="str">
            <v>APLİK</v>
          </cell>
          <cell r="H524" t="str">
            <v>H1W3142100-02</v>
          </cell>
          <cell r="I524" t="str">
            <v>İÇ</v>
          </cell>
          <cell r="J524" t="str">
            <v>APLİK</v>
          </cell>
          <cell r="K524" t="str">
            <v>YOROS</v>
          </cell>
          <cell r="L524" t="str">
            <v/>
          </cell>
          <cell r="M524" t="str">
            <v>ÜRTM:15GÜN</v>
          </cell>
          <cell r="N524" t="str">
            <v>HK20026</v>
          </cell>
          <cell r="O524" t="str">
            <v>HEKA</v>
          </cell>
          <cell r="P524" t="str">
            <v>ADET</v>
          </cell>
          <cell r="Q524" t="str">
            <v>G9</v>
          </cell>
          <cell r="R524" t="str">
            <v>METAL</v>
          </cell>
          <cell r="S524" t="str">
            <v>SİYAH</v>
          </cell>
          <cell r="T524" t="str">
            <v>CAM</v>
          </cell>
          <cell r="U524" t="str">
            <v>SOFT</v>
          </cell>
          <cell r="AD524" t="str">
            <v>N/A</v>
          </cell>
          <cell r="AE524" t="str">
            <v>03</v>
          </cell>
          <cell r="AF524">
            <v>1</v>
          </cell>
          <cell r="AG524" t="str">
            <v>ADET</v>
          </cell>
          <cell r="AH524">
            <v>150</v>
          </cell>
          <cell r="AI524" t="str">
            <v>TL</v>
          </cell>
          <cell r="AJ524">
            <v>4250</v>
          </cell>
          <cell r="AK524" t="str">
            <v>TL</v>
          </cell>
          <cell r="AL524">
            <v>1</v>
          </cell>
          <cell r="AM524" t="str">
            <v>8684127503020</v>
          </cell>
          <cell r="AO524">
            <v>0</v>
          </cell>
          <cell r="AQ524">
            <v>17</v>
          </cell>
          <cell r="AR524" t="str">
            <v>CM</v>
          </cell>
          <cell r="AS524">
            <v>43</v>
          </cell>
          <cell r="AT524" t="str">
            <v>CM</v>
          </cell>
          <cell r="AU524">
            <v>0</v>
          </cell>
          <cell r="AW524">
            <v>0</v>
          </cell>
        </row>
        <row r="525">
          <cell r="B525" t="str">
            <v>H1W3JRSECTR-068</v>
          </cell>
          <cell r="C525" t="str">
            <v>DEMET SİYAH APLİK 10 LU</v>
          </cell>
          <cell r="D525" t="str">
            <v>DEMET BLACK WALL LAMP 10 BULB</v>
          </cell>
          <cell r="E525" t="str">
            <v>METAL CAM SİYAH SOFT</v>
          </cell>
          <cell r="F525" t="str">
            <v>9405.19.90.00.00</v>
          </cell>
          <cell r="G525" t="str">
            <v>APLİK</v>
          </cell>
          <cell r="H525" t="str">
            <v>H1W3142100-10</v>
          </cell>
          <cell r="I525" t="str">
            <v>İÇ</v>
          </cell>
          <cell r="J525" t="str">
            <v>APLİK</v>
          </cell>
          <cell r="K525" t="str">
            <v>DEMET</v>
          </cell>
          <cell r="L525" t="str">
            <v/>
          </cell>
          <cell r="M525" t="str">
            <v>ÜRTM:15GÜN</v>
          </cell>
          <cell r="N525" t="str">
            <v/>
          </cell>
          <cell r="O525" t="str">
            <v>HEKA</v>
          </cell>
          <cell r="P525" t="str">
            <v>ADET</v>
          </cell>
          <cell r="Q525" t="str">
            <v>G9</v>
          </cell>
          <cell r="R525" t="str">
            <v>METAL</v>
          </cell>
          <cell r="S525" t="str">
            <v>SİYAH</v>
          </cell>
          <cell r="T525" t="str">
            <v>CAM</v>
          </cell>
          <cell r="U525" t="str">
            <v>SOFT</v>
          </cell>
          <cell r="AD525" t="str">
            <v>DAİRE</v>
          </cell>
          <cell r="AE525" t="str">
            <v>10</v>
          </cell>
          <cell r="AF525">
            <v>10</v>
          </cell>
          <cell r="AG525" t="str">
            <v>ADET</v>
          </cell>
          <cell r="AH525">
            <v>750</v>
          </cell>
          <cell r="AI525" t="str">
            <v>TL</v>
          </cell>
          <cell r="AJ525">
            <v>19750</v>
          </cell>
          <cell r="AK525" t="str">
            <v>TL</v>
          </cell>
          <cell r="AL525">
            <v>1</v>
          </cell>
          <cell r="AM525" t="str">
            <v>8684127503112</v>
          </cell>
          <cell r="AO525">
            <v>0</v>
          </cell>
          <cell r="AQ525">
            <v>60</v>
          </cell>
          <cell r="AR525" t="str">
            <v>CM</v>
          </cell>
          <cell r="AS525">
            <v>25</v>
          </cell>
          <cell r="AT525" t="str">
            <v>CM</v>
          </cell>
          <cell r="AU525">
            <v>0</v>
          </cell>
          <cell r="AW525">
            <v>0</v>
          </cell>
        </row>
        <row r="526">
          <cell r="B526" t="str">
            <v>H1C3JM3ECT0-155</v>
          </cell>
          <cell r="C526" t="str">
            <v>DEMET MAT KROM YEMEK MASASI AVİZE 13 LÜ</v>
          </cell>
          <cell r="D526" t="str">
            <v>DEMET DINING TABLE BRUSHED CHROME CHANDELIER 13 BULB</v>
          </cell>
          <cell r="E526" t="str">
            <v>METAL CAM MAT KROM SOFT</v>
          </cell>
          <cell r="F526" t="str">
            <v>9405.19.90.00.00</v>
          </cell>
          <cell r="G526" t="str">
            <v>AVİZE</v>
          </cell>
          <cell r="H526" t="str">
            <v>H1A3162100-13</v>
          </cell>
          <cell r="I526" t="str">
            <v>İÇ</v>
          </cell>
          <cell r="J526" t="str">
            <v>AVİZE.AVİZ</v>
          </cell>
          <cell r="K526" t="str">
            <v>DEMET</v>
          </cell>
          <cell r="L526" t="str">
            <v/>
          </cell>
          <cell r="M526" t="str">
            <v/>
          </cell>
          <cell r="N526" t="str">
            <v/>
          </cell>
          <cell r="O526" t="str">
            <v>HEKA</v>
          </cell>
          <cell r="P526" t="str">
            <v>ADET</v>
          </cell>
          <cell r="Q526" t="str">
            <v>G9</v>
          </cell>
          <cell r="R526" t="str">
            <v>METAL</v>
          </cell>
          <cell r="S526" t="str">
            <v>MAT KROM</v>
          </cell>
          <cell r="T526" t="str">
            <v>CAM</v>
          </cell>
          <cell r="U526" t="str">
            <v>SOFT</v>
          </cell>
          <cell r="AD526" t="str">
            <v>N/A</v>
          </cell>
          <cell r="AE526" t="str">
            <v>13</v>
          </cell>
          <cell r="AF526">
            <v>0</v>
          </cell>
          <cell r="AG526" t="str">
            <v>ADET</v>
          </cell>
          <cell r="AH526">
            <v>1500</v>
          </cell>
          <cell r="AI526" t="str">
            <v>TL</v>
          </cell>
          <cell r="AJ526">
            <v>32470</v>
          </cell>
          <cell r="AK526" t="str">
            <v>TL</v>
          </cell>
          <cell r="AL526">
            <v>1</v>
          </cell>
          <cell r="AM526" t="str">
            <v>8684127506083</v>
          </cell>
          <cell r="AO526">
            <v>0</v>
          </cell>
          <cell r="AQ526">
            <v>30</v>
          </cell>
          <cell r="AR526" t="str">
            <v>CM</v>
          </cell>
          <cell r="AS526">
            <v>105</v>
          </cell>
          <cell r="AT526" t="str">
            <v>CM</v>
          </cell>
          <cell r="AU526">
            <v>0</v>
          </cell>
          <cell r="AW526">
            <v>0</v>
          </cell>
        </row>
        <row r="527">
          <cell r="B527" t="str">
            <v>H1W6WRBJMER-020</v>
          </cell>
          <cell r="C527" t="str">
            <v>ASPENDOS TEKLİ MERMER ESKİTME APLİK 20cm</v>
          </cell>
          <cell r="D527" t="str">
            <v>ASPENDOS SINGLE MARBLE BRUSHED BRASS WALL LAMP 20cm</v>
          </cell>
          <cell r="E527" t="str">
            <v>MERMER METAL BEYAZ ESKİTME</v>
          </cell>
          <cell r="F527" t="str">
            <v>9405.11.90.00.00</v>
          </cell>
          <cell r="G527" t="str">
            <v>APLİK</v>
          </cell>
          <cell r="H527" t="str">
            <v>H1W6314300-20</v>
          </cell>
          <cell r="I527" t="str">
            <v>İÇ</v>
          </cell>
          <cell r="J527" t="str">
            <v>APLİK</v>
          </cell>
          <cell r="K527" t="str">
            <v>ASPENDOS</v>
          </cell>
          <cell r="L527" t="str">
            <v/>
          </cell>
          <cell r="M527" t="str">
            <v>28.02.2026</v>
          </cell>
          <cell r="N527" t="str">
            <v>HKA-24097</v>
          </cell>
          <cell r="O527" t="str">
            <v>HEKA</v>
          </cell>
          <cell r="P527" t="str">
            <v>ADET</v>
          </cell>
          <cell r="Q527" t="str">
            <v>LED</v>
          </cell>
          <cell r="R527" t="str">
            <v>MERMER</v>
          </cell>
          <cell r="S527" t="str">
            <v>BEYAZ</v>
          </cell>
          <cell r="T527" t="str">
            <v>METAL</v>
          </cell>
          <cell r="U527" t="str">
            <v>ESKİTME</v>
          </cell>
          <cell r="AD527" t="str">
            <v>DAİRE</v>
          </cell>
          <cell r="AF527">
            <v>15</v>
          </cell>
          <cell r="AG527" t="str">
            <v>ADET</v>
          </cell>
          <cell r="AH527">
            <v>99</v>
          </cell>
          <cell r="AI527" t="str">
            <v>CNY</v>
          </cell>
          <cell r="AJ527">
            <v>8620</v>
          </cell>
          <cell r="AK527" t="str">
            <v>TL</v>
          </cell>
          <cell r="AL527">
            <v>1</v>
          </cell>
          <cell r="AM527" t="str">
            <v>8684127501514</v>
          </cell>
          <cell r="AO527">
            <v>0</v>
          </cell>
          <cell r="AQ527">
            <v>6</v>
          </cell>
          <cell r="AR527" t="str">
            <v>CM</v>
          </cell>
          <cell r="AS527">
            <v>20</v>
          </cell>
          <cell r="AT527" t="str">
            <v>CM</v>
          </cell>
          <cell r="AU527">
            <v>0</v>
          </cell>
          <cell r="AW527">
            <v>0</v>
          </cell>
        </row>
        <row r="528">
          <cell r="B528" t="str">
            <v>H1C6JMGECTR-021</v>
          </cell>
          <cell r="C528" t="str">
            <v>APPLE OPAL CAM SARKIT 20cm</v>
          </cell>
          <cell r="D528" t="str">
            <v>APPLE OPAL GLASS PENDANT 20cm</v>
          </cell>
          <cell r="E528" t="str">
            <v xml:space="preserve">METAL CAM  GOLD SOFT   </v>
          </cell>
          <cell r="F528" t="str">
            <v>9405.11.90.00.00</v>
          </cell>
          <cell r="G528" t="str">
            <v>AVİZE</v>
          </cell>
          <cell r="H528" t="str">
            <v>T1A6211100-20</v>
          </cell>
          <cell r="I528" t="str">
            <v>İÇ</v>
          </cell>
          <cell r="J528" t="str">
            <v>AVİZE.SARK</v>
          </cell>
          <cell r="K528" t="str">
            <v>APPLE</v>
          </cell>
          <cell r="L528" t="str">
            <v/>
          </cell>
          <cell r="M528" t="str">
            <v/>
          </cell>
          <cell r="N528" t="str">
            <v>HKA-24129</v>
          </cell>
          <cell r="O528" t="str">
            <v>HEKA</v>
          </cell>
          <cell r="P528" t="str">
            <v>ADET</v>
          </cell>
          <cell r="Q528" t="str">
            <v>LED</v>
          </cell>
          <cell r="R528" t="str">
            <v>METAL</v>
          </cell>
          <cell r="S528" t="str">
            <v>GOLD</v>
          </cell>
          <cell r="T528" t="str">
            <v>CAM</v>
          </cell>
          <cell r="U528" t="str">
            <v>SOFT</v>
          </cell>
          <cell r="AD528" t="str">
            <v>DAİRE</v>
          </cell>
          <cell r="AF528">
            <v>4</v>
          </cell>
          <cell r="AG528" t="str">
            <v>ADET</v>
          </cell>
          <cell r="AH528">
            <v>45</v>
          </cell>
          <cell r="AI528" t="str">
            <v>CNY</v>
          </cell>
          <cell r="AJ528">
            <v>4820</v>
          </cell>
          <cell r="AK528" t="str">
            <v>TL</v>
          </cell>
          <cell r="AL528">
            <v>1</v>
          </cell>
          <cell r="AM528" t="str">
            <v>8684127508148</v>
          </cell>
          <cell r="AO528">
            <v>0</v>
          </cell>
          <cell r="AQ528">
            <v>35</v>
          </cell>
          <cell r="AR528" t="str">
            <v>CM</v>
          </cell>
          <cell r="AS528">
            <v>20</v>
          </cell>
          <cell r="AT528" t="str">
            <v>CM</v>
          </cell>
          <cell r="AU528">
            <v>0</v>
          </cell>
          <cell r="AW528">
            <v>0</v>
          </cell>
        </row>
        <row r="529">
          <cell r="B529" t="str">
            <v>H1C6JMEECS0-040</v>
          </cell>
          <cell r="C529" t="str">
            <v>NAİROBİ TEKLİ KRİSTAL ESKİTME SARKIT</v>
          </cell>
          <cell r="D529" t="str">
            <v>NAİROBİ SINGLE BRASS CRYSTAL PENDANT</v>
          </cell>
          <cell r="E529" t="str">
            <v xml:space="preserve">METAL CAM  ESKİTME ŞEFFAF   </v>
          </cell>
          <cell r="F529" t="str">
            <v>9405.11.90.00.00</v>
          </cell>
          <cell r="G529" t="str">
            <v>AVİZE</v>
          </cell>
          <cell r="H529" t="str">
            <v>T1A6621100-40</v>
          </cell>
          <cell r="I529" t="str">
            <v>İÇ</v>
          </cell>
          <cell r="J529" t="str">
            <v>AVİZE.SARK</v>
          </cell>
          <cell r="K529" t="str">
            <v>STONE</v>
          </cell>
          <cell r="L529" t="str">
            <v/>
          </cell>
          <cell r="M529" t="str">
            <v/>
          </cell>
          <cell r="N529" t="str">
            <v>HDX-001-BR</v>
          </cell>
          <cell r="O529" t="str">
            <v>HEKA</v>
          </cell>
          <cell r="P529" t="str">
            <v>ADET</v>
          </cell>
          <cell r="Q529" t="str">
            <v>LED</v>
          </cell>
          <cell r="R529" t="str">
            <v>METAL</v>
          </cell>
          <cell r="S529" t="str">
            <v>ESKİTME</v>
          </cell>
          <cell r="T529" t="str">
            <v>CAM</v>
          </cell>
          <cell r="U529" t="str">
            <v>ŞEFFAF</v>
          </cell>
          <cell r="AD529" t="str">
            <v>N/A</v>
          </cell>
          <cell r="AF529">
            <v>62</v>
          </cell>
          <cell r="AG529" t="str">
            <v>ADET</v>
          </cell>
          <cell r="AH529">
            <v>75</v>
          </cell>
          <cell r="AI529" t="str">
            <v>CNY</v>
          </cell>
          <cell r="AJ529">
            <v>3013</v>
          </cell>
          <cell r="AK529" t="str">
            <v>TL</v>
          </cell>
          <cell r="AL529">
            <v>1</v>
          </cell>
          <cell r="AM529" t="str">
            <v>8684127502580</v>
          </cell>
          <cell r="AO529">
            <v>1.25</v>
          </cell>
          <cell r="AP529" t="str">
            <v>KG</v>
          </cell>
          <cell r="AQ529">
            <v>7.5</v>
          </cell>
          <cell r="AR529" t="str">
            <v>CM</v>
          </cell>
          <cell r="AS529">
            <v>7.5</v>
          </cell>
          <cell r="AT529" t="str">
            <v>CM</v>
          </cell>
          <cell r="AU529">
            <v>0</v>
          </cell>
          <cell r="AW529">
            <v>0</v>
          </cell>
        </row>
        <row r="530">
          <cell r="B530" t="str">
            <v>H1C1JMGNRBR-113</v>
          </cell>
          <cell r="C530" t="str">
            <v>KOMOR YEMEK MASASI AVİZE</v>
          </cell>
          <cell r="D530" t="str">
            <v>KOMOR DINNING TABLE CHANDELIER</v>
          </cell>
          <cell r="E530" t="str">
            <v xml:space="preserve">METAL PORSELEN GOLD BEYAZ   </v>
          </cell>
          <cell r="F530" t="str">
            <v>9405.19.90.00.00</v>
          </cell>
          <cell r="G530" t="str">
            <v>AVİZE</v>
          </cell>
          <cell r="H530" t="str">
            <v>T1A112P100-12</v>
          </cell>
          <cell r="I530" t="str">
            <v>İÇ</v>
          </cell>
          <cell r="J530" t="str">
            <v>AVİZE.AVİZ</v>
          </cell>
          <cell r="K530" t="str">
            <v>KOMOR</v>
          </cell>
          <cell r="L530" t="str">
            <v/>
          </cell>
          <cell r="M530" t="str">
            <v/>
          </cell>
          <cell r="N530" t="str">
            <v>7161-12PL</v>
          </cell>
          <cell r="O530" t="str">
            <v>HEKA</v>
          </cell>
          <cell r="P530" t="str">
            <v>ADET</v>
          </cell>
          <cell r="Q530" t="str">
            <v>E14</v>
          </cell>
          <cell r="R530" t="str">
            <v>METAL</v>
          </cell>
          <cell r="S530" t="str">
            <v>GOLD</v>
          </cell>
          <cell r="T530" t="str">
            <v>PORSELEN</v>
          </cell>
          <cell r="U530" t="str">
            <v>BEYAZ</v>
          </cell>
          <cell r="V530" t="str">
            <v>E</v>
          </cell>
          <cell r="W530" t="str">
            <v>SMD LED</v>
          </cell>
          <cell r="X530" t="str">
            <v>12V</v>
          </cell>
          <cell r="Y530" t="str">
            <v>10 WATT</v>
          </cell>
          <cell r="Z530" t="str">
            <v>4000 K</v>
          </cell>
          <cell r="AA530" t="str">
            <v>DIMMSIZ</v>
          </cell>
          <cell r="AB530" t="str">
            <v>501-600</v>
          </cell>
          <cell r="AC530" t="str">
            <v>KARMA</v>
          </cell>
          <cell r="AD530" t="str">
            <v>DAİRE</v>
          </cell>
          <cell r="AE530" t="str">
            <v>12</v>
          </cell>
          <cell r="AF530">
            <v>0</v>
          </cell>
          <cell r="AG530" t="str">
            <v>ADET</v>
          </cell>
          <cell r="AH530">
            <v>546</v>
          </cell>
          <cell r="AI530" t="str">
            <v>CNY</v>
          </cell>
          <cell r="AJ530">
            <v>8950</v>
          </cell>
          <cell r="AK530" t="str">
            <v>TL</v>
          </cell>
          <cell r="AL530">
            <v>1</v>
          </cell>
          <cell r="AM530" t="str">
            <v>8684127502191</v>
          </cell>
          <cell r="AO530">
            <v>0</v>
          </cell>
          <cell r="AQ530">
            <v>0</v>
          </cell>
          <cell r="AR530" t="str">
            <v>CM</v>
          </cell>
          <cell r="AS530">
            <v>0</v>
          </cell>
          <cell r="AT530" t="str">
            <v>CM</v>
          </cell>
          <cell r="AU530">
            <v>0</v>
          </cell>
          <cell r="AW530">
            <v>0</v>
          </cell>
        </row>
        <row r="531">
          <cell r="B531" t="str">
            <v>H1F1JMGNRBR-165</v>
          </cell>
          <cell r="C531" t="str">
            <v>KOMOR LAMBADER</v>
          </cell>
          <cell r="D531" t="str">
            <v>KOMOR FLOOR LAMP</v>
          </cell>
          <cell r="E531" t="str">
            <v xml:space="preserve">METAL PORSELEN GOLD BEYAZ   </v>
          </cell>
          <cell r="F531" t="str">
            <v>9405.29.90.00.00</v>
          </cell>
          <cell r="G531" t="str">
            <v>LAMBADER</v>
          </cell>
          <cell r="H531" t="str">
            <v>T1L112P100-07</v>
          </cell>
          <cell r="I531" t="str">
            <v>İÇ</v>
          </cell>
          <cell r="J531" t="str">
            <v>LAMBADER</v>
          </cell>
          <cell r="K531" t="str">
            <v>KOMOR</v>
          </cell>
          <cell r="L531" t="str">
            <v/>
          </cell>
          <cell r="M531" t="str">
            <v/>
          </cell>
          <cell r="N531" t="str">
            <v>7161-7F</v>
          </cell>
          <cell r="O531" t="str">
            <v>HEKA</v>
          </cell>
          <cell r="P531" t="str">
            <v>ADET</v>
          </cell>
          <cell r="Q531" t="str">
            <v>E14</v>
          </cell>
          <cell r="R531" t="str">
            <v>METAL</v>
          </cell>
          <cell r="S531" t="str">
            <v>GOLD</v>
          </cell>
          <cell r="T531" t="str">
            <v>PORSELEN</v>
          </cell>
          <cell r="U531" t="str">
            <v>BEYAZ</v>
          </cell>
          <cell r="AD531" t="str">
            <v>DAİRE</v>
          </cell>
          <cell r="AE531" t="str">
            <v>06</v>
          </cell>
          <cell r="AF531">
            <v>1</v>
          </cell>
          <cell r="AG531" t="str">
            <v>ADET</v>
          </cell>
          <cell r="AH531">
            <v>398</v>
          </cell>
          <cell r="AI531" t="str">
            <v>CNY</v>
          </cell>
          <cell r="AJ531">
            <v>16541</v>
          </cell>
          <cell r="AK531" t="str">
            <v>TL</v>
          </cell>
          <cell r="AL531">
            <v>1</v>
          </cell>
          <cell r="AM531" t="str">
            <v>8684127503051</v>
          </cell>
          <cell r="AO531">
            <v>0</v>
          </cell>
          <cell r="AQ531">
            <v>0</v>
          </cell>
          <cell r="AR531" t="str">
            <v>CM</v>
          </cell>
          <cell r="AS531">
            <v>0</v>
          </cell>
          <cell r="AT531" t="str">
            <v>CM</v>
          </cell>
          <cell r="AU531">
            <v>0</v>
          </cell>
          <cell r="AW531">
            <v>0</v>
          </cell>
        </row>
        <row r="532">
          <cell r="B532" t="str">
            <v>H1C3JMEECS0-028</v>
          </cell>
          <cell r="C532" t="str">
            <v>BENİN ŞEFFAF CAM SARKIT</v>
          </cell>
          <cell r="D532" t="str">
            <v>BENİN CLEAR GLASS PENDANT</v>
          </cell>
          <cell r="E532" t="str">
            <v xml:space="preserve">METAL CAM  ESKİTME ŞEFFAF   </v>
          </cell>
          <cell r="F532" t="str">
            <v>9405.19.90.00.00</v>
          </cell>
          <cell r="G532" t="str">
            <v>AVİZE</v>
          </cell>
          <cell r="H532" t="str">
            <v>T1A3241100-28</v>
          </cell>
          <cell r="I532" t="str">
            <v>İÇ</v>
          </cell>
          <cell r="J532" t="str">
            <v>AVİZE.SARK</v>
          </cell>
          <cell r="K532" t="str">
            <v>BENİN</v>
          </cell>
          <cell r="L532" t="str">
            <v/>
          </cell>
          <cell r="M532" t="str">
            <v/>
          </cell>
          <cell r="N532" t="str">
            <v>S01-TC-P</v>
          </cell>
          <cell r="O532" t="str">
            <v>HEKA</v>
          </cell>
          <cell r="P532" t="str">
            <v>ADET</v>
          </cell>
          <cell r="Q532" t="str">
            <v>E14</v>
          </cell>
          <cell r="R532" t="str">
            <v>METAL</v>
          </cell>
          <cell r="S532" t="str">
            <v>ESKİTME</v>
          </cell>
          <cell r="T532" t="str">
            <v>CAM</v>
          </cell>
          <cell r="U532" t="str">
            <v>ŞEFFAF</v>
          </cell>
          <cell r="AD532" t="str">
            <v>N/A</v>
          </cell>
          <cell r="AE532" t="str">
            <v>02</v>
          </cell>
          <cell r="AF532">
            <v>0</v>
          </cell>
          <cell r="AG532" t="str">
            <v>ADET</v>
          </cell>
          <cell r="AH532">
            <v>350</v>
          </cell>
          <cell r="AI532" t="str">
            <v>TL</v>
          </cell>
          <cell r="AJ532">
            <v>4165</v>
          </cell>
          <cell r="AK532" t="str">
            <v>TL</v>
          </cell>
          <cell r="AL532">
            <v>1</v>
          </cell>
          <cell r="AM532" t="str">
            <v>8684127501644</v>
          </cell>
          <cell r="AO532">
            <v>0</v>
          </cell>
          <cell r="AQ532">
            <v>28</v>
          </cell>
          <cell r="AR532" t="str">
            <v>CM</v>
          </cell>
          <cell r="AS532">
            <v>17</v>
          </cell>
          <cell r="AT532" t="str">
            <v>CM</v>
          </cell>
          <cell r="AU532">
            <v>0</v>
          </cell>
          <cell r="AW532">
            <v>0</v>
          </cell>
        </row>
        <row r="533">
          <cell r="B533" t="str">
            <v>H1C3JMEECT0-059</v>
          </cell>
          <cell r="C533" t="str">
            <v>HALLE ÜÇLÜ ESKİTME AVİZE</v>
          </cell>
          <cell r="D533" t="str">
            <v>HALLE TRIPLE BURSHED BRASS CHANDELIER</v>
          </cell>
          <cell r="E533" t="str">
            <v>METAL CAM ESKİTME SOFT</v>
          </cell>
          <cell r="F533" t="str">
            <v>9405.19.90.00.00</v>
          </cell>
          <cell r="G533" t="str">
            <v>AVİZE</v>
          </cell>
          <cell r="H533" t="str">
            <v>H1A3112100-00</v>
          </cell>
          <cell r="I533" t="str">
            <v>İÇ</v>
          </cell>
          <cell r="J533" t="str">
            <v>AVİZE.SARK</v>
          </cell>
          <cell r="K533" t="str">
            <v>HALLE</v>
          </cell>
          <cell r="L533" t="str">
            <v/>
          </cell>
          <cell r="M533" t="str">
            <v/>
          </cell>
          <cell r="N533" t="str">
            <v/>
          </cell>
          <cell r="O533" t="str">
            <v>HEKA</v>
          </cell>
          <cell r="P533" t="str">
            <v>ADET</v>
          </cell>
          <cell r="Q533" t="str">
            <v>G9</v>
          </cell>
          <cell r="R533" t="str">
            <v>METAL</v>
          </cell>
          <cell r="S533" t="str">
            <v>ESKİTME</v>
          </cell>
          <cell r="T533" t="str">
            <v>CAM</v>
          </cell>
          <cell r="U533" t="str">
            <v>SOFT</v>
          </cell>
          <cell r="AD533" t="str">
            <v>N/A</v>
          </cell>
          <cell r="AE533" t="str">
            <v>04</v>
          </cell>
          <cell r="AF533">
            <v>0</v>
          </cell>
          <cell r="AG533" t="str">
            <v>ADET</v>
          </cell>
          <cell r="AH533">
            <v>350</v>
          </cell>
          <cell r="AI533" t="str">
            <v>TL</v>
          </cell>
          <cell r="AJ533">
            <v>5415</v>
          </cell>
          <cell r="AK533" t="str">
            <v>TL</v>
          </cell>
          <cell r="AL533">
            <v>1</v>
          </cell>
          <cell r="AM533" t="str">
            <v>8684127509770</v>
          </cell>
          <cell r="AO533">
            <v>0</v>
          </cell>
          <cell r="AQ533">
            <v>10</v>
          </cell>
          <cell r="AR533" t="str">
            <v>CM</v>
          </cell>
          <cell r="AS533">
            <v>59</v>
          </cell>
          <cell r="AT533" t="str">
            <v>CM</v>
          </cell>
          <cell r="AU533">
            <v>0</v>
          </cell>
          <cell r="AW533">
            <v>0</v>
          </cell>
        </row>
        <row r="534">
          <cell r="B534" t="str">
            <v>H1W6WRBJMER-025</v>
          </cell>
          <cell r="C534" t="str">
            <v>ASPENDOS TEKLİ MERMER ESKİTME APLİK 25cm</v>
          </cell>
          <cell r="D534" t="str">
            <v>ASPENDOS SINGLE MARBLE BRUSHED BRASS WALL LAMP 25cm</v>
          </cell>
          <cell r="E534" t="str">
            <v>MERMER METAL BEYAZ ESKİTME</v>
          </cell>
          <cell r="F534" t="str">
            <v>9405.11.90.00.00</v>
          </cell>
          <cell r="G534" t="str">
            <v>APLİK</v>
          </cell>
          <cell r="H534" t="str">
            <v>H1W6314300-25</v>
          </cell>
          <cell r="I534" t="str">
            <v>İÇ</v>
          </cell>
          <cell r="J534" t="str">
            <v>APLİK</v>
          </cell>
          <cell r="K534" t="str">
            <v>ASPENDOS</v>
          </cell>
          <cell r="L534" t="str">
            <v/>
          </cell>
          <cell r="M534" t="str">
            <v>28.02.2026</v>
          </cell>
          <cell r="N534" t="str">
            <v>HKA-24098</v>
          </cell>
          <cell r="O534" t="str">
            <v>HEKA</v>
          </cell>
          <cell r="P534" t="str">
            <v>ADET</v>
          </cell>
          <cell r="Q534" t="str">
            <v>LED</v>
          </cell>
          <cell r="R534" t="str">
            <v>MERMER</v>
          </cell>
          <cell r="S534" t="str">
            <v>BEYAZ</v>
          </cell>
          <cell r="T534" t="str">
            <v>METAL</v>
          </cell>
          <cell r="U534" t="str">
            <v>ESKİTME</v>
          </cell>
          <cell r="AD534" t="str">
            <v>DAİRE</v>
          </cell>
          <cell r="AF534">
            <v>1</v>
          </cell>
          <cell r="AG534" t="str">
            <v>ADET</v>
          </cell>
          <cell r="AH534">
            <v>117</v>
          </cell>
          <cell r="AI534" t="str">
            <v>CNY</v>
          </cell>
          <cell r="AJ534">
            <v>9950</v>
          </cell>
          <cell r="AK534" t="str">
            <v>TL</v>
          </cell>
          <cell r="AL534">
            <v>1</v>
          </cell>
          <cell r="AM534" t="str">
            <v>8684127506601</v>
          </cell>
          <cell r="AO534">
            <v>0</v>
          </cell>
          <cell r="AQ534">
            <v>6</v>
          </cell>
          <cell r="AR534" t="str">
            <v>CM</v>
          </cell>
          <cell r="AS534">
            <v>25</v>
          </cell>
          <cell r="AT534" t="str">
            <v>CM</v>
          </cell>
          <cell r="AU534">
            <v>0</v>
          </cell>
          <cell r="AW534">
            <v>0</v>
          </cell>
        </row>
        <row r="535">
          <cell r="B535" t="str">
            <v>H1W3JRSECTD-063</v>
          </cell>
          <cell r="C535" t="str">
            <v>AFRODİT İKİLİ SİYAH APLİK</v>
          </cell>
          <cell r="D535" t="str">
            <v>AFRODİT DOUBLE BLACK WALL LAMP</v>
          </cell>
          <cell r="E535" t="str">
            <v>METAL CAM SİYAH SOFT</v>
          </cell>
          <cell r="F535" t="str">
            <v>9405.19.90.00.00</v>
          </cell>
          <cell r="G535" t="str">
            <v>APLİK</v>
          </cell>
          <cell r="H535" t="str">
            <v>T1W3142100-02</v>
          </cell>
          <cell r="I535" t="str">
            <v>İÇ</v>
          </cell>
          <cell r="J535" t="str">
            <v>APLİK</v>
          </cell>
          <cell r="K535" t="str">
            <v>AFRODİT</v>
          </cell>
          <cell r="L535" t="str">
            <v>Ç</v>
          </cell>
          <cell r="M535" t="str">
            <v>ÜRTM;15GÜN</v>
          </cell>
          <cell r="N535" t="str">
            <v>MB021-2-BC</v>
          </cell>
          <cell r="O535" t="str">
            <v>HEKA</v>
          </cell>
          <cell r="P535" t="str">
            <v>ADET</v>
          </cell>
          <cell r="Q535" t="str">
            <v>G9</v>
          </cell>
          <cell r="R535" t="str">
            <v>METAL</v>
          </cell>
          <cell r="S535" t="str">
            <v>SİYAH</v>
          </cell>
          <cell r="T535" t="str">
            <v>CAM</v>
          </cell>
          <cell r="U535" t="str">
            <v>SOFT</v>
          </cell>
          <cell r="AD535" t="str">
            <v>DİKDÖRTGEN</v>
          </cell>
          <cell r="AE535" t="str">
            <v>02</v>
          </cell>
          <cell r="AF535">
            <v>12</v>
          </cell>
          <cell r="AG535" t="str">
            <v>ADET</v>
          </cell>
          <cell r="AH535">
            <v>500</v>
          </cell>
          <cell r="AI535" t="str">
            <v>TL</v>
          </cell>
          <cell r="AJ535">
            <v>10880</v>
          </cell>
          <cell r="AK535" t="str">
            <v>TL</v>
          </cell>
          <cell r="AL535">
            <v>1</v>
          </cell>
          <cell r="AM535" t="str">
            <v>8684127501354</v>
          </cell>
          <cell r="AO535">
            <v>0</v>
          </cell>
          <cell r="AQ535">
            <v>62</v>
          </cell>
          <cell r="AR535" t="str">
            <v>CM</v>
          </cell>
          <cell r="AS535">
            <v>17</v>
          </cell>
          <cell r="AT535" t="str">
            <v>CM</v>
          </cell>
          <cell r="AU535">
            <v>0</v>
          </cell>
          <cell r="AW535">
            <v>0</v>
          </cell>
        </row>
        <row r="536">
          <cell r="B536" t="str">
            <v>H1W6JMELCTL-060</v>
          </cell>
          <cell r="C536" t="str">
            <v>AKRA LED APLİK 60cm</v>
          </cell>
          <cell r="D536" t="str">
            <v>AKRA LED WALL LAMP 60cm</v>
          </cell>
          <cell r="E536" t="str">
            <v>METAL PLEKSİ ESKİTME SOFT</v>
          </cell>
          <cell r="F536" t="str">
            <v>9405.11.90.00.00</v>
          </cell>
          <cell r="G536" t="str">
            <v>APLİK</v>
          </cell>
          <cell r="H536" t="str">
            <v>T1W6631100-60</v>
          </cell>
          <cell r="I536" t="str">
            <v>İÇ</v>
          </cell>
          <cell r="J536" t="str">
            <v>APLİK</v>
          </cell>
          <cell r="K536" t="str">
            <v>AKRA</v>
          </cell>
          <cell r="L536" t="str">
            <v>Ç</v>
          </cell>
          <cell r="M536" t="str">
            <v/>
          </cell>
          <cell r="N536" t="str">
            <v>HKA-24065</v>
          </cell>
          <cell r="O536" t="str">
            <v>HEKA</v>
          </cell>
          <cell r="P536" t="str">
            <v>ADET</v>
          </cell>
          <cell r="Q536" t="str">
            <v>LED</v>
          </cell>
          <cell r="R536" t="str">
            <v>METAL</v>
          </cell>
          <cell r="S536" t="str">
            <v>ESKİTME</v>
          </cell>
          <cell r="T536" t="str">
            <v>PLEKSİ</v>
          </cell>
          <cell r="U536" t="str">
            <v>SOFT</v>
          </cell>
          <cell r="AD536" t="str">
            <v>DÜZ</v>
          </cell>
          <cell r="AF536">
            <v>42</v>
          </cell>
          <cell r="AG536" t="str">
            <v>ADET</v>
          </cell>
          <cell r="AH536">
            <v>60</v>
          </cell>
          <cell r="AI536" t="str">
            <v>CNY</v>
          </cell>
          <cell r="AJ536">
            <v>5600</v>
          </cell>
          <cell r="AK536" t="str">
            <v>TL</v>
          </cell>
          <cell r="AL536">
            <v>1</v>
          </cell>
          <cell r="AM536" t="str">
            <v>8684127501385</v>
          </cell>
          <cell r="AO536">
            <v>0</v>
          </cell>
          <cell r="AQ536">
            <v>0</v>
          </cell>
          <cell r="AR536" t="str">
            <v>CM</v>
          </cell>
          <cell r="AS536">
            <v>0</v>
          </cell>
          <cell r="AT536" t="str">
            <v>CM</v>
          </cell>
          <cell r="AU536">
            <v>0</v>
          </cell>
          <cell r="AW536">
            <v>0</v>
          </cell>
        </row>
        <row r="537">
          <cell r="B537" t="str">
            <v>01.020.00.04.05</v>
          </cell>
          <cell r="C537" t="str">
            <v>YUVARLAK TEPSİ ALTIN 20cm</v>
          </cell>
          <cell r="D537" t="str">
            <v>GOLD ROUND TRAY 20cm</v>
          </cell>
          <cell r="E537" t="str">
            <v/>
          </cell>
          <cell r="F537" t="str">
            <v/>
          </cell>
          <cell r="G537" t="str">
            <v>ZPARCA</v>
          </cell>
          <cell r="H537" t="str">
            <v>01.020.00.04.05</v>
          </cell>
          <cell r="I537" t="str">
            <v>İÇ</v>
          </cell>
          <cell r="J537" t="str">
            <v>ZPARCA</v>
          </cell>
          <cell r="K537" t="str">
            <v/>
          </cell>
          <cell r="L537" t="str">
            <v/>
          </cell>
          <cell r="M537" t="str">
            <v>ÜRTM:7GÜN</v>
          </cell>
          <cell r="N537" t="str">
            <v/>
          </cell>
          <cell r="O537" t="str">
            <v>HEKA</v>
          </cell>
          <cell r="P537" t="str">
            <v>ADET</v>
          </cell>
          <cell r="R537" t="str">
            <v>METAL</v>
          </cell>
          <cell r="S537" t="str">
            <v>GOLD</v>
          </cell>
          <cell r="AF537">
            <v>12</v>
          </cell>
          <cell r="AG537" t="str">
            <v>ADET</v>
          </cell>
          <cell r="AH537">
            <v>11</v>
          </cell>
          <cell r="AI537" t="str">
            <v>CNY</v>
          </cell>
          <cell r="AJ537">
            <v>1050</v>
          </cell>
          <cell r="AK537" t="str">
            <v>TL</v>
          </cell>
          <cell r="AL537">
            <v>1</v>
          </cell>
          <cell r="AM537" t="str">
            <v>01.020.00.04.05</v>
          </cell>
          <cell r="AO537">
            <v>0</v>
          </cell>
          <cell r="AQ537">
            <v>0</v>
          </cell>
          <cell r="AS537">
            <v>100</v>
          </cell>
          <cell r="AU537">
            <v>0</v>
          </cell>
          <cell r="AW537">
            <v>0</v>
          </cell>
        </row>
        <row r="538">
          <cell r="B538" t="str">
            <v>H1C6JMEECS0-020</v>
          </cell>
          <cell r="C538" t="str">
            <v>RUANDA ŞEFFAF SARKIT 20cm</v>
          </cell>
          <cell r="D538" t="str">
            <v>RUANDA CLEAR PENDANT 20cm</v>
          </cell>
          <cell r="E538" t="str">
            <v>METAL CAM GOLD ESKİTME</v>
          </cell>
          <cell r="F538" t="str">
            <v>9405.11.90.00.00</v>
          </cell>
          <cell r="G538" t="str">
            <v>AVİZE</v>
          </cell>
          <cell r="H538" t="str">
            <v/>
          </cell>
          <cell r="I538" t="str">
            <v>İÇ</v>
          </cell>
          <cell r="J538" t="str">
            <v>AVİZE.SARK</v>
          </cell>
          <cell r="K538" t="str">
            <v>RUANDA</v>
          </cell>
          <cell r="L538" t="str">
            <v/>
          </cell>
          <cell r="M538" t="str">
            <v xml:space="preserve"> </v>
          </cell>
          <cell r="N538" t="str">
            <v>89508</v>
          </cell>
          <cell r="O538" t="str">
            <v>HEKA</v>
          </cell>
          <cell r="P538" t="str">
            <v>ADET</v>
          </cell>
          <cell r="Q538" t="str">
            <v>LED</v>
          </cell>
          <cell r="R538" t="str">
            <v>METAL</v>
          </cell>
          <cell r="S538" t="str">
            <v>GOLD</v>
          </cell>
          <cell r="T538" t="str">
            <v>AKRİLİK</v>
          </cell>
          <cell r="U538" t="str">
            <v>ŞEFFAF</v>
          </cell>
          <cell r="AD538" t="str">
            <v>N/A</v>
          </cell>
          <cell r="AF538">
            <v>8</v>
          </cell>
          <cell r="AG538" t="str">
            <v>ADET</v>
          </cell>
          <cell r="AH538">
            <v>680</v>
          </cell>
          <cell r="AI538" t="str">
            <v>TL</v>
          </cell>
          <cell r="AJ538">
            <v>8449</v>
          </cell>
          <cell r="AK538" t="str">
            <v>TL</v>
          </cell>
          <cell r="AL538">
            <v>0</v>
          </cell>
          <cell r="AM538" t="str">
            <v>8684127504904</v>
          </cell>
          <cell r="AO538">
            <v>0</v>
          </cell>
          <cell r="AQ538">
            <v>0</v>
          </cell>
          <cell r="AR538" t="str">
            <v>CM</v>
          </cell>
          <cell r="AS538">
            <v>0</v>
          </cell>
          <cell r="AT538" t="str">
            <v>CM</v>
          </cell>
          <cell r="AU538">
            <v>0</v>
          </cell>
          <cell r="AW538">
            <v>0</v>
          </cell>
        </row>
        <row r="539">
          <cell r="B539" t="str">
            <v>H1C6JMEECS0-025</v>
          </cell>
          <cell r="C539" t="str">
            <v>RUANDA ŞEFFAF SARKIT 25cm</v>
          </cell>
          <cell r="D539" t="str">
            <v>RUANDA CLEAR PENDANT 25cm</v>
          </cell>
          <cell r="E539" t="str">
            <v xml:space="preserve">METAL CAM  ESKİTME ŞEFFAF   </v>
          </cell>
          <cell r="F539" t="str">
            <v>9405.11.90.00.00</v>
          </cell>
          <cell r="G539" t="str">
            <v>AVİZE</v>
          </cell>
          <cell r="H539" t="str">
            <v>T1A6241100-04</v>
          </cell>
          <cell r="I539" t="str">
            <v>İÇ</v>
          </cell>
          <cell r="J539" t="str">
            <v>AVİZE.SARK</v>
          </cell>
          <cell r="K539" t="str">
            <v>RUANDA</v>
          </cell>
          <cell r="L539" t="str">
            <v/>
          </cell>
          <cell r="M539" t="str">
            <v/>
          </cell>
          <cell r="N539" t="str">
            <v>89509</v>
          </cell>
          <cell r="O539" t="str">
            <v>HEKA</v>
          </cell>
          <cell r="P539" t="str">
            <v>ADET</v>
          </cell>
          <cell r="Q539" t="str">
            <v>LED</v>
          </cell>
          <cell r="R539" t="str">
            <v>METAL</v>
          </cell>
          <cell r="S539" t="str">
            <v>ESKİTME</v>
          </cell>
          <cell r="T539" t="str">
            <v>CAM</v>
          </cell>
          <cell r="U539" t="str">
            <v>ŞEFFAF</v>
          </cell>
          <cell r="AD539" t="str">
            <v>N/A</v>
          </cell>
          <cell r="AE539" t="str">
            <v>01</v>
          </cell>
          <cell r="AF539">
            <v>0</v>
          </cell>
          <cell r="AG539" t="str">
            <v>ADET</v>
          </cell>
          <cell r="AH539">
            <v>170</v>
          </cell>
          <cell r="AI539" t="str">
            <v>CNY</v>
          </cell>
          <cell r="AJ539">
            <v>8449</v>
          </cell>
          <cell r="AK539" t="str">
            <v>TL</v>
          </cell>
          <cell r="AL539">
            <v>1</v>
          </cell>
          <cell r="AM539" t="str">
            <v>8684127504911</v>
          </cell>
          <cell r="AO539">
            <v>0</v>
          </cell>
          <cell r="AQ539">
            <v>0</v>
          </cell>
          <cell r="AR539" t="str">
            <v>CM</v>
          </cell>
          <cell r="AS539">
            <v>0</v>
          </cell>
          <cell r="AT539" t="str">
            <v>CM</v>
          </cell>
          <cell r="AU539">
            <v>0</v>
          </cell>
          <cell r="AW539">
            <v>0</v>
          </cell>
        </row>
        <row r="540">
          <cell r="B540" t="str">
            <v>H1C6JMEERL0-020</v>
          </cell>
          <cell r="C540" t="str">
            <v>HOBART TEKLİ BAL CAM SARKIT 20cm</v>
          </cell>
          <cell r="D540" t="str">
            <v>HOBART SINGLE AMBER GLASS PENDANT 20cm</v>
          </cell>
          <cell r="E540" t="str">
            <v xml:space="preserve">METAL CAM  ESKİTME BAL   </v>
          </cell>
          <cell r="F540" t="str">
            <v>9405.11.90.00.00</v>
          </cell>
          <cell r="G540" t="str">
            <v>AVİZE</v>
          </cell>
          <cell r="H540" t="str">
            <v>T1A6230000-20</v>
          </cell>
          <cell r="I540" t="str">
            <v>İÇ</v>
          </cell>
          <cell r="J540" t="str">
            <v>AVİZE.SARK</v>
          </cell>
          <cell r="K540" t="str">
            <v>HOBART</v>
          </cell>
          <cell r="L540" t="str">
            <v/>
          </cell>
          <cell r="M540" t="str">
            <v/>
          </cell>
          <cell r="N540" t="str">
            <v>HKA-24075</v>
          </cell>
          <cell r="O540" t="str">
            <v>HEKA</v>
          </cell>
          <cell r="P540" t="str">
            <v>ADET</v>
          </cell>
          <cell r="Q540" t="str">
            <v>LED</v>
          </cell>
          <cell r="R540" t="str">
            <v>METAL</v>
          </cell>
          <cell r="S540" t="str">
            <v>ESKİTME</v>
          </cell>
          <cell r="T540" t="str">
            <v>CAM</v>
          </cell>
          <cell r="U540" t="str">
            <v>BAL</v>
          </cell>
          <cell r="AD540" t="str">
            <v>N/A</v>
          </cell>
          <cell r="AF540">
            <v>16</v>
          </cell>
          <cell r="AG540" t="str">
            <v>ADET</v>
          </cell>
          <cell r="AH540">
            <v>70</v>
          </cell>
          <cell r="AI540" t="str">
            <v>CNY</v>
          </cell>
          <cell r="AJ540">
            <v>5100</v>
          </cell>
          <cell r="AK540" t="str">
            <v>TL</v>
          </cell>
          <cell r="AL540">
            <v>1</v>
          </cell>
          <cell r="AM540" t="str">
            <v>8684127504485</v>
          </cell>
          <cell r="AO540">
            <v>0</v>
          </cell>
          <cell r="AQ540">
            <v>10</v>
          </cell>
          <cell r="AR540" t="str">
            <v>CM</v>
          </cell>
          <cell r="AS540">
            <v>20</v>
          </cell>
          <cell r="AT540" t="str">
            <v>CM</v>
          </cell>
          <cell r="AU540">
            <v>0</v>
          </cell>
          <cell r="AW540">
            <v>0</v>
          </cell>
        </row>
        <row r="541">
          <cell r="B541" t="str">
            <v>H1C6JMEECS0-021</v>
          </cell>
          <cell r="C541" t="str">
            <v>HOBART TEKLİ ŞEFFAF CAM SARKIT 20cm</v>
          </cell>
          <cell r="D541" t="str">
            <v>HOBART SINGLE CLEAR GLASS PENDANT 20cm</v>
          </cell>
          <cell r="E541" t="str">
            <v xml:space="preserve">METAL CAM  ESKİTME ŞEFFAF   </v>
          </cell>
          <cell r="F541" t="str">
            <v>9405.11.90.00.00</v>
          </cell>
          <cell r="G541" t="str">
            <v>AVİZE</v>
          </cell>
          <cell r="H541" t="str">
            <v>T1A6240000-20</v>
          </cell>
          <cell r="I541" t="str">
            <v>İÇ</v>
          </cell>
          <cell r="J541" t="str">
            <v>AVİZE.SARK</v>
          </cell>
          <cell r="K541" t="str">
            <v>HOBART</v>
          </cell>
          <cell r="L541" t="str">
            <v/>
          </cell>
          <cell r="M541" t="str">
            <v/>
          </cell>
          <cell r="N541" t="str">
            <v>HKA-24140</v>
          </cell>
          <cell r="O541" t="str">
            <v>HEKA</v>
          </cell>
          <cell r="P541" t="str">
            <v>ADET</v>
          </cell>
          <cell r="Q541" t="str">
            <v>LED</v>
          </cell>
          <cell r="R541" t="str">
            <v>METAL</v>
          </cell>
          <cell r="S541" t="str">
            <v>ESKİTME</v>
          </cell>
          <cell r="T541" t="str">
            <v>CAM</v>
          </cell>
          <cell r="U541" t="str">
            <v>ŞEFFAF</v>
          </cell>
          <cell r="AD541" t="str">
            <v>N/A</v>
          </cell>
          <cell r="AF541">
            <v>0</v>
          </cell>
          <cell r="AG541" t="str">
            <v>ADET</v>
          </cell>
          <cell r="AH541">
            <v>600</v>
          </cell>
          <cell r="AI541" t="str">
            <v>TL</v>
          </cell>
          <cell r="AJ541">
            <v>5100</v>
          </cell>
          <cell r="AK541" t="str">
            <v>TL</v>
          </cell>
          <cell r="AL541">
            <v>1</v>
          </cell>
          <cell r="AM541" t="str">
            <v>8684127504508</v>
          </cell>
          <cell r="AO541">
            <v>0</v>
          </cell>
          <cell r="AQ541">
            <v>10</v>
          </cell>
          <cell r="AR541" t="str">
            <v>CM</v>
          </cell>
          <cell r="AS541">
            <v>20</v>
          </cell>
          <cell r="AT541" t="str">
            <v>CM</v>
          </cell>
          <cell r="AU541">
            <v>0</v>
          </cell>
          <cell r="AW541">
            <v>0</v>
          </cell>
        </row>
        <row r="542">
          <cell r="B542" t="str">
            <v>H1C6JMEECS0-026</v>
          </cell>
          <cell r="C542" t="str">
            <v>HOBART TEKLİ ŞEFFAF CAM SARKIT 25cm</v>
          </cell>
          <cell r="D542" t="str">
            <v>HOBART SINGLE CLEAR GLASS PENDANT 25cm</v>
          </cell>
          <cell r="E542" t="str">
            <v xml:space="preserve">METAL CAM  ESKİTME ŞEFFAF   </v>
          </cell>
          <cell r="F542" t="str">
            <v>9405.11.90.00.00</v>
          </cell>
          <cell r="G542" t="str">
            <v>AVİZE</v>
          </cell>
          <cell r="H542" t="str">
            <v>T1A6240000-25</v>
          </cell>
          <cell r="I542" t="str">
            <v>İÇ</v>
          </cell>
          <cell r="J542" t="str">
            <v>AVİZE.SARK</v>
          </cell>
          <cell r="K542" t="str">
            <v>HOBART</v>
          </cell>
          <cell r="L542" t="str">
            <v/>
          </cell>
          <cell r="M542" t="str">
            <v/>
          </cell>
          <cell r="N542" t="str">
            <v>HKA-24141</v>
          </cell>
          <cell r="O542" t="str">
            <v>HEKA</v>
          </cell>
          <cell r="P542" t="str">
            <v>ADET</v>
          </cell>
          <cell r="Q542" t="str">
            <v>LED</v>
          </cell>
          <cell r="R542" t="str">
            <v>METAL</v>
          </cell>
          <cell r="S542" t="str">
            <v>ESKİTME</v>
          </cell>
          <cell r="T542" t="str">
            <v>CAM</v>
          </cell>
          <cell r="U542" t="str">
            <v>ŞEFFAF</v>
          </cell>
          <cell r="AD542" t="str">
            <v>N/A</v>
          </cell>
          <cell r="AE542" t="str">
            <v>01</v>
          </cell>
          <cell r="AF542">
            <v>0</v>
          </cell>
          <cell r="AG542" t="str">
            <v>ADET</v>
          </cell>
          <cell r="AH542">
            <v>750</v>
          </cell>
          <cell r="AI542" t="str">
            <v>TL</v>
          </cell>
          <cell r="AJ542">
            <v>6400</v>
          </cell>
          <cell r="AK542" t="str">
            <v>TL</v>
          </cell>
          <cell r="AL542">
            <v>1</v>
          </cell>
          <cell r="AM542" t="str">
            <v>8684127504539</v>
          </cell>
          <cell r="AO542">
            <v>0</v>
          </cell>
          <cell r="AQ542">
            <v>11</v>
          </cell>
          <cell r="AR542" t="str">
            <v>CM</v>
          </cell>
          <cell r="AS542">
            <v>25</v>
          </cell>
          <cell r="AT542" t="str">
            <v>CM</v>
          </cell>
          <cell r="AU542">
            <v>0</v>
          </cell>
          <cell r="AW542">
            <v>0</v>
          </cell>
        </row>
        <row r="543">
          <cell r="B543" t="str">
            <v>H1C6JMEWRB0-050</v>
          </cell>
          <cell r="C543" t="str">
            <v>LİON MERMER ESKİTME SARKIT 50cm</v>
          </cell>
          <cell r="D543" t="str">
            <v>LİON MARBLE BRUSHED BRASS PENDANT 50cm</v>
          </cell>
          <cell r="E543" t="str">
            <v xml:space="preserve">METAL MERMER ESKİTME BEYAZ   </v>
          </cell>
          <cell r="F543" t="str">
            <v>9405.11.90.00.00</v>
          </cell>
          <cell r="G543" t="str">
            <v>AVİZE</v>
          </cell>
          <cell r="H543" t="str">
            <v>T1A6113100-51</v>
          </cell>
          <cell r="I543" t="str">
            <v>İÇ</v>
          </cell>
          <cell r="J543" t="str">
            <v>AVİZE.SARK</v>
          </cell>
          <cell r="K543" t="str">
            <v>LİON</v>
          </cell>
          <cell r="L543" t="str">
            <v/>
          </cell>
          <cell r="M543" t="str">
            <v/>
          </cell>
          <cell r="N543" t="str">
            <v>HKA-23034</v>
          </cell>
          <cell r="O543" t="str">
            <v>HEKA</v>
          </cell>
          <cell r="P543" t="str">
            <v>ADET</v>
          </cell>
          <cell r="Q543" t="str">
            <v>LED</v>
          </cell>
          <cell r="R543" t="str">
            <v>METAL</v>
          </cell>
          <cell r="S543" t="str">
            <v>ESKİTME</v>
          </cell>
          <cell r="T543" t="str">
            <v>MERMER</v>
          </cell>
          <cell r="U543" t="str">
            <v>BEYAZ</v>
          </cell>
          <cell r="AD543" t="str">
            <v>N/A</v>
          </cell>
          <cell r="AF543">
            <v>0</v>
          </cell>
          <cell r="AG543" t="str">
            <v>ADET</v>
          </cell>
          <cell r="AH543">
            <v>185</v>
          </cell>
          <cell r="AI543" t="str">
            <v>CNY</v>
          </cell>
          <cell r="AJ543">
            <v>19320</v>
          </cell>
          <cell r="AK543" t="str">
            <v>TL</v>
          </cell>
          <cell r="AL543">
            <v>1</v>
          </cell>
          <cell r="AM543" t="str">
            <v>8684127504850</v>
          </cell>
          <cell r="AO543">
            <v>0</v>
          </cell>
          <cell r="AQ543">
            <v>0</v>
          </cell>
          <cell r="AR543" t="str">
            <v>CM</v>
          </cell>
          <cell r="AS543">
            <v>0</v>
          </cell>
          <cell r="AT543" t="str">
            <v>CM</v>
          </cell>
          <cell r="AU543">
            <v>0</v>
          </cell>
          <cell r="AW543">
            <v>0</v>
          </cell>
        </row>
        <row r="544">
          <cell r="B544" t="str">
            <v>H1C6JMEWRB0-060</v>
          </cell>
          <cell r="C544" t="str">
            <v>LİON MERMER ESKİTME SARKIT 60cm</v>
          </cell>
          <cell r="D544" t="str">
            <v>LİON MARBLE BRUSHED BRASS PENDANT 60cm</v>
          </cell>
          <cell r="E544" t="str">
            <v xml:space="preserve">METAL MERMER ESKİTME BEYAZ   </v>
          </cell>
          <cell r="F544" t="str">
            <v>9405.11.90.00.00</v>
          </cell>
          <cell r="G544" t="str">
            <v>AVİZE</v>
          </cell>
          <cell r="H544" t="str">
            <v>T1A6113100-60</v>
          </cell>
          <cell r="I544" t="str">
            <v>İÇ</v>
          </cell>
          <cell r="J544" t="str">
            <v>AVİZE.SARK</v>
          </cell>
          <cell r="K544" t="str">
            <v>LİON</v>
          </cell>
          <cell r="L544" t="str">
            <v/>
          </cell>
          <cell r="M544" t="str">
            <v/>
          </cell>
          <cell r="N544" t="str">
            <v>HKA-23035</v>
          </cell>
          <cell r="O544" t="str">
            <v>HEKA</v>
          </cell>
          <cell r="P544" t="str">
            <v>ADET</v>
          </cell>
          <cell r="Q544" t="str">
            <v>LED</v>
          </cell>
          <cell r="R544" t="str">
            <v>METAL</v>
          </cell>
          <cell r="S544" t="str">
            <v>ESKİTME</v>
          </cell>
          <cell r="T544" t="str">
            <v>MERMER</v>
          </cell>
          <cell r="U544" t="str">
            <v>BEYAZ</v>
          </cell>
          <cell r="AD544" t="str">
            <v>N/A</v>
          </cell>
          <cell r="AF544">
            <v>0</v>
          </cell>
          <cell r="AG544" t="str">
            <v>ADET</v>
          </cell>
          <cell r="AH544">
            <v>220</v>
          </cell>
          <cell r="AI544" t="str">
            <v>CNY</v>
          </cell>
          <cell r="AJ544">
            <v>22680</v>
          </cell>
          <cell r="AK544" t="str">
            <v>TL</v>
          </cell>
          <cell r="AL544">
            <v>1</v>
          </cell>
          <cell r="AM544" t="str">
            <v>8684127504867</v>
          </cell>
          <cell r="AO544">
            <v>0</v>
          </cell>
          <cell r="AQ544">
            <v>0</v>
          </cell>
          <cell r="AR544" t="str">
            <v>CM</v>
          </cell>
          <cell r="AS544">
            <v>0</v>
          </cell>
          <cell r="AT544" t="str">
            <v>CM</v>
          </cell>
          <cell r="AU544">
            <v>0</v>
          </cell>
          <cell r="AW544">
            <v>0</v>
          </cell>
        </row>
        <row r="545">
          <cell r="B545" t="str">
            <v>H1W6JRSLCTL-070</v>
          </cell>
          <cell r="C545" t="str">
            <v>ASSOS LED SİYAH APLİK 70cm</v>
          </cell>
          <cell r="D545" t="str">
            <v>ASSOS LED BLACK WALL LAMP 70cm</v>
          </cell>
          <cell r="E545" t="str">
            <v>METAL PLEKSİ SİYAH SOFT</v>
          </cell>
          <cell r="F545" t="str">
            <v>9405.11.90.00.00</v>
          </cell>
          <cell r="G545" t="str">
            <v>APLİK</v>
          </cell>
          <cell r="H545" t="str">
            <v>T1W6148100-70</v>
          </cell>
          <cell r="I545" t="str">
            <v>İÇ</v>
          </cell>
          <cell r="J545" t="str">
            <v>APLİK</v>
          </cell>
          <cell r="K545" t="str">
            <v>ASSOS</v>
          </cell>
          <cell r="L545" t="str">
            <v/>
          </cell>
          <cell r="M545" t="str">
            <v>ÜRTM:15GÜN</v>
          </cell>
          <cell r="N545" t="str">
            <v>*B9905-BC-70</v>
          </cell>
          <cell r="O545" t="str">
            <v>HEKA</v>
          </cell>
          <cell r="P545" t="str">
            <v>ADET</v>
          </cell>
          <cell r="Q545" t="str">
            <v>LED</v>
          </cell>
          <cell r="R545" t="str">
            <v>METAL</v>
          </cell>
          <cell r="S545" t="str">
            <v>SİYAH</v>
          </cell>
          <cell r="T545" t="str">
            <v>PLEKSİ</v>
          </cell>
          <cell r="U545" t="str">
            <v>SOFT</v>
          </cell>
          <cell r="AD545" t="str">
            <v>DÜZ</v>
          </cell>
          <cell r="AF545">
            <v>3</v>
          </cell>
          <cell r="AG545" t="str">
            <v>ADET</v>
          </cell>
          <cell r="AH545">
            <v>68.2</v>
          </cell>
          <cell r="AI545" t="str">
            <v>CNY</v>
          </cell>
          <cell r="AJ545">
            <v>5600</v>
          </cell>
          <cell r="AK545" t="str">
            <v>TL</v>
          </cell>
          <cell r="AL545">
            <v>1</v>
          </cell>
          <cell r="AM545" t="str">
            <v>8684127501620</v>
          </cell>
          <cell r="AO545">
            <v>0</v>
          </cell>
          <cell r="AQ545">
            <v>70</v>
          </cell>
          <cell r="AR545" t="str">
            <v>CM</v>
          </cell>
          <cell r="AS545">
            <v>8</v>
          </cell>
          <cell r="AT545" t="str">
            <v>CM</v>
          </cell>
          <cell r="AU545">
            <v>0</v>
          </cell>
          <cell r="AW545">
            <v>0</v>
          </cell>
        </row>
        <row r="546">
          <cell r="B546" t="str">
            <v>H1C1JMGNRBD-097</v>
          </cell>
          <cell r="C546" t="str">
            <v>MOZAMBİK YEMEK MASASI AVİZE</v>
          </cell>
          <cell r="D546" t="str">
            <v>MOZAMBİK DINNING TABLE CHANDELIER</v>
          </cell>
          <cell r="E546" t="str">
            <v xml:space="preserve">METAL PORSELEN GOLD BEYAZ   </v>
          </cell>
          <cell r="F546" t="str">
            <v>9405.19.90.00.00</v>
          </cell>
          <cell r="G546" t="str">
            <v>AVİZE</v>
          </cell>
          <cell r="H546" t="str">
            <v>T1A112P100-08</v>
          </cell>
          <cell r="I546" t="str">
            <v>İÇ</v>
          </cell>
          <cell r="J546" t="str">
            <v>AVİZE.AVİZ</v>
          </cell>
          <cell r="K546" t="str">
            <v>MOZAMBİK</v>
          </cell>
          <cell r="L546" t="str">
            <v/>
          </cell>
          <cell r="M546" t="str">
            <v/>
          </cell>
          <cell r="N546" t="str">
            <v>7168-8P</v>
          </cell>
          <cell r="O546" t="str">
            <v>HEKA</v>
          </cell>
          <cell r="P546" t="str">
            <v>ADET</v>
          </cell>
          <cell r="Q546" t="str">
            <v>E14</v>
          </cell>
          <cell r="R546" t="str">
            <v>METAL</v>
          </cell>
          <cell r="S546" t="str">
            <v>GOLD</v>
          </cell>
          <cell r="T546" t="str">
            <v>PORSELEN</v>
          </cell>
          <cell r="U546" t="str">
            <v>BEYAZ</v>
          </cell>
          <cell r="AD546" t="str">
            <v>DİKDÖRTGEN</v>
          </cell>
          <cell r="AE546" t="str">
            <v>16</v>
          </cell>
          <cell r="AF546">
            <v>0</v>
          </cell>
          <cell r="AG546" t="str">
            <v>ADET</v>
          </cell>
          <cell r="AH546">
            <v>455</v>
          </cell>
          <cell r="AI546" t="str">
            <v>CNY</v>
          </cell>
          <cell r="AJ546">
            <v>7950</v>
          </cell>
          <cell r="AK546" t="str">
            <v>TL</v>
          </cell>
          <cell r="AL546">
            <v>1</v>
          </cell>
          <cell r="AM546" t="str">
            <v>8684127502573</v>
          </cell>
          <cell r="AO546">
            <v>0</v>
          </cell>
          <cell r="AQ546">
            <v>0</v>
          </cell>
          <cell r="AR546" t="str">
            <v>CM</v>
          </cell>
          <cell r="AS546">
            <v>0</v>
          </cell>
          <cell r="AT546" t="str">
            <v>CM</v>
          </cell>
          <cell r="AU546">
            <v>0</v>
          </cell>
          <cell r="AW546">
            <v>0</v>
          </cell>
        </row>
        <row r="547">
          <cell r="B547" t="str">
            <v>H1T1JMGNRBR-070</v>
          </cell>
          <cell r="C547" t="str">
            <v>MOZAMBİK MASA LAMBASI</v>
          </cell>
          <cell r="D547" t="str">
            <v>MOZAMBİK TABLE LAMP</v>
          </cell>
          <cell r="E547" t="str">
            <v xml:space="preserve">METAL PORSELEN GOLD BEYAZ   </v>
          </cell>
          <cell r="F547" t="str">
            <v>9405.29.90.00.00</v>
          </cell>
          <cell r="G547" t="str">
            <v>MASA LAMBASI</v>
          </cell>
          <cell r="H547" t="str">
            <v>T1M112P100-06</v>
          </cell>
          <cell r="I547" t="str">
            <v>İÇ</v>
          </cell>
          <cell r="J547" t="str">
            <v>MASAABAJ</v>
          </cell>
          <cell r="K547" t="str">
            <v>MOZAMBİK</v>
          </cell>
          <cell r="L547" t="str">
            <v/>
          </cell>
          <cell r="M547" t="str">
            <v/>
          </cell>
          <cell r="N547" t="str">
            <v>7168-6T</v>
          </cell>
          <cell r="O547" t="str">
            <v>HEKA</v>
          </cell>
          <cell r="P547" t="str">
            <v>ADET</v>
          </cell>
          <cell r="Q547" t="str">
            <v>E14</v>
          </cell>
          <cell r="R547" t="str">
            <v>METAL</v>
          </cell>
          <cell r="S547" t="str">
            <v>GOLD</v>
          </cell>
          <cell r="T547" t="str">
            <v>PORSELEN</v>
          </cell>
          <cell r="U547" t="str">
            <v>BEYAZ</v>
          </cell>
          <cell r="AD547" t="str">
            <v>DAİRE</v>
          </cell>
          <cell r="AE547" t="str">
            <v>06</v>
          </cell>
          <cell r="AF547">
            <v>2</v>
          </cell>
          <cell r="AG547" t="str">
            <v>ADET</v>
          </cell>
          <cell r="AH547">
            <v>315</v>
          </cell>
          <cell r="AI547" t="str">
            <v>CNY</v>
          </cell>
          <cell r="AJ547">
            <v>13090</v>
          </cell>
          <cell r="AK547" t="str">
            <v>TL</v>
          </cell>
          <cell r="AL547">
            <v>1</v>
          </cell>
          <cell r="AM547" t="str">
            <v>8684127503068</v>
          </cell>
          <cell r="AO547">
            <v>0</v>
          </cell>
          <cell r="AQ547">
            <v>0</v>
          </cell>
          <cell r="AR547" t="str">
            <v>CM</v>
          </cell>
          <cell r="AS547">
            <v>0</v>
          </cell>
          <cell r="AT547" t="str">
            <v>CM</v>
          </cell>
          <cell r="AU547">
            <v>0</v>
          </cell>
          <cell r="AW547">
            <v>0</v>
          </cell>
        </row>
        <row r="548">
          <cell r="B548" t="str">
            <v>H1C6JMEECSR-020</v>
          </cell>
          <cell r="C548" t="str">
            <v>BURKİNA SARKIT 20cm</v>
          </cell>
          <cell r="D548" t="str">
            <v>BURKİNA PENDANT 20cm</v>
          </cell>
          <cell r="E548" t="str">
            <v xml:space="preserve">METAL CAM  ESKİTME ŞEFFAF   </v>
          </cell>
          <cell r="F548" t="str">
            <v>9405.11.90.00.00</v>
          </cell>
          <cell r="G548" t="str">
            <v>AVİZE</v>
          </cell>
          <cell r="H548" t="str">
            <v>T1A6116200-20</v>
          </cell>
          <cell r="I548" t="str">
            <v>İÇ</v>
          </cell>
          <cell r="J548" t="str">
            <v>AVİZE</v>
          </cell>
          <cell r="K548" t="str">
            <v>BURKINA</v>
          </cell>
          <cell r="L548" t="str">
            <v/>
          </cell>
          <cell r="M548" t="str">
            <v/>
          </cell>
          <cell r="N548" t="str">
            <v>HKA-24117</v>
          </cell>
          <cell r="O548" t="str">
            <v>HEKA</v>
          </cell>
          <cell r="P548" t="str">
            <v>ADET</v>
          </cell>
          <cell r="Q548" t="str">
            <v>LED</v>
          </cell>
          <cell r="R548" t="str">
            <v>METAL</v>
          </cell>
          <cell r="S548" t="str">
            <v>ESKİTME</v>
          </cell>
          <cell r="T548" t="str">
            <v>CAM</v>
          </cell>
          <cell r="U548" t="str">
            <v>ŞEFFAF</v>
          </cell>
          <cell r="AD548" t="str">
            <v>DAİRE</v>
          </cell>
          <cell r="AF548">
            <v>32</v>
          </cell>
          <cell r="AG548" t="str">
            <v>ADET</v>
          </cell>
          <cell r="AH548">
            <v>75</v>
          </cell>
          <cell r="AI548" t="str">
            <v>CNY</v>
          </cell>
          <cell r="AJ548">
            <v>5890</v>
          </cell>
          <cell r="AK548" t="str">
            <v>TL</v>
          </cell>
          <cell r="AL548">
            <v>1</v>
          </cell>
          <cell r="AM548" t="str">
            <v>8684127501705</v>
          </cell>
          <cell r="AO548">
            <v>0</v>
          </cell>
          <cell r="AQ548">
            <v>0</v>
          </cell>
          <cell r="AR548" t="str">
            <v>CM</v>
          </cell>
          <cell r="AS548">
            <v>0</v>
          </cell>
          <cell r="AT548" t="str">
            <v>CM</v>
          </cell>
          <cell r="AU548">
            <v>0</v>
          </cell>
          <cell r="AW548">
            <v>0</v>
          </cell>
        </row>
        <row r="549">
          <cell r="B549" t="str">
            <v>H1C6JMEECSR-040</v>
          </cell>
          <cell r="C549" t="str">
            <v>BURKİNA SARKIT 40cm</v>
          </cell>
          <cell r="D549" t="str">
            <v>BURKİNA PENDANT 40cm</v>
          </cell>
          <cell r="E549" t="str">
            <v xml:space="preserve">METAL CAM  ESKİTME ŞEFFAF   </v>
          </cell>
          <cell r="F549" t="str">
            <v>9405.11.90.00.00</v>
          </cell>
          <cell r="G549" t="str">
            <v>AVİZE</v>
          </cell>
          <cell r="H549" t="str">
            <v>T1A6116200-40</v>
          </cell>
          <cell r="I549" t="str">
            <v>İÇ</v>
          </cell>
          <cell r="J549" t="str">
            <v>AVİZE</v>
          </cell>
          <cell r="K549" t="str">
            <v>BURKİNA</v>
          </cell>
          <cell r="L549" t="str">
            <v/>
          </cell>
          <cell r="M549" t="str">
            <v/>
          </cell>
          <cell r="N549" t="str">
            <v>HKA-24119</v>
          </cell>
          <cell r="O549" t="str">
            <v>HEKA</v>
          </cell>
          <cell r="P549" t="str">
            <v>ADET</v>
          </cell>
          <cell r="Q549" t="str">
            <v>LED</v>
          </cell>
          <cell r="R549" t="str">
            <v>METAL</v>
          </cell>
          <cell r="S549" t="str">
            <v>ESKİTME</v>
          </cell>
          <cell r="T549" t="str">
            <v>CAM</v>
          </cell>
          <cell r="U549" t="str">
            <v>ŞEFFAF</v>
          </cell>
          <cell r="AD549" t="str">
            <v>DAİRE</v>
          </cell>
          <cell r="AF549">
            <v>4</v>
          </cell>
          <cell r="AG549" t="str">
            <v>ADET</v>
          </cell>
          <cell r="AH549">
            <v>158</v>
          </cell>
          <cell r="AI549" t="str">
            <v>CNY</v>
          </cell>
          <cell r="AJ549">
            <v>11300</v>
          </cell>
          <cell r="AK549" t="str">
            <v>TL</v>
          </cell>
          <cell r="AL549">
            <v>1</v>
          </cell>
          <cell r="AM549" t="str">
            <v>8684127506281</v>
          </cell>
          <cell r="AO549">
            <v>0</v>
          </cell>
          <cell r="AQ549">
            <v>0</v>
          </cell>
          <cell r="AR549" t="str">
            <v>CM</v>
          </cell>
          <cell r="AS549">
            <v>0</v>
          </cell>
          <cell r="AT549" t="str">
            <v>CM</v>
          </cell>
          <cell r="AU549">
            <v>0</v>
          </cell>
          <cell r="AW549">
            <v>0</v>
          </cell>
        </row>
        <row r="550">
          <cell r="B550" t="str">
            <v>H1C6JMEECS0-018</v>
          </cell>
          <cell r="C550" t="str">
            <v>BROOME TEKLİ ŞEFFAF CAM SARKIT 16cm</v>
          </cell>
          <cell r="D550" t="str">
            <v>BROOME SINGLE CLEAR GLASS PENDANT 16cm</v>
          </cell>
          <cell r="E550" t="str">
            <v xml:space="preserve">METAL CAM  ESKİTME ŞEFFAF   </v>
          </cell>
          <cell r="F550" t="str">
            <v>9405.11.90.00.00</v>
          </cell>
          <cell r="G550" t="str">
            <v>AVİZE</v>
          </cell>
          <cell r="H550" t="str">
            <v>T1A6240000-18</v>
          </cell>
          <cell r="I550" t="str">
            <v>İÇ</v>
          </cell>
          <cell r="J550" t="str">
            <v>AVİZE.SARK</v>
          </cell>
          <cell r="K550" t="str">
            <v>BROOME</v>
          </cell>
          <cell r="L550" t="str">
            <v/>
          </cell>
          <cell r="M550" t="str">
            <v/>
          </cell>
          <cell r="N550" t="str">
            <v>HKA-24147</v>
          </cell>
          <cell r="O550" t="str">
            <v>HEKA</v>
          </cell>
          <cell r="P550" t="str">
            <v>ADET</v>
          </cell>
          <cell r="Q550" t="str">
            <v>LED</v>
          </cell>
          <cell r="R550" t="str">
            <v>METAL</v>
          </cell>
          <cell r="S550" t="str">
            <v>ESKİTME</v>
          </cell>
          <cell r="T550" t="str">
            <v>CAM</v>
          </cell>
          <cell r="U550" t="str">
            <v>ŞEFFAF</v>
          </cell>
          <cell r="AD550" t="str">
            <v>N/A</v>
          </cell>
          <cell r="AF550">
            <v>5</v>
          </cell>
          <cell r="AG550" t="str">
            <v>ADET</v>
          </cell>
          <cell r="AH550">
            <v>58</v>
          </cell>
          <cell r="AI550" t="str">
            <v>CNY</v>
          </cell>
          <cell r="AJ550">
            <v>5100</v>
          </cell>
          <cell r="AK550" t="str">
            <v>TL</v>
          </cell>
          <cell r="AL550">
            <v>1</v>
          </cell>
          <cell r="AM550" t="str">
            <v>8684127504454</v>
          </cell>
          <cell r="AO550">
            <v>0</v>
          </cell>
          <cell r="AQ550">
            <v>18</v>
          </cell>
          <cell r="AR550" t="str">
            <v>CM</v>
          </cell>
          <cell r="AS550">
            <v>16</v>
          </cell>
          <cell r="AT550" t="str">
            <v>CM</v>
          </cell>
          <cell r="AU550">
            <v>0</v>
          </cell>
          <cell r="AW550">
            <v>0</v>
          </cell>
        </row>
        <row r="551">
          <cell r="B551" t="str">
            <v>H1C6JMEERL0-022</v>
          </cell>
          <cell r="C551" t="str">
            <v>BROOME TEKLİ BAL CAM SARKIT 22cm</v>
          </cell>
          <cell r="D551" t="str">
            <v>BROOME SINGLE AMBER GLASS PENDANT 22cm</v>
          </cell>
          <cell r="E551" t="str">
            <v>METAL CAM ESKİTME BAL</v>
          </cell>
          <cell r="F551" t="str">
            <v>9405.11.90.00.00</v>
          </cell>
          <cell r="G551" t="str">
            <v>AVİZE</v>
          </cell>
          <cell r="H551" t="str">
            <v>T1A6230000-22</v>
          </cell>
          <cell r="I551" t="str">
            <v>İÇ</v>
          </cell>
          <cell r="J551" t="str">
            <v>AVİZE.SARK</v>
          </cell>
          <cell r="K551" t="str">
            <v>BROOME</v>
          </cell>
          <cell r="L551" t="str">
            <v/>
          </cell>
          <cell r="M551" t="str">
            <v/>
          </cell>
          <cell r="N551" t="str">
            <v>HKA-24144</v>
          </cell>
          <cell r="O551" t="str">
            <v>HEKA</v>
          </cell>
          <cell r="P551" t="str">
            <v>ADET</v>
          </cell>
          <cell r="Q551" t="str">
            <v>LED</v>
          </cell>
          <cell r="R551" t="str">
            <v>METAL</v>
          </cell>
          <cell r="S551" t="str">
            <v>ESKİTME</v>
          </cell>
          <cell r="T551" t="str">
            <v>CAM</v>
          </cell>
          <cell r="U551" t="str">
            <v>BAL</v>
          </cell>
          <cell r="AD551" t="str">
            <v>N/A</v>
          </cell>
          <cell r="AF551">
            <v>13</v>
          </cell>
          <cell r="AG551" t="str">
            <v>ADET</v>
          </cell>
          <cell r="AH551">
            <v>83</v>
          </cell>
          <cell r="AI551" t="str">
            <v>CNY</v>
          </cell>
          <cell r="AJ551">
            <v>6400</v>
          </cell>
          <cell r="AK551" t="str">
            <v>TL</v>
          </cell>
          <cell r="AL551">
            <v>1</v>
          </cell>
          <cell r="AM551" t="str">
            <v>8684127504584</v>
          </cell>
          <cell r="AO551">
            <v>0</v>
          </cell>
          <cell r="AQ551">
            <v>28</v>
          </cell>
          <cell r="AR551" t="str">
            <v>CM</v>
          </cell>
          <cell r="AS551">
            <v>22</v>
          </cell>
          <cell r="AT551" t="str">
            <v>CM</v>
          </cell>
          <cell r="AU551">
            <v>0</v>
          </cell>
          <cell r="AW551">
            <v>0</v>
          </cell>
        </row>
        <row r="552">
          <cell r="B552" t="str">
            <v>H1W6JME000R-030</v>
          </cell>
          <cell r="C552" t="str">
            <v>FLORANSA ESKİTME APLİK</v>
          </cell>
          <cell r="D552" t="str">
            <v>FLORANSA BRUSHED BRASS WALL LAMP</v>
          </cell>
          <cell r="E552" t="str">
            <v>METAL YOK ESKİTME YOK</v>
          </cell>
          <cell r="F552" t="str">
            <v>9405.19.90.00.00</v>
          </cell>
          <cell r="G552" t="str">
            <v>APLİK</v>
          </cell>
          <cell r="H552" t="str">
            <v>T1W6118100-01</v>
          </cell>
          <cell r="I552" t="str">
            <v>İÇ</v>
          </cell>
          <cell r="J552" t="str">
            <v>APLİK</v>
          </cell>
          <cell r="K552" t="str">
            <v>FLORANSA</v>
          </cell>
          <cell r="L552" t="str">
            <v/>
          </cell>
          <cell r="M552" t="str">
            <v/>
          </cell>
          <cell r="N552" t="str">
            <v>9719-1</v>
          </cell>
          <cell r="O552" t="str">
            <v>HEKA</v>
          </cell>
          <cell r="P552" t="str">
            <v>ADET</v>
          </cell>
          <cell r="Q552" t="str">
            <v>LED</v>
          </cell>
          <cell r="R552" t="str">
            <v>METAL</v>
          </cell>
          <cell r="S552" t="str">
            <v>ESKİTME</v>
          </cell>
          <cell r="T552" t="str">
            <v>YOK</v>
          </cell>
          <cell r="U552" t="str">
            <v>YOK</v>
          </cell>
          <cell r="AD552" t="str">
            <v>DAİRE</v>
          </cell>
          <cell r="AE552" t="str">
            <v>01</v>
          </cell>
          <cell r="AF552">
            <v>0</v>
          </cell>
          <cell r="AG552" t="str">
            <v>ADET</v>
          </cell>
          <cell r="AH552">
            <v>80</v>
          </cell>
          <cell r="AI552" t="str">
            <v>CNY</v>
          </cell>
          <cell r="AJ552">
            <v>2100</v>
          </cell>
          <cell r="AK552" t="str">
            <v>TL</v>
          </cell>
          <cell r="AL552">
            <v>1</v>
          </cell>
          <cell r="AM552" t="str">
            <v>8684127501989</v>
          </cell>
          <cell r="AO552">
            <v>0</v>
          </cell>
          <cell r="AQ552">
            <v>0</v>
          </cell>
          <cell r="AR552" t="str">
            <v>CM</v>
          </cell>
          <cell r="AS552">
            <v>0</v>
          </cell>
          <cell r="AT552" t="str">
            <v>CM</v>
          </cell>
          <cell r="AU552">
            <v>0</v>
          </cell>
          <cell r="AW552">
            <v>0</v>
          </cell>
        </row>
        <row r="553">
          <cell r="B553" t="str">
            <v>H1W3JMEECT0-084</v>
          </cell>
          <cell r="C553" t="str">
            <v>LAHEY ÜÇLÜ ESKİTME APLİK</v>
          </cell>
          <cell r="D553" t="str">
            <v>LAHEY TRIPLE BRUSHED BRASS WALL LAMP</v>
          </cell>
          <cell r="E553" t="str">
            <v>METAL CAM ESKİTME SOFT</v>
          </cell>
          <cell r="F553" t="str">
            <v>9405.19.90.00.00</v>
          </cell>
          <cell r="G553" t="str">
            <v>APLİK</v>
          </cell>
          <cell r="H553" t="str">
            <v>T1W3112101-03</v>
          </cell>
          <cell r="I553" t="str">
            <v>İÇ</v>
          </cell>
          <cell r="J553" t="str">
            <v>APLİK</v>
          </cell>
          <cell r="K553" t="str">
            <v>LAHEY</v>
          </cell>
          <cell r="L553" t="str">
            <v/>
          </cell>
          <cell r="M553" t="str">
            <v/>
          </cell>
          <cell r="N553" t="str">
            <v>HKA-24393</v>
          </cell>
          <cell r="O553" t="str">
            <v>HEKA</v>
          </cell>
          <cell r="P553" t="str">
            <v>ADET</v>
          </cell>
          <cell r="Q553" t="str">
            <v>G9</v>
          </cell>
          <cell r="R553" t="str">
            <v>METAL</v>
          </cell>
          <cell r="S553" t="str">
            <v>ESKİTME</v>
          </cell>
          <cell r="T553" t="str">
            <v>CAM</v>
          </cell>
          <cell r="U553" t="str">
            <v>SOFT</v>
          </cell>
          <cell r="AD553" t="str">
            <v>N/A</v>
          </cell>
          <cell r="AE553" t="str">
            <v>03</v>
          </cell>
          <cell r="AF553">
            <v>50</v>
          </cell>
          <cell r="AG553" t="str">
            <v>ADET</v>
          </cell>
          <cell r="AH553">
            <v>150</v>
          </cell>
          <cell r="AI553" t="str">
            <v>CNY</v>
          </cell>
          <cell r="AJ553">
            <v>11950</v>
          </cell>
          <cell r="AK553" t="str">
            <v>TL</v>
          </cell>
          <cell r="AL553">
            <v>1</v>
          </cell>
          <cell r="AM553" t="str">
            <v>8684127502320</v>
          </cell>
          <cell r="AO553">
            <v>0</v>
          </cell>
          <cell r="AQ553">
            <v>0</v>
          </cell>
          <cell r="AR553" t="str">
            <v>CM</v>
          </cell>
          <cell r="AS553">
            <v>0</v>
          </cell>
          <cell r="AT553" t="str">
            <v>CM</v>
          </cell>
          <cell r="AU553">
            <v>0</v>
          </cell>
          <cell r="AW553">
            <v>0</v>
          </cell>
        </row>
        <row r="554">
          <cell r="B554" t="str">
            <v>H1W1JMEECS0-042</v>
          </cell>
          <cell r="C554" t="str">
            <v>MARSİLYA İKİLİ ESKİTME APLİK</v>
          </cell>
          <cell r="D554" t="str">
            <v>MARSİLYA DOUBLE GLASS BRUSHED BRASS WALL LAMP</v>
          </cell>
          <cell r="E554" t="str">
            <v>METAL CAM ESKİTME ŞEFFAF</v>
          </cell>
          <cell r="F554" t="str">
            <v>9405.19.90.00.00</v>
          </cell>
          <cell r="G554" t="str">
            <v>APLİK</v>
          </cell>
          <cell r="H554" t="str">
            <v>T1W1112400-45</v>
          </cell>
          <cell r="I554" t="str">
            <v>İÇ</v>
          </cell>
          <cell r="J554" t="str">
            <v>APLİK</v>
          </cell>
          <cell r="K554" t="str">
            <v>MARSİLYA</v>
          </cell>
          <cell r="L554" t="str">
            <v/>
          </cell>
          <cell r="M554" t="str">
            <v/>
          </cell>
          <cell r="N554" t="str">
            <v>HKA-25015</v>
          </cell>
          <cell r="O554" t="str">
            <v>HEKA</v>
          </cell>
          <cell r="P554" t="str">
            <v>ADET</v>
          </cell>
          <cell r="Q554" t="str">
            <v>E14</v>
          </cell>
          <cell r="R554" t="str">
            <v>METAL</v>
          </cell>
          <cell r="S554" t="str">
            <v>ESKİTME</v>
          </cell>
          <cell r="T554" t="str">
            <v>CAM</v>
          </cell>
          <cell r="U554" t="str">
            <v>ŞEFFAF</v>
          </cell>
          <cell r="AD554" t="str">
            <v>N/A</v>
          </cell>
          <cell r="AE554" t="str">
            <v>02</v>
          </cell>
          <cell r="AF554">
            <v>54</v>
          </cell>
          <cell r="AG554" t="str">
            <v>ADET</v>
          </cell>
          <cell r="AH554">
            <v>80</v>
          </cell>
          <cell r="AI554" t="str">
            <v>CNY</v>
          </cell>
          <cell r="AJ554">
            <v>6720</v>
          </cell>
          <cell r="AK554" t="str">
            <v>TL</v>
          </cell>
          <cell r="AL554">
            <v>1</v>
          </cell>
          <cell r="AM554" t="str">
            <v>8684127506304</v>
          </cell>
          <cell r="AO554">
            <v>0</v>
          </cell>
          <cell r="AQ554">
            <v>0</v>
          </cell>
          <cell r="AR554" t="str">
            <v>CM</v>
          </cell>
          <cell r="AS554">
            <v>0</v>
          </cell>
          <cell r="AT554" t="str">
            <v>CM</v>
          </cell>
          <cell r="AU554">
            <v>0</v>
          </cell>
          <cell r="AW554">
            <v>0</v>
          </cell>
        </row>
        <row r="555">
          <cell r="B555" t="str">
            <v>H1C6JMKLCTR-013</v>
          </cell>
          <cell r="C555" t="str">
            <v>SİERRA LED KROM SARKIT 13cm</v>
          </cell>
          <cell r="D555" t="str">
            <v xml:space="preserve">SİERRA LED CHROME PENDANT 13cm </v>
          </cell>
          <cell r="E555" t="str">
            <v xml:space="preserve">METAL PLEKSİ KROM SOFT   </v>
          </cell>
          <cell r="F555" t="str">
            <v>9405.11.90.00.00</v>
          </cell>
          <cell r="G555" t="str">
            <v>AVİZE</v>
          </cell>
          <cell r="H555" t="str">
            <v>T1A6A60000-13</v>
          </cell>
          <cell r="I555" t="str">
            <v>İÇ</v>
          </cell>
          <cell r="J555" t="str">
            <v>AVİZE.SARK</v>
          </cell>
          <cell r="K555" t="str">
            <v>SİERRA</v>
          </cell>
          <cell r="L555" t="str">
            <v/>
          </cell>
          <cell r="M555" t="str">
            <v/>
          </cell>
          <cell r="N555" t="str">
            <v>HC05-1D-13-CH</v>
          </cell>
          <cell r="O555" t="str">
            <v>HEKA</v>
          </cell>
          <cell r="P555" t="str">
            <v>ADET</v>
          </cell>
          <cell r="Q555" t="str">
            <v>LED</v>
          </cell>
          <cell r="R555" t="str">
            <v>METAL</v>
          </cell>
          <cell r="S555" t="str">
            <v>KROM</v>
          </cell>
          <cell r="T555" t="str">
            <v>PLEKSİ</v>
          </cell>
          <cell r="U555" t="str">
            <v>SOFT</v>
          </cell>
          <cell r="AD555" t="str">
            <v>DAİRE</v>
          </cell>
          <cell r="AE555" t="str">
            <v>01</v>
          </cell>
          <cell r="AF555">
            <v>0</v>
          </cell>
          <cell r="AG555" t="str">
            <v>ADET</v>
          </cell>
          <cell r="AH555">
            <v>58</v>
          </cell>
          <cell r="AI555" t="str">
            <v>CNY</v>
          </cell>
          <cell r="AJ555">
            <v>575</v>
          </cell>
          <cell r="AK555" t="str">
            <v>TL</v>
          </cell>
          <cell r="AL555">
            <v>1</v>
          </cell>
          <cell r="AM555" t="str">
            <v>8684127508124</v>
          </cell>
          <cell r="AO555">
            <v>0</v>
          </cell>
          <cell r="AQ555">
            <v>14</v>
          </cell>
          <cell r="AR555" t="str">
            <v>CM</v>
          </cell>
          <cell r="AS555">
            <v>14</v>
          </cell>
          <cell r="AT555" t="str">
            <v>CM</v>
          </cell>
          <cell r="AU555">
            <v>0</v>
          </cell>
          <cell r="AW555">
            <v>0</v>
          </cell>
        </row>
        <row r="556">
          <cell r="B556" t="str">
            <v>H1C6JMKLCTR-017</v>
          </cell>
          <cell r="C556" t="str">
            <v>SİERRA LED KROM SARKIT 17cm</v>
          </cell>
          <cell r="D556" t="str">
            <v>SİERRA LED CHROME PENDANT 17cm</v>
          </cell>
          <cell r="E556" t="str">
            <v xml:space="preserve">METAL PLEKSİ KROM SOFT   </v>
          </cell>
          <cell r="F556" t="str">
            <v>9405.11.90.00.00</v>
          </cell>
          <cell r="G556" t="str">
            <v>AVİZE</v>
          </cell>
          <cell r="H556" t="str">
            <v>T1A6A60000-17</v>
          </cell>
          <cell r="I556" t="str">
            <v>İÇ</v>
          </cell>
          <cell r="J556" t="str">
            <v>AVİZE.SARK</v>
          </cell>
          <cell r="K556" t="str">
            <v>SİERRA</v>
          </cell>
          <cell r="L556" t="str">
            <v/>
          </cell>
          <cell r="M556" t="str">
            <v/>
          </cell>
          <cell r="N556" t="str">
            <v>HC05-1D-17-CH</v>
          </cell>
          <cell r="O556" t="str">
            <v>HEKA</v>
          </cell>
          <cell r="P556" t="str">
            <v>ADET</v>
          </cell>
          <cell r="Q556" t="str">
            <v>LED</v>
          </cell>
          <cell r="R556" t="str">
            <v>METAL</v>
          </cell>
          <cell r="S556" t="str">
            <v>KROM</v>
          </cell>
          <cell r="T556" t="str">
            <v>PLEKSİ</v>
          </cell>
          <cell r="U556" t="str">
            <v>SOFT</v>
          </cell>
          <cell r="AD556" t="str">
            <v>DAİRE</v>
          </cell>
          <cell r="AE556" t="str">
            <v>01</v>
          </cell>
          <cell r="AF556">
            <v>0</v>
          </cell>
          <cell r="AG556" t="str">
            <v>ADET</v>
          </cell>
          <cell r="AH556">
            <v>66</v>
          </cell>
          <cell r="AI556" t="str">
            <v>CNY</v>
          </cell>
          <cell r="AJ556">
            <v>775</v>
          </cell>
          <cell r="AK556" t="str">
            <v>TL</v>
          </cell>
          <cell r="AL556">
            <v>1</v>
          </cell>
          <cell r="AM556" t="str">
            <v>8684127508131</v>
          </cell>
          <cell r="AO556">
            <v>0</v>
          </cell>
          <cell r="AQ556">
            <v>18</v>
          </cell>
          <cell r="AR556" t="str">
            <v>CM</v>
          </cell>
          <cell r="AS556">
            <v>18</v>
          </cell>
          <cell r="AT556" t="str">
            <v>CM</v>
          </cell>
          <cell r="AU556">
            <v>0</v>
          </cell>
          <cell r="AW556">
            <v>0</v>
          </cell>
        </row>
        <row r="557">
          <cell r="B557" t="str">
            <v>H1C6JMEERLR-020</v>
          </cell>
          <cell r="C557" t="str">
            <v>VİYANA BAL CAM SARKIT 20cm</v>
          </cell>
          <cell r="D557" t="str">
            <v>VIYANA AMBER GLASS PENDANT 20cm</v>
          </cell>
          <cell r="E557" t="str">
            <v xml:space="preserve">METAL CAM  ESKİTME BAL   </v>
          </cell>
          <cell r="F557" t="str">
            <v>9405.11.90.00.00</v>
          </cell>
          <cell r="G557" t="str">
            <v>AVİZE</v>
          </cell>
          <cell r="H557" t="str">
            <v>T1A6231100-20</v>
          </cell>
          <cell r="I557" t="str">
            <v>İÇ</v>
          </cell>
          <cell r="J557" t="str">
            <v>AVİZE.SARK</v>
          </cell>
          <cell r="K557" t="str">
            <v>VİYANA</v>
          </cell>
          <cell r="L557" t="str">
            <v/>
          </cell>
          <cell r="M557" t="str">
            <v>15.02.2026</v>
          </cell>
          <cell r="N557" t="str">
            <v>HKA-24070</v>
          </cell>
          <cell r="O557" t="str">
            <v>HEKA</v>
          </cell>
          <cell r="P557" t="str">
            <v>ADET</v>
          </cell>
          <cell r="Q557" t="str">
            <v>PERİ LED</v>
          </cell>
          <cell r="R557" t="str">
            <v>METAL</v>
          </cell>
          <cell r="S557" t="str">
            <v>ESKİTME</v>
          </cell>
          <cell r="T557" t="str">
            <v>CAM</v>
          </cell>
          <cell r="U557" t="str">
            <v>BAL</v>
          </cell>
          <cell r="AD557" t="str">
            <v>DAİRE</v>
          </cell>
          <cell r="AF557">
            <v>0</v>
          </cell>
          <cell r="AG557" t="str">
            <v>ADET</v>
          </cell>
          <cell r="AH557">
            <v>51</v>
          </cell>
          <cell r="AI557" t="str">
            <v>CNY</v>
          </cell>
          <cell r="AJ557">
            <v>3713</v>
          </cell>
          <cell r="AK557" t="str">
            <v>TL</v>
          </cell>
          <cell r="AL557">
            <v>1</v>
          </cell>
          <cell r="AM557" t="str">
            <v>8684127502788</v>
          </cell>
          <cell r="AO557">
            <v>0</v>
          </cell>
          <cell r="AQ557">
            <v>0</v>
          </cell>
          <cell r="AR557" t="str">
            <v>CM</v>
          </cell>
          <cell r="AS557">
            <v>0</v>
          </cell>
          <cell r="AT557" t="str">
            <v>CM</v>
          </cell>
          <cell r="AU557">
            <v>0</v>
          </cell>
          <cell r="AW557">
            <v>0</v>
          </cell>
        </row>
        <row r="558">
          <cell r="B558" t="str">
            <v>H1C6JMEBCSR-072</v>
          </cell>
          <cell r="C558" t="str">
            <v>SOFYA AKRİLİK SARKIT 49cm</v>
          </cell>
          <cell r="D558" t="str">
            <v>SOFYA ACRYLIC PENDANT 49cm</v>
          </cell>
          <cell r="E558" t="str">
            <v xml:space="preserve">METAL AKRİLİK ESKİTME ŞEFFAF   </v>
          </cell>
          <cell r="F558" t="str">
            <v>9405.11.90.00.00</v>
          </cell>
          <cell r="G558" t="str">
            <v>AVİZE</v>
          </cell>
          <cell r="H558" t="str">
            <v>T1A6621100-49</v>
          </cell>
          <cell r="I558" t="str">
            <v>İÇ</v>
          </cell>
          <cell r="J558" t="str">
            <v>AVİZE.SARK</v>
          </cell>
          <cell r="K558" t="str">
            <v>SOFYA</v>
          </cell>
          <cell r="L558" t="str">
            <v/>
          </cell>
          <cell r="M558" t="str">
            <v>30.03.2026</v>
          </cell>
          <cell r="N558" t="str">
            <v>HKA-24125</v>
          </cell>
          <cell r="O558" t="str">
            <v>HEKA</v>
          </cell>
          <cell r="P558" t="str">
            <v>ADET</v>
          </cell>
          <cell r="Q558" t="str">
            <v>LED</v>
          </cell>
          <cell r="R558" t="str">
            <v>METAL</v>
          </cell>
          <cell r="S558" t="str">
            <v>ESKİTME</v>
          </cell>
          <cell r="T558" t="str">
            <v>AKRİLİK</v>
          </cell>
          <cell r="U558" t="str">
            <v>ŞEFFAF</v>
          </cell>
          <cell r="AD558" t="str">
            <v>DAİRE</v>
          </cell>
          <cell r="AF558">
            <v>42</v>
          </cell>
          <cell r="AG558" t="str">
            <v>ADET</v>
          </cell>
          <cell r="AH558">
            <v>75</v>
          </cell>
          <cell r="AI558" t="str">
            <v>CNY</v>
          </cell>
          <cell r="AJ558">
            <v>4880</v>
          </cell>
          <cell r="AK558" t="str">
            <v>TL</v>
          </cell>
          <cell r="AL558">
            <v>1</v>
          </cell>
          <cell r="AM558" t="str">
            <v>8684127502702</v>
          </cell>
          <cell r="AO558">
            <v>0</v>
          </cell>
          <cell r="AQ558">
            <v>0</v>
          </cell>
          <cell r="AR558" t="str">
            <v>CM</v>
          </cell>
          <cell r="AS558">
            <v>0</v>
          </cell>
          <cell r="AT558" t="str">
            <v>CM</v>
          </cell>
          <cell r="AU558">
            <v>0</v>
          </cell>
          <cell r="AW558">
            <v>0</v>
          </cell>
        </row>
        <row r="559">
          <cell r="B559" t="str">
            <v>H1W5JMEJRB0-041</v>
          </cell>
          <cell r="C559" t="str">
            <v>LESOTO BEYAZ APLİK</v>
          </cell>
          <cell r="D559" t="str">
            <v>LESOTO WHITE WALL LAMP</v>
          </cell>
          <cell r="E559" t="str">
            <v>METAL METAL ESKİTME BEYAZ</v>
          </cell>
          <cell r="F559" t="str">
            <v>9405.19.90.00.00</v>
          </cell>
          <cell r="G559" t="str">
            <v>APLİK</v>
          </cell>
          <cell r="H559" t="str">
            <v>T1W5111900-01</v>
          </cell>
          <cell r="I559" t="str">
            <v>İÇ</v>
          </cell>
          <cell r="J559" t="str">
            <v>APLİK</v>
          </cell>
          <cell r="K559" t="str">
            <v>LESOTO</v>
          </cell>
          <cell r="L559" t="str">
            <v/>
          </cell>
          <cell r="M559" t="str">
            <v/>
          </cell>
          <cell r="N559" t="str">
            <v>HKA-24340</v>
          </cell>
          <cell r="O559" t="str">
            <v>HEKA</v>
          </cell>
          <cell r="P559" t="str">
            <v>ADET</v>
          </cell>
          <cell r="Q559" t="str">
            <v>GU10</v>
          </cell>
          <cell r="R559" t="str">
            <v>METAL</v>
          </cell>
          <cell r="S559" t="str">
            <v>ESKİTME</v>
          </cell>
          <cell r="T559" t="str">
            <v>METAL</v>
          </cell>
          <cell r="U559" t="str">
            <v>BEYAZ</v>
          </cell>
          <cell r="AD559" t="str">
            <v>N/A</v>
          </cell>
          <cell r="AE559" t="str">
            <v>02</v>
          </cell>
          <cell r="AF559">
            <v>101</v>
          </cell>
          <cell r="AG559" t="str">
            <v>ADET</v>
          </cell>
          <cell r="AH559">
            <v>25</v>
          </cell>
          <cell r="AI559" t="str">
            <v>CNY</v>
          </cell>
          <cell r="AJ559">
            <v>2142</v>
          </cell>
          <cell r="AK559" t="str">
            <v>TL</v>
          </cell>
          <cell r="AL559">
            <v>1</v>
          </cell>
          <cell r="AM559" t="str">
            <v>8684127502351</v>
          </cell>
          <cell r="AO559">
            <v>0</v>
          </cell>
          <cell r="AQ559">
            <v>40</v>
          </cell>
          <cell r="AR559" t="str">
            <v>CM</v>
          </cell>
          <cell r="AS559">
            <v>10</v>
          </cell>
          <cell r="AT559" t="str">
            <v>CM</v>
          </cell>
          <cell r="AU559">
            <v>0</v>
          </cell>
          <cell r="AW559">
            <v>0</v>
          </cell>
        </row>
        <row r="560">
          <cell r="B560" t="str">
            <v>H1C6JMEWRBR-078</v>
          </cell>
          <cell r="C560" t="str">
            <v>ANVERS MERMER SALON ESKİTME AVİZE</v>
          </cell>
          <cell r="D560" t="str">
            <v>ANVERS MARBLE LIVING ROOM BRUSHED BRASS CHANDELIER</v>
          </cell>
          <cell r="E560" t="str">
            <v xml:space="preserve">METAL MERMER ESKİTME BEYAZ   </v>
          </cell>
          <cell r="F560" t="str">
            <v>9405.11.90.00.00</v>
          </cell>
          <cell r="G560" t="str">
            <v>AVİZE</v>
          </cell>
          <cell r="H560" t="str">
            <v>T1A6311100-80</v>
          </cell>
          <cell r="I560" t="str">
            <v>İÇ</v>
          </cell>
          <cell r="J560" t="str">
            <v>AVİZE.AVİZ</v>
          </cell>
          <cell r="K560" t="str">
            <v>ANVERS</v>
          </cell>
          <cell r="L560" t="str">
            <v>Ç</v>
          </cell>
          <cell r="M560" t="str">
            <v/>
          </cell>
          <cell r="N560" t="str">
            <v>HKA-24011</v>
          </cell>
          <cell r="O560" t="str">
            <v>HEKA</v>
          </cell>
          <cell r="P560" t="str">
            <v>ADET</v>
          </cell>
          <cell r="Q560" t="str">
            <v>LED</v>
          </cell>
          <cell r="R560" t="str">
            <v>METAL</v>
          </cell>
          <cell r="S560" t="str">
            <v>ESKİTME</v>
          </cell>
          <cell r="T560" t="str">
            <v>MERMER</v>
          </cell>
          <cell r="U560" t="str">
            <v>BEYAZ</v>
          </cell>
          <cell r="AD560" t="str">
            <v>DAİRE</v>
          </cell>
          <cell r="AF560">
            <v>59</v>
          </cell>
          <cell r="AG560" t="str">
            <v>ADET</v>
          </cell>
          <cell r="AH560">
            <v>650</v>
          </cell>
          <cell r="AI560" t="str">
            <v>CNY</v>
          </cell>
          <cell r="AJ560">
            <v>49500</v>
          </cell>
          <cell r="AK560" t="str">
            <v>TL</v>
          </cell>
          <cell r="AL560">
            <v>1</v>
          </cell>
          <cell r="AM560" t="str">
            <v>8684127506182</v>
          </cell>
          <cell r="AO560">
            <v>0</v>
          </cell>
          <cell r="AQ560">
            <v>0</v>
          </cell>
          <cell r="AR560" t="str">
            <v>CM</v>
          </cell>
          <cell r="AS560">
            <v>0</v>
          </cell>
          <cell r="AT560" t="str">
            <v>CM</v>
          </cell>
          <cell r="AU560">
            <v>0</v>
          </cell>
          <cell r="AW560">
            <v>0</v>
          </cell>
        </row>
        <row r="561">
          <cell r="B561" t="str">
            <v>H1C6JMEWRB0-040</v>
          </cell>
          <cell r="C561" t="str">
            <v>LİON MERMER ESKİTME SARKIT 40cm</v>
          </cell>
          <cell r="D561" t="str">
            <v>LİON MARBLE BRUSHED BRASS PENDANT 40cm</v>
          </cell>
          <cell r="E561" t="str">
            <v xml:space="preserve">METAL MERMER ESKİTME BEYAZ   </v>
          </cell>
          <cell r="F561" t="str">
            <v>9405.11.90.00.00</v>
          </cell>
          <cell r="G561" t="str">
            <v>AVİZE</v>
          </cell>
          <cell r="H561" t="str">
            <v>T1A6113100-40</v>
          </cell>
          <cell r="I561" t="str">
            <v>İÇ</v>
          </cell>
          <cell r="J561" t="str">
            <v>AVİZE.SARK</v>
          </cell>
          <cell r="K561" t="str">
            <v>LİON</v>
          </cell>
          <cell r="L561" t="str">
            <v/>
          </cell>
          <cell r="M561" t="str">
            <v/>
          </cell>
          <cell r="N561" t="str">
            <v>HKA-23033</v>
          </cell>
          <cell r="O561" t="str">
            <v>HEKA</v>
          </cell>
          <cell r="P561" t="str">
            <v>ADET</v>
          </cell>
          <cell r="Q561" t="str">
            <v>LED</v>
          </cell>
          <cell r="R561" t="str">
            <v>METAL</v>
          </cell>
          <cell r="S561" t="str">
            <v>ESKİTME</v>
          </cell>
          <cell r="T561" t="str">
            <v>MERMER</v>
          </cell>
          <cell r="U561" t="str">
            <v>BEYAZ</v>
          </cell>
          <cell r="AD561" t="str">
            <v>N/A</v>
          </cell>
          <cell r="AF561">
            <v>0</v>
          </cell>
          <cell r="AG561" t="str">
            <v>ADET</v>
          </cell>
          <cell r="AH561">
            <v>155</v>
          </cell>
          <cell r="AI561" t="str">
            <v>CNY</v>
          </cell>
          <cell r="AJ561">
            <v>15950</v>
          </cell>
          <cell r="AK561" t="str">
            <v>TL</v>
          </cell>
          <cell r="AL561">
            <v>1</v>
          </cell>
          <cell r="AM561" t="str">
            <v>8684127504843</v>
          </cell>
          <cell r="AO561">
            <v>0</v>
          </cell>
          <cell r="AQ561">
            <v>0</v>
          </cell>
          <cell r="AR561" t="str">
            <v>CM</v>
          </cell>
          <cell r="AS561">
            <v>0</v>
          </cell>
          <cell r="AT561" t="str">
            <v>CM</v>
          </cell>
          <cell r="AU561">
            <v>0</v>
          </cell>
          <cell r="AW561">
            <v>0</v>
          </cell>
        </row>
        <row r="562">
          <cell r="B562" t="str">
            <v>H1C6JMEWRB0-061</v>
          </cell>
          <cell r="C562" t="str">
            <v>LİON MERMER ESKİTME YEMEK MASASI 60cm</v>
          </cell>
          <cell r="D562" t="str">
            <v>LİON MARBLE BRUSHED BRASS DINNING TABLE 60cm</v>
          </cell>
          <cell r="E562" t="str">
            <v xml:space="preserve">METAL MERMER ESKİTME BEYAZ   </v>
          </cell>
          <cell r="F562" t="str">
            <v>9405.11.90.00.00</v>
          </cell>
          <cell r="G562" t="str">
            <v>AVİZE</v>
          </cell>
          <cell r="H562" t="str">
            <v>T1A6113100-61</v>
          </cell>
          <cell r="I562" t="str">
            <v>İÇ</v>
          </cell>
          <cell r="J562" t="str">
            <v>AVİZE.SARK</v>
          </cell>
          <cell r="K562" t="str">
            <v>LİON</v>
          </cell>
          <cell r="L562" t="str">
            <v/>
          </cell>
          <cell r="M562" t="str">
            <v/>
          </cell>
          <cell r="N562" t="str">
            <v>2005-60-DT</v>
          </cell>
          <cell r="O562" t="str">
            <v>HEKA</v>
          </cell>
          <cell r="P562" t="str">
            <v>ADET</v>
          </cell>
          <cell r="Q562" t="str">
            <v>LED</v>
          </cell>
          <cell r="R562" t="str">
            <v>METAL</v>
          </cell>
          <cell r="S562" t="str">
            <v>ESKİTME</v>
          </cell>
          <cell r="T562" t="str">
            <v>MERMER</v>
          </cell>
          <cell r="U562" t="str">
            <v>BEYAZ</v>
          </cell>
          <cell r="AD562" t="str">
            <v>N/A</v>
          </cell>
          <cell r="AF562">
            <v>1</v>
          </cell>
          <cell r="AG562" t="str">
            <v>ADET</v>
          </cell>
          <cell r="AH562">
            <v>240</v>
          </cell>
          <cell r="AI562" t="str">
            <v>CNY</v>
          </cell>
          <cell r="AJ562">
            <v>22680</v>
          </cell>
          <cell r="AK562" t="str">
            <v>TL</v>
          </cell>
          <cell r="AL562">
            <v>1</v>
          </cell>
          <cell r="AM562" t="str">
            <v>8684127502405</v>
          </cell>
          <cell r="AO562">
            <v>0</v>
          </cell>
          <cell r="AQ562">
            <v>0</v>
          </cell>
          <cell r="AR562" t="str">
            <v>CM</v>
          </cell>
          <cell r="AS562">
            <v>0</v>
          </cell>
          <cell r="AT562" t="str">
            <v>CM</v>
          </cell>
          <cell r="AU562">
            <v>0</v>
          </cell>
          <cell r="AW562">
            <v>0</v>
          </cell>
        </row>
        <row r="563">
          <cell r="B563" t="str">
            <v>H1W3JMEECT0-027</v>
          </cell>
          <cell r="C563" t="str">
            <v>BİLBAO ESKİTME APLİK</v>
          </cell>
          <cell r="D563" t="str">
            <v>BİLBAO BRUSHED BRASS WALL LAMP</v>
          </cell>
          <cell r="E563" t="str">
            <v>METAL CAM ESKİTME SOFT</v>
          </cell>
          <cell r="F563" t="str">
            <v>9405.19.90.00.00</v>
          </cell>
          <cell r="G563" t="str">
            <v>APLİK</v>
          </cell>
          <cell r="H563" t="str">
            <v>T1W3211100-02</v>
          </cell>
          <cell r="I563" t="str">
            <v>İÇ</v>
          </cell>
          <cell r="J563" t="str">
            <v>APLİK</v>
          </cell>
          <cell r="K563" t="str">
            <v>BİLBAO</v>
          </cell>
          <cell r="L563" t="str">
            <v/>
          </cell>
          <cell r="M563" t="str">
            <v/>
          </cell>
          <cell r="N563" t="str">
            <v>9297-2</v>
          </cell>
          <cell r="O563" t="str">
            <v>HEKA</v>
          </cell>
          <cell r="P563" t="str">
            <v>ADET</v>
          </cell>
          <cell r="Q563" t="str">
            <v>G9</v>
          </cell>
          <cell r="R563" t="str">
            <v>METAL</v>
          </cell>
          <cell r="S563" t="str">
            <v>ESKİTME</v>
          </cell>
          <cell r="T563" t="str">
            <v>CAM</v>
          </cell>
          <cell r="U563" t="str">
            <v>SOFT</v>
          </cell>
          <cell r="AD563" t="str">
            <v>N/A</v>
          </cell>
          <cell r="AE563" t="str">
            <v>03</v>
          </cell>
          <cell r="AF563">
            <v>0</v>
          </cell>
          <cell r="AG563" t="str">
            <v>ADET</v>
          </cell>
          <cell r="AH563">
            <v>62</v>
          </cell>
          <cell r="AI563" t="str">
            <v>CNY</v>
          </cell>
          <cell r="AJ563">
            <v>1300</v>
          </cell>
          <cell r="AK563" t="str">
            <v>TL</v>
          </cell>
          <cell r="AL563">
            <v>1</v>
          </cell>
          <cell r="AM563" t="str">
            <v>8684127508490</v>
          </cell>
          <cell r="AO563">
            <v>0</v>
          </cell>
          <cell r="AQ563">
            <v>0</v>
          </cell>
          <cell r="AR563" t="str">
            <v>CM</v>
          </cell>
          <cell r="AS563">
            <v>0</v>
          </cell>
          <cell r="AT563" t="str">
            <v>CM</v>
          </cell>
          <cell r="AU563">
            <v>0</v>
          </cell>
          <cell r="AW563">
            <v>0</v>
          </cell>
        </row>
        <row r="564">
          <cell r="B564" t="str">
            <v>H1C6JMGECSR-010</v>
          </cell>
          <cell r="C564" t="str">
            <v>ZAGREB LED ALTIN SARKIT 10cm</v>
          </cell>
          <cell r="D564" t="str">
            <v>ZAGREB LED GOLD PENDANT 10cm</v>
          </cell>
          <cell r="E564" t="str">
            <v xml:space="preserve">METAL CAM  GOLD ŞEFFAF   </v>
          </cell>
          <cell r="F564" t="str">
            <v>9405.11.90.00.00</v>
          </cell>
          <cell r="G564" t="str">
            <v>AVİZE</v>
          </cell>
          <cell r="H564" t="str">
            <v>T1A6A50000-10</v>
          </cell>
          <cell r="I564" t="str">
            <v>İÇ</v>
          </cell>
          <cell r="J564" t="str">
            <v>AVİZE.SARK</v>
          </cell>
          <cell r="K564" t="str">
            <v>ZAGREB</v>
          </cell>
          <cell r="L564" t="str">
            <v/>
          </cell>
          <cell r="M564" t="str">
            <v/>
          </cell>
          <cell r="N564" t="str">
            <v>HC06-1D-10-G</v>
          </cell>
          <cell r="O564" t="str">
            <v>HEKA</v>
          </cell>
          <cell r="P564" t="str">
            <v>ADET</v>
          </cell>
          <cell r="Q564" t="str">
            <v>LED</v>
          </cell>
          <cell r="R564" t="str">
            <v>METAL</v>
          </cell>
          <cell r="S564" t="str">
            <v>GOLD</v>
          </cell>
          <cell r="T564" t="str">
            <v>CAM</v>
          </cell>
          <cell r="U564" t="str">
            <v>ŞEFFAF</v>
          </cell>
          <cell r="AD564" t="str">
            <v>DAİRE</v>
          </cell>
          <cell r="AE564" t="str">
            <v>01</v>
          </cell>
          <cell r="AF564">
            <v>0</v>
          </cell>
          <cell r="AG564" t="str">
            <v>ADET</v>
          </cell>
          <cell r="AH564">
            <v>75</v>
          </cell>
          <cell r="AI564" t="str">
            <v>CNY</v>
          </cell>
          <cell r="AJ564">
            <v>1200</v>
          </cell>
          <cell r="AK564" t="str">
            <v>TL</v>
          </cell>
          <cell r="AL564">
            <v>1</v>
          </cell>
          <cell r="AM564" t="str">
            <v>8684127508186</v>
          </cell>
          <cell r="AO564">
            <v>0</v>
          </cell>
          <cell r="AQ564">
            <v>10</v>
          </cell>
          <cell r="AR564" t="str">
            <v>CM</v>
          </cell>
          <cell r="AS564">
            <v>10</v>
          </cell>
          <cell r="AT564" t="str">
            <v>CM</v>
          </cell>
          <cell r="AU564">
            <v>0</v>
          </cell>
          <cell r="AW564">
            <v>0</v>
          </cell>
        </row>
        <row r="565">
          <cell r="B565" t="str">
            <v>H1C6JMKECSR-010</v>
          </cell>
          <cell r="C565" t="str">
            <v>ZAGREB LED KROM SARKIT 10cm</v>
          </cell>
          <cell r="D565" t="str">
            <v>ZAGREB LED CHROME PENDANT 10cm</v>
          </cell>
          <cell r="E565" t="str">
            <v xml:space="preserve">METAL CAM  KROM ŞEFFAF   </v>
          </cell>
          <cell r="F565" t="str">
            <v>9405.11.90.00.00</v>
          </cell>
          <cell r="G565" t="str">
            <v>AVİZE</v>
          </cell>
          <cell r="H565" t="str">
            <v>T1A6A60000-10</v>
          </cell>
          <cell r="I565" t="str">
            <v>İÇ</v>
          </cell>
          <cell r="J565" t="str">
            <v>AVİZE.SARK</v>
          </cell>
          <cell r="K565" t="str">
            <v>ZAGREB</v>
          </cell>
          <cell r="L565" t="str">
            <v/>
          </cell>
          <cell r="M565" t="str">
            <v/>
          </cell>
          <cell r="N565" t="str">
            <v>HC06-1D-10-CH</v>
          </cell>
          <cell r="O565" t="str">
            <v>HEKA</v>
          </cell>
          <cell r="P565" t="str">
            <v>ADET</v>
          </cell>
          <cell r="Q565" t="str">
            <v>LED</v>
          </cell>
          <cell r="R565" t="str">
            <v>METAL</v>
          </cell>
          <cell r="S565" t="str">
            <v>KROM</v>
          </cell>
          <cell r="T565" t="str">
            <v>CAM</v>
          </cell>
          <cell r="U565" t="str">
            <v>ŞEFFAF</v>
          </cell>
          <cell r="AD565" t="str">
            <v>DAİRE</v>
          </cell>
          <cell r="AE565" t="str">
            <v>01</v>
          </cell>
          <cell r="AF565">
            <v>0</v>
          </cell>
          <cell r="AG565" t="str">
            <v>ADET</v>
          </cell>
          <cell r="AH565">
            <v>75</v>
          </cell>
          <cell r="AI565" t="str">
            <v>CNY</v>
          </cell>
          <cell r="AJ565">
            <v>1200</v>
          </cell>
          <cell r="AK565" t="str">
            <v>TL</v>
          </cell>
          <cell r="AL565">
            <v>1</v>
          </cell>
          <cell r="AM565" t="str">
            <v>8684127508193</v>
          </cell>
          <cell r="AO565">
            <v>0</v>
          </cell>
          <cell r="AQ565">
            <v>10</v>
          </cell>
          <cell r="AR565" t="str">
            <v>CM</v>
          </cell>
          <cell r="AS565">
            <v>10</v>
          </cell>
          <cell r="AT565" t="str">
            <v>CM</v>
          </cell>
          <cell r="AU565">
            <v>0</v>
          </cell>
          <cell r="AW565">
            <v>0</v>
          </cell>
        </row>
        <row r="566">
          <cell r="B566" t="str">
            <v>H1C6JMEERLR-031</v>
          </cell>
          <cell r="C566" t="str">
            <v>VİYANA BAL UFO CAM SARKIT 31cm</v>
          </cell>
          <cell r="D566" t="str">
            <v>VIYANA AMBER UFO GLASS PENDANT 31cm</v>
          </cell>
          <cell r="E566" t="str">
            <v xml:space="preserve">METAL CAM  ESKİTME BAL   </v>
          </cell>
          <cell r="F566" t="str">
            <v>9405.11.90.00.00</v>
          </cell>
          <cell r="G566" t="str">
            <v>AVİZE</v>
          </cell>
          <cell r="H566" t="str">
            <v>T1A6231100-31</v>
          </cell>
          <cell r="I566" t="str">
            <v>İÇ</v>
          </cell>
          <cell r="J566" t="str">
            <v>AVİZE.SARK</v>
          </cell>
          <cell r="K566" t="str">
            <v>VİYANA</v>
          </cell>
          <cell r="L566" t="str">
            <v/>
          </cell>
          <cell r="M566" t="str">
            <v>15.02.2026</v>
          </cell>
          <cell r="N566" t="str">
            <v>HKA-24066</v>
          </cell>
          <cell r="O566" t="str">
            <v>HEKA</v>
          </cell>
          <cell r="P566" t="str">
            <v>ADET</v>
          </cell>
          <cell r="Q566" t="str">
            <v>PERİ LED</v>
          </cell>
          <cell r="R566" t="str">
            <v>METAL</v>
          </cell>
          <cell r="S566" t="str">
            <v>ESKİTME</v>
          </cell>
          <cell r="T566" t="str">
            <v>CAM</v>
          </cell>
          <cell r="U566" t="str">
            <v>BAL</v>
          </cell>
          <cell r="AD566" t="str">
            <v>DAİRE</v>
          </cell>
          <cell r="AF566">
            <v>9</v>
          </cell>
          <cell r="AG566" t="str">
            <v>ADET</v>
          </cell>
          <cell r="AH566">
            <v>61.2</v>
          </cell>
          <cell r="AI566" t="str">
            <v>CNY</v>
          </cell>
          <cell r="AJ566">
            <v>4284</v>
          </cell>
          <cell r="AK566" t="str">
            <v>TL</v>
          </cell>
          <cell r="AL566">
            <v>1</v>
          </cell>
          <cell r="AM566" t="str">
            <v>8684127506359</v>
          </cell>
          <cell r="AO566">
            <v>0</v>
          </cell>
          <cell r="AQ566">
            <v>0</v>
          </cell>
          <cell r="AR566" t="str">
            <v>CM</v>
          </cell>
          <cell r="AS566">
            <v>0</v>
          </cell>
          <cell r="AT566" t="str">
            <v>CM</v>
          </cell>
          <cell r="AU566">
            <v>0</v>
          </cell>
          <cell r="AW566">
            <v>0</v>
          </cell>
        </row>
        <row r="567">
          <cell r="B567" t="str">
            <v>H1C6JMEERLR-018</v>
          </cell>
          <cell r="C567" t="str">
            <v>VİYANA BAL CAM SARKIT 18cm</v>
          </cell>
          <cell r="D567" t="str">
            <v>VIYANA AMBER GLASS PENDANT 18cm</v>
          </cell>
          <cell r="E567" t="str">
            <v xml:space="preserve">METAL CAM  ESKİTME BAL   </v>
          </cell>
          <cell r="F567" t="str">
            <v>9405.11.90.00.00</v>
          </cell>
          <cell r="G567" t="str">
            <v>AVİZE</v>
          </cell>
          <cell r="H567" t="str">
            <v>T1A6231100-18</v>
          </cell>
          <cell r="I567" t="str">
            <v>İÇ</v>
          </cell>
          <cell r="J567" t="str">
            <v>AVİZE.SARK</v>
          </cell>
          <cell r="K567" t="str">
            <v>VİYANA</v>
          </cell>
          <cell r="L567" t="str">
            <v/>
          </cell>
          <cell r="M567" t="str">
            <v>15.02.2026</v>
          </cell>
          <cell r="N567" t="str">
            <v>HKA-24068</v>
          </cell>
          <cell r="O567" t="str">
            <v>HEKA</v>
          </cell>
          <cell r="P567" t="str">
            <v>ADET</v>
          </cell>
          <cell r="Q567" t="str">
            <v>PERİ LED</v>
          </cell>
          <cell r="R567" t="str">
            <v>METAL</v>
          </cell>
          <cell r="S567" t="str">
            <v>ESKİTME</v>
          </cell>
          <cell r="T567" t="str">
            <v>CAM</v>
          </cell>
          <cell r="U567" t="str">
            <v>BAL</v>
          </cell>
          <cell r="AD567" t="str">
            <v>DAİRE</v>
          </cell>
          <cell r="AF567">
            <v>0</v>
          </cell>
          <cell r="AG567" t="str">
            <v>ADET</v>
          </cell>
          <cell r="AH567">
            <v>52.7</v>
          </cell>
          <cell r="AI567" t="str">
            <v>CNY</v>
          </cell>
          <cell r="AJ567">
            <v>3713</v>
          </cell>
          <cell r="AK567" t="str">
            <v>TL</v>
          </cell>
          <cell r="AL567">
            <v>1</v>
          </cell>
          <cell r="AM567" t="str">
            <v>8684127506373</v>
          </cell>
          <cell r="AO567">
            <v>0</v>
          </cell>
          <cell r="AQ567">
            <v>0</v>
          </cell>
          <cell r="AR567" t="str">
            <v>CM</v>
          </cell>
          <cell r="AS567">
            <v>0</v>
          </cell>
          <cell r="AT567" t="str">
            <v>CM</v>
          </cell>
          <cell r="AU567">
            <v>0</v>
          </cell>
          <cell r="AW567">
            <v>0</v>
          </cell>
        </row>
        <row r="568">
          <cell r="B568" t="str">
            <v>CA2D1C3M2G5U1</v>
          </cell>
          <cell r="C568" t="str">
            <v>ERD-252 A60 ŞEFFAF 8W 3000K E27 LED AMPUL</v>
          </cell>
          <cell r="D568" t="str">
            <v>ERD-252 A60 CLEAR 8W 3000K E27 LED BULB</v>
          </cell>
          <cell r="E568" t="str">
            <v>CAM METAL ŞEFFAF FLAMENT DIMMLI A60</v>
          </cell>
          <cell r="F568" t="str">
            <v>8539.52.00.00.00</v>
          </cell>
          <cell r="G568" t="str">
            <v>AMPUL</v>
          </cell>
          <cell r="H568" t="str">
            <v>ERD-252</v>
          </cell>
          <cell r="I568" t="str">
            <v>İÇ</v>
          </cell>
          <cell r="J568" t="str">
            <v>AMPUL</v>
          </cell>
          <cell r="K568" t="str">
            <v>ERD-252</v>
          </cell>
          <cell r="L568" t="str">
            <v/>
          </cell>
          <cell r="M568" t="str">
            <v/>
          </cell>
          <cell r="N568" t="str">
            <v>ERD-252</v>
          </cell>
          <cell r="O568" t="str">
            <v>HEKA</v>
          </cell>
          <cell r="P568" t="str">
            <v>ADET</v>
          </cell>
          <cell r="Q568" t="str">
            <v>E27</v>
          </cell>
          <cell r="R568" t="str">
            <v>CAM</v>
          </cell>
          <cell r="S568" t="str">
            <v>ŞEFFAF</v>
          </cell>
          <cell r="T568" t="str">
            <v>METAL</v>
          </cell>
          <cell r="V568" t="str">
            <v>D</v>
          </cell>
          <cell r="W568" t="str">
            <v>FLAMENT</v>
          </cell>
          <cell r="X568" t="str">
            <v>220V</v>
          </cell>
          <cell r="Y568" t="str">
            <v>8 WATT</v>
          </cell>
          <cell r="Z568" t="str">
            <v>3000 K</v>
          </cell>
          <cell r="AA568" t="str">
            <v>DIMMLI</v>
          </cell>
          <cell r="AB568" t="str">
            <v>1101-1200</v>
          </cell>
          <cell r="AC568" t="str">
            <v>A60</v>
          </cell>
          <cell r="AD568" t="str">
            <v>N/A</v>
          </cell>
          <cell r="AF568">
            <v>67</v>
          </cell>
          <cell r="AG568" t="str">
            <v>ADET</v>
          </cell>
          <cell r="AH568">
            <v>0.7</v>
          </cell>
          <cell r="AI568" t="str">
            <v>USD</v>
          </cell>
          <cell r="AJ568">
            <v>3.7</v>
          </cell>
          <cell r="AK568" t="str">
            <v>USD</v>
          </cell>
          <cell r="AL568">
            <v>1</v>
          </cell>
          <cell r="AM568" t="str">
            <v>8684127503969</v>
          </cell>
          <cell r="AN568" t="str">
            <v>8684127500432</v>
          </cell>
          <cell r="AO568">
            <v>0</v>
          </cell>
          <cell r="AQ568">
            <v>6</v>
          </cell>
          <cell r="AR568" t="str">
            <v>CM</v>
          </cell>
          <cell r="AS568">
            <v>6</v>
          </cell>
          <cell r="AT568" t="str">
            <v>CM</v>
          </cell>
          <cell r="AU568">
            <v>0</v>
          </cell>
          <cell r="AW568">
            <v>0</v>
          </cell>
        </row>
        <row r="569">
          <cell r="B569" t="str">
            <v>CP2F2P4M2F8N0</v>
          </cell>
          <cell r="C569" t="str">
            <v>ERD-255 T37 OPAL 7W 6500K E27 LED AMPUL</v>
          </cell>
          <cell r="D569" t="str">
            <v>ERD-255 T37 OPAL 7W 6500K E27 LED BULB</v>
          </cell>
          <cell r="E569" t="str">
            <v>PLASTİK METAL OPAL SMD LED DIMMSIZ T37</v>
          </cell>
          <cell r="F569" t="str">
            <v>8539.52.00.00.00</v>
          </cell>
          <cell r="G569" t="str">
            <v>AMPUL</v>
          </cell>
          <cell r="H569" t="str">
            <v>ERD-255</v>
          </cell>
          <cell r="I569" t="str">
            <v>İÇ</v>
          </cell>
          <cell r="J569" t="str">
            <v>AMPUL</v>
          </cell>
          <cell r="K569" t="str">
            <v>ERD-255</v>
          </cell>
          <cell r="L569" t="str">
            <v/>
          </cell>
          <cell r="M569" t="str">
            <v/>
          </cell>
          <cell r="N569" t="str">
            <v>ERD-255</v>
          </cell>
          <cell r="O569" t="str">
            <v>HEKA</v>
          </cell>
          <cell r="P569" t="str">
            <v>ADET</v>
          </cell>
          <cell r="Q569" t="str">
            <v>E27</v>
          </cell>
          <cell r="R569" t="str">
            <v>PLASTİK</v>
          </cell>
          <cell r="S569" t="str">
            <v>OPAL</v>
          </cell>
          <cell r="T569" t="str">
            <v>METAL</v>
          </cell>
          <cell r="V569" t="str">
            <v>F</v>
          </cell>
          <cell r="W569" t="str">
            <v>SMD LED</v>
          </cell>
          <cell r="X569" t="str">
            <v>220V</v>
          </cell>
          <cell r="Y569" t="str">
            <v>7 WATT</v>
          </cell>
          <cell r="Z569" t="str">
            <v>6500 K</v>
          </cell>
          <cell r="AA569" t="str">
            <v>DIMMSIZ</v>
          </cell>
          <cell r="AB569" t="str">
            <v>601-700</v>
          </cell>
          <cell r="AC569" t="str">
            <v>T37</v>
          </cell>
          <cell r="AD569" t="str">
            <v>N/A</v>
          </cell>
          <cell r="AF569">
            <v>0</v>
          </cell>
          <cell r="AG569" t="str">
            <v>ADET</v>
          </cell>
          <cell r="AH569">
            <v>0.435</v>
          </cell>
          <cell r="AI569" t="str">
            <v>CNY</v>
          </cell>
          <cell r="AJ569">
            <v>1.6</v>
          </cell>
          <cell r="AK569" t="str">
            <v>USD</v>
          </cell>
          <cell r="AL569">
            <v>1</v>
          </cell>
          <cell r="AM569" t="str">
            <v>8684127503990</v>
          </cell>
          <cell r="AN569" t="str">
            <v>8684127500593</v>
          </cell>
          <cell r="AO569">
            <v>0</v>
          </cell>
          <cell r="AQ569">
            <v>3.5</v>
          </cell>
          <cell r="AR569" t="str">
            <v>CM</v>
          </cell>
          <cell r="AS569">
            <v>3.5</v>
          </cell>
          <cell r="AT569" t="str">
            <v>CM</v>
          </cell>
          <cell r="AU569">
            <v>0</v>
          </cell>
          <cell r="AW569">
            <v>0</v>
          </cell>
        </row>
        <row r="570">
          <cell r="B570" t="str">
            <v>F1C6DRGAAWL-120</v>
          </cell>
          <cell r="C570" t="str">
            <v>TOCHI LINEAR AHŞAP-BETON SARKIT 120cm</v>
          </cell>
          <cell r="D570" t="str">
            <v>TOCHI LINEAR WOOD-CONCRETE PENDANT 120cm</v>
          </cell>
          <cell r="E570" t="str">
            <v xml:space="preserve">BETON AHŞAP GRİ WENGE   </v>
          </cell>
          <cell r="F570" t="str">
            <v>9405.11.90.00.00</v>
          </cell>
          <cell r="G570" t="str">
            <v>AVİZE</v>
          </cell>
          <cell r="H570" t="str">
            <v>F1A674C200-12</v>
          </cell>
          <cell r="I570" t="str">
            <v>İÇ</v>
          </cell>
          <cell r="J570" t="str">
            <v>AVİZE.SARK</v>
          </cell>
          <cell r="K570" t="str">
            <v>TOCHI</v>
          </cell>
          <cell r="L570" t="str">
            <v/>
          </cell>
          <cell r="M570" t="str">
            <v>ÜRTM:15GÜN</v>
          </cell>
          <cell r="N570" t="str">
            <v>1018-120</v>
          </cell>
          <cell r="O570" t="str">
            <v>ISHI</v>
          </cell>
          <cell r="P570" t="str">
            <v>ADET</v>
          </cell>
          <cell r="Q570" t="str">
            <v>LED</v>
          </cell>
          <cell r="R570" t="str">
            <v>BETON</v>
          </cell>
          <cell r="S570" t="str">
            <v>GRİ</v>
          </cell>
          <cell r="T570" t="str">
            <v>AHŞAP</v>
          </cell>
          <cell r="U570" t="str">
            <v>WENGE</v>
          </cell>
          <cell r="AD570" t="str">
            <v>DÜZ</v>
          </cell>
          <cell r="AF570">
            <v>8</v>
          </cell>
          <cell r="AG570" t="str">
            <v>ADET</v>
          </cell>
          <cell r="AH570">
            <v>4830</v>
          </cell>
          <cell r="AI570" t="str">
            <v>TL</v>
          </cell>
          <cell r="AJ570">
            <v>24310</v>
          </cell>
          <cell r="AK570" t="str">
            <v>TL</v>
          </cell>
          <cell r="AL570">
            <v>1</v>
          </cell>
          <cell r="AM570" t="str">
            <v>8684127506175</v>
          </cell>
          <cell r="AO570">
            <v>0</v>
          </cell>
          <cell r="AQ570">
            <v>120</v>
          </cell>
          <cell r="AR570" t="str">
            <v>CM</v>
          </cell>
          <cell r="AS570">
            <v>6.5</v>
          </cell>
          <cell r="AT570" t="str">
            <v>CM</v>
          </cell>
          <cell r="AU570">
            <v>0</v>
          </cell>
          <cell r="AW570">
            <v>0</v>
          </cell>
        </row>
        <row r="571">
          <cell r="B571" t="str">
            <v>H1C5JMEBCS0-100</v>
          </cell>
          <cell r="C571" t="str">
            <v>CİBUTİ AKRİLİK YEMEK MASASI AVİZE</v>
          </cell>
          <cell r="D571" t="str">
            <v>CİBUTİ ACRYLIC DINNING TABLE CHANDELIER</v>
          </cell>
          <cell r="E571" t="str">
            <v xml:space="preserve">METAL AKRİLİK ESKİTME ŞEFFAF   </v>
          </cell>
          <cell r="F571" t="str">
            <v>9405.19.90.00.00</v>
          </cell>
          <cell r="G571" t="str">
            <v>AVİZE</v>
          </cell>
          <cell r="H571" t="str">
            <v>T1A6621200-01</v>
          </cell>
          <cell r="I571" t="str">
            <v>İÇ</v>
          </cell>
          <cell r="J571" t="str">
            <v>AVİZE.SARK</v>
          </cell>
          <cell r="K571" t="str">
            <v>CİBUTİ</v>
          </cell>
          <cell r="L571" t="str">
            <v/>
          </cell>
          <cell r="M571" t="str">
            <v/>
          </cell>
          <cell r="N571" t="str">
            <v>66894</v>
          </cell>
          <cell r="O571" t="str">
            <v>HEKA</v>
          </cell>
          <cell r="P571" t="str">
            <v>ADET</v>
          </cell>
          <cell r="Q571" t="str">
            <v>GU10</v>
          </cell>
          <cell r="R571" t="str">
            <v>METAL</v>
          </cell>
          <cell r="S571" t="str">
            <v>ESKİTME</v>
          </cell>
          <cell r="T571" t="str">
            <v>AKRİLİK</v>
          </cell>
          <cell r="U571" t="str">
            <v>ŞEFFAF</v>
          </cell>
          <cell r="AD571" t="str">
            <v>N/A</v>
          </cell>
          <cell r="AE571" t="str">
            <v>05</v>
          </cell>
          <cell r="AF571">
            <v>0</v>
          </cell>
          <cell r="AG571" t="str">
            <v>ADET</v>
          </cell>
          <cell r="AH571">
            <v>295</v>
          </cell>
          <cell r="AI571" t="str">
            <v>CNY</v>
          </cell>
          <cell r="AJ571">
            <v>14221</v>
          </cell>
          <cell r="AK571" t="str">
            <v>TL</v>
          </cell>
          <cell r="AL571">
            <v>1</v>
          </cell>
          <cell r="AM571" t="str">
            <v>8684127501804</v>
          </cell>
          <cell r="AO571">
            <v>0</v>
          </cell>
          <cell r="AQ571">
            <v>20</v>
          </cell>
          <cell r="AR571" t="str">
            <v>CM</v>
          </cell>
          <cell r="AS571">
            <v>20</v>
          </cell>
          <cell r="AT571" t="str">
            <v>CM</v>
          </cell>
          <cell r="AU571">
            <v>0</v>
          </cell>
          <cell r="AW571">
            <v>0</v>
          </cell>
        </row>
        <row r="572">
          <cell r="B572" t="str">
            <v>H1W3JME0000-045</v>
          </cell>
          <cell r="C572" t="str">
            <v>ANGOLA TEKLİ ESKİTME APLİK</v>
          </cell>
          <cell r="D572" t="str">
            <v>ANGOLA SINGLE BRUSHED BRASS WALL LAMP</v>
          </cell>
          <cell r="E572" t="str">
            <v>METAL YOK ESKİTME YOK</v>
          </cell>
          <cell r="F572" t="str">
            <v>9405.19.90.00.00</v>
          </cell>
          <cell r="G572" t="str">
            <v>APLİK</v>
          </cell>
          <cell r="H572" t="str">
            <v>T1W3110000-45</v>
          </cell>
          <cell r="I572" t="str">
            <v>İÇ</v>
          </cell>
          <cell r="J572" t="str">
            <v>APLİK</v>
          </cell>
          <cell r="K572" t="str">
            <v>ANGOLA</v>
          </cell>
          <cell r="L572" t="str">
            <v/>
          </cell>
          <cell r="M572" t="str">
            <v/>
          </cell>
          <cell r="N572" t="str">
            <v>XQL-B6902-1</v>
          </cell>
          <cell r="O572" t="str">
            <v>HEKA</v>
          </cell>
          <cell r="P572" t="str">
            <v>ADET</v>
          </cell>
          <cell r="Q572" t="str">
            <v>G9</v>
          </cell>
          <cell r="R572" t="str">
            <v>METAL</v>
          </cell>
          <cell r="S572" t="str">
            <v>ESKİTME</v>
          </cell>
          <cell r="T572" t="str">
            <v>YOK</v>
          </cell>
          <cell r="U572" t="str">
            <v>YOK</v>
          </cell>
          <cell r="AD572" t="str">
            <v>N/A</v>
          </cell>
          <cell r="AE572" t="str">
            <v>02</v>
          </cell>
          <cell r="AF572">
            <v>0</v>
          </cell>
          <cell r="AG572" t="str">
            <v>ADET</v>
          </cell>
          <cell r="AH572">
            <v>50</v>
          </cell>
          <cell r="AI572" t="str">
            <v>CNY</v>
          </cell>
          <cell r="AJ572">
            <v>2714</v>
          </cell>
          <cell r="AK572" t="str">
            <v>TL</v>
          </cell>
          <cell r="AL572">
            <v>1</v>
          </cell>
          <cell r="AM572" t="str">
            <v>8684127501439</v>
          </cell>
          <cell r="AO572">
            <v>0</v>
          </cell>
          <cell r="AQ572">
            <v>0</v>
          </cell>
          <cell r="AR572" t="str">
            <v>CM</v>
          </cell>
          <cell r="AS572">
            <v>0</v>
          </cell>
          <cell r="AT572" t="str">
            <v>CM</v>
          </cell>
          <cell r="AU572">
            <v>0</v>
          </cell>
          <cell r="AW572">
            <v>0</v>
          </cell>
        </row>
        <row r="573">
          <cell r="B573" t="str">
            <v>H1C6JMEERF0-020</v>
          </cell>
          <cell r="C573" t="str">
            <v>HOBART TEKLİ FÜME CAM SARKIT 20cm</v>
          </cell>
          <cell r="D573" t="str">
            <v>HOBART SINGLE SMOKY GLASS PENDANT 20cm</v>
          </cell>
          <cell r="E573" t="str">
            <v xml:space="preserve">METAL CAM  ESKİTME FÜME   </v>
          </cell>
          <cell r="F573" t="str">
            <v>9405.11.90.00.00</v>
          </cell>
          <cell r="G573" t="str">
            <v>AVİZE</v>
          </cell>
          <cell r="H573" t="str">
            <v>T1A6220000-20</v>
          </cell>
          <cell r="I573" t="str">
            <v>İÇ</v>
          </cell>
          <cell r="J573" t="str">
            <v>AVİZE.SARK</v>
          </cell>
          <cell r="K573" t="str">
            <v>HOBART</v>
          </cell>
          <cell r="L573" t="str">
            <v/>
          </cell>
          <cell r="M573" t="str">
            <v/>
          </cell>
          <cell r="N573" t="str">
            <v>HKA-24137</v>
          </cell>
          <cell r="O573" t="str">
            <v>HEKA</v>
          </cell>
          <cell r="P573" t="str">
            <v>ADET</v>
          </cell>
          <cell r="Q573" t="str">
            <v>LED</v>
          </cell>
          <cell r="R573" t="str">
            <v>METAL</v>
          </cell>
          <cell r="S573" t="str">
            <v>ESKİTME</v>
          </cell>
          <cell r="T573" t="str">
            <v>CAM</v>
          </cell>
          <cell r="U573" t="str">
            <v>FÜME</v>
          </cell>
          <cell r="AD573" t="str">
            <v>N/A</v>
          </cell>
          <cell r="AF573">
            <v>0</v>
          </cell>
          <cell r="AG573" t="str">
            <v>ADET</v>
          </cell>
          <cell r="AH573">
            <v>600</v>
          </cell>
          <cell r="AI573" t="str">
            <v>TL</v>
          </cell>
          <cell r="AJ573">
            <v>5100</v>
          </cell>
          <cell r="AK573" t="str">
            <v>TL</v>
          </cell>
          <cell r="AL573">
            <v>1</v>
          </cell>
          <cell r="AM573" t="str">
            <v>8684127504492</v>
          </cell>
          <cell r="AO573">
            <v>0</v>
          </cell>
          <cell r="AQ573">
            <v>10</v>
          </cell>
          <cell r="AR573" t="str">
            <v>CM</v>
          </cell>
          <cell r="AS573">
            <v>20</v>
          </cell>
          <cell r="AT573" t="str">
            <v>CM</v>
          </cell>
          <cell r="AU573">
            <v>0</v>
          </cell>
          <cell r="AW573">
            <v>0</v>
          </cell>
        </row>
        <row r="574">
          <cell r="B574" t="str">
            <v>H1C6JMEERL0-030</v>
          </cell>
          <cell r="C574" t="str">
            <v>HOBART TEKLİ BAL CAM SARKIT 30cm</v>
          </cell>
          <cell r="D574" t="str">
            <v>HOBART SINGLE AMBER GLASS PENDANT 30cm</v>
          </cell>
          <cell r="E574" t="str">
            <v xml:space="preserve">METAL CAM  ESKİTME BAL   </v>
          </cell>
          <cell r="F574" t="str">
            <v>9405.11.90.00.00</v>
          </cell>
          <cell r="G574" t="str">
            <v>AVİZE</v>
          </cell>
          <cell r="H574" t="str">
            <v>T1A6230000-30</v>
          </cell>
          <cell r="I574" t="str">
            <v>İÇ</v>
          </cell>
          <cell r="J574" t="str">
            <v>AVİZE.SARK</v>
          </cell>
          <cell r="K574" t="str">
            <v>HOBART</v>
          </cell>
          <cell r="L574" t="str">
            <v/>
          </cell>
          <cell r="M574" t="str">
            <v/>
          </cell>
          <cell r="N574" t="str">
            <v>HKA-24077</v>
          </cell>
          <cell r="O574" t="str">
            <v>HEKA</v>
          </cell>
          <cell r="P574" t="str">
            <v>ADET</v>
          </cell>
          <cell r="Q574" t="str">
            <v>LED</v>
          </cell>
          <cell r="R574" t="str">
            <v>METAL</v>
          </cell>
          <cell r="S574" t="str">
            <v>ESKİTME</v>
          </cell>
          <cell r="T574" t="str">
            <v>CAM</v>
          </cell>
          <cell r="U574" t="str">
            <v>BAL</v>
          </cell>
          <cell r="AD574" t="str">
            <v>N/A</v>
          </cell>
          <cell r="AF574">
            <v>18</v>
          </cell>
          <cell r="AG574" t="str">
            <v>ADET</v>
          </cell>
          <cell r="AH574">
            <v>110</v>
          </cell>
          <cell r="AI574" t="str">
            <v>CNY</v>
          </cell>
          <cell r="AJ574">
            <v>7900</v>
          </cell>
          <cell r="AK574" t="str">
            <v>TL</v>
          </cell>
          <cell r="AL574">
            <v>1</v>
          </cell>
          <cell r="AM574" t="str">
            <v>8684127504546</v>
          </cell>
          <cell r="AO574">
            <v>0</v>
          </cell>
          <cell r="AQ574">
            <v>12</v>
          </cell>
          <cell r="AR574" t="str">
            <v>CM</v>
          </cell>
          <cell r="AS574">
            <v>30</v>
          </cell>
          <cell r="AT574" t="str">
            <v>CM</v>
          </cell>
          <cell r="AU574">
            <v>0</v>
          </cell>
          <cell r="AW574">
            <v>0</v>
          </cell>
        </row>
        <row r="575">
          <cell r="B575" t="str">
            <v>H1C6JMEECS0-022</v>
          </cell>
          <cell r="C575" t="str">
            <v>BROOME TEKLİ ŞEFFAF CAM SARKIT 22cm</v>
          </cell>
          <cell r="D575" t="str">
            <v>BROOME SINGLE CLEAR GLASS PENDANT 22cm</v>
          </cell>
          <cell r="E575" t="str">
            <v xml:space="preserve">METAL CAM  ESKİTME ŞEFFAF   </v>
          </cell>
          <cell r="F575" t="str">
            <v>9405.11.90.00.00</v>
          </cell>
          <cell r="G575" t="str">
            <v>AVİZE</v>
          </cell>
          <cell r="H575" t="str">
            <v>T1A6240000-22</v>
          </cell>
          <cell r="I575" t="str">
            <v>İÇ</v>
          </cell>
          <cell r="J575" t="str">
            <v>AVİZE.SARK</v>
          </cell>
          <cell r="K575" t="str">
            <v>BROOME</v>
          </cell>
          <cell r="L575" t="str">
            <v/>
          </cell>
          <cell r="M575" t="str">
            <v/>
          </cell>
          <cell r="N575" t="str">
            <v>HKA-24148</v>
          </cell>
          <cell r="O575" t="str">
            <v>HEKA</v>
          </cell>
          <cell r="P575" t="str">
            <v>ADET</v>
          </cell>
          <cell r="Q575" t="str">
            <v>LED</v>
          </cell>
          <cell r="R575" t="str">
            <v>METAL</v>
          </cell>
          <cell r="S575" t="str">
            <v>ESKİTME</v>
          </cell>
          <cell r="T575" t="str">
            <v>CAM</v>
          </cell>
          <cell r="U575" t="str">
            <v>ŞEFFAF</v>
          </cell>
          <cell r="AD575" t="str">
            <v>N/A</v>
          </cell>
          <cell r="AF575">
            <v>0</v>
          </cell>
          <cell r="AG575" t="str">
            <v>ADET</v>
          </cell>
          <cell r="AH575">
            <v>83</v>
          </cell>
          <cell r="AI575" t="str">
            <v>CNY</v>
          </cell>
          <cell r="AJ575">
            <v>6400</v>
          </cell>
          <cell r="AK575" t="str">
            <v>TL</v>
          </cell>
          <cell r="AL575">
            <v>1</v>
          </cell>
          <cell r="AM575" t="str">
            <v>8684127504478</v>
          </cell>
          <cell r="AO575">
            <v>0</v>
          </cell>
          <cell r="AQ575">
            <v>28</v>
          </cell>
          <cell r="AR575" t="str">
            <v>CM</v>
          </cell>
          <cell r="AS575">
            <v>22</v>
          </cell>
          <cell r="AT575" t="str">
            <v>CM</v>
          </cell>
          <cell r="AU575">
            <v>0</v>
          </cell>
          <cell r="AW575">
            <v>0</v>
          </cell>
        </row>
        <row r="576">
          <cell r="B576" t="str">
            <v>H1W1JMEECT0-016</v>
          </cell>
          <cell r="C576" t="str">
            <v>DAVOS ESKİTME APLİK</v>
          </cell>
          <cell r="D576" t="str">
            <v>DAVOS BRUSHED BRASS WALL LAMP</v>
          </cell>
          <cell r="E576" t="str">
            <v>METAL CAM ESKİTME SOFT</v>
          </cell>
          <cell r="F576" t="str">
            <v>9405.19.90.00.00</v>
          </cell>
          <cell r="G576" t="str">
            <v>APLİK</v>
          </cell>
          <cell r="H576" t="str">
            <v>T1W1112100-01</v>
          </cell>
          <cell r="I576" t="str">
            <v>İÇ</v>
          </cell>
          <cell r="J576" t="str">
            <v>APLİK</v>
          </cell>
          <cell r="K576" t="str">
            <v>DAVOS</v>
          </cell>
          <cell r="L576" t="str">
            <v/>
          </cell>
          <cell r="M576" t="str">
            <v/>
          </cell>
          <cell r="N576" t="str">
            <v>9298-1</v>
          </cell>
          <cell r="O576" t="str">
            <v>HEKA</v>
          </cell>
          <cell r="P576" t="str">
            <v>ADET</v>
          </cell>
          <cell r="Q576" t="str">
            <v>E14</v>
          </cell>
          <cell r="R576" t="str">
            <v>METAL</v>
          </cell>
          <cell r="S576" t="str">
            <v>ESKİTME</v>
          </cell>
          <cell r="T576" t="str">
            <v>CAM</v>
          </cell>
          <cell r="U576" t="str">
            <v>SOFT</v>
          </cell>
          <cell r="AD576" t="str">
            <v>N/A</v>
          </cell>
          <cell r="AE576" t="str">
            <v>02</v>
          </cell>
          <cell r="AF576">
            <v>1</v>
          </cell>
          <cell r="AG576" t="str">
            <v>ADET</v>
          </cell>
          <cell r="AH576">
            <v>65</v>
          </cell>
          <cell r="AI576" t="str">
            <v>CNY</v>
          </cell>
          <cell r="AJ576">
            <v>1530</v>
          </cell>
          <cell r="AK576" t="str">
            <v>TL</v>
          </cell>
          <cell r="AL576">
            <v>1</v>
          </cell>
          <cell r="AM576" t="str">
            <v>8684127501897</v>
          </cell>
          <cell r="AO576">
            <v>0</v>
          </cell>
          <cell r="AQ576">
            <v>0</v>
          </cell>
          <cell r="AR576" t="str">
            <v>CM</v>
          </cell>
          <cell r="AS576">
            <v>0</v>
          </cell>
          <cell r="AT576" t="str">
            <v>CM</v>
          </cell>
          <cell r="AU576">
            <v>0</v>
          </cell>
          <cell r="AW576">
            <v>0</v>
          </cell>
        </row>
        <row r="577">
          <cell r="B577" t="str">
            <v>H1W1JRSECS0-042</v>
          </cell>
          <cell r="C577" t="str">
            <v>MARSİLYA İKİLİ SİYAH APLİK</v>
          </cell>
          <cell r="D577" t="str">
            <v>MARSİLYA DOUBLE GLASS BLACK WALL LAMP</v>
          </cell>
          <cell r="E577" t="str">
            <v>METAL CAM SİYAH ŞEFFAF</v>
          </cell>
          <cell r="F577" t="str">
            <v>9405.19.90.00.00</v>
          </cell>
          <cell r="G577" t="str">
            <v>APLİK</v>
          </cell>
          <cell r="H577" t="str">
            <v>T1W1142400-45</v>
          </cell>
          <cell r="I577" t="str">
            <v>İÇ</v>
          </cell>
          <cell r="J577" t="str">
            <v>APLİK</v>
          </cell>
          <cell r="K577" t="str">
            <v>MARSİLYA</v>
          </cell>
          <cell r="L577" t="str">
            <v/>
          </cell>
          <cell r="M577" t="str">
            <v/>
          </cell>
          <cell r="N577" t="str">
            <v>9718F-2W-BC</v>
          </cell>
          <cell r="O577" t="str">
            <v>HEKA</v>
          </cell>
          <cell r="P577" t="str">
            <v>ADET</v>
          </cell>
          <cell r="Q577" t="str">
            <v>E14</v>
          </cell>
          <cell r="R577" t="str">
            <v>METAL</v>
          </cell>
          <cell r="S577" t="str">
            <v>SİYAH</v>
          </cell>
          <cell r="T577" t="str">
            <v>CAM</v>
          </cell>
          <cell r="U577" t="str">
            <v>ŞEFFAF</v>
          </cell>
          <cell r="AD577" t="str">
            <v>N/A</v>
          </cell>
          <cell r="AE577" t="str">
            <v>02</v>
          </cell>
          <cell r="AF577">
            <v>0</v>
          </cell>
          <cell r="AG577" t="str">
            <v>ADET</v>
          </cell>
          <cell r="AH577">
            <v>80</v>
          </cell>
          <cell r="AI577" t="str">
            <v>CNY</v>
          </cell>
          <cell r="AJ577">
            <v>6720</v>
          </cell>
          <cell r="AK577" t="str">
            <v>TL</v>
          </cell>
          <cell r="AL577">
            <v>1</v>
          </cell>
          <cell r="AM577" t="str">
            <v>8684127502818</v>
          </cell>
          <cell r="AO577">
            <v>0</v>
          </cell>
          <cell r="AQ577">
            <v>0</v>
          </cell>
          <cell r="AR577" t="str">
            <v>CM</v>
          </cell>
          <cell r="AS577">
            <v>0</v>
          </cell>
          <cell r="AT577" t="str">
            <v>CM</v>
          </cell>
          <cell r="AU577">
            <v>0</v>
          </cell>
          <cell r="AW577">
            <v>0</v>
          </cell>
        </row>
        <row r="578">
          <cell r="B578" t="str">
            <v>H1C6JMGECS0-053</v>
          </cell>
          <cell r="C578" t="str">
            <v>SEVİLLA TEKLİ SARKIT</v>
          </cell>
          <cell r="D578" t="str">
            <v>SEVİLLA SINGLE PENDANT</v>
          </cell>
          <cell r="E578" t="str">
            <v xml:space="preserve">METAL CAM  GOLD ŞEFFAF   </v>
          </cell>
          <cell r="F578" t="str">
            <v>9405.11.90.00.00</v>
          </cell>
          <cell r="G578" t="str">
            <v>AVİZE</v>
          </cell>
          <cell r="H578" t="str">
            <v>T1A6A56200-01</v>
          </cell>
          <cell r="I578" t="str">
            <v>İÇ</v>
          </cell>
          <cell r="J578" t="str">
            <v>AVİZE.SARK</v>
          </cell>
          <cell r="K578" t="str">
            <v>SEVİLLA</v>
          </cell>
          <cell r="L578" t="str">
            <v/>
          </cell>
          <cell r="M578" t="str">
            <v/>
          </cell>
          <cell r="N578" t="str">
            <v>MD1001-1L</v>
          </cell>
          <cell r="O578" t="str">
            <v>HEKA</v>
          </cell>
          <cell r="P578" t="str">
            <v>ADET</v>
          </cell>
          <cell r="Q578" t="str">
            <v>LED</v>
          </cell>
          <cell r="R578" t="str">
            <v>METAL</v>
          </cell>
          <cell r="S578" t="str">
            <v>GOLD</v>
          </cell>
          <cell r="T578" t="str">
            <v>CAM</v>
          </cell>
          <cell r="U578" t="str">
            <v>ŞEFFAF</v>
          </cell>
          <cell r="AD578" t="str">
            <v>N/A</v>
          </cell>
          <cell r="AE578" t="str">
            <v>01</v>
          </cell>
          <cell r="AF578">
            <v>0</v>
          </cell>
          <cell r="AG578" t="str">
            <v>ADET</v>
          </cell>
          <cell r="AH578">
            <v>95</v>
          </cell>
          <cell r="AI578" t="str">
            <v>CNY</v>
          </cell>
          <cell r="AJ578">
            <v>1650</v>
          </cell>
          <cell r="AK578" t="str">
            <v>TL</v>
          </cell>
          <cell r="AL578">
            <v>1</v>
          </cell>
          <cell r="AM578" t="str">
            <v>8684127509053</v>
          </cell>
          <cell r="AO578">
            <v>0</v>
          </cell>
          <cell r="AQ578">
            <v>0</v>
          </cell>
          <cell r="AR578" t="str">
            <v>CM</v>
          </cell>
          <cell r="AS578">
            <v>0</v>
          </cell>
          <cell r="AT578" t="str">
            <v>CM</v>
          </cell>
          <cell r="AU578">
            <v>0</v>
          </cell>
          <cell r="AW578">
            <v>0</v>
          </cell>
        </row>
        <row r="579">
          <cell r="B579" t="str">
            <v>H1C6JRSJMGU-021</v>
          </cell>
          <cell r="C579" t="str">
            <v>ODESSA LED SİYAH-ALTIN SARKIT</v>
          </cell>
          <cell r="D579" t="str">
            <v>ODESSA LED BLACK-GOLD PENDANT</v>
          </cell>
          <cell r="E579" t="str">
            <v xml:space="preserve">METAL METAL SİYAH GOLD   </v>
          </cell>
          <cell r="F579" t="str">
            <v>9405.11.90.00.00</v>
          </cell>
          <cell r="G579" t="str">
            <v>AVİZE</v>
          </cell>
          <cell r="H579" t="str">
            <v>T1A6A2A500-23</v>
          </cell>
          <cell r="I579" t="str">
            <v>İÇ</v>
          </cell>
          <cell r="J579" t="str">
            <v>AVİZE.SARK</v>
          </cell>
          <cell r="K579" t="str">
            <v>ODESSA</v>
          </cell>
          <cell r="L579" t="str">
            <v/>
          </cell>
          <cell r="M579" t="str">
            <v/>
          </cell>
          <cell r="N579" t="str">
            <v>HKA-24331</v>
          </cell>
          <cell r="O579" t="str">
            <v>HEKA</v>
          </cell>
          <cell r="P579" t="str">
            <v>ADET</v>
          </cell>
          <cell r="Q579" t="str">
            <v>LED</v>
          </cell>
          <cell r="R579" t="str">
            <v>METAL</v>
          </cell>
          <cell r="S579" t="str">
            <v>SİYAH</v>
          </cell>
          <cell r="T579" t="str">
            <v>METAL</v>
          </cell>
          <cell r="U579" t="str">
            <v>GOLD</v>
          </cell>
          <cell r="AD579" t="str">
            <v>ÜÇGEN</v>
          </cell>
          <cell r="AF579">
            <v>188</v>
          </cell>
          <cell r="AG579" t="str">
            <v>ADET</v>
          </cell>
          <cell r="AH579">
            <v>65.66</v>
          </cell>
          <cell r="AI579" t="str">
            <v>CNY</v>
          </cell>
          <cell r="AJ579">
            <v>4690</v>
          </cell>
          <cell r="AK579" t="str">
            <v>TL</v>
          </cell>
          <cell r="AL579">
            <v>1</v>
          </cell>
          <cell r="AM579" t="str">
            <v>8684127508230</v>
          </cell>
          <cell r="AO579">
            <v>0</v>
          </cell>
          <cell r="AQ579">
            <v>21</v>
          </cell>
          <cell r="AR579" t="str">
            <v>CM</v>
          </cell>
          <cell r="AS579">
            <v>8</v>
          </cell>
          <cell r="AT579" t="str">
            <v>CM</v>
          </cell>
          <cell r="AU579">
            <v>0</v>
          </cell>
          <cell r="AW579">
            <v>0</v>
          </cell>
        </row>
        <row r="580">
          <cell r="B580" t="str">
            <v>H1C6JMEERFR-031</v>
          </cell>
          <cell r="C580" t="str">
            <v>VİYANA FÜME UFO CAM SARKIT 31cm</v>
          </cell>
          <cell r="D580" t="str">
            <v>VIYANA SMOKY UFO GLASS PENDANT 31cm</v>
          </cell>
          <cell r="E580" t="str">
            <v xml:space="preserve">METAL CAM  ESKİTME FÜME   </v>
          </cell>
          <cell r="F580" t="str">
            <v>9405.11.90.00.00</v>
          </cell>
          <cell r="G580" t="str">
            <v>AVİZE</v>
          </cell>
          <cell r="H580" t="str">
            <v>T1A6221100-31</v>
          </cell>
          <cell r="I580" t="str">
            <v>İÇ</v>
          </cell>
          <cell r="J580" t="str">
            <v>AVİZE.SARK</v>
          </cell>
          <cell r="K580" t="str">
            <v>VİYANA</v>
          </cell>
          <cell r="L580" t="str">
            <v/>
          </cell>
          <cell r="M580" t="str">
            <v>15.02.2026</v>
          </cell>
          <cell r="N580" t="str">
            <v>HKA-24067</v>
          </cell>
          <cell r="O580" t="str">
            <v>HEKA</v>
          </cell>
          <cell r="P580" t="str">
            <v>ADET</v>
          </cell>
          <cell r="Q580" t="str">
            <v>PERİ LED</v>
          </cell>
          <cell r="R580" t="str">
            <v>METAL</v>
          </cell>
          <cell r="S580" t="str">
            <v>ESKİTME</v>
          </cell>
          <cell r="T580" t="str">
            <v>CAM</v>
          </cell>
          <cell r="U580" t="str">
            <v>FÜME</v>
          </cell>
          <cell r="AD580" t="str">
            <v>DAİRE</v>
          </cell>
          <cell r="AF580">
            <v>44</v>
          </cell>
          <cell r="AG580" t="str">
            <v>ADET</v>
          </cell>
          <cell r="AH580">
            <v>61.2</v>
          </cell>
          <cell r="AI580" t="str">
            <v>CNY</v>
          </cell>
          <cell r="AJ580">
            <v>4284</v>
          </cell>
          <cell r="AK580" t="str">
            <v>TL</v>
          </cell>
          <cell r="AL580">
            <v>1</v>
          </cell>
          <cell r="AM580" t="str">
            <v>8684127506366</v>
          </cell>
          <cell r="AO580">
            <v>0</v>
          </cell>
          <cell r="AQ580">
            <v>0</v>
          </cell>
          <cell r="AR580" t="str">
            <v>CM</v>
          </cell>
          <cell r="AS580">
            <v>0</v>
          </cell>
          <cell r="AT580" t="str">
            <v>CM</v>
          </cell>
          <cell r="AU580">
            <v>0</v>
          </cell>
          <cell r="AW580">
            <v>0</v>
          </cell>
        </row>
        <row r="581">
          <cell r="B581" t="str">
            <v>H1C6JMEBCSR-047</v>
          </cell>
          <cell r="C581" t="str">
            <v>SOFYA AKRİLİK SARKIT 21cm</v>
          </cell>
          <cell r="D581" t="str">
            <v>SOFYA ACRYLIC PENDANT 21cm</v>
          </cell>
          <cell r="E581" t="str">
            <v xml:space="preserve">METAL AKRİLİK ESKİTME ŞEFFAF   </v>
          </cell>
          <cell r="F581" t="str">
            <v>9405.11.90.00.00</v>
          </cell>
          <cell r="G581" t="str">
            <v>AVİZE</v>
          </cell>
          <cell r="H581" t="str">
            <v>T1A6621100-21</v>
          </cell>
          <cell r="I581" t="str">
            <v>İÇ</v>
          </cell>
          <cell r="J581" t="str">
            <v>AVİZE.SARK</v>
          </cell>
          <cell r="K581" t="str">
            <v>SOFYA</v>
          </cell>
          <cell r="L581" t="str">
            <v/>
          </cell>
          <cell r="M581" t="str">
            <v>30.03.2026</v>
          </cell>
          <cell r="N581" t="str">
            <v>HKA-24123</v>
          </cell>
          <cell r="O581" t="str">
            <v>HEKA</v>
          </cell>
          <cell r="P581" t="str">
            <v>ADET</v>
          </cell>
          <cell r="Q581" t="str">
            <v>LED</v>
          </cell>
          <cell r="R581" t="str">
            <v>METAL</v>
          </cell>
          <cell r="S581" t="str">
            <v>ESKİTME</v>
          </cell>
          <cell r="T581" t="str">
            <v>AKRİLİK</v>
          </cell>
          <cell r="U581" t="str">
            <v>ŞEFFAF</v>
          </cell>
          <cell r="AD581" t="str">
            <v>DAİRE</v>
          </cell>
          <cell r="AF581">
            <v>30</v>
          </cell>
          <cell r="AG581" t="str">
            <v>ADET</v>
          </cell>
          <cell r="AH581">
            <v>40</v>
          </cell>
          <cell r="AI581" t="str">
            <v>CNY</v>
          </cell>
          <cell r="AJ581">
            <v>2240</v>
          </cell>
          <cell r="AK581" t="str">
            <v>TL</v>
          </cell>
          <cell r="AL581">
            <v>1</v>
          </cell>
          <cell r="AM581" t="str">
            <v>8684127502689</v>
          </cell>
          <cell r="AO581">
            <v>0</v>
          </cell>
          <cell r="AQ581">
            <v>0</v>
          </cell>
          <cell r="AR581" t="str">
            <v>CM</v>
          </cell>
          <cell r="AS581">
            <v>0</v>
          </cell>
          <cell r="AT581" t="str">
            <v>CM</v>
          </cell>
          <cell r="AU581">
            <v>0</v>
          </cell>
          <cell r="AW581">
            <v>0</v>
          </cell>
        </row>
        <row r="582">
          <cell r="B582" t="str">
            <v>H1W3JME0000-020</v>
          </cell>
          <cell r="C582" t="str">
            <v>GENT UFO ESKİTME APLİK 20cm</v>
          </cell>
          <cell r="D582" t="str">
            <v>GENT BRUSHED BRASS UFO WALL LAMP 20cm</v>
          </cell>
          <cell r="E582" t="str">
            <v>METAL YOK ESKİTME YOK</v>
          </cell>
          <cell r="F582" t="str">
            <v>9405.19.90.00.00</v>
          </cell>
          <cell r="G582" t="str">
            <v>APLİK</v>
          </cell>
          <cell r="H582" t="str">
            <v>H1W3110000-20</v>
          </cell>
          <cell r="I582" t="str">
            <v>İÇ</v>
          </cell>
          <cell r="J582" t="str">
            <v>APLİK</v>
          </cell>
          <cell r="K582" t="str">
            <v>GENT</v>
          </cell>
          <cell r="L582" t="str">
            <v/>
          </cell>
          <cell r="M582" t="str">
            <v/>
          </cell>
          <cell r="N582" t="str">
            <v/>
          </cell>
          <cell r="O582" t="str">
            <v>HEKA</v>
          </cell>
          <cell r="P582" t="str">
            <v>ADET</v>
          </cell>
          <cell r="Q582" t="str">
            <v>G9</v>
          </cell>
          <cell r="R582" t="str">
            <v>METAL</v>
          </cell>
          <cell r="S582" t="str">
            <v>ESKİTME</v>
          </cell>
          <cell r="T582" t="str">
            <v>YOK</v>
          </cell>
          <cell r="U582" t="str">
            <v>YOK</v>
          </cell>
          <cell r="AD582" t="str">
            <v>N/A</v>
          </cell>
          <cell r="AE582" t="str">
            <v>04</v>
          </cell>
          <cell r="AF582">
            <v>0</v>
          </cell>
          <cell r="AG582" t="str">
            <v>ADET</v>
          </cell>
          <cell r="AH582">
            <v>150</v>
          </cell>
          <cell r="AI582" t="str">
            <v>TL</v>
          </cell>
          <cell r="AJ582">
            <v>800</v>
          </cell>
          <cell r="AK582" t="str">
            <v>TL</v>
          </cell>
          <cell r="AL582">
            <v>1</v>
          </cell>
          <cell r="AM582" t="str">
            <v>8684127509541</v>
          </cell>
          <cell r="AO582">
            <v>0</v>
          </cell>
          <cell r="AQ582">
            <v>7</v>
          </cell>
          <cell r="AR582" t="str">
            <v>CM</v>
          </cell>
          <cell r="AS582">
            <v>20</v>
          </cell>
          <cell r="AT582" t="str">
            <v>CM</v>
          </cell>
          <cell r="AU582">
            <v>0</v>
          </cell>
          <cell r="AW582">
            <v>0</v>
          </cell>
        </row>
        <row r="583">
          <cell r="B583" t="str">
            <v>CP2F2P4M2F5N0</v>
          </cell>
          <cell r="C583" t="str">
            <v>ERD-254 T37 OPAL 7W 3000K E27 LED AMPUL</v>
          </cell>
          <cell r="D583" t="str">
            <v>ERD-254 T37 OPAL 7W 3000K E27 LED BULB</v>
          </cell>
          <cell r="E583" t="str">
            <v>PLASTİK METAL OPAL SMD LED DIMMSIZ T37</v>
          </cell>
          <cell r="F583" t="str">
            <v>8539.52.00.00.00</v>
          </cell>
          <cell r="G583" t="str">
            <v>AMPUL</v>
          </cell>
          <cell r="H583" t="str">
            <v>ERD-254</v>
          </cell>
          <cell r="I583" t="str">
            <v>İÇ</v>
          </cell>
          <cell r="J583" t="str">
            <v>AMPUL</v>
          </cell>
          <cell r="K583" t="str">
            <v>ERD-254</v>
          </cell>
          <cell r="L583" t="str">
            <v/>
          </cell>
          <cell r="M583" t="str">
            <v/>
          </cell>
          <cell r="N583" t="str">
            <v>ERD-254</v>
          </cell>
          <cell r="O583" t="str">
            <v>HEKA</v>
          </cell>
          <cell r="P583" t="str">
            <v>ADET</v>
          </cell>
          <cell r="Q583" t="str">
            <v>E27</v>
          </cell>
          <cell r="R583" t="str">
            <v>PLASTİK</v>
          </cell>
          <cell r="S583" t="str">
            <v>OPAL</v>
          </cell>
          <cell r="T583" t="str">
            <v>METAL</v>
          </cell>
          <cell r="V583" t="str">
            <v>F</v>
          </cell>
          <cell r="W583" t="str">
            <v>SMD LED</v>
          </cell>
          <cell r="X583" t="str">
            <v>220V</v>
          </cell>
          <cell r="Y583" t="str">
            <v>7 WATT</v>
          </cell>
          <cell r="Z583" t="str">
            <v>3000 K</v>
          </cell>
          <cell r="AA583" t="str">
            <v>DIMMSIZ</v>
          </cell>
          <cell r="AB583" t="str">
            <v>601-700</v>
          </cell>
          <cell r="AC583" t="str">
            <v>T37</v>
          </cell>
          <cell r="AD583" t="str">
            <v>N/A</v>
          </cell>
          <cell r="AF583">
            <v>0</v>
          </cell>
          <cell r="AG583" t="str">
            <v>ADET</v>
          </cell>
          <cell r="AH583">
            <v>0.435</v>
          </cell>
          <cell r="AI583" t="str">
            <v>USD</v>
          </cell>
          <cell r="AJ583">
            <v>1.6</v>
          </cell>
          <cell r="AK583" t="str">
            <v>USD</v>
          </cell>
          <cell r="AL583">
            <v>1</v>
          </cell>
          <cell r="AM583" t="str">
            <v>8684127503983</v>
          </cell>
          <cell r="AN583" t="str">
            <v>8684127500425</v>
          </cell>
          <cell r="AO583">
            <v>0</v>
          </cell>
          <cell r="AQ583">
            <v>3.5</v>
          </cell>
          <cell r="AR583" t="str">
            <v>CM</v>
          </cell>
          <cell r="AS583">
            <v>3.5</v>
          </cell>
          <cell r="AT583" t="str">
            <v>CM</v>
          </cell>
          <cell r="AU583">
            <v>0</v>
          </cell>
          <cell r="AW583">
            <v>0</v>
          </cell>
        </row>
        <row r="584">
          <cell r="B584" t="str">
            <v>H1W1JMGNRBR-057</v>
          </cell>
          <cell r="C584" t="str">
            <v>MOZAMBİK APLİK</v>
          </cell>
          <cell r="D584" t="str">
            <v>MOZAMBİK WALL LAMP</v>
          </cell>
          <cell r="E584" t="str">
            <v>METAL PORSELEN GOLD BEYAZ</v>
          </cell>
          <cell r="F584" t="str">
            <v>9405.19.90.00.00</v>
          </cell>
          <cell r="G584" t="str">
            <v>APLİK</v>
          </cell>
          <cell r="H584" t="str">
            <v>T1W112P100-03</v>
          </cell>
          <cell r="I584" t="str">
            <v>İÇ</v>
          </cell>
          <cell r="J584" t="str">
            <v>APLİK</v>
          </cell>
          <cell r="K584" t="str">
            <v>MOZAMBİK</v>
          </cell>
          <cell r="L584" t="str">
            <v/>
          </cell>
          <cell r="M584" t="str">
            <v/>
          </cell>
          <cell r="N584" t="str">
            <v>7168-3W</v>
          </cell>
          <cell r="O584" t="str">
            <v>HEKA</v>
          </cell>
          <cell r="P584" t="str">
            <v>ADET</v>
          </cell>
          <cell r="Q584" t="str">
            <v>E14</v>
          </cell>
          <cell r="R584" t="str">
            <v>METAL</v>
          </cell>
          <cell r="S584" t="str">
            <v>GOLD</v>
          </cell>
          <cell r="T584" t="str">
            <v>PORSELEN</v>
          </cell>
          <cell r="U584" t="str">
            <v>BEYAZ</v>
          </cell>
          <cell r="AD584" t="str">
            <v>DAİRE</v>
          </cell>
          <cell r="AE584" t="str">
            <v>02</v>
          </cell>
          <cell r="AF584">
            <v>1</v>
          </cell>
          <cell r="AG584" t="str">
            <v>ADET</v>
          </cell>
          <cell r="AH584">
            <v>153</v>
          </cell>
          <cell r="AI584" t="str">
            <v>CNY</v>
          </cell>
          <cell r="AJ584">
            <v>6367</v>
          </cell>
          <cell r="AK584" t="str">
            <v>TL</v>
          </cell>
          <cell r="AL584">
            <v>1</v>
          </cell>
          <cell r="AM584" t="str">
            <v>8684127502825</v>
          </cell>
          <cell r="AO584">
            <v>0</v>
          </cell>
          <cell r="AQ584">
            <v>0</v>
          </cell>
          <cell r="AR584" t="str">
            <v>CM</v>
          </cell>
          <cell r="AS584">
            <v>0</v>
          </cell>
          <cell r="AT584" t="str">
            <v>CM</v>
          </cell>
          <cell r="AU584">
            <v>0</v>
          </cell>
          <cell r="AW584">
            <v>0</v>
          </cell>
        </row>
        <row r="585">
          <cell r="B585" t="str">
            <v>H1C1JMGNRBR-060</v>
          </cell>
          <cell r="C585" t="str">
            <v>MOZAMBİK SALON AVİZE</v>
          </cell>
          <cell r="D585" t="str">
            <v>MOZAMBİK LIVING ROOM CHANDELIER</v>
          </cell>
          <cell r="E585" t="str">
            <v xml:space="preserve">METAL PORSELEN GOLD BEYAZ   </v>
          </cell>
          <cell r="F585" t="str">
            <v>9405.19.90.00.00</v>
          </cell>
          <cell r="G585" t="str">
            <v>AVİZE</v>
          </cell>
          <cell r="H585" t="str">
            <v>T1A112P100-16</v>
          </cell>
          <cell r="I585" t="str">
            <v>İÇ</v>
          </cell>
          <cell r="J585" t="str">
            <v>AVİZE.AVİZ</v>
          </cell>
          <cell r="K585" t="str">
            <v>MOZAMBİK</v>
          </cell>
          <cell r="L585" t="str">
            <v/>
          </cell>
          <cell r="M585" t="str">
            <v/>
          </cell>
          <cell r="N585" t="str">
            <v>7168-16P</v>
          </cell>
          <cell r="O585" t="str">
            <v>HEKA</v>
          </cell>
          <cell r="P585" t="str">
            <v>ADET</v>
          </cell>
          <cell r="Q585" t="str">
            <v>E14</v>
          </cell>
          <cell r="R585" t="str">
            <v>METAL</v>
          </cell>
          <cell r="S585" t="str">
            <v>GOLD</v>
          </cell>
          <cell r="T585" t="str">
            <v>PORSELEN</v>
          </cell>
          <cell r="U585" t="str">
            <v>BEYAZ</v>
          </cell>
          <cell r="AD585" t="str">
            <v>DAİRE</v>
          </cell>
          <cell r="AE585" t="str">
            <v>09</v>
          </cell>
          <cell r="AF585">
            <v>0</v>
          </cell>
          <cell r="AG585" t="str">
            <v>ADET</v>
          </cell>
          <cell r="AH585">
            <v>655</v>
          </cell>
          <cell r="AI585" t="str">
            <v>CNY</v>
          </cell>
          <cell r="AJ585">
            <v>9850</v>
          </cell>
          <cell r="AK585" t="str">
            <v>TL</v>
          </cell>
          <cell r="AL585">
            <v>1</v>
          </cell>
          <cell r="AM585" t="str">
            <v>8684127502566</v>
          </cell>
          <cell r="AO585">
            <v>0</v>
          </cell>
          <cell r="AQ585">
            <v>0</v>
          </cell>
          <cell r="AR585" t="str">
            <v>CM</v>
          </cell>
          <cell r="AS585">
            <v>0</v>
          </cell>
          <cell r="AT585" t="str">
            <v>CM</v>
          </cell>
          <cell r="AU585">
            <v>0</v>
          </cell>
          <cell r="AW585">
            <v>0</v>
          </cell>
        </row>
        <row r="586">
          <cell r="B586" t="str">
            <v>H1W5JMEJRS0-041</v>
          </cell>
          <cell r="C586" t="str">
            <v>LESOTO SİYAH APLİK</v>
          </cell>
          <cell r="D586" t="str">
            <v>LESOTO BLACK WALL LAMP</v>
          </cell>
          <cell r="E586" t="str">
            <v>METAL METAL ESKİTME SİYAH</v>
          </cell>
          <cell r="F586" t="str">
            <v>9405.19.90.00.00</v>
          </cell>
          <cell r="G586" t="str">
            <v>APLİK</v>
          </cell>
          <cell r="H586" t="str">
            <v>T1W5111400-01</v>
          </cell>
          <cell r="I586" t="str">
            <v>İÇ</v>
          </cell>
          <cell r="J586" t="str">
            <v>APLİK</v>
          </cell>
          <cell r="K586" t="str">
            <v>LESOTO</v>
          </cell>
          <cell r="L586" t="str">
            <v/>
          </cell>
          <cell r="M586" t="str">
            <v/>
          </cell>
          <cell r="N586" t="str">
            <v>HKA-24339</v>
          </cell>
          <cell r="O586" t="str">
            <v>HEKA</v>
          </cell>
          <cell r="P586" t="str">
            <v>ADET</v>
          </cell>
          <cell r="Q586" t="str">
            <v>GU10</v>
          </cell>
          <cell r="R586" t="str">
            <v>METAL</v>
          </cell>
          <cell r="S586" t="str">
            <v>ESKİTME</v>
          </cell>
          <cell r="T586" t="str">
            <v>METAL</v>
          </cell>
          <cell r="U586" t="str">
            <v>SİYAH</v>
          </cell>
          <cell r="AD586" t="str">
            <v>N/A</v>
          </cell>
          <cell r="AE586" t="str">
            <v>02</v>
          </cell>
          <cell r="AF586">
            <v>201</v>
          </cell>
          <cell r="AG586" t="str">
            <v>ADET</v>
          </cell>
          <cell r="AH586">
            <v>25</v>
          </cell>
          <cell r="AI586" t="str">
            <v>CNY</v>
          </cell>
          <cell r="AJ586">
            <v>2142</v>
          </cell>
          <cell r="AK586" t="str">
            <v>TL</v>
          </cell>
          <cell r="AL586">
            <v>1</v>
          </cell>
          <cell r="AM586" t="str">
            <v>8684127502368</v>
          </cell>
          <cell r="AO586">
            <v>0</v>
          </cell>
          <cell r="AQ586">
            <v>40</v>
          </cell>
          <cell r="AR586" t="str">
            <v>CM</v>
          </cell>
          <cell r="AS586">
            <v>10</v>
          </cell>
          <cell r="AT586" t="str">
            <v>CM</v>
          </cell>
          <cell r="AU586">
            <v>0</v>
          </cell>
          <cell r="AW586">
            <v>0</v>
          </cell>
        </row>
        <row r="587">
          <cell r="B587" t="str">
            <v>H1C6JMEECSR-030</v>
          </cell>
          <cell r="C587" t="str">
            <v>BURKİNA SARKIT 30cm</v>
          </cell>
          <cell r="D587" t="str">
            <v>BURKİNA PENDANT 30cm</v>
          </cell>
          <cell r="E587" t="str">
            <v xml:space="preserve">METAL CAM  ESKİTME ŞEFFAF   </v>
          </cell>
          <cell r="F587" t="str">
            <v>9405.11.90.00.00</v>
          </cell>
          <cell r="G587" t="str">
            <v>AVİZE</v>
          </cell>
          <cell r="H587" t="str">
            <v>T1A6116200-30</v>
          </cell>
          <cell r="I587" t="str">
            <v>İÇ</v>
          </cell>
          <cell r="J587" t="str">
            <v>AVİZE</v>
          </cell>
          <cell r="K587" t="str">
            <v>BURKİNA</v>
          </cell>
          <cell r="L587" t="str">
            <v/>
          </cell>
          <cell r="M587" t="str">
            <v/>
          </cell>
          <cell r="N587" t="str">
            <v>HKA-24118</v>
          </cell>
          <cell r="O587" t="str">
            <v>HEKA</v>
          </cell>
          <cell r="P587" t="str">
            <v>ADET</v>
          </cell>
          <cell r="Q587" t="str">
            <v>LED</v>
          </cell>
          <cell r="R587" t="str">
            <v>METAL</v>
          </cell>
          <cell r="S587" t="str">
            <v>ESKİTME</v>
          </cell>
          <cell r="T587" t="str">
            <v>CAM</v>
          </cell>
          <cell r="U587" t="str">
            <v>ŞEFFAF</v>
          </cell>
          <cell r="AD587" t="str">
            <v>DAİRE</v>
          </cell>
          <cell r="AF587">
            <v>24</v>
          </cell>
          <cell r="AG587" t="str">
            <v>ADET</v>
          </cell>
          <cell r="AH587">
            <v>108</v>
          </cell>
          <cell r="AI587" t="str">
            <v>CNY</v>
          </cell>
          <cell r="AJ587">
            <v>8350</v>
          </cell>
          <cell r="AK587" t="str">
            <v>TL</v>
          </cell>
          <cell r="AL587">
            <v>1</v>
          </cell>
          <cell r="AM587" t="str">
            <v>8684127506298</v>
          </cell>
          <cell r="AO587">
            <v>0</v>
          </cell>
          <cell r="AQ587">
            <v>0</v>
          </cell>
          <cell r="AR587" t="str">
            <v>CM</v>
          </cell>
          <cell r="AS587">
            <v>0</v>
          </cell>
          <cell r="AT587" t="str">
            <v>CM</v>
          </cell>
          <cell r="AU587">
            <v>0</v>
          </cell>
          <cell r="AW587">
            <v>0</v>
          </cell>
        </row>
        <row r="588">
          <cell r="B588" t="str">
            <v>H1C6JMEERL0-018</v>
          </cell>
          <cell r="C588" t="str">
            <v>BROOME TEKLİ BAL CAM SARKIT 16cm</v>
          </cell>
          <cell r="D588" t="str">
            <v>BROOME SINGLE AMBER GLASS PENDANT 16cm</v>
          </cell>
          <cell r="E588" t="str">
            <v>METAL CAM ESKİTME BAL</v>
          </cell>
          <cell r="F588" t="str">
            <v>9405.11.90.00.00</v>
          </cell>
          <cell r="G588" t="str">
            <v>AVİZE</v>
          </cell>
          <cell r="H588" t="str">
            <v>T1A6230000-18</v>
          </cell>
          <cell r="I588" t="str">
            <v>İÇ</v>
          </cell>
          <cell r="J588" t="str">
            <v>AVİZE.SARK</v>
          </cell>
          <cell r="K588" t="str">
            <v>BROOME</v>
          </cell>
          <cell r="L588" t="str">
            <v/>
          </cell>
          <cell r="M588" t="str">
            <v/>
          </cell>
          <cell r="N588" t="str">
            <v>HKA-24143</v>
          </cell>
          <cell r="O588" t="str">
            <v>HEKA</v>
          </cell>
          <cell r="P588" t="str">
            <v>ADET</v>
          </cell>
          <cell r="Q588" t="str">
            <v>LED</v>
          </cell>
          <cell r="R588" t="str">
            <v>METAL</v>
          </cell>
          <cell r="S588" t="str">
            <v>ESKİTME</v>
          </cell>
          <cell r="T588" t="str">
            <v>CAM</v>
          </cell>
          <cell r="U588" t="str">
            <v>BAL</v>
          </cell>
          <cell r="AD588" t="str">
            <v>N/A</v>
          </cell>
          <cell r="AF588">
            <v>22</v>
          </cell>
          <cell r="AG588" t="str">
            <v>ADET</v>
          </cell>
          <cell r="AH588">
            <v>58</v>
          </cell>
          <cell r="AI588" t="str">
            <v>CNY</v>
          </cell>
          <cell r="AJ588">
            <v>5100</v>
          </cell>
          <cell r="AK588" t="str">
            <v>TL</v>
          </cell>
          <cell r="AL588">
            <v>1</v>
          </cell>
          <cell r="AM588" t="str">
            <v>8684127504577</v>
          </cell>
          <cell r="AO588">
            <v>0</v>
          </cell>
          <cell r="AQ588">
            <v>18</v>
          </cell>
          <cell r="AR588" t="str">
            <v>CM</v>
          </cell>
          <cell r="AS588">
            <v>16</v>
          </cell>
          <cell r="AT588" t="str">
            <v>CM</v>
          </cell>
          <cell r="AU588">
            <v>0</v>
          </cell>
          <cell r="AW588">
            <v>0</v>
          </cell>
        </row>
        <row r="589">
          <cell r="B589" t="str">
            <v>H1C6JMEERF0-022</v>
          </cell>
          <cell r="C589" t="str">
            <v>BROOME TEKLİ FÜME CAM SARKIT 22cm</v>
          </cell>
          <cell r="D589" t="str">
            <v>BROOME SINGLE SMOKY GLASS PENDANT 22cm</v>
          </cell>
          <cell r="E589" t="str">
            <v xml:space="preserve">METAL CAM  ESKİTME FÜME   </v>
          </cell>
          <cell r="F589" t="str">
            <v>9405.11.90.00.00</v>
          </cell>
          <cell r="G589" t="str">
            <v>AVİZE</v>
          </cell>
          <cell r="H589" t="str">
            <v>T1A6220000-22</v>
          </cell>
          <cell r="I589" t="str">
            <v>İÇ</v>
          </cell>
          <cell r="J589" t="str">
            <v>AVİZE.SARK</v>
          </cell>
          <cell r="K589" t="str">
            <v>BROOME</v>
          </cell>
          <cell r="L589" t="str">
            <v/>
          </cell>
          <cell r="M589" t="str">
            <v/>
          </cell>
          <cell r="N589" t="str">
            <v>HKA-24146</v>
          </cell>
          <cell r="O589" t="str">
            <v>HEKA</v>
          </cell>
          <cell r="P589" t="str">
            <v>ADET</v>
          </cell>
          <cell r="Q589" t="str">
            <v>LED</v>
          </cell>
          <cell r="R589" t="str">
            <v>METAL</v>
          </cell>
          <cell r="S589" t="str">
            <v>ESKİTME</v>
          </cell>
          <cell r="T589" t="str">
            <v>CAM</v>
          </cell>
          <cell r="U589" t="str">
            <v>FÜME</v>
          </cell>
          <cell r="AD589" t="str">
            <v>N/A</v>
          </cell>
          <cell r="AF589">
            <v>0</v>
          </cell>
          <cell r="AG589" t="str">
            <v>ADET</v>
          </cell>
          <cell r="AH589">
            <v>83</v>
          </cell>
          <cell r="AI589" t="str">
            <v>CNY</v>
          </cell>
          <cell r="AJ589">
            <v>6400</v>
          </cell>
          <cell r="AK589" t="str">
            <v>TL</v>
          </cell>
          <cell r="AL589">
            <v>1</v>
          </cell>
          <cell r="AM589" t="str">
            <v>8684127504461</v>
          </cell>
          <cell r="AO589">
            <v>0</v>
          </cell>
          <cell r="AQ589">
            <v>28</v>
          </cell>
          <cell r="AR589" t="str">
            <v>CM</v>
          </cell>
          <cell r="AS589">
            <v>22</v>
          </cell>
          <cell r="AT589" t="str">
            <v>CM</v>
          </cell>
          <cell r="AU589">
            <v>0</v>
          </cell>
          <cell r="AW589">
            <v>0</v>
          </cell>
        </row>
        <row r="590">
          <cell r="B590" t="str">
            <v>H1W3JMEECT0-066</v>
          </cell>
          <cell r="C590" t="str">
            <v>LAHEY İKİLİ ESKİTME APLİK</v>
          </cell>
          <cell r="D590" t="str">
            <v>LAHEY DOUBLE BRUSHED BRASS WALL LAMP</v>
          </cell>
          <cell r="E590" t="str">
            <v>METAL CAM ESKİTME SOFT</v>
          </cell>
          <cell r="F590" t="str">
            <v>9405.19.90.00.00</v>
          </cell>
          <cell r="G590" t="str">
            <v>APLİK</v>
          </cell>
          <cell r="H590" t="str">
            <v>T1W3112101-02</v>
          </cell>
          <cell r="I590" t="str">
            <v>İÇ</v>
          </cell>
          <cell r="J590" t="str">
            <v>APLİK</v>
          </cell>
          <cell r="K590" t="str">
            <v>LAHEY</v>
          </cell>
          <cell r="L590" t="str">
            <v/>
          </cell>
          <cell r="M590" t="str">
            <v/>
          </cell>
          <cell r="N590" t="str">
            <v>HKA-24392</v>
          </cell>
          <cell r="O590" t="str">
            <v>HEKA</v>
          </cell>
          <cell r="P590" t="str">
            <v>ADET</v>
          </cell>
          <cell r="Q590" t="str">
            <v>G9</v>
          </cell>
          <cell r="R590" t="str">
            <v>METAL</v>
          </cell>
          <cell r="S590" t="str">
            <v>ESKİTME</v>
          </cell>
          <cell r="T590" t="str">
            <v>CAM</v>
          </cell>
          <cell r="U590" t="str">
            <v>SOFT</v>
          </cell>
          <cell r="AD590" t="str">
            <v>N/A</v>
          </cell>
          <cell r="AE590" t="str">
            <v>02</v>
          </cell>
          <cell r="AF590">
            <v>31</v>
          </cell>
          <cell r="AG590" t="str">
            <v>ADET</v>
          </cell>
          <cell r="AH590">
            <v>120</v>
          </cell>
          <cell r="AI590" t="str">
            <v>CNY</v>
          </cell>
          <cell r="AJ590">
            <v>9750</v>
          </cell>
          <cell r="AK590" t="str">
            <v>TL</v>
          </cell>
          <cell r="AL590">
            <v>1</v>
          </cell>
          <cell r="AM590" t="str">
            <v>8684127502313</v>
          </cell>
          <cell r="AO590">
            <v>0</v>
          </cell>
          <cell r="AQ590">
            <v>0</v>
          </cell>
          <cell r="AR590" t="str">
            <v>CM</v>
          </cell>
          <cell r="AS590">
            <v>0</v>
          </cell>
          <cell r="AT590" t="str">
            <v>CM</v>
          </cell>
          <cell r="AU590">
            <v>0</v>
          </cell>
          <cell r="AW590">
            <v>0</v>
          </cell>
        </row>
        <row r="591">
          <cell r="B591" t="str">
            <v>H1W1JMEECS0-026</v>
          </cell>
          <cell r="C591" t="str">
            <v>MARSİLYA TEKLİ ESKİTME APLİK</v>
          </cell>
          <cell r="D591" t="str">
            <v>MARSİLYA SINGLE BRUSHED BRASS WALL LAMP</v>
          </cell>
          <cell r="E591" t="str">
            <v>METAL CAM ESKİTME ŞEFFAF</v>
          </cell>
          <cell r="F591" t="str">
            <v>9405.19.90.00.00</v>
          </cell>
          <cell r="G591" t="str">
            <v>APLİK</v>
          </cell>
          <cell r="H591" t="str">
            <v>T1W1112400-30</v>
          </cell>
          <cell r="I591" t="str">
            <v>İÇ</v>
          </cell>
          <cell r="J591" t="str">
            <v>APLİK</v>
          </cell>
          <cell r="K591" t="str">
            <v>MARSİLYA</v>
          </cell>
          <cell r="L591" t="str">
            <v/>
          </cell>
          <cell r="M591" t="str">
            <v>05.05.2026</v>
          </cell>
          <cell r="N591" t="str">
            <v>HKA-24074</v>
          </cell>
          <cell r="O591" t="str">
            <v>HEKA</v>
          </cell>
          <cell r="P591" t="str">
            <v>ADET</v>
          </cell>
          <cell r="Q591" t="str">
            <v>E14</v>
          </cell>
          <cell r="R591" t="str">
            <v>METAL</v>
          </cell>
          <cell r="S591" t="str">
            <v>ESKİTME</v>
          </cell>
          <cell r="T591" t="str">
            <v>CAM</v>
          </cell>
          <cell r="U591" t="str">
            <v>ŞEFFAF</v>
          </cell>
          <cell r="AD591" t="str">
            <v>N/A</v>
          </cell>
          <cell r="AE591" t="str">
            <v>01</v>
          </cell>
          <cell r="AF591">
            <v>3</v>
          </cell>
          <cell r="AG591" t="str">
            <v>ADET</v>
          </cell>
          <cell r="AH591">
            <v>65</v>
          </cell>
          <cell r="AI591" t="str">
            <v>CNY</v>
          </cell>
          <cell r="AJ591">
            <v>5460</v>
          </cell>
          <cell r="AK591" t="str">
            <v>TL</v>
          </cell>
          <cell r="AL591">
            <v>1</v>
          </cell>
          <cell r="AM591" t="str">
            <v>8684127502504</v>
          </cell>
          <cell r="AO591">
            <v>0</v>
          </cell>
          <cell r="AQ591">
            <v>0</v>
          </cell>
          <cell r="AR591" t="str">
            <v>CM</v>
          </cell>
          <cell r="AS591">
            <v>0</v>
          </cell>
          <cell r="AT591" t="str">
            <v>CM</v>
          </cell>
          <cell r="AU591">
            <v>0</v>
          </cell>
          <cell r="AW591">
            <v>0</v>
          </cell>
        </row>
        <row r="592">
          <cell r="B592" t="str">
            <v>H1C6JMGLCTR-017</v>
          </cell>
          <cell r="C592" t="str">
            <v>SİERRA LED ALTIN SARKIT 17cm</v>
          </cell>
          <cell r="D592" t="str">
            <v xml:space="preserve">SİERRA LED GOLD PENDANT 17cm  </v>
          </cell>
          <cell r="E592" t="str">
            <v xml:space="preserve">METAL PLEKSİ GOLD SOFT   </v>
          </cell>
          <cell r="F592" t="str">
            <v>9405.11.90.00.00</v>
          </cell>
          <cell r="G592" t="str">
            <v>AVİZE</v>
          </cell>
          <cell r="H592" t="str">
            <v>T1A6A50000-17</v>
          </cell>
          <cell r="I592" t="str">
            <v>İÇ</v>
          </cell>
          <cell r="J592" t="str">
            <v>AVİZE.SARK</v>
          </cell>
          <cell r="K592" t="str">
            <v>SİERRA</v>
          </cell>
          <cell r="L592" t="str">
            <v/>
          </cell>
          <cell r="M592" t="str">
            <v/>
          </cell>
          <cell r="N592" t="str">
            <v>HC05-1D-17-G</v>
          </cell>
          <cell r="O592" t="str">
            <v>HEKA</v>
          </cell>
          <cell r="P592" t="str">
            <v>ADET</v>
          </cell>
          <cell r="Q592" t="str">
            <v>LED</v>
          </cell>
          <cell r="R592" t="str">
            <v>METAL</v>
          </cell>
          <cell r="S592" t="str">
            <v>GOLD</v>
          </cell>
          <cell r="T592" t="str">
            <v>PLEKSİ</v>
          </cell>
          <cell r="U592" t="str">
            <v>SOFT</v>
          </cell>
          <cell r="AD592" t="str">
            <v>DAİRE</v>
          </cell>
          <cell r="AE592" t="str">
            <v>01</v>
          </cell>
          <cell r="AF592">
            <v>0</v>
          </cell>
          <cell r="AG592" t="str">
            <v>ADET</v>
          </cell>
          <cell r="AH592">
            <v>66</v>
          </cell>
          <cell r="AI592" t="str">
            <v>CNY</v>
          </cell>
          <cell r="AJ592">
            <v>1405</v>
          </cell>
          <cell r="AK592" t="str">
            <v>TL</v>
          </cell>
          <cell r="AL592">
            <v>1</v>
          </cell>
          <cell r="AM592" t="str">
            <v>8684127508179</v>
          </cell>
          <cell r="AO592">
            <v>0</v>
          </cell>
          <cell r="AQ592">
            <v>18</v>
          </cell>
          <cell r="AR592" t="str">
            <v>CM</v>
          </cell>
          <cell r="AS592">
            <v>18</v>
          </cell>
          <cell r="AT592" t="str">
            <v>CM</v>
          </cell>
          <cell r="AU592">
            <v>0</v>
          </cell>
          <cell r="AW592">
            <v>0</v>
          </cell>
        </row>
        <row r="593">
          <cell r="B593" t="str">
            <v>H1C6JMGECSR-008</v>
          </cell>
          <cell r="C593" t="str">
            <v>ZAGREB LED ALTIN SARKIT 8cm</v>
          </cell>
          <cell r="D593" t="str">
            <v>ZAGREB LED GOLD PENDANT 8cm</v>
          </cell>
          <cell r="E593" t="str">
            <v xml:space="preserve">METAL CAM  GOLD ŞEFFAF   </v>
          </cell>
          <cell r="F593" t="str">
            <v>9405.11.90.00.00</v>
          </cell>
          <cell r="G593" t="str">
            <v>AVİZE</v>
          </cell>
          <cell r="H593" t="str">
            <v>T1A6A50000-08</v>
          </cell>
          <cell r="I593" t="str">
            <v>İÇ</v>
          </cell>
          <cell r="J593" t="str">
            <v>AVİZE.SARK</v>
          </cell>
          <cell r="K593" t="str">
            <v>ZAGREB</v>
          </cell>
          <cell r="L593" t="str">
            <v/>
          </cell>
          <cell r="M593" t="str">
            <v/>
          </cell>
          <cell r="N593" t="str">
            <v>HC06-1D-8-G</v>
          </cell>
          <cell r="O593" t="str">
            <v>HEKA</v>
          </cell>
          <cell r="P593" t="str">
            <v>ADET</v>
          </cell>
          <cell r="Q593" t="str">
            <v>LED</v>
          </cell>
          <cell r="R593" t="str">
            <v>METAL</v>
          </cell>
          <cell r="S593" t="str">
            <v>GOLD</v>
          </cell>
          <cell r="T593" t="str">
            <v>CAM</v>
          </cell>
          <cell r="U593" t="str">
            <v>ŞEFFAF</v>
          </cell>
          <cell r="AD593" t="str">
            <v>DAİRE</v>
          </cell>
          <cell r="AE593" t="str">
            <v>01</v>
          </cell>
          <cell r="AF593">
            <v>0</v>
          </cell>
          <cell r="AG593" t="str">
            <v>ADET</v>
          </cell>
          <cell r="AH593">
            <v>55</v>
          </cell>
          <cell r="AI593" t="str">
            <v>CNY</v>
          </cell>
          <cell r="AJ593">
            <v>950</v>
          </cell>
          <cell r="AK593" t="str">
            <v>TL</v>
          </cell>
          <cell r="AL593">
            <v>1</v>
          </cell>
          <cell r="AM593" t="str">
            <v>8684127508209</v>
          </cell>
          <cell r="AO593">
            <v>0</v>
          </cell>
          <cell r="AQ593">
            <v>0</v>
          </cell>
          <cell r="AR593" t="str">
            <v>CM</v>
          </cell>
          <cell r="AS593">
            <v>0</v>
          </cell>
          <cell r="AT593" t="str">
            <v>CM</v>
          </cell>
          <cell r="AU593">
            <v>0</v>
          </cell>
          <cell r="AW593">
            <v>0</v>
          </cell>
        </row>
        <row r="594">
          <cell r="B594" t="str">
            <v>H1C6JMEERFR-020</v>
          </cell>
          <cell r="C594" t="str">
            <v>VİYANA FÜME CAM SARKIT 20cm</v>
          </cell>
          <cell r="D594" t="str">
            <v>VIYANA SMOKY GLASS PENDANT 20cm</v>
          </cell>
          <cell r="E594" t="str">
            <v xml:space="preserve">METAL CAM  ESKİTME FÜME   </v>
          </cell>
          <cell r="F594" t="str">
            <v>9405.11.90.00.00</v>
          </cell>
          <cell r="G594" t="str">
            <v>AVİZE</v>
          </cell>
          <cell r="H594" t="str">
            <v>T1A6221100-20</v>
          </cell>
          <cell r="I594" t="str">
            <v>İÇ</v>
          </cell>
          <cell r="J594" t="str">
            <v>AVİZE.SARK</v>
          </cell>
          <cell r="K594" t="str">
            <v>VİYANA</v>
          </cell>
          <cell r="L594" t="str">
            <v/>
          </cell>
          <cell r="M594" t="str">
            <v>15.02.2026</v>
          </cell>
          <cell r="N594" t="str">
            <v>HKA-24071</v>
          </cell>
          <cell r="O594" t="str">
            <v>HEKA</v>
          </cell>
          <cell r="P594" t="str">
            <v>ADET</v>
          </cell>
          <cell r="Q594" t="str">
            <v>PERİ LED</v>
          </cell>
          <cell r="R594" t="str">
            <v>METAL</v>
          </cell>
          <cell r="S594" t="str">
            <v>ESKİTME</v>
          </cell>
          <cell r="T594" t="str">
            <v>CAM</v>
          </cell>
          <cell r="U594" t="str">
            <v>FÜME</v>
          </cell>
          <cell r="AD594" t="str">
            <v>DAİRE</v>
          </cell>
          <cell r="AF594">
            <v>31</v>
          </cell>
          <cell r="AG594" t="str">
            <v>ADET</v>
          </cell>
          <cell r="AH594">
            <v>51</v>
          </cell>
          <cell r="AI594" t="str">
            <v>CNY</v>
          </cell>
          <cell r="AJ594">
            <v>3713</v>
          </cell>
          <cell r="AK594" t="str">
            <v>TL</v>
          </cell>
          <cell r="AL594">
            <v>1</v>
          </cell>
          <cell r="AM594" t="str">
            <v>8684127502795</v>
          </cell>
          <cell r="AO594">
            <v>0</v>
          </cell>
          <cell r="AQ594">
            <v>0</v>
          </cell>
          <cell r="AR594" t="str">
            <v>CM</v>
          </cell>
          <cell r="AS594">
            <v>0</v>
          </cell>
          <cell r="AT594" t="str">
            <v>CM</v>
          </cell>
          <cell r="AU594">
            <v>0</v>
          </cell>
          <cell r="AW594">
            <v>0</v>
          </cell>
        </row>
        <row r="595">
          <cell r="B595" t="str">
            <v>H1C6JMEBCSR-053</v>
          </cell>
          <cell r="C595" t="str">
            <v>SOFYA AKRİLİK SARKIT 28cm</v>
          </cell>
          <cell r="D595" t="str">
            <v>SOFYA ACRYLIC PENDANT 28cm</v>
          </cell>
          <cell r="E595" t="str">
            <v xml:space="preserve">METAL AKRİLİK ESKİTME ŞEFFAF   </v>
          </cell>
          <cell r="F595" t="str">
            <v>9405.11.90.00.00</v>
          </cell>
          <cell r="G595" t="str">
            <v>AVİZE</v>
          </cell>
          <cell r="H595" t="str">
            <v>T1A6621100-28</v>
          </cell>
          <cell r="I595" t="str">
            <v>İÇ</v>
          </cell>
          <cell r="J595" t="str">
            <v>AVİZE.SARK</v>
          </cell>
          <cell r="K595" t="str">
            <v>SOFYA</v>
          </cell>
          <cell r="L595" t="str">
            <v/>
          </cell>
          <cell r="M595" t="str">
            <v>30.03.2026</v>
          </cell>
          <cell r="N595" t="str">
            <v>HKA-24124</v>
          </cell>
          <cell r="O595" t="str">
            <v>HEKA</v>
          </cell>
          <cell r="P595" t="str">
            <v>ADET</v>
          </cell>
          <cell r="Q595" t="str">
            <v>LED</v>
          </cell>
          <cell r="R595" t="str">
            <v>METAL</v>
          </cell>
          <cell r="S595" t="str">
            <v>ESKİTME</v>
          </cell>
          <cell r="T595" t="str">
            <v>AKRİLİK</v>
          </cell>
          <cell r="U595" t="str">
            <v>ŞEFFAF</v>
          </cell>
          <cell r="AD595" t="str">
            <v>DAİRE</v>
          </cell>
          <cell r="AF595">
            <v>19</v>
          </cell>
          <cell r="AG595" t="str">
            <v>ADET</v>
          </cell>
          <cell r="AH595">
            <v>52</v>
          </cell>
          <cell r="AI595" t="str">
            <v>CNY</v>
          </cell>
          <cell r="AJ595">
            <v>3750</v>
          </cell>
          <cell r="AK595" t="str">
            <v>TL</v>
          </cell>
          <cell r="AL595">
            <v>1</v>
          </cell>
          <cell r="AM595" t="str">
            <v>8684127502696</v>
          </cell>
          <cell r="AO595">
            <v>0</v>
          </cell>
          <cell r="AQ595">
            <v>0</v>
          </cell>
          <cell r="AR595" t="str">
            <v>CM</v>
          </cell>
          <cell r="AS595">
            <v>0</v>
          </cell>
          <cell r="AT595" t="str">
            <v>CM</v>
          </cell>
          <cell r="AU595">
            <v>0</v>
          </cell>
          <cell r="AW595">
            <v>0</v>
          </cell>
        </row>
        <row r="596">
          <cell r="B596" t="str">
            <v>F1W6JMG000L-030</v>
          </cell>
          <cell r="C596" t="str">
            <v>ŞERUR ALTIN DÖKÜM KÜLÇE APLİK 30cm</v>
          </cell>
          <cell r="D596" t="str">
            <v>SERUR GOLD IGNOT CASTING WALL LAMP 30cm</v>
          </cell>
          <cell r="E596" t="str">
            <v>METAL YOK GOLD YOK</v>
          </cell>
          <cell r="F596" t="str">
            <v>9405.19.90.00.00</v>
          </cell>
          <cell r="G596" t="str">
            <v>APLİK</v>
          </cell>
          <cell r="H596" t="str">
            <v>F1W61200X0-30</v>
          </cell>
          <cell r="I596" t="str">
            <v>İÇ</v>
          </cell>
          <cell r="J596" t="str">
            <v>APLİK</v>
          </cell>
          <cell r="K596" t="str">
            <v>ŞERUR</v>
          </cell>
          <cell r="L596" t="str">
            <v/>
          </cell>
          <cell r="M596" t="str">
            <v/>
          </cell>
          <cell r="N596" t="str">
            <v/>
          </cell>
          <cell r="O596" t="str">
            <v>LIGHTIST</v>
          </cell>
          <cell r="P596" t="str">
            <v>ADET</v>
          </cell>
          <cell r="Q596" t="str">
            <v>LED</v>
          </cell>
          <cell r="R596" t="str">
            <v>METAL</v>
          </cell>
          <cell r="S596" t="str">
            <v>GOLD</v>
          </cell>
          <cell r="T596" t="str">
            <v>YOK</v>
          </cell>
          <cell r="U596" t="str">
            <v>YOK</v>
          </cell>
          <cell r="AD596" t="str">
            <v>DÜZ</v>
          </cell>
          <cell r="AE596" t="str">
            <v>01</v>
          </cell>
          <cell r="AF596">
            <v>0</v>
          </cell>
          <cell r="AG596" t="str">
            <v>ADET</v>
          </cell>
          <cell r="AH596">
            <v>1600</v>
          </cell>
          <cell r="AI596" t="str">
            <v>TL</v>
          </cell>
          <cell r="AJ596">
            <v>3000</v>
          </cell>
          <cell r="AK596" t="str">
            <v>TL</v>
          </cell>
          <cell r="AL596">
            <v>1</v>
          </cell>
          <cell r="AM596" t="str">
            <v>8684127509572</v>
          </cell>
          <cell r="AO596">
            <v>0</v>
          </cell>
          <cell r="AQ596">
            <v>12</v>
          </cell>
          <cell r="AR596" t="str">
            <v>CM</v>
          </cell>
          <cell r="AS596">
            <v>30</v>
          </cell>
          <cell r="AT596" t="str">
            <v>CM</v>
          </cell>
          <cell r="AU596">
            <v>0</v>
          </cell>
          <cell r="AW596">
            <v>0</v>
          </cell>
        </row>
        <row r="597">
          <cell r="B597" t="str">
            <v>H1C6JMEECS0-032</v>
          </cell>
          <cell r="C597" t="str">
            <v>RUANDA ŞEFFAF SARKIT 32cm</v>
          </cell>
          <cell r="D597" t="str">
            <v>RUANDA CLEAR PENDANT 32cm</v>
          </cell>
          <cell r="E597" t="str">
            <v xml:space="preserve">METAL CAM  ESKİTME ŞEFFAF   </v>
          </cell>
          <cell r="F597" t="str">
            <v>9405.11.90.00.00</v>
          </cell>
          <cell r="G597" t="str">
            <v>AVİZE</v>
          </cell>
          <cell r="H597" t="str">
            <v>T1A6241100-01</v>
          </cell>
          <cell r="I597" t="str">
            <v>İÇ</v>
          </cell>
          <cell r="J597" t="str">
            <v>AVİZE.SARK</v>
          </cell>
          <cell r="K597" t="str">
            <v>RUANDA</v>
          </cell>
          <cell r="L597" t="str">
            <v/>
          </cell>
          <cell r="M597" t="str">
            <v xml:space="preserve"> </v>
          </cell>
          <cell r="N597" t="str">
            <v>89506</v>
          </cell>
          <cell r="O597" t="str">
            <v>HEKA</v>
          </cell>
          <cell r="P597" t="str">
            <v>ADET</v>
          </cell>
          <cell r="Q597" t="str">
            <v>LED</v>
          </cell>
          <cell r="R597" t="str">
            <v>METAL</v>
          </cell>
          <cell r="S597" t="str">
            <v>ESKİTME</v>
          </cell>
          <cell r="T597" t="str">
            <v>CAM</v>
          </cell>
          <cell r="U597" t="str">
            <v>ŞEFFAF</v>
          </cell>
          <cell r="AD597" t="str">
            <v>N/A</v>
          </cell>
          <cell r="AF597">
            <v>0</v>
          </cell>
          <cell r="AG597" t="str">
            <v>ADET</v>
          </cell>
          <cell r="AH597">
            <v>170</v>
          </cell>
          <cell r="AI597" t="str">
            <v>CNY</v>
          </cell>
          <cell r="AJ597">
            <v>8449</v>
          </cell>
          <cell r="AK597" t="str">
            <v>TL</v>
          </cell>
          <cell r="AL597">
            <v>1</v>
          </cell>
          <cell r="AM597" t="str">
            <v>8684127504881</v>
          </cell>
          <cell r="AO597">
            <v>0</v>
          </cell>
          <cell r="AQ597">
            <v>55</v>
          </cell>
          <cell r="AR597" t="str">
            <v>CM</v>
          </cell>
          <cell r="AS597">
            <v>35</v>
          </cell>
          <cell r="AT597" t="str">
            <v>CM</v>
          </cell>
          <cell r="AU597">
            <v>0</v>
          </cell>
          <cell r="AW597">
            <v>0</v>
          </cell>
        </row>
        <row r="598">
          <cell r="B598" t="str">
            <v>H1C6JMEECS0-035</v>
          </cell>
          <cell r="C598" t="str">
            <v>RUANDA ŞEFFAF SARKIT 35cm</v>
          </cell>
          <cell r="D598" t="str">
            <v>RUANDA CLEAR PENDANT 35cm</v>
          </cell>
          <cell r="E598" t="str">
            <v xml:space="preserve">METAL CAM  ESKİTME ŞEFFAF   </v>
          </cell>
          <cell r="F598" t="str">
            <v>9405.11.90.00.00</v>
          </cell>
          <cell r="G598" t="str">
            <v>AVİZE</v>
          </cell>
          <cell r="H598" t="str">
            <v>T1A6241100-02</v>
          </cell>
          <cell r="I598" t="str">
            <v>İÇ</v>
          </cell>
          <cell r="J598" t="str">
            <v>AVİZE.SARK</v>
          </cell>
          <cell r="K598" t="str">
            <v>RUANDA</v>
          </cell>
          <cell r="L598" t="str">
            <v/>
          </cell>
          <cell r="M598" t="str">
            <v xml:space="preserve"> </v>
          </cell>
          <cell r="N598" t="str">
            <v>89507</v>
          </cell>
          <cell r="O598" t="str">
            <v>HEKA</v>
          </cell>
          <cell r="P598" t="str">
            <v>ADET</v>
          </cell>
          <cell r="Q598" t="str">
            <v>LED</v>
          </cell>
          <cell r="R598" t="str">
            <v>METAL</v>
          </cell>
          <cell r="S598" t="str">
            <v>ESKİTME</v>
          </cell>
          <cell r="T598" t="str">
            <v>CAM</v>
          </cell>
          <cell r="U598" t="str">
            <v>ŞEFFAF</v>
          </cell>
          <cell r="AD598" t="str">
            <v>N/A</v>
          </cell>
          <cell r="AE598" t="str">
            <v>01</v>
          </cell>
          <cell r="AF598">
            <v>0</v>
          </cell>
          <cell r="AG598" t="str">
            <v>ADET</v>
          </cell>
          <cell r="AH598">
            <v>170</v>
          </cell>
          <cell r="AI598" t="str">
            <v>CNY</v>
          </cell>
          <cell r="AJ598">
            <v>8449</v>
          </cell>
          <cell r="AK598" t="str">
            <v>TL</v>
          </cell>
          <cell r="AL598">
            <v>1</v>
          </cell>
          <cell r="AM598" t="str">
            <v>8684127504898</v>
          </cell>
          <cell r="AO598">
            <v>0</v>
          </cell>
          <cell r="AQ598">
            <v>78</v>
          </cell>
          <cell r="AR598" t="str">
            <v>CM</v>
          </cell>
          <cell r="AS598">
            <v>32</v>
          </cell>
          <cell r="AT598" t="str">
            <v>CM</v>
          </cell>
          <cell r="AU598">
            <v>0</v>
          </cell>
          <cell r="AW598">
            <v>0</v>
          </cell>
        </row>
        <row r="599">
          <cell r="B599" t="str">
            <v>H1C6JMEERF0-025</v>
          </cell>
          <cell r="C599" t="str">
            <v>HOBART TEKLİ FÜME CAM SARKIT 25cm</v>
          </cell>
          <cell r="D599" t="str">
            <v>HOBART SINGLE SMOKY GLASS PENDANT 25cm</v>
          </cell>
          <cell r="E599" t="str">
            <v xml:space="preserve">METAL CAM  ESKİTME FÜME   </v>
          </cell>
          <cell r="F599" t="str">
            <v>9405.11.90.00.00</v>
          </cell>
          <cell r="G599" t="str">
            <v>AVİZE</v>
          </cell>
          <cell r="H599" t="str">
            <v>T1A6220000-25</v>
          </cell>
          <cell r="I599" t="str">
            <v>İÇ</v>
          </cell>
          <cell r="J599" t="str">
            <v>AVİZE.SARK</v>
          </cell>
          <cell r="K599" t="str">
            <v>HOBART</v>
          </cell>
          <cell r="L599" t="str">
            <v/>
          </cell>
          <cell r="M599" t="str">
            <v/>
          </cell>
          <cell r="N599" t="str">
            <v>HKA-24138</v>
          </cell>
          <cell r="O599" t="str">
            <v>HEKA</v>
          </cell>
          <cell r="P599" t="str">
            <v>ADET</v>
          </cell>
          <cell r="Q599" t="str">
            <v>LED</v>
          </cell>
          <cell r="R599" t="str">
            <v>METAL</v>
          </cell>
          <cell r="S599" t="str">
            <v>ESKİTME</v>
          </cell>
          <cell r="T599" t="str">
            <v>CAM</v>
          </cell>
          <cell r="U599" t="str">
            <v>FÜME</v>
          </cell>
          <cell r="AD599" t="str">
            <v>N/A</v>
          </cell>
          <cell r="AF599">
            <v>1</v>
          </cell>
          <cell r="AG599" t="str">
            <v>ADET</v>
          </cell>
          <cell r="AH599">
            <v>750</v>
          </cell>
          <cell r="AI599" t="str">
            <v>TL</v>
          </cell>
          <cell r="AJ599">
            <v>6400</v>
          </cell>
          <cell r="AK599" t="str">
            <v>TL</v>
          </cell>
          <cell r="AL599">
            <v>1</v>
          </cell>
          <cell r="AM599" t="str">
            <v>8684127504522</v>
          </cell>
          <cell r="AO599">
            <v>0</v>
          </cell>
          <cell r="AQ599">
            <v>11</v>
          </cell>
          <cell r="AR599" t="str">
            <v>CM</v>
          </cell>
          <cell r="AS599">
            <v>25</v>
          </cell>
          <cell r="AT599" t="str">
            <v>CM</v>
          </cell>
          <cell r="AU599">
            <v>0</v>
          </cell>
          <cell r="AW599">
            <v>0</v>
          </cell>
        </row>
        <row r="600">
          <cell r="B600" t="str">
            <v>H1C6JMEERL0-025</v>
          </cell>
          <cell r="C600" t="str">
            <v>HOBART TEKLİ BAL CAM SARKIT 25cm</v>
          </cell>
          <cell r="D600" t="str">
            <v>HOBART SINGLE AMBER GLASS PENDANT 25cm</v>
          </cell>
          <cell r="E600" t="str">
            <v xml:space="preserve">METAL CAM  ESKİTME BAL   </v>
          </cell>
          <cell r="F600" t="str">
            <v>9405.11.90.00.00</v>
          </cell>
          <cell r="G600" t="str">
            <v>AVİZE</v>
          </cell>
          <cell r="H600" t="str">
            <v>T1A6230000-25</v>
          </cell>
          <cell r="I600" t="str">
            <v>İÇ</v>
          </cell>
          <cell r="J600" t="str">
            <v>AVİZE.SARK</v>
          </cell>
          <cell r="K600" t="str">
            <v>HOBART</v>
          </cell>
          <cell r="L600" t="str">
            <v/>
          </cell>
          <cell r="M600" t="str">
            <v/>
          </cell>
          <cell r="N600" t="str">
            <v>HKA-24076</v>
          </cell>
          <cell r="O600" t="str">
            <v>HEKA</v>
          </cell>
          <cell r="P600" t="str">
            <v>ADET</v>
          </cell>
          <cell r="Q600" t="str">
            <v>LED</v>
          </cell>
          <cell r="R600" t="str">
            <v>METAL</v>
          </cell>
          <cell r="S600" t="str">
            <v>ESKİTME</v>
          </cell>
          <cell r="T600" t="str">
            <v>CAM</v>
          </cell>
          <cell r="U600" t="str">
            <v>BAL</v>
          </cell>
          <cell r="AD600" t="str">
            <v>N/A</v>
          </cell>
          <cell r="AF600">
            <v>16</v>
          </cell>
          <cell r="AG600" t="str">
            <v>ADET</v>
          </cell>
          <cell r="AH600">
            <v>85</v>
          </cell>
          <cell r="AI600" t="str">
            <v>CNY</v>
          </cell>
          <cell r="AJ600">
            <v>6400</v>
          </cell>
          <cell r="AK600" t="str">
            <v>TL</v>
          </cell>
          <cell r="AL600">
            <v>1</v>
          </cell>
          <cell r="AM600" t="str">
            <v>8684127504515</v>
          </cell>
          <cell r="AO600">
            <v>0</v>
          </cell>
          <cell r="AQ600">
            <v>11</v>
          </cell>
          <cell r="AR600" t="str">
            <v>CM</v>
          </cell>
          <cell r="AS600">
            <v>25</v>
          </cell>
          <cell r="AT600" t="str">
            <v>CM</v>
          </cell>
          <cell r="AU600">
            <v>0</v>
          </cell>
          <cell r="AW600">
            <v>0</v>
          </cell>
        </row>
        <row r="601">
          <cell r="B601" t="str">
            <v>H1C6JMEWRB0-051</v>
          </cell>
          <cell r="C601" t="str">
            <v>LİON MERMER ESKİTME YEMEK MASASI 50cm</v>
          </cell>
          <cell r="D601" t="str">
            <v>LİON MARBLE BRUSHED BRASS DINNING TABLE 50cm</v>
          </cell>
          <cell r="E601" t="str">
            <v xml:space="preserve">METAL MERMER ESKİTME BEYAZ   </v>
          </cell>
          <cell r="F601" t="str">
            <v>9405.11.90.00.00</v>
          </cell>
          <cell r="G601" t="str">
            <v>AVİZE</v>
          </cell>
          <cell r="H601" t="str">
            <v>T1A6113100-52</v>
          </cell>
          <cell r="I601" t="str">
            <v>İÇ</v>
          </cell>
          <cell r="J601" t="str">
            <v>AVİZE.SARK</v>
          </cell>
          <cell r="K601" t="str">
            <v>LİON</v>
          </cell>
          <cell r="L601" t="str">
            <v/>
          </cell>
          <cell r="M601" t="str">
            <v/>
          </cell>
          <cell r="N601" t="str">
            <v>2005-50-DT</v>
          </cell>
          <cell r="O601" t="str">
            <v>HEKA</v>
          </cell>
          <cell r="P601" t="str">
            <v>ADET</v>
          </cell>
          <cell r="Q601" t="str">
            <v>LED</v>
          </cell>
          <cell r="R601" t="str">
            <v>METAL</v>
          </cell>
          <cell r="S601" t="str">
            <v>ESKİTME</v>
          </cell>
          <cell r="T601" t="str">
            <v>MERMER</v>
          </cell>
          <cell r="U601" t="str">
            <v>BEYAZ</v>
          </cell>
          <cell r="AD601" t="str">
            <v>N/A</v>
          </cell>
          <cell r="AF601">
            <v>3</v>
          </cell>
          <cell r="AG601" t="str">
            <v>ADET</v>
          </cell>
          <cell r="AH601">
            <v>193</v>
          </cell>
          <cell r="AI601" t="str">
            <v>CNY</v>
          </cell>
          <cell r="AJ601">
            <v>19320</v>
          </cell>
          <cell r="AK601" t="str">
            <v>TL</v>
          </cell>
          <cell r="AL601">
            <v>1</v>
          </cell>
          <cell r="AM601" t="str">
            <v>8684127502399</v>
          </cell>
          <cell r="AO601">
            <v>0</v>
          </cell>
          <cell r="AQ601">
            <v>0</v>
          </cell>
          <cell r="AR601" t="str">
            <v>CM</v>
          </cell>
          <cell r="AS601">
            <v>0</v>
          </cell>
          <cell r="AT601" t="str">
            <v>CM</v>
          </cell>
          <cell r="AU601">
            <v>0</v>
          </cell>
          <cell r="AW601">
            <v>0</v>
          </cell>
        </row>
        <row r="602">
          <cell r="B602" t="str">
            <v>H1W6JRSLCTL-100</v>
          </cell>
          <cell r="C602" t="str">
            <v>ASSOS LED SİYAH APLİK 100cm</v>
          </cell>
          <cell r="D602" t="str">
            <v>ASSOS LED BLACK WALL LAMP 100cm</v>
          </cell>
          <cell r="E602" t="str">
            <v>METAL PLEKSİ SİYAH SOFT</v>
          </cell>
          <cell r="F602" t="str">
            <v>9405.11.90.00.00</v>
          </cell>
          <cell r="G602" t="str">
            <v>APLİK</v>
          </cell>
          <cell r="H602" t="str">
            <v>T1W614810-100</v>
          </cell>
          <cell r="I602" t="str">
            <v>İÇ</v>
          </cell>
          <cell r="J602" t="str">
            <v>APLİK</v>
          </cell>
          <cell r="K602" t="str">
            <v>ASSOS</v>
          </cell>
          <cell r="L602" t="str">
            <v/>
          </cell>
          <cell r="M602" t="str">
            <v>ÜRTM:15GÜN</v>
          </cell>
          <cell r="N602" t="str">
            <v>B9905100-BC</v>
          </cell>
          <cell r="O602" t="str">
            <v>HEKA</v>
          </cell>
          <cell r="P602" t="str">
            <v>ADET</v>
          </cell>
          <cell r="Q602" t="str">
            <v>LED</v>
          </cell>
          <cell r="R602" t="str">
            <v>METAL</v>
          </cell>
          <cell r="S602" t="str">
            <v>SİYAH</v>
          </cell>
          <cell r="T602" t="str">
            <v>PLEKSİ</v>
          </cell>
          <cell r="U602" t="str">
            <v>SOFT</v>
          </cell>
          <cell r="AD602" t="str">
            <v>DÜZ</v>
          </cell>
          <cell r="AF602">
            <v>1</v>
          </cell>
          <cell r="AG602" t="str">
            <v>ADET</v>
          </cell>
          <cell r="AH602">
            <v>99</v>
          </cell>
          <cell r="AI602" t="str">
            <v>CNY</v>
          </cell>
          <cell r="AJ602">
            <v>5440</v>
          </cell>
          <cell r="AK602" t="str">
            <v>TL</v>
          </cell>
          <cell r="AL602">
            <v>1</v>
          </cell>
          <cell r="AM602" t="str">
            <v>8684127509169</v>
          </cell>
          <cell r="AO602">
            <v>0</v>
          </cell>
          <cell r="AQ602">
            <v>100</v>
          </cell>
          <cell r="AR602" t="str">
            <v>CM</v>
          </cell>
          <cell r="AS602">
            <v>8</v>
          </cell>
          <cell r="AT602" t="str">
            <v>CM</v>
          </cell>
          <cell r="AU602">
            <v>0</v>
          </cell>
          <cell r="AW602">
            <v>0</v>
          </cell>
        </row>
        <row r="603">
          <cell r="B603" t="str">
            <v>H1C6JMELCSD-060</v>
          </cell>
          <cell r="C603" t="str">
            <v>MADRİD YEMEK MASASI AVİZE 10 LU</v>
          </cell>
          <cell r="D603" t="str">
            <v>MADRİD DINNING TABLE CHANDELIER 10 BULB</v>
          </cell>
          <cell r="E603" t="str">
            <v xml:space="preserve">METAL PLEKSİ ESKİTME ŞEFFAF   </v>
          </cell>
          <cell r="F603" t="str">
            <v>9405.11.90.00.00</v>
          </cell>
          <cell r="G603" t="str">
            <v>AVİZE</v>
          </cell>
          <cell r="H603" t="str">
            <v>T1A6111100-80</v>
          </cell>
          <cell r="I603" t="str">
            <v>İÇ</v>
          </cell>
          <cell r="J603" t="str">
            <v>AVİZE.AVİZ</v>
          </cell>
          <cell r="K603" t="str">
            <v>MADRİD</v>
          </cell>
          <cell r="L603" t="str">
            <v/>
          </cell>
          <cell r="M603" t="str">
            <v/>
          </cell>
          <cell r="N603" t="str">
            <v>MD6312-10CH</v>
          </cell>
          <cell r="O603" t="str">
            <v>HEKA</v>
          </cell>
          <cell r="P603" t="str">
            <v>ADET</v>
          </cell>
          <cell r="Q603" t="str">
            <v>LED</v>
          </cell>
          <cell r="R603" t="str">
            <v>METAL</v>
          </cell>
          <cell r="S603" t="str">
            <v>ESKİTME</v>
          </cell>
          <cell r="T603" t="str">
            <v>PLEKSİ</v>
          </cell>
          <cell r="U603" t="str">
            <v>ŞEFFAF</v>
          </cell>
          <cell r="AD603" t="str">
            <v>DİKDÖRTGEN</v>
          </cell>
          <cell r="AE603" t="str">
            <v>01</v>
          </cell>
          <cell r="AF603">
            <v>0</v>
          </cell>
          <cell r="AG603" t="str">
            <v>ADET</v>
          </cell>
          <cell r="AH603">
            <v>420</v>
          </cell>
          <cell r="AI603" t="str">
            <v>CNY</v>
          </cell>
          <cell r="AJ603">
            <v>43700</v>
          </cell>
          <cell r="AK603" t="str">
            <v>TL</v>
          </cell>
          <cell r="AL603">
            <v>1</v>
          </cell>
          <cell r="AM603" t="str">
            <v>8684127509060</v>
          </cell>
          <cell r="AO603">
            <v>0</v>
          </cell>
          <cell r="AQ603">
            <v>0</v>
          </cell>
          <cell r="AR603" t="str">
            <v>CM</v>
          </cell>
          <cell r="AS603">
            <v>0</v>
          </cell>
          <cell r="AT603" t="str">
            <v>CM</v>
          </cell>
          <cell r="AU603">
            <v>0</v>
          </cell>
          <cell r="AW603">
            <v>0</v>
          </cell>
        </row>
        <row r="604">
          <cell r="B604" t="str">
            <v>H1C6JMEERLR-030</v>
          </cell>
          <cell r="C604" t="str">
            <v>VİYANA BAL CAM SARKIT 30cm</v>
          </cell>
          <cell r="D604" t="str">
            <v>VIYANA AMBER GLASS PENDANT 30cm</v>
          </cell>
          <cell r="E604" t="str">
            <v xml:space="preserve">METAL CAM  ESKİTME BAL   </v>
          </cell>
          <cell r="F604" t="str">
            <v>9405.11.90.00.00</v>
          </cell>
          <cell r="G604" t="str">
            <v>AVİZE</v>
          </cell>
          <cell r="H604" t="str">
            <v>T1A6231100-30</v>
          </cell>
          <cell r="I604" t="str">
            <v>İÇ</v>
          </cell>
          <cell r="J604" t="str">
            <v>AVİZE.SARK</v>
          </cell>
          <cell r="K604" t="str">
            <v>VİYANA</v>
          </cell>
          <cell r="L604" t="str">
            <v/>
          </cell>
          <cell r="M604" t="str">
            <v>15.02.2026</v>
          </cell>
          <cell r="N604" t="str">
            <v>HKA-24135</v>
          </cell>
          <cell r="O604" t="str">
            <v>HEKA</v>
          </cell>
          <cell r="P604" t="str">
            <v>ADET</v>
          </cell>
          <cell r="Q604" t="str">
            <v>PERİ LED</v>
          </cell>
          <cell r="R604" t="str">
            <v>METAL</v>
          </cell>
          <cell r="S604" t="str">
            <v>ESKİTME</v>
          </cell>
          <cell r="T604" t="str">
            <v>CAM</v>
          </cell>
          <cell r="U604" t="str">
            <v>BAL</v>
          </cell>
          <cell r="AD604" t="str">
            <v>DAİRE</v>
          </cell>
          <cell r="AF604">
            <v>5</v>
          </cell>
          <cell r="AG604" t="str">
            <v>ADET</v>
          </cell>
          <cell r="AH604">
            <v>63.75</v>
          </cell>
          <cell r="AI604" t="str">
            <v>CNY</v>
          </cell>
          <cell r="AJ604">
            <v>4284</v>
          </cell>
          <cell r="AK604" t="str">
            <v>TL</v>
          </cell>
          <cell r="AL604">
            <v>1</v>
          </cell>
          <cell r="AM604" t="str">
            <v>8684127502764</v>
          </cell>
          <cell r="AO604">
            <v>0</v>
          </cell>
          <cell r="AQ604">
            <v>0</v>
          </cell>
          <cell r="AR604" t="str">
            <v>CM</v>
          </cell>
          <cell r="AS604">
            <v>0</v>
          </cell>
          <cell r="AT604" t="str">
            <v>CM</v>
          </cell>
          <cell r="AU604">
            <v>0</v>
          </cell>
          <cell r="AW604">
            <v>0</v>
          </cell>
        </row>
        <row r="605">
          <cell r="B605" t="str">
            <v>H1C6JMEECTR-050</v>
          </cell>
          <cell r="C605" t="str">
            <v>TOKYO İKİ CAMLI OPAL SARKIT</v>
          </cell>
          <cell r="D605" t="str">
            <v>TOKYO 2 GLASS OPAL PENDANT</v>
          </cell>
          <cell r="E605" t="str">
            <v xml:space="preserve">METAL CAM  ESKİTME SOFT   </v>
          </cell>
          <cell r="F605" t="str">
            <v>9405.11.90.00.00</v>
          </cell>
          <cell r="G605" t="str">
            <v>AVİZE</v>
          </cell>
          <cell r="H605" t="str">
            <v>T1A6211100-02</v>
          </cell>
          <cell r="I605" t="str">
            <v>İÇ</v>
          </cell>
          <cell r="J605" t="str">
            <v>AVİZE.SARK</v>
          </cell>
          <cell r="K605" t="str">
            <v>TOKYO</v>
          </cell>
          <cell r="L605" t="str">
            <v/>
          </cell>
          <cell r="M605" t="str">
            <v/>
          </cell>
          <cell r="N605" t="str">
            <v>L20022</v>
          </cell>
          <cell r="O605" t="str">
            <v>HEKA</v>
          </cell>
          <cell r="P605" t="str">
            <v>ADET</v>
          </cell>
          <cell r="Q605" t="str">
            <v>LED</v>
          </cell>
          <cell r="R605" t="str">
            <v>METAL</v>
          </cell>
          <cell r="S605" t="str">
            <v>ESKİTME</v>
          </cell>
          <cell r="T605" t="str">
            <v>CAM</v>
          </cell>
          <cell r="U605" t="str">
            <v>SOFT</v>
          </cell>
          <cell r="AD605" t="str">
            <v>DAİRE</v>
          </cell>
          <cell r="AE605" t="str">
            <v>01</v>
          </cell>
          <cell r="AF605">
            <v>0</v>
          </cell>
          <cell r="AG605" t="str">
            <v>ADET</v>
          </cell>
          <cell r="AH605">
            <v>125</v>
          </cell>
          <cell r="AI605" t="str">
            <v>CNY</v>
          </cell>
          <cell r="AJ605">
            <v>2250</v>
          </cell>
          <cell r="AK605" t="str">
            <v>TL</v>
          </cell>
          <cell r="AL605">
            <v>1</v>
          </cell>
          <cell r="AM605" t="str">
            <v>8684127509039</v>
          </cell>
          <cell r="AO605">
            <v>0</v>
          </cell>
          <cell r="AQ605">
            <v>50</v>
          </cell>
          <cell r="AR605" t="str">
            <v>CM</v>
          </cell>
          <cell r="AS605">
            <v>23</v>
          </cell>
          <cell r="AT605" t="str">
            <v>CM</v>
          </cell>
          <cell r="AU605">
            <v>0</v>
          </cell>
          <cell r="AW605">
            <v>0</v>
          </cell>
        </row>
        <row r="606">
          <cell r="B606" t="str">
            <v>CK1G2P3M2H5R0</v>
          </cell>
          <cell r="C606" t="str">
            <v>ERD-258 MISIR ŞEFFAF 9W 3000K E14 LED AMPUL</v>
          </cell>
          <cell r="D606" t="str">
            <v>ERD-258 CORN CLEAR 9W 3000K E14 LED BULB</v>
          </cell>
          <cell r="E606" t="str">
            <v>PLASTİK METAL ŞEFFAF SMD LED DIMMSIZ MISIR</v>
          </cell>
          <cell r="F606" t="str">
            <v>8539.52.00.00.00</v>
          </cell>
          <cell r="G606" t="str">
            <v>AMPUL</v>
          </cell>
          <cell r="H606" t="str">
            <v>ERD-258</v>
          </cell>
          <cell r="I606" t="str">
            <v>İÇ</v>
          </cell>
          <cell r="J606" t="str">
            <v>AMPUL</v>
          </cell>
          <cell r="K606" t="str">
            <v>ERD-258</v>
          </cell>
          <cell r="L606" t="str">
            <v/>
          </cell>
          <cell r="M606" t="str">
            <v/>
          </cell>
          <cell r="N606" t="str">
            <v>ERD-258</v>
          </cell>
          <cell r="O606" t="str">
            <v>HEKA</v>
          </cell>
          <cell r="P606" t="str">
            <v>ADET</v>
          </cell>
          <cell r="Q606" t="str">
            <v>E14</v>
          </cell>
          <cell r="R606" t="str">
            <v>PLASTİK</v>
          </cell>
          <cell r="S606" t="str">
            <v>ŞEFFAF</v>
          </cell>
          <cell r="T606" t="str">
            <v>METAL</v>
          </cell>
          <cell r="V606" t="str">
            <v>G</v>
          </cell>
          <cell r="W606" t="str">
            <v>SMD LED</v>
          </cell>
          <cell r="X606" t="str">
            <v>220V</v>
          </cell>
          <cell r="Y606" t="str">
            <v>9 WATT</v>
          </cell>
          <cell r="Z606" t="str">
            <v>3000 K</v>
          </cell>
          <cell r="AA606" t="str">
            <v>DIMMSIZ</v>
          </cell>
          <cell r="AB606" t="str">
            <v>701-800</v>
          </cell>
          <cell r="AC606" t="str">
            <v>MISIR</v>
          </cell>
          <cell r="AD606" t="str">
            <v>N/A</v>
          </cell>
          <cell r="AF606">
            <v>54</v>
          </cell>
          <cell r="AG606" t="str">
            <v>ADET</v>
          </cell>
          <cell r="AH606">
            <v>6.6</v>
          </cell>
          <cell r="AI606" t="str">
            <v>CNY</v>
          </cell>
          <cell r="AJ606">
            <v>3.1</v>
          </cell>
          <cell r="AK606" t="str">
            <v>USD</v>
          </cell>
          <cell r="AL606">
            <v>1</v>
          </cell>
          <cell r="AM606" t="str">
            <v>8684127503839</v>
          </cell>
          <cell r="AN606" t="str">
            <v>8684127500463</v>
          </cell>
          <cell r="AO606">
            <v>0</v>
          </cell>
          <cell r="AQ606">
            <v>4</v>
          </cell>
          <cell r="AR606" t="str">
            <v>CM</v>
          </cell>
          <cell r="AS606">
            <v>4</v>
          </cell>
          <cell r="AT606" t="str">
            <v>CM</v>
          </cell>
          <cell r="AU606">
            <v>0</v>
          </cell>
          <cell r="AW606">
            <v>0</v>
          </cell>
        </row>
        <row r="607">
          <cell r="B607" t="str">
            <v>H1W1JMBWRB0-062</v>
          </cell>
          <cell r="C607" t="str">
            <v>ARDIÇ BAKIR APLİK BÜYÜK</v>
          </cell>
          <cell r="D607" t="str">
            <v>ARDIÇ COPPER WALL LAMP BIG</v>
          </cell>
          <cell r="E607" t="str">
            <v>METAL MERMER BAKIR BEYAZ</v>
          </cell>
          <cell r="F607" t="str">
            <v>9405.19.90.00.00</v>
          </cell>
          <cell r="G607" t="str">
            <v>APLİK</v>
          </cell>
          <cell r="H607" t="str">
            <v>T1W1153100-62</v>
          </cell>
          <cell r="I607" t="str">
            <v>İÇ</v>
          </cell>
          <cell r="J607" t="str">
            <v>APLİK</v>
          </cell>
          <cell r="K607" t="str">
            <v>ARDIÇ</v>
          </cell>
          <cell r="L607" t="str">
            <v/>
          </cell>
          <cell r="M607" t="str">
            <v/>
          </cell>
          <cell r="N607" t="str">
            <v>002-CH-B</v>
          </cell>
          <cell r="O607" t="str">
            <v>HEKA</v>
          </cell>
          <cell r="P607" t="str">
            <v>ADET</v>
          </cell>
          <cell r="Q607" t="str">
            <v>E14</v>
          </cell>
          <cell r="R607" t="str">
            <v>METAL</v>
          </cell>
          <cell r="S607" t="str">
            <v>BAKIR</v>
          </cell>
          <cell r="T607" t="str">
            <v>MERMER</v>
          </cell>
          <cell r="U607" t="str">
            <v>BEYAZ</v>
          </cell>
          <cell r="AD607" t="str">
            <v>N/A</v>
          </cell>
          <cell r="AE607" t="str">
            <v>01</v>
          </cell>
          <cell r="AF607">
            <v>2</v>
          </cell>
          <cell r="AG607" t="str">
            <v>ADET</v>
          </cell>
          <cell r="AH607">
            <v>500</v>
          </cell>
          <cell r="AI607" t="str">
            <v>TL</v>
          </cell>
          <cell r="AJ607">
            <v>5610</v>
          </cell>
          <cell r="AK607" t="str">
            <v>TL</v>
          </cell>
          <cell r="AL607">
            <v>1</v>
          </cell>
          <cell r="AM607" t="str">
            <v>8684127501491</v>
          </cell>
          <cell r="AO607">
            <v>0</v>
          </cell>
          <cell r="AQ607">
            <v>62</v>
          </cell>
          <cell r="AR607" t="str">
            <v>CM</v>
          </cell>
          <cell r="AS607">
            <v>14</v>
          </cell>
          <cell r="AT607" t="str">
            <v>CM</v>
          </cell>
          <cell r="AU607">
            <v>0</v>
          </cell>
          <cell r="AW607">
            <v>0</v>
          </cell>
        </row>
        <row r="608">
          <cell r="B608" t="str">
            <v>H1W1JRSWRB0-062</v>
          </cell>
          <cell r="C608" t="str">
            <v>ARDIÇ SİYAH APLİK BÜYÜK</v>
          </cell>
          <cell r="D608" t="str">
            <v>ARDIÇ BLACK WALL LAMP BIG</v>
          </cell>
          <cell r="E608" t="str">
            <v>METAL MERMER SİYAH BEYAZ</v>
          </cell>
          <cell r="F608" t="str">
            <v>9405.19.90.00.00</v>
          </cell>
          <cell r="G608" t="str">
            <v>APLİK</v>
          </cell>
          <cell r="H608" t="str">
            <v>T1W1143100-62</v>
          </cell>
          <cell r="I608" t="str">
            <v>İÇ</v>
          </cell>
          <cell r="J608" t="str">
            <v>APLİK</v>
          </cell>
          <cell r="K608" t="str">
            <v>ARDIÇ</v>
          </cell>
          <cell r="L608" t="str">
            <v/>
          </cell>
          <cell r="M608" t="str">
            <v/>
          </cell>
          <cell r="N608" t="str">
            <v>002-BC-B</v>
          </cell>
          <cell r="O608" t="str">
            <v>HEKA</v>
          </cell>
          <cell r="P608" t="str">
            <v>ADET</v>
          </cell>
          <cell r="Q608" t="str">
            <v>E14</v>
          </cell>
          <cell r="R608" t="str">
            <v>METAL</v>
          </cell>
          <cell r="S608" t="str">
            <v>SİYAH</v>
          </cell>
          <cell r="T608" t="str">
            <v>MERMER</v>
          </cell>
          <cell r="U608" t="str">
            <v>BEYAZ</v>
          </cell>
          <cell r="AD608" t="str">
            <v>N/A</v>
          </cell>
          <cell r="AE608" t="str">
            <v>01</v>
          </cell>
          <cell r="AF608">
            <v>4</v>
          </cell>
          <cell r="AG608" t="str">
            <v>ADET</v>
          </cell>
          <cell r="AH608">
            <v>500</v>
          </cell>
          <cell r="AI608" t="str">
            <v>TL</v>
          </cell>
          <cell r="AJ608">
            <v>5610</v>
          </cell>
          <cell r="AK608" t="str">
            <v>TL</v>
          </cell>
          <cell r="AL608">
            <v>1</v>
          </cell>
          <cell r="AM608" t="str">
            <v>8684127508407</v>
          </cell>
          <cell r="AO608">
            <v>0</v>
          </cell>
          <cell r="AQ608">
            <v>62</v>
          </cell>
          <cell r="AR608" t="str">
            <v>CM</v>
          </cell>
          <cell r="AS608">
            <v>14</v>
          </cell>
          <cell r="AT608" t="str">
            <v>CM</v>
          </cell>
          <cell r="AU608">
            <v>0</v>
          </cell>
          <cell r="AW608">
            <v>0</v>
          </cell>
        </row>
        <row r="609">
          <cell r="B609" t="str">
            <v>H1W2JMEECTR-015</v>
          </cell>
          <cell r="C609" t="str">
            <v>BERDE PİRİNÇ ESKİTME APLİK 15cm</v>
          </cell>
          <cell r="D609" t="str">
            <v>BERDE BRUSHED BRASS WALL LAMP 15cm</v>
          </cell>
          <cell r="E609" t="str">
            <v>METAL CAM ESKİTME SOFT</v>
          </cell>
          <cell r="F609" t="str">
            <v>9405.19.90.00.00</v>
          </cell>
          <cell r="G609" t="str">
            <v>APLİK</v>
          </cell>
          <cell r="H609" t="str">
            <v>H1W2112010-15</v>
          </cell>
          <cell r="I609" t="str">
            <v>İÇ</v>
          </cell>
          <cell r="J609" t="str">
            <v>APLİK</v>
          </cell>
          <cell r="K609" t="str">
            <v>BERDE</v>
          </cell>
          <cell r="L609" t="str">
            <v/>
          </cell>
          <cell r="M609" t="str">
            <v/>
          </cell>
          <cell r="N609" t="str">
            <v/>
          </cell>
          <cell r="O609" t="str">
            <v>HEKA</v>
          </cell>
          <cell r="P609" t="str">
            <v>ADET</v>
          </cell>
          <cell r="Q609" t="str">
            <v>E27</v>
          </cell>
          <cell r="R609" t="str">
            <v>METAL</v>
          </cell>
          <cell r="S609" t="str">
            <v>ESKİTME</v>
          </cell>
          <cell r="T609" t="str">
            <v>CAM</v>
          </cell>
          <cell r="U609" t="str">
            <v>SOFT</v>
          </cell>
          <cell r="AD609" t="str">
            <v>DAİRE</v>
          </cell>
          <cell r="AE609" t="str">
            <v>02</v>
          </cell>
          <cell r="AF609">
            <v>0</v>
          </cell>
          <cell r="AG609" t="str">
            <v>ADET</v>
          </cell>
          <cell r="AH609">
            <v>300</v>
          </cell>
          <cell r="AI609" t="str">
            <v>TL</v>
          </cell>
          <cell r="AJ609">
            <v>2476</v>
          </cell>
          <cell r="AK609" t="str">
            <v>TL</v>
          </cell>
          <cell r="AL609">
            <v>1</v>
          </cell>
          <cell r="AM609" t="str">
            <v>8684127505390</v>
          </cell>
          <cell r="AO609">
            <v>0</v>
          </cell>
          <cell r="AQ609">
            <v>15</v>
          </cell>
          <cell r="AR609" t="str">
            <v>CM</v>
          </cell>
          <cell r="AS609">
            <v>15</v>
          </cell>
          <cell r="AT609" t="str">
            <v>CM</v>
          </cell>
          <cell r="AU609">
            <v>0</v>
          </cell>
          <cell r="AW609">
            <v>0</v>
          </cell>
        </row>
        <row r="610">
          <cell r="B610" t="str">
            <v>H1W4JMEERLR-015</v>
          </cell>
          <cell r="C610" t="str">
            <v>BATUR BAL SARKIT 15cm</v>
          </cell>
          <cell r="D610" t="str">
            <v>BATUR AMBER PENDANT 15cm</v>
          </cell>
          <cell r="E610" t="str">
            <v>METAL CAM ESKİTME BAL</v>
          </cell>
          <cell r="F610" t="str">
            <v>9405.19.90.00.00</v>
          </cell>
          <cell r="G610" t="str">
            <v>AVİZE</v>
          </cell>
          <cell r="H610" t="str">
            <v>H1A4112300-15</v>
          </cell>
          <cell r="I610" t="str">
            <v>İÇ</v>
          </cell>
          <cell r="J610" t="str">
            <v>AVİZE.SARK</v>
          </cell>
          <cell r="K610" t="str">
            <v>BATUR</v>
          </cell>
          <cell r="L610" t="str">
            <v/>
          </cell>
          <cell r="M610" t="str">
            <v/>
          </cell>
          <cell r="N610" t="str">
            <v>HK20052</v>
          </cell>
          <cell r="O610" t="str">
            <v>HEKA</v>
          </cell>
          <cell r="P610" t="str">
            <v>ADET</v>
          </cell>
          <cell r="Q610" t="str">
            <v>G4</v>
          </cell>
          <cell r="R610" t="str">
            <v>METAL</v>
          </cell>
          <cell r="S610" t="str">
            <v>ESKİTME</v>
          </cell>
          <cell r="T610" t="str">
            <v>CAM</v>
          </cell>
          <cell r="U610" t="str">
            <v>BAL</v>
          </cell>
          <cell r="AD610" t="str">
            <v>DAİRE</v>
          </cell>
          <cell r="AE610" t="str">
            <v>02</v>
          </cell>
          <cell r="AF610">
            <v>0</v>
          </cell>
          <cell r="AG610" t="str">
            <v>ADET</v>
          </cell>
          <cell r="AH610">
            <v>75</v>
          </cell>
          <cell r="AI610" t="str">
            <v>TL</v>
          </cell>
          <cell r="AJ610">
            <v>2462</v>
          </cell>
          <cell r="AK610" t="str">
            <v>TL</v>
          </cell>
          <cell r="AL610">
            <v>1</v>
          </cell>
          <cell r="AM610" t="str">
            <v>8684127505963</v>
          </cell>
          <cell r="AO610">
            <v>0</v>
          </cell>
          <cell r="AQ610">
            <v>36</v>
          </cell>
          <cell r="AR610" t="str">
            <v>CM</v>
          </cell>
          <cell r="AS610">
            <v>15</v>
          </cell>
          <cell r="AT610" t="str">
            <v>CM</v>
          </cell>
          <cell r="AU610">
            <v>0</v>
          </cell>
          <cell r="AW610">
            <v>0</v>
          </cell>
        </row>
        <row r="611">
          <cell r="B611" t="str">
            <v>T1C6JRSLCSL-070</v>
          </cell>
          <cell r="C611" t="str">
            <v>PAPUA LINEAR SİYAH SARKIT 70cm</v>
          </cell>
          <cell r="D611" t="str">
            <v>PAPUA LINEAR BLACK PENDANT 70cm</v>
          </cell>
          <cell r="E611" t="str">
            <v>METAL PLEKSİ SİYAH ŞEFFAF</v>
          </cell>
          <cell r="F611" t="str">
            <v>9405.11.90.00.00</v>
          </cell>
          <cell r="G611" t="str">
            <v>AVİZE</v>
          </cell>
          <cell r="H611" t="str">
            <v>AD109SYH</v>
          </cell>
          <cell r="I611" t="str">
            <v>İÇ</v>
          </cell>
          <cell r="J611" t="str">
            <v>AVİZE.SARK</v>
          </cell>
          <cell r="K611" t="str">
            <v>PAPUA</v>
          </cell>
          <cell r="L611" t="str">
            <v/>
          </cell>
          <cell r="M611" t="str">
            <v/>
          </cell>
          <cell r="N611" t="str">
            <v>AD109S</v>
          </cell>
          <cell r="O611" t="str">
            <v>HEKA</v>
          </cell>
          <cell r="P611" t="str">
            <v>ADET</v>
          </cell>
          <cell r="Q611" t="str">
            <v>LED</v>
          </cell>
          <cell r="R611" t="str">
            <v>METAL</v>
          </cell>
          <cell r="S611" t="str">
            <v>SİYAH</v>
          </cell>
          <cell r="T611" t="str">
            <v>PLEKSİ</v>
          </cell>
          <cell r="U611" t="str">
            <v>ŞEFFAF</v>
          </cell>
          <cell r="AD611" t="str">
            <v>DÜZ</v>
          </cell>
          <cell r="AE611" t="str">
            <v>02</v>
          </cell>
          <cell r="AF611">
            <v>0</v>
          </cell>
          <cell r="AG611" t="str">
            <v>ADET</v>
          </cell>
          <cell r="AH611">
            <v>60</v>
          </cell>
          <cell r="AI611" t="str">
            <v>TL</v>
          </cell>
          <cell r="AJ611">
            <v>1666</v>
          </cell>
          <cell r="AK611" t="str">
            <v>TL</v>
          </cell>
          <cell r="AL611">
            <v>1</v>
          </cell>
          <cell r="AM611" t="str">
            <v>8684127505765</v>
          </cell>
          <cell r="AO611">
            <v>0</v>
          </cell>
          <cell r="AQ611">
            <v>0</v>
          </cell>
          <cell r="AR611" t="str">
            <v>CM</v>
          </cell>
          <cell r="AS611">
            <v>70</v>
          </cell>
          <cell r="AT611" t="str">
            <v>CM</v>
          </cell>
          <cell r="AU611">
            <v>0</v>
          </cell>
          <cell r="AW611">
            <v>0</v>
          </cell>
        </row>
        <row r="612">
          <cell r="B612" t="str">
            <v>H1W2JM30000-047</v>
          </cell>
          <cell r="C612" t="str">
            <v>BRUBECK PARLAK KROM APLİK</v>
          </cell>
          <cell r="D612" t="str">
            <v>BRUBECK POLISHED CHROME WALL LAMP</v>
          </cell>
          <cell r="E612" t="str">
            <v>METAL YOK MAT KROM YOK</v>
          </cell>
          <cell r="F612" t="str">
            <v>9405.19.90.00.00</v>
          </cell>
          <cell r="G612" t="str">
            <v>APLİK</v>
          </cell>
          <cell r="H612" t="str">
            <v>H1W2130000-47</v>
          </cell>
          <cell r="I612" t="str">
            <v>İÇ</v>
          </cell>
          <cell r="J612" t="str">
            <v>APLİK</v>
          </cell>
          <cell r="K612" t="str">
            <v>BRUBECK</v>
          </cell>
          <cell r="L612" t="str">
            <v/>
          </cell>
          <cell r="M612" t="str">
            <v>ÜRTM:15GÜN</v>
          </cell>
          <cell r="N612" t="str">
            <v>HK20066</v>
          </cell>
          <cell r="O612" t="str">
            <v>HEKA</v>
          </cell>
          <cell r="P612" t="str">
            <v>ADET</v>
          </cell>
          <cell r="Q612" t="str">
            <v>E27</v>
          </cell>
          <cell r="R612" t="str">
            <v>METAL</v>
          </cell>
          <cell r="S612" t="str">
            <v>MAT KROM</v>
          </cell>
          <cell r="T612" t="str">
            <v>YOK</v>
          </cell>
          <cell r="U612" t="str">
            <v>YOK</v>
          </cell>
          <cell r="AD612" t="str">
            <v>N/A</v>
          </cell>
          <cell r="AE612" t="str">
            <v>03</v>
          </cell>
          <cell r="AF612">
            <v>0</v>
          </cell>
          <cell r="AG612" t="str">
            <v>ADET</v>
          </cell>
          <cell r="AH612">
            <v>900</v>
          </cell>
          <cell r="AI612" t="str">
            <v>TL</v>
          </cell>
          <cell r="AJ612">
            <v>2100</v>
          </cell>
          <cell r="AK612" t="str">
            <v>TL</v>
          </cell>
          <cell r="AL612">
            <v>1</v>
          </cell>
          <cell r="AM612" t="str">
            <v>8684127501699</v>
          </cell>
          <cell r="AO612">
            <v>0</v>
          </cell>
          <cell r="AQ612">
            <v>0</v>
          </cell>
          <cell r="AR612" t="str">
            <v>CM</v>
          </cell>
          <cell r="AS612">
            <v>0</v>
          </cell>
          <cell r="AT612" t="str">
            <v>CM</v>
          </cell>
          <cell r="AU612">
            <v>0</v>
          </cell>
          <cell r="AW612">
            <v>0</v>
          </cell>
        </row>
        <row r="613">
          <cell r="B613" t="str">
            <v>H1W6WRBJMER-040</v>
          </cell>
          <cell r="C613" t="str">
            <v>ASPENDOS TEKLİ MERMER ESKİTME APLİK 40cm</v>
          </cell>
          <cell r="D613" t="str">
            <v>ASPENDOS SINGLE MARBLE BRUSHED BRASS WALL LAMP 40cm</v>
          </cell>
          <cell r="E613" t="str">
            <v>MERMER METAL BEYAZ ESKİTME</v>
          </cell>
          <cell r="F613" t="str">
            <v>9405.11.90.00.00</v>
          </cell>
          <cell r="G613" t="str">
            <v>APLİK</v>
          </cell>
          <cell r="H613" t="str">
            <v>H1W6314300-40</v>
          </cell>
          <cell r="I613" t="str">
            <v>İÇ</v>
          </cell>
          <cell r="J613" t="str">
            <v>APLİK</v>
          </cell>
          <cell r="K613" t="str">
            <v>ASPENDOS</v>
          </cell>
          <cell r="L613" t="str">
            <v/>
          </cell>
          <cell r="M613" t="str">
            <v/>
          </cell>
          <cell r="N613" t="str">
            <v>HKA-24100</v>
          </cell>
          <cell r="O613" t="str">
            <v>HEKA</v>
          </cell>
          <cell r="P613" t="str">
            <v>ADET</v>
          </cell>
          <cell r="Q613" t="str">
            <v>LED</v>
          </cell>
          <cell r="R613" t="str">
            <v>MERMER</v>
          </cell>
          <cell r="S613" t="str">
            <v>BEYAZ</v>
          </cell>
          <cell r="T613" t="str">
            <v>METAL</v>
          </cell>
          <cell r="U613" t="str">
            <v>ESKİTME</v>
          </cell>
          <cell r="AD613" t="str">
            <v>DAİRE</v>
          </cell>
          <cell r="AF613">
            <v>22</v>
          </cell>
          <cell r="AG613" t="str">
            <v>ADET</v>
          </cell>
          <cell r="AH613">
            <v>176</v>
          </cell>
          <cell r="AI613" t="str">
            <v>CNY</v>
          </cell>
          <cell r="AJ613">
            <v>14900</v>
          </cell>
          <cell r="AK613" t="str">
            <v>TL</v>
          </cell>
          <cell r="AL613">
            <v>1</v>
          </cell>
          <cell r="AM613" t="str">
            <v>8684127506144</v>
          </cell>
          <cell r="AO613">
            <v>0</v>
          </cell>
          <cell r="AQ613">
            <v>6</v>
          </cell>
          <cell r="AR613" t="str">
            <v>CM</v>
          </cell>
          <cell r="AS613">
            <v>40</v>
          </cell>
          <cell r="AT613" t="str">
            <v>CM</v>
          </cell>
          <cell r="AU613">
            <v>0</v>
          </cell>
          <cell r="AW613">
            <v>0</v>
          </cell>
        </row>
        <row r="614">
          <cell r="B614" t="str">
            <v>CK2G2P3M2G5O0</v>
          </cell>
          <cell r="C614" t="str">
            <v>ERD-2 MISIR ŞEFFAF 8W 3000K E27 LED AMPUL</v>
          </cell>
          <cell r="D614" t="str">
            <v>ERD-2 CORN CLEAR 8W 3000K E27 LED BULB</v>
          </cell>
          <cell r="E614" t="str">
            <v>PLASTİK METAL ŞEFFAF SMD LED DIMMSIZ MISIR</v>
          </cell>
          <cell r="F614" t="str">
            <v>8539.52.00.00.00</v>
          </cell>
          <cell r="G614" t="str">
            <v>AMPUL</v>
          </cell>
          <cell r="H614" t="str">
            <v>CF22232H50000</v>
          </cell>
          <cell r="I614" t="str">
            <v>İÇ</v>
          </cell>
          <cell r="J614" t="str">
            <v>AMPUL</v>
          </cell>
          <cell r="K614" t="str">
            <v>ERD-2</v>
          </cell>
          <cell r="L614" t="str">
            <v/>
          </cell>
          <cell r="M614" t="str">
            <v/>
          </cell>
          <cell r="N614" t="str">
            <v>ERD-2</v>
          </cell>
          <cell r="O614" t="str">
            <v>HEKA</v>
          </cell>
          <cell r="P614" t="str">
            <v>ADET</v>
          </cell>
          <cell r="Q614" t="str">
            <v>E27</v>
          </cell>
          <cell r="R614" t="str">
            <v>PLASTİK</v>
          </cell>
          <cell r="S614" t="str">
            <v>ŞEFFAF</v>
          </cell>
          <cell r="T614" t="str">
            <v>METAL</v>
          </cell>
          <cell r="V614" t="str">
            <v>G</v>
          </cell>
          <cell r="W614" t="str">
            <v>SMD LED</v>
          </cell>
          <cell r="X614" t="str">
            <v>220V</v>
          </cell>
          <cell r="Y614" t="str">
            <v>8 WATT</v>
          </cell>
          <cell r="Z614" t="str">
            <v>3000 K</v>
          </cell>
          <cell r="AA614" t="str">
            <v>DIMMSIZ</v>
          </cell>
          <cell r="AB614" t="str">
            <v>601-700</v>
          </cell>
          <cell r="AC614" t="str">
            <v>MISIR</v>
          </cell>
          <cell r="AD614" t="str">
            <v>N/A</v>
          </cell>
          <cell r="AF614">
            <v>0</v>
          </cell>
          <cell r="AG614" t="str">
            <v>ADET</v>
          </cell>
          <cell r="AH614">
            <v>2.8</v>
          </cell>
          <cell r="AI614" t="str">
            <v>CNY</v>
          </cell>
          <cell r="AJ614">
            <v>1.8</v>
          </cell>
          <cell r="AK614" t="str">
            <v>USD</v>
          </cell>
          <cell r="AL614">
            <v>1</v>
          </cell>
          <cell r="AM614" t="str">
            <v>8684127503853</v>
          </cell>
          <cell r="AN614" t="str">
            <v>8684127500388</v>
          </cell>
          <cell r="AO614">
            <v>0</v>
          </cell>
          <cell r="AQ614">
            <v>2.8</v>
          </cell>
          <cell r="AR614" t="str">
            <v>CM</v>
          </cell>
          <cell r="AS614">
            <v>2.8</v>
          </cell>
          <cell r="AT614" t="str">
            <v>CM</v>
          </cell>
          <cell r="AU614">
            <v>0</v>
          </cell>
          <cell r="AW614">
            <v>0</v>
          </cell>
        </row>
        <row r="615">
          <cell r="B615" t="str">
            <v>H1C6JMGECTR-024</v>
          </cell>
          <cell r="C615" t="str">
            <v>APPLE OPAL CAM SARKIT 25cm</v>
          </cell>
          <cell r="D615" t="str">
            <v>APPLE OPAL GLASS PENDANT 25cm</v>
          </cell>
          <cell r="E615" t="str">
            <v xml:space="preserve">METAL CAM  GOLD SOFT   </v>
          </cell>
          <cell r="F615" t="str">
            <v>9405.11.90.00.00</v>
          </cell>
          <cell r="G615" t="str">
            <v>AVİZE</v>
          </cell>
          <cell r="H615" t="str">
            <v>T1A6211100-25</v>
          </cell>
          <cell r="I615" t="str">
            <v>İÇ</v>
          </cell>
          <cell r="J615" t="str">
            <v>AVİZE.SARK</v>
          </cell>
          <cell r="K615" t="str">
            <v>APPLE</v>
          </cell>
          <cell r="L615" t="str">
            <v/>
          </cell>
          <cell r="M615" t="str">
            <v/>
          </cell>
          <cell r="N615" t="str">
            <v>HKA-24130</v>
          </cell>
          <cell r="O615" t="str">
            <v>HEKA</v>
          </cell>
          <cell r="P615" t="str">
            <v>ADET</v>
          </cell>
          <cell r="Q615" t="str">
            <v>LED</v>
          </cell>
          <cell r="R615" t="str">
            <v>METAL</v>
          </cell>
          <cell r="S615" t="str">
            <v>GOLD</v>
          </cell>
          <cell r="T615" t="str">
            <v>CAM</v>
          </cell>
          <cell r="U615" t="str">
            <v>SOFT</v>
          </cell>
          <cell r="AD615" t="str">
            <v>DAİRE</v>
          </cell>
          <cell r="AF615">
            <v>21</v>
          </cell>
          <cell r="AG615" t="str">
            <v>ADET</v>
          </cell>
          <cell r="AH615">
            <v>55</v>
          </cell>
          <cell r="AI615" t="str">
            <v>CNY</v>
          </cell>
          <cell r="AJ615">
            <v>5530</v>
          </cell>
          <cell r="AK615" t="str">
            <v>TL</v>
          </cell>
          <cell r="AL615">
            <v>1</v>
          </cell>
          <cell r="AM615" t="str">
            <v>8684127506595</v>
          </cell>
          <cell r="AO615">
            <v>0</v>
          </cell>
          <cell r="AQ615">
            <v>40</v>
          </cell>
          <cell r="AR615" t="str">
            <v>CM</v>
          </cell>
          <cell r="AS615">
            <v>25</v>
          </cell>
          <cell r="AT615" t="str">
            <v>CM</v>
          </cell>
          <cell r="AU615">
            <v>0</v>
          </cell>
          <cell r="AW615">
            <v>0</v>
          </cell>
        </row>
        <row r="616">
          <cell r="B616" t="str">
            <v>H1W6JMEWRBR-035</v>
          </cell>
          <cell r="C616" t="str">
            <v>KAMPALA MERMER APLİK 35cm</v>
          </cell>
          <cell r="D616" t="str">
            <v>KAMPALA MARBLE WALL LAMP 35cm</v>
          </cell>
          <cell r="E616" t="str">
            <v>METAL MERMER ESKİTME BEYAZ</v>
          </cell>
          <cell r="F616" t="str">
            <v>9405.11.90.00.00</v>
          </cell>
          <cell r="G616" t="str">
            <v>APLİK</v>
          </cell>
          <cell r="H616" t="str">
            <v>T1W6311100-35</v>
          </cell>
          <cell r="I616" t="str">
            <v>İÇ</v>
          </cell>
          <cell r="J616" t="str">
            <v>APLİK</v>
          </cell>
          <cell r="K616" t="str">
            <v>KAMPALA</v>
          </cell>
          <cell r="L616" t="str">
            <v/>
          </cell>
          <cell r="M616" t="str">
            <v/>
          </cell>
          <cell r="N616" t="str">
            <v>HKA-24107</v>
          </cell>
          <cell r="O616" t="str">
            <v>HEKA</v>
          </cell>
          <cell r="P616" t="str">
            <v>ADET</v>
          </cell>
          <cell r="Q616" t="str">
            <v>LED</v>
          </cell>
          <cell r="R616" t="str">
            <v>METAL</v>
          </cell>
          <cell r="S616" t="str">
            <v>ESKİTME</v>
          </cell>
          <cell r="T616" t="str">
            <v>MERMER</v>
          </cell>
          <cell r="U616" t="str">
            <v>BEYAZ</v>
          </cell>
          <cell r="AD616" t="str">
            <v>DAİRE</v>
          </cell>
          <cell r="AF616">
            <v>35</v>
          </cell>
          <cell r="AG616" t="str">
            <v>ADET</v>
          </cell>
          <cell r="AH616">
            <v>160</v>
          </cell>
          <cell r="AI616" t="str">
            <v>CNY</v>
          </cell>
          <cell r="AJ616">
            <v>11200</v>
          </cell>
          <cell r="AK616" t="str">
            <v>TL</v>
          </cell>
          <cell r="AL616">
            <v>1</v>
          </cell>
          <cell r="AM616" t="str">
            <v>8684127502146</v>
          </cell>
          <cell r="AO616">
            <v>0</v>
          </cell>
          <cell r="AQ616">
            <v>0</v>
          </cell>
          <cell r="AR616" t="str">
            <v>CM</v>
          </cell>
          <cell r="AS616">
            <v>0</v>
          </cell>
          <cell r="AT616" t="str">
            <v>CM</v>
          </cell>
          <cell r="AU616">
            <v>0</v>
          </cell>
          <cell r="AW616">
            <v>0</v>
          </cell>
        </row>
        <row r="617">
          <cell r="B617" t="str">
            <v>H1C6JMEECT0-045</v>
          </cell>
          <cell r="C617" t="str">
            <v>LUANDA LED ESKİTME SARKIT 45cm</v>
          </cell>
          <cell r="D617" t="str">
            <v>LUANDA LED BRUSHED BRASS PENDANT 45cm</v>
          </cell>
          <cell r="E617" t="str">
            <v xml:space="preserve">METAL CAM  ESKİTME SOFT   </v>
          </cell>
          <cell r="F617" t="str">
            <v>9405.11.90.00.00</v>
          </cell>
          <cell r="G617" t="str">
            <v>AVİZE</v>
          </cell>
          <cell r="H617" t="str">
            <v>T1A6211100-45</v>
          </cell>
          <cell r="I617" t="str">
            <v>İÇ</v>
          </cell>
          <cell r="J617" t="str">
            <v>AVİZE.SARK</v>
          </cell>
          <cell r="K617" t="str">
            <v>LUANDA</v>
          </cell>
          <cell r="L617" t="str">
            <v/>
          </cell>
          <cell r="M617" t="str">
            <v xml:space="preserve"> </v>
          </cell>
          <cell r="N617" t="str">
            <v>2077-45</v>
          </cell>
          <cell r="O617" t="str">
            <v>HEKA</v>
          </cell>
          <cell r="P617" t="str">
            <v>ADET</v>
          </cell>
          <cell r="Q617" t="str">
            <v>LED</v>
          </cell>
          <cell r="R617" t="str">
            <v>METAL</v>
          </cell>
          <cell r="S617" t="str">
            <v>ESKİTME</v>
          </cell>
          <cell r="T617" t="str">
            <v>CAM</v>
          </cell>
          <cell r="U617" t="str">
            <v>SOFT</v>
          </cell>
          <cell r="AD617" t="str">
            <v>N/A</v>
          </cell>
          <cell r="AE617" t="str">
            <v>01</v>
          </cell>
          <cell r="AF617">
            <v>0</v>
          </cell>
          <cell r="AG617" t="str">
            <v>ADET</v>
          </cell>
          <cell r="AH617">
            <v>66</v>
          </cell>
          <cell r="AI617" t="str">
            <v>CNY</v>
          </cell>
          <cell r="AJ617">
            <v>3142</v>
          </cell>
          <cell r="AK617" t="str">
            <v>TL</v>
          </cell>
          <cell r="AL617">
            <v>1</v>
          </cell>
          <cell r="AM617" t="str">
            <v>8684127502412</v>
          </cell>
          <cell r="AO617">
            <v>0.7</v>
          </cell>
          <cell r="AP617" t="str">
            <v>KG</v>
          </cell>
          <cell r="AQ617">
            <v>6.5</v>
          </cell>
          <cell r="AR617" t="str">
            <v>CM</v>
          </cell>
          <cell r="AS617">
            <v>6.5</v>
          </cell>
          <cell r="AT617" t="str">
            <v>CM</v>
          </cell>
          <cell r="AU617">
            <v>0</v>
          </cell>
          <cell r="AW617">
            <v>0</v>
          </cell>
        </row>
        <row r="618">
          <cell r="B618" t="str">
            <v>H1C1JMGNRBR-065</v>
          </cell>
          <cell r="C618" t="str">
            <v>KOMOR SALON AVİZE</v>
          </cell>
          <cell r="D618" t="str">
            <v>KOMOR LIVING ROOM CHANDELIER</v>
          </cell>
          <cell r="E618" t="str">
            <v xml:space="preserve">METAL PORSELEN GOLD BEYAZ   </v>
          </cell>
          <cell r="F618" t="str">
            <v>9405.19.90.00.00</v>
          </cell>
          <cell r="G618" t="str">
            <v>AVİZE</v>
          </cell>
          <cell r="H618" t="str">
            <v>T1A112P100-18</v>
          </cell>
          <cell r="I618" t="str">
            <v>İÇ</v>
          </cell>
          <cell r="J618" t="str">
            <v>AVİZE.AVİZ</v>
          </cell>
          <cell r="K618" t="str">
            <v>KOMOR</v>
          </cell>
          <cell r="L618" t="str">
            <v/>
          </cell>
          <cell r="M618" t="str">
            <v/>
          </cell>
          <cell r="N618" t="str">
            <v>7161-18P</v>
          </cell>
          <cell r="O618" t="str">
            <v>HEKA</v>
          </cell>
          <cell r="P618" t="str">
            <v>ADET</v>
          </cell>
          <cell r="Q618" t="str">
            <v>E14</v>
          </cell>
          <cell r="R618" t="str">
            <v>METAL</v>
          </cell>
          <cell r="S618" t="str">
            <v>GOLD</v>
          </cell>
          <cell r="T618" t="str">
            <v>PORSELEN</v>
          </cell>
          <cell r="U618" t="str">
            <v>BEYAZ</v>
          </cell>
          <cell r="AD618" t="str">
            <v>DAİRE</v>
          </cell>
          <cell r="AE618" t="str">
            <v>18</v>
          </cell>
          <cell r="AF618">
            <v>1</v>
          </cell>
          <cell r="AG618" t="str">
            <v>ADET</v>
          </cell>
          <cell r="AH618">
            <v>600</v>
          </cell>
          <cell r="AI618" t="str">
            <v>CNY</v>
          </cell>
          <cell r="AJ618">
            <v>23443</v>
          </cell>
          <cell r="AK618" t="str">
            <v>TL</v>
          </cell>
          <cell r="AL618">
            <v>1</v>
          </cell>
          <cell r="AM618" t="str">
            <v>8684127502207</v>
          </cell>
          <cell r="AO618">
            <v>0</v>
          </cell>
          <cell r="AQ618">
            <v>0</v>
          </cell>
          <cell r="AR618" t="str">
            <v>CM</v>
          </cell>
          <cell r="AS618">
            <v>0</v>
          </cell>
          <cell r="AT618" t="str">
            <v>CM</v>
          </cell>
          <cell r="AU618">
            <v>0</v>
          </cell>
          <cell r="AW618">
            <v>0</v>
          </cell>
        </row>
        <row r="619">
          <cell r="B619" t="str">
            <v>H1F1JMGNRBR-166</v>
          </cell>
          <cell r="C619" t="str">
            <v>MOZAMBİK LAMBADER</v>
          </cell>
          <cell r="D619" t="str">
            <v>MOZAMBİK FLOOR LAMP</v>
          </cell>
          <cell r="E619" t="str">
            <v xml:space="preserve">METAL PORSELEN GOLD BEYAZ   </v>
          </cell>
          <cell r="F619" t="str">
            <v>9405.29.90.00.00</v>
          </cell>
          <cell r="G619" t="str">
            <v>LAMBADER</v>
          </cell>
          <cell r="H619" t="str">
            <v>T1L112P100-09</v>
          </cell>
          <cell r="I619" t="str">
            <v>İÇ</v>
          </cell>
          <cell r="J619" t="str">
            <v>LAMBADER</v>
          </cell>
          <cell r="K619" t="str">
            <v>MOZAMBİK</v>
          </cell>
          <cell r="L619" t="str">
            <v/>
          </cell>
          <cell r="M619" t="str">
            <v/>
          </cell>
          <cell r="N619" t="str">
            <v>7168-9F</v>
          </cell>
          <cell r="O619" t="str">
            <v>HEKA</v>
          </cell>
          <cell r="P619" t="str">
            <v>ADET</v>
          </cell>
          <cell r="Q619" t="str">
            <v>E14</v>
          </cell>
          <cell r="R619" t="str">
            <v>METAL</v>
          </cell>
          <cell r="S619" t="str">
            <v>GOLD</v>
          </cell>
          <cell r="T619" t="str">
            <v>PORSELEN</v>
          </cell>
          <cell r="U619" t="str">
            <v>BEYAZ</v>
          </cell>
          <cell r="AD619" t="str">
            <v>DAİRE</v>
          </cell>
          <cell r="AE619" t="str">
            <v>07</v>
          </cell>
          <cell r="AF619">
            <v>0</v>
          </cell>
          <cell r="AG619" t="str">
            <v>ADET</v>
          </cell>
          <cell r="AH619">
            <v>515</v>
          </cell>
          <cell r="AI619" t="str">
            <v>CNY</v>
          </cell>
          <cell r="AJ619">
            <v>8950</v>
          </cell>
          <cell r="AK619" t="str">
            <v>TL</v>
          </cell>
          <cell r="AL619">
            <v>1</v>
          </cell>
          <cell r="AM619" t="str">
            <v>8684127508568</v>
          </cell>
          <cell r="AO619">
            <v>0</v>
          </cell>
          <cell r="AQ619">
            <v>0</v>
          </cell>
          <cell r="AR619" t="str">
            <v>CM</v>
          </cell>
          <cell r="AS619">
            <v>0</v>
          </cell>
          <cell r="AT619" t="str">
            <v>CM</v>
          </cell>
          <cell r="AU619">
            <v>0</v>
          </cell>
          <cell r="AW619">
            <v>0</v>
          </cell>
        </row>
        <row r="620">
          <cell r="B620" t="str">
            <v>H1W5JMEBCS0-058</v>
          </cell>
          <cell r="C620" t="str">
            <v>CİBUTİ AKRİLİK APLİK</v>
          </cell>
          <cell r="D620" t="str">
            <v>CİBUTİ ACRYLIC WALL LAMP</v>
          </cell>
          <cell r="E620" t="str">
            <v>METAL AKRİLİK ESKİTME ŞEFFAF</v>
          </cell>
          <cell r="F620" t="str">
            <v>9405.19.90.00.00</v>
          </cell>
          <cell r="G620" t="str">
            <v>APLİK</v>
          </cell>
          <cell r="H620" t="str">
            <v>T1W6621200-01</v>
          </cell>
          <cell r="I620" t="str">
            <v>İÇ</v>
          </cell>
          <cell r="J620" t="str">
            <v>APLİK</v>
          </cell>
          <cell r="K620" t="str">
            <v>CİBUTİ</v>
          </cell>
          <cell r="L620" t="str">
            <v/>
          </cell>
          <cell r="M620" t="str">
            <v xml:space="preserve"> </v>
          </cell>
          <cell r="N620" t="str">
            <v>6689P</v>
          </cell>
          <cell r="O620" t="str">
            <v>HEKA</v>
          </cell>
          <cell r="P620" t="str">
            <v>ADET</v>
          </cell>
          <cell r="Q620" t="str">
            <v>GU10</v>
          </cell>
          <cell r="R620" t="str">
            <v>METAL</v>
          </cell>
          <cell r="S620" t="str">
            <v>ESKİTME</v>
          </cell>
          <cell r="T620" t="str">
            <v>AKRİLİK</v>
          </cell>
          <cell r="U620" t="str">
            <v>ŞEFFAF</v>
          </cell>
          <cell r="AD620" t="str">
            <v>N/A</v>
          </cell>
          <cell r="AE620" t="str">
            <v>03</v>
          </cell>
          <cell r="AF620">
            <v>0</v>
          </cell>
          <cell r="AG620" t="str">
            <v>ADET</v>
          </cell>
          <cell r="AH620">
            <v>166</v>
          </cell>
          <cell r="AI620" t="str">
            <v>CNY</v>
          </cell>
          <cell r="AJ620">
            <v>8557</v>
          </cell>
          <cell r="AK620" t="str">
            <v>TL</v>
          </cell>
          <cell r="AL620">
            <v>1</v>
          </cell>
          <cell r="AM620" t="str">
            <v>8684127506243</v>
          </cell>
          <cell r="AO620">
            <v>0</v>
          </cell>
          <cell r="AQ620">
            <v>58</v>
          </cell>
          <cell r="AR620" t="str">
            <v>CM</v>
          </cell>
          <cell r="AS620">
            <v>10</v>
          </cell>
          <cell r="AT620" t="str">
            <v>CM</v>
          </cell>
          <cell r="AU620">
            <v>0</v>
          </cell>
          <cell r="AW620">
            <v>0</v>
          </cell>
        </row>
        <row r="621">
          <cell r="B621" t="str">
            <v>H1C6JMEECSD-040</v>
          </cell>
          <cell r="C621" t="str">
            <v>TOGO TEKLİ DİKDÖRTGEN SARKIT 40cm</v>
          </cell>
          <cell r="D621" t="str">
            <v>TOGO SINGLE RECTANGLE PENDANT 40cm</v>
          </cell>
          <cell r="E621" t="str">
            <v xml:space="preserve">METAL CAM  ESKİTME ŞEFFAF   </v>
          </cell>
          <cell r="F621" t="str">
            <v>9405.11.90.00.00</v>
          </cell>
          <cell r="G621" t="str">
            <v>AVİZE</v>
          </cell>
          <cell r="H621" t="str">
            <v>T1A6241000-38</v>
          </cell>
          <cell r="I621" t="str">
            <v>İÇ</v>
          </cell>
          <cell r="J621" t="str">
            <v>AVİZE.SARK</v>
          </cell>
          <cell r="K621" t="str">
            <v>TOGO</v>
          </cell>
          <cell r="L621" t="str">
            <v/>
          </cell>
          <cell r="M621" t="str">
            <v xml:space="preserve"> </v>
          </cell>
          <cell r="N621" t="str">
            <v>161029</v>
          </cell>
          <cell r="O621" t="str">
            <v>HEKA</v>
          </cell>
          <cell r="P621" t="str">
            <v>ADET</v>
          </cell>
          <cell r="Q621" t="str">
            <v>LED</v>
          </cell>
          <cell r="R621" t="str">
            <v>METAL</v>
          </cell>
          <cell r="S621" t="str">
            <v>ESKİTME</v>
          </cell>
          <cell r="T621" t="str">
            <v>CAM</v>
          </cell>
          <cell r="U621" t="str">
            <v>ŞEFFAF</v>
          </cell>
          <cell r="AD621" t="str">
            <v>DİKDÖRTGEN</v>
          </cell>
          <cell r="AE621" t="str">
            <v>01</v>
          </cell>
          <cell r="AF621">
            <v>0</v>
          </cell>
          <cell r="AG621" t="str">
            <v>ADET</v>
          </cell>
          <cell r="AH621">
            <v>63</v>
          </cell>
          <cell r="AI621" t="str">
            <v>CNY</v>
          </cell>
          <cell r="AJ621">
            <v>2833</v>
          </cell>
          <cell r="AK621" t="str">
            <v>TL</v>
          </cell>
          <cell r="AL621">
            <v>1</v>
          </cell>
          <cell r="AM621" t="str">
            <v>8684127502757</v>
          </cell>
          <cell r="AO621">
            <v>0</v>
          </cell>
          <cell r="AQ621">
            <v>0</v>
          </cell>
          <cell r="AR621" t="str">
            <v>CM</v>
          </cell>
          <cell r="AS621">
            <v>0</v>
          </cell>
          <cell r="AT621" t="str">
            <v>CM</v>
          </cell>
          <cell r="AU621">
            <v>0</v>
          </cell>
          <cell r="AW621">
            <v>0</v>
          </cell>
        </row>
        <row r="622">
          <cell r="B622" t="str">
            <v>H1C3JMEERL0-028</v>
          </cell>
          <cell r="C622" t="str">
            <v>BENİN BAL CAM SARKIT</v>
          </cell>
          <cell r="D622" t="str">
            <v>BENİN AMBER GLASS PENDANT</v>
          </cell>
          <cell r="E622" t="str">
            <v xml:space="preserve">METAL CAM  ESKİTME BAL   </v>
          </cell>
          <cell r="F622" t="str">
            <v>9405.19.90.00.00</v>
          </cell>
          <cell r="G622" t="str">
            <v>AVİZE</v>
          </cell>
          <cell r="H622" t="str">
            <v>T1A3231100-28</v>
          </cell>
          <cell r="I622" t="str">
            <v>İÇ</v>
          </cell>
          <cell r="J622" t="str">
            <v>AVİZE.SARK</v>
          </cell>
          <cell r="K622" t="str">
            <v>BENİN</v>
          </cell>
          <cell r="L622" t="str">
            <v/>
          </cell>
          <cell r="M622" t="str">
            <v/>
          </cell>
          <cell r="N622" t="str">
            <v>S02-AC-P</v>
          </cell>
          <cell r="O622" t="str">
            <v>HEKA</v>
          </cell>
          <cell r="P622" t="str">
            <v>ADET</v>
          </cell>
          <cell r="Q622" t="str">
            <v>E14</v>
          </cell>
          <cell r="R622" t="str">
            <v>METAL</v>
          </cell>
          <cell r="S622" t="str">
            <v>ESKİTME</v>
          </cell>
          <cell r="T622" t="str">
            <v>CAM</v>
          </cell>
          <cell r="U622" t="str">
            <v>BAL</v>
          </cell>
          <cell r="AD622" t="str">
            <v>N/A</v>
          </cell>
          <cell r="AE622" t="str">
            <v>02</v>
          </cell>
          <cell r="AF622">
            <v>0</v>
          </cell>
          <cell r="AG622" t="str">
            <v>ADET</v>
          </cell>
          <cell r="AH622">
            <v>350</v>
          </cell>
          <cell r="AI622" t="str">
            <v>TL</v>
          </cell>
          <cell r="AJ622">
            <v>4165</v>
          </cell>
          <cell r="AK622" t="str">
            <v>TL</v>
          </cell>
          <cell r="AL622">
            <v>1</v>
          </cell>
          <cell r="AM622" t="str">
            <v>8684127501651</v>
          </cell>
          <cell r="AO622">
            <v>0</v>
          </cell>
          <cell r="AQ622">
            <v>28</v>
          </cell>
          <cell r="AR622" t="str">
            <v>CM</v>
          </cell>
          <cell r="AS622">
            <v>17</v>
          </cell>
          <cell r="AT622" t="str">
            <v>CM</v>
          </cell>
          <cell r="AU622">
            <v>0</v>
          </cell>
          <cell r="AW622">
            <v>0</v>
          </cell>
        </row>
        <row r="623">
          <cell r="B623" t="str">
            <v>H1C3JMEERF0-028</v>
          </cell>
          <cell r="C623" t="str">
            <v>BENİN FÜME CAM SARKIT</v>
          </cell>
          <cell r="D623" t="str">
            <v>BENİN SMOKY GLASS PENDANT</v>
          </cell>
          <cell r="E623" t="str">
            <v xml:space="preserve">METAL CAM  ESKİTME FÜME   </v>
          </cell>
          <cell r="F623" t="str">
            <v>9405.19.90.00.00</v>
          </cell>
          <cell r="G623" t="str">
            <v>AVİZE</v>
          </cell>
          <cell r="H623" t="str">
            <v>T1A3221100-28</v>
          </cell>
          <cell r="I623" t="str">
            <v>İÇ</v>
          </cell>
          <cell r="J623" t="str">
            <v>AVİZE.SARK</v>
          </cell>
          <cell r="K623" t="str">
            <v>BENİN</v>
          </cell>
          <cell r="L623" t="str">
            <v/>
          </cell>
          <cell r="M623" t="str">
            <v/>
          </cell>
          <cell r="N623" t="str">
            <v>S03-SC-P</v>
          </cell>
          <cell r="O623" t="str">
            <v>HEKA</v>
          </cell>
          <cell r="P623" t="str">
            <v>ADET</v>
          </cell>
          <cell r="Q623" t="str">
            <v>E14</v>
          </cell>
          <cell r="R623" t="str">
            <v>METAL</v>
          </cell>
          <cell r="S623" t="str">
            <v>ESKİTME</v>
          </cell>
          <cell r="T623" t="str">
            <v>CAM</v>
          </cell>
          <cell r="U623" t="str">
            <v>FÜME</v>
          </cell>
          <cell r="AD623" t="str">
            <v>N/A</v>
          </cell>
          <cell r="AE623" t="str">
            <v>02</v>
          </cell>
          <cell r="AF623">
            <v>0</v>
          </cell>
          <cell r="AG623" t="str">
            <v>ADET</v>
          </cell>
          <cell r="AH623">
            <v>350</v>
          </cell>
          <cell r="AI623" t="str">
            <v>TL</v>
          </cell>
          <cell r="AJ623">
            <v>4165</v>
          </cell>
          <cell r="AK623" t="str">
            <v>TL</v>
          </cell>
          <cell r="AL623">
            <v>1</v>
          </cell>
          <cell r="AM623" t="str">
            <v>8684127501668</v>
          </cell>
          <cell r="AO623">
            <v>0</v>
          </cell>
          <cell r="AQ623">
            <v>28</v>
          </cell>
          <cell r="AR623" t="str">
            <v>CM</v>
          </cell>
          <cell r="AS623">
            <v>17</v>
          </cell>
          <cell r="AT623" t="str">
            <v>CM</v>
          </cell>
          <cell r="AU623">
            <v>0</v>
          </cell>
          <cell r="AW623">
            <v>0</v>
          </cell>
        </row>
        <row r="624">
          <cell r="B624" t="str">
            <v>H1C6JMEERF0-030</v>
          </cell>
          <cell r="C624" t="str">
            <v>HOBART TEKLİ FÜME CAM SARKIT 30cm</v>
          </cell>
          <cell r="D624" t="str">
            <v>HOBART SINGLE SMOKY GLASS PENDANT 30cm</v>
          </cell>
          <cell r="E624" t="str">
            <v xml:space="preserve">METAL CAM  ESKİTME FÜME   </v>
          </cell>
          <cell r="F624" t="str">
            <v>9405.11.90.00.00</v>
          </cell>
          <cell r="G624" t="str">
            <v>AVİZE</v>
          </cell>
          <cell r="H624" t="str">
            <v>T1A6220000-30</v>
          </cell>
          <cell r="I624" t="str">
            <v>İÇ</v>
          </cell>
          <cell r="J624" t="str">
            <v>AVİZE.SARK</v>
          </cell>
          <cell r="K624" t="str">
            <v>HOBART</v>
          </cell>
          <cell r="L624" t="str">
            <v/>
          </cell>
          <cell r="M624" t="str">
            <v/>
          </cell>
          <cell r="N624" t="str">
            <v>HKA-24139</v>
          </cell>
          <cell r="O624" t="str">
            <v>HEKA</v>
          </cell>
          <cell r="P624" t="str">
            <v>ADET</v>
          </cell>
          <cell r="Q624" t="str">
            <v>LED</v>
          </cell>
          <cell r="R624" t="str">
            <v>METAL</v>
          </cell>
          <cell r="S624" t="str">
            <v>ESKİTME</v>
          </cell>
          <cell r="T624" t="str">
            <v>CAM</v>
          </cell>
          <cell r="U624" t="str">
            <v>FÜME</v>
          </cell>
          <cell r="AD624" t="str">
            <v>N/A</v>
          </cell>
          <cell r="AF624">
            <v>1</v>
          </cell>
          <cell r="AG624" t="str">
            <v>ADET</v>
          </cell>
          <cell r="AH624">
            <v>1000</v>
          </cell>
          <cell r="AI624" t="str">
            <v>TL</v>
          </cell>
          <cell r="AJ624">
            <v>7900</v>
          </cell>
          <cell r="AK624" t="str">
            <v>TL</v>
          </cell>
          <cell r="AL624">
            <v>1</v>
          </cell>
          <cell r="AM624" t="str">
            <v>8684127504553</v>
          </cell>
          <cell r="AO624">
            <v>0</v>
          </cell>
          <cell r="AQ624">
            <v>12</v>
          </cell>
          <cell r="AR624" t="str">
            <v>CM</v>
          </cell>
          <cell r="AS624">
            <v>30</v>
          </cell>
          <cell r="AT624" t="str">
            <v>CM</v>
          </cell>
          <cell r="AU624">
            <v>0</v>
          </cell>
          <cell r="AW624">
            <v>0</v>
          </cell>
        </row>
        <row r="625">
          <cell r="B625" t="str">
            <v>H1C6JMEECS0-030</v>
          </cell>
          <cell r="C625" t="str">
            <v>HOBART TEKLİ ŞEFFAF CAM SARKIT 30cm</v>
          </cell>
          <cell r="D625" t="str">
            <v>HOBART SINGLE CLEAR GLASS PENDANT 30cm</v>
          </cell>
          <cell r="E625" t="str">
            <v xml:space="preserve">METAL CAM  ESKİTME ŞEFFAF   </v>
          </cell>
          <cell r="F625" t="str">
            <v>9405.11.90.00.00</v>
          </cell>
          <cell r="G625" t="str">
            <v>AVİZE</v>
          </cell>
          <cell r="H625" t="str">
            <v>T1A6240000-30</v>
          </cell>
          <cell r="I625" t="str">
            <v>İÇ</v>
          </cell>
          <cell r="J625" t="str">
            <v>AVİZE.SARK</v>
          </cell>
          <cell r="K625" t="str">
            <v>HOBART</v>
          </cell>
          <cell r="L625" t="str">
            <v/>
          </cell>
          <cell r="M625" t="str">
            <v/>
          </cell>
          <cell r="N625" t="str">
            <v>HKA-24142</v>
          </cell>
          <cell r="O625" t="str">
            <v>HEKA</v>
          </cell>
          <cell r="P625" t="str">
            <v>ADET</v>
          </cell>
          <cell r="Q625" t="str">
            <v>LED</v>
          </cell>
          <cell r="R625" t="str">
            <v>METAL</v>
          </cell>
          <cell r="S625" t="str">
            <v>ESKİTME</v>
          </cell>
          <cell r="T625" t="str">
            <v>CAM</v>
          </cell>
          <cell r="U625" t="str">
            <v>ŞEFFAF</v>
          </cell>
          <cell r="AD625" t="str">
            <v>N/A</v>
          </cell>
          <cell r="AF625">
            <v>0</v>
          </cell>
          <cell r="AG625" t="str">
            <v>ADET</v>
          </cell>
          <cell r="AH625">
            <v>1000</v>
          </cell>
          <cell r="AI625" t="str">
            <v>TL</v>
          </cell>
          <cell r="AJ625">
            <v>7900</v>
          </cell>
          <cell r="AK625" t="str">
            <v>TL</v>
          </cell>
          <cell r="AL625">
            <v>1</v>
          </cell>
          <cell r="AM625" t="str">
            <v>8684127504560</v>
          </cell>
          <cell r="AO625">
            <v>0</v>
          </cell>
          <cell r="AQ625">
            <v>12</v>
          </cell>
          <cell r="AR625" t="str">
            <v>CM</v>
          </cell>
          <cell r="AS625">
            <v>30</v>
          </cell>
          <cell r="AT625" t="str">
            <v>CM</v>
          </cell>
          <cell r="AU625">
            <v>0</v>
          </cell>
          <cell r="AW625">
            <v>0</v>
          </cell>
        </row>
        <row r="626">
          <cell r="B626" t="str">
            <v>H1W1JRSECS0-026</v>
          </cell>
          <cell r="C626" t="str">
            <v>MARSİLYA TEKLİ SİYAH APLİK</v>
          </cell>
          <cell r="D626" t="str">
            <v>MARSİLYA SINGLE BLACK WALL LAMP</v>
          </cell>
          <cell r="E626" t="str">
            <v>METAL CAM SİYAH ŞEFFAF</v>
          </cell>
          <cell r="F626" t="str">
            <v>9405.19.90.00.00</v>
          </cell>
          <cell r="G626" t="str">
            <v>APLİK</v>
          </cell>
          <cell r="H626" t="str">
            <v>T1W1142400-30</v>
          </cell>
          <cell r="I626" t="str">
            <v>İÇ</v>
          </cell>
          <cell r="J626" t="str">
            <v>APLİK</v>
          </cell>
          <cell r="K626" t="str">
            <v>MARSİLYA</v>
          </cell>
          <cell r="L626" t="str">
            <v/>
          </cell>
          <cell r="M626" t="str">
            <v/>
          </cell>
          <cell r="N626" t="str">
            <v>9718F-1W-BC</v>
          </cell>
          <cell r="O626" t="str">
            <v>HEKA</v>
          </cell>
          <cell r="P626" t="str">
            <v>ADET</v>
          </cell>
          <cell r="Q626" t="str">
            <v>E14</v>
          </cell>
          <cell r="R626" t="str">
            <v>METAL</v>
          </cell>
          <cell r="S626" t="str">
            <v>SİYAH</v>
          </cell>
          <cell r="T626" t="str">
            <v>CAM</v>
          </cell>
          <cell r="U626" t="str">
            <v>ŞEFFAF</v>
          </cell>
          <cell r="AD626" t="str">
            <v>N/A</v>
          </cell>
          <cell r="AE626" t="str">
            <v>02</v>
          </cell>
          <cell r="AF626">
            <v>0</v>
          </cell>
          <cell r="AG626" t="str">
            <v>ADET</v>
          </cell>
          <cell r="AH626">
            <v>65</v>
          </cell>
          <cell r="AI626" t="str">
            <v>CNY</v>
          </cell>
          <cell r="AJ626">
            <v>5460</v>
          </cell>
          <cell r="AK626" t="str">
            <v>TL</v>
          </cell>
          <cell r="AL626">
            <v>1</v>
          </cell>
          <cell r="AM626" t="str">
            <v>8684127502535</v>
          </cell>
          <cell r="AO626">
            <v>0</v>
          </cell>
          <cell r="AQ626">
            <v>0</v>
          </cell>
          <cell r="AR626" t="str">
            <v>CM</v>
          </cell>
          <cell r="AS626">
            <v>0</v>
          </cell>
          <cell r="AT626" t="str">
            <v>CM</v>
          </cell>
          <cell r="AU626">
            <v>0</v>
          </cell>
          <cell r="AW626">
            <v>0</v>
          </cell>
        </row>
        <row r="627">
          <cell r="B627" t="str">
            <v>H1W1JMKECS0-026</v>
          </cell>
          <cell r="C627" t="str">
            <v>MARSİLYA TEKLİ KROM APLİK</v>
          </cell>
          <cell r="D627" t="str">
            <v>MARSİLYA SINGLE CHROME WALL LAMP</v>
          </cell>
          <cell r="E627" t="str">
            <v>METAL CAM KROM ŞEFFAF</v>
          </cell>
          <cell r="F627" t="str">
            <v>9405.19.90.00.00</v>
          </cell>
          <cell r="G627" t="str">
            <v>APLİK</v>
          </cell>
          <cell r="H627" t="str">
            <v>T1W1132400-30</v>
          </cell>
          <cell r="I627" t="str">
            <v>İÇ</v>
          </cell>
          <cell r="J627" t="str">
            <v>APLİK</v>
          </cell>
          <cell r="K627" t="str">
            <v>MARSİLYA</v>
          </cell>
          <cell r="L627" t="str">
            <v/>
          </cell>
          <cell r="M627" t="str">
            <v/>
          </cell>
          <cell r="N627" t="str">
            <v>9718F-1W-CH</v>
          </cell>
          <cell r="O627" t="str">
            <v>HEKA</v>
          </cell>
          <cell r="P627" t="str">
            <v>ADET</v>
          </cell>
          <cell r="Q627" t="str">
            <v>E14</v>
          </cell>
          <cell r="R627" t="str">
            <v>METAL</v>
          </cell>
          <cell r="S627" t="str">
            <v>KROM</v>
          </cell>
          <cell r="T627" t="str">
            <v>CAM</v>
          </cell>
          <cell r="U627" t="str">
            <v>ŞEFFAF</v>
          </cell>
          <cell r="AD627" t="str">
            <v>N/A</v>
          </cell>
          <cell r="AE627" t="str">
            <v>02</v>
          </cell>
          <cell r="AF627">
            <v>0</v>
          </cell>
          <cell r="AG627" t="str">
            <v>ADET</v>
          </cell>
          <cell r="AH627">
            <v>65</v>
          </cell>
          <cell r="AI627" t="str">
            <v>CNY</v>
          </cell>
          <cell r="AJ627">
            <v>5460</v>
          </cell>
          <cell r="AK627" t="str">
            <v>TL</v>
          </cell>
          <cell r="AL627">
            <v>1</v>
          </cell>
          <cell r="AM627" t="str">
            <v>8684127502511</v>
          </cell>
          <cell r="AO627">
            <v>0</v>
          </cell>
          <cell r="AQ627">
            <v>0</v>
          </cell>
          <cell r="AR627" t="str">
            <v>CM</v>
          </cell>
          <cell r="AS627">
            <v>0</v>
          </cell>
          <cell r="AT627" t="str">
            <v>CM</v>
          </cell>
          <cell r="AU627">
            <v>0</v>
          </cell>
          <cell r="AW627">
            <v>0</v>
          </cell>
        </row>
        <row r="628">
          <cell r="B628" t="str">
            <v>H1C6JMGLCS0-060</v>
          </cell>
          <cell r="C628" t="str">
            <v>FLORİDA AKRİLİK SARKIT 60cm</v>
          </cell>
          <cell r="D628" t="str">
            <v>FLORİDA ACRYLIC PENDANT 60cm</v>
          </cell>
          <cell r="E628" t="str">
            <v xml:space="preserve">METAL PLEKSİ GOLD ŞEFFAF   </v>
          </cell>
          <cell r="F628" t="str">
            <v>9405.11.90.00.00</v>
          </cell>
          <cell r="G628" t="str">
            <v>AVİZE</v>
          </cell>
          <cell r="H628" t="str">
            <v>T1A6844200-60</v>
          </cell>
          <cell r="I628" t="str">
            <v>İÇ</v>
          </cell>
          <cell r="J628" t="str">
            <v>AVİZE.SARK</v>
          </cell>
          <cell r="K628" t="str">
            <v>FLORİDA</v>
          </cell>
          <cell r="L628" t="str">
            <v/>
          </cell>
          <cell r="M628" t="str">
            <v/>
          </cell>
          <cell r="N628" t="str">
            <v>D9986-600</v>
          </cell>
          <cell r="O628" t="str">
            <v>HEKA</v>
          </cell>
          <cell r="P628" t="str">
            <v>ADET</v>
          </cell>
          <cell r="Q628" t="str">
            <v>LED</v>
          </cell>
          <cell r="R628" t="str">
            <v>METAL</v>
          </cell>
          <cell r="S628" t="str">
            <v>GOLD</v>
          </cell>
          <cell r="T628" t="str">
            <v>PLEKSİ</v>
          </cell>
          <cell r="U628" t="str">
            <v>ŞEFFAF</v>
          </cell>
          <cell r="AD628" t="str">
            <v>N/A</v>
          </cell>
          <cell r="AE628" t="str">
            <v>01</v>
          </cell>
          <cell r="AF628">
            <v>16</v>
          </cell>
          <cell r="AG628" t="str">
            <v>ADET</v>
          </cell>
          <cell r="AH628">
            <v>220</v>
          </cell>
          <cell r="AI628" t="str">
            <v>CNY</v>
          </cell>
          <cell r="AJ628">
            <v>8038</v>
          </cell>
          <cell r="AK628" t="str">
            <v>TL</v>
          </cell>
          <cell r="AL628">
            <v>1</v>
          </cell>
          <cell r="AM628" t="str">
            <v>8684127501996</v>
          </cell>
          <cell r="AO628">
            <v>0</v>
          </cell>
          <cell r="AQ628">
            <v>0</v>
          </cell>
          <cell r="AR628" t="str">
            <v>CM</v>
          </cell>
          <cell r="AS628">
            <v>0</v>
          </cell>
          <cell r="AT628" t="str">
            <v>CM</v>
          </cell>
          <cell r="AU628">
            <v>0</v>
          </cell>
          <cell r="AW628">
            <v>0</v>
          </cell>
        </row>
        <row r="629">
          <cell r="B629" t="str">
            <v>H1C6JMGLCTR-013</v>
          </cell>
          <cell r="C629" t="str">
            <v>SİERRA LED ALTIN SARKIT 13cm</v>
          </cell>
          <cell r="D629" t="str">
            <v xml:space="preserve">SİERRA LED GOLD PENDANT 13cm </v>
          </cell>
          <cell r="E629" t="str">
            <v xml:space="preserve">METAL PLEKSİ GOLD SOFT   </v>
          </cell>
          <cell r="F629" t="str">
            <v>9405.11.90.00.00</v>
          </cell>
          <cell r="G629" t="str">
            <v>AVİZE</v>
          </cell>
          <cell r="H629" t="str">
            <v>T1A6A50000-13</v>
          </cell>
          <cell r="I629" t="str">
            <v>İÇ</v>
          </cell>
          <cell r="J629" t="str">
            <v>AVİZE.SARK</v>
          </cell>
          <cell r="K629" t="str">
            <v>SİERRA</v>
          </cell>
          <cell r="L629" t="str">
            <v/>
          </cell>
          <cell r="M629" t="str">
            <v/>
          </cell>
          <cell r="N629" t="str">
            <v>HC05-1D-13-G</v>
          </cell>
          <cell r="O629" t="str">
            <v>HEKA</v>
          </cell>
          <cell r="P629" t="str">
            <v>ADET</v>
          </cell>
          <cell r="Q629" t="str">
            <v>LED</v>
          </cell>
          <cell r="R629" t="str">
            <v>METAL</v>
          </cell>
          <cell r="S629" t="str">
            <v>GOLD</v>
          </cell>
          <cell r="T629" t="str">
            <v>PLEKSİ</v>
          </cell>
          <cell r="U629" t="str">
            <v>SOFT</v>
          </cell>
          <cell r="AD629" t="str">
            <v>DAİRE</v>
          </cell>
          <cell r="AE629" t="str">
            <v>01</v>
          </cell>
          <cell r="AF629">
            <v>1</v>
          </cell>
          <cell r="AG629" t="str">
            <v>ADET</v>
          </cell>
          <cell r="AH629">
            <v>58</v>
          </cell>
          <cell r="AI629" t="str">
            <v>CNY</v>
          </cell>
          <cell r="AJ629">
            <v>1204</v>
          </cell>
          <cell r="AK629" t="str">
            <v>TL</v>
          </cell>
          <cell r="AL629">
            <v>1</v>
          </cell>
          <cell r="AM629" t="str">
            <v>8684127508162</v>
          </cell>
          <cell r="AO629">
            <v>0</v>
          </cell>
          <cell r="AQ629">
            <v>14</v>
          </cell>
          <cell r="AR629" t="str">
            <v>CM</v>
          </cell>
          <cell r="AS629">
            <v>14</v>
          </cell>
          <cell r="AT629" t="str">
            <v>CM</v>
          </cell>
          <cell r="AU629">
            <v>0</v>
          </cell>
          <cell r="AW629">
            <v>0</v>
          </cell>
        </row>
        <row r="630">
          <cell r="B630" t="str">
            <v>H1C6JMEBCSR-060</v>
          </cell>
          <cell r="C630" t="str">
            <v>SOFYA AKRİLİK SARKIT 60cm</v>
          </cell>
          <cell r="D630" t="str">
            <v>SOFYA ACRYLIC PENDANT 60cm</v>
          </cell>
          <cell r="E630" t="str">
            <v xml:space="preserve">METAL AKRİLİK ESKİTME ŞEFFAF   </v>
          </cell>
          <cell r="F630" t="str">
            <v>9405.11.90.00.00</v>
          </cell>
          <cell r="G630" t="str">
            <v>AVİZE</v>
          </cell>
          <cell r="H630" t="str">
            <v>T1A6621100-60</v>
          </cell>
          <cell r="I630" t="str">
            <v>İÇ</v>
          </cell>
          <cell r="J630" t="str">
            <v>AVİZE.SARK</v>
          </cell>
          <cell r="K630" t="str">
            <v>SOFYA</v>
          </cell>
          <cell r="L630" t="str">
            <v/>
          </cell>
          <cell r="M630" t="str">
            <v>30.03.2026</v>
          </cell>
          <cell r="N630" t="str">
            <v>HKA-24126</v>
          </cell>
          <cell r="O630" t="str">
            <v>HEKA</v>
          </cell>
          <cell r="P630" t="str">
            <v>ADET</v>
          </cell>
          <cell r="Q630" t="str">
            <v>LED</v>
          </cell>
          <cell r="R630" t="str">
            <v>METAL</v>
          </cell>
          <cell r="S630" t="str">
            <v>ESKİTME</v>
          </cell>
          <cell r="T630" t="str">
            <v>AKRİLİK</v>
          </cell>
          <cell r="U630" t="str">
            <v>ŞEFFAF</v>
          </cell>
          <cell r="AD630" t="str">
            <v>DAİRE</v>
          </cell>
          <cell r="AF630">
            <v>2</v>
          </cell>
          <cell r="AG630" t="str">
            <v>ADET</v>
          </cell>
          <cell r="AH630">
            <v>100</v>
          </cell>
          <cell r="AI630" t="str">
            <v>CNY</v>
          </cell>
          <cell r="AJ630">
            <v>6690</v>
          </cell>
          <cell r="AK630" t="str">
            <v>TL</v>
          </cell>
          <cell r="AL630">
            <v>1</v>
          </cell>
          <cell r="AM630" t="str">
            <v>8684127507660</v>
          </cell>
          <cell r="AO630">
            <v>0</v>
          </cell>
          <cell r="AQ630">
            <v>0</v>
          </cell>
          <cell r="AR630" t="str">
            <v>CM</v>
          </cell>
          <cell r="AS630">
            <v>0</v>
          </cell>
          <cell r="AT630" t="str">
            <v>CM</v>
          </cell>
          <cell r="AU630">
            <v>0</v>
          </cell>
          <cell r="AW630">
            <v>0</v>
          </cell>
        </row>
        <row r="631">
          <cell r="B631" t="str">
            <v>H1C6JMEBCSR-120</v>
          </cell>
          <cell r="C631" t="str">
            <v>SOFYA AKRİLİK SARKIT 100cm</v>
          </cell>
          <cell r="D631" t="str">
            <v>SOFYA ACRYLIC PENDANT 100cm</v>
          </cell>
          <cell r="E631" t="str">
            <v xml:space="preserve">METAL AKRİLİK ESKİTME ŞEFFAF   </v>
          </cell>
          <cell r="F631" t="str">
            <v>9405.11.90.00.00</v>
          </cell>
          <cell r="G631" t="str">
            <v>AVİZE</v>
          </cell>
          <cell r="H631" t="str">
            <v>T1A6621100-99</v>
          </cell>
          <cell r="I631" t="str">
            <v>İÇ</v>
          </cell>
          <cell r="J631" t="str">
            <v>AVİZE.SARK</v>
          </cell>
          <cell r="K631" t="str">
            <v>SOFYA</v>
          </cell>
          <cell r="L631" t="str">
            <v/>
          </cell>
          <cell r="M631" t="str">
            <v>30.03.2026</v>
          </cell>
          <cell r="N631" t="str">
            <v>HKA-24128</v>
          </cell>
          <cell r="O631" t="str">
            <v>HEKA</v>
          </cell>
          <cell r="P631" t="str">
            <v>ADET</v>
          </cell>
          <cell r="Q631" t="str">
            <v>LED</v>
          </cell>
          <cell r="R631" t="str">
            <v>METAL</v>
          </cell>
          <cell r="S631" t="str">
            <v>ESKİTME</v>
          </cell>
          <cell r="T631" t="str">
            <v>AKRİLİK</v>
          </cell>
          <cell r="U631" t="str">
            <v>ŞEFFAF</v>
          </cell>
          <cell r="AD631" t="str">
            <v>DAİRE</v>
          </cell>
          <cell r="AF631">
            <v>2</v>
          </cell>
          <cell r="AG631" t="str">
            <v>ADET</v>
          </cell>
          <cell r="AH631">
            <v>195</v>
          </cell>
          <cell r="AI631" t="str">
            <v>CNY</v>
          </cell>
          <cell r="AJ631">
            <v>8475</v>
          </cell>
          <cell r="AK631" t="str">
            <v>TL</v>
          </cell>
          <cell r="AL631">
            <v>1</v>
          </cell>
          <cell r="AM631" t="str">
            <v>8684127507653</v>
          </cell>
          <cell r="AO631">
            <v>0</v>
          </cell>
          <cell r="AQ631">
            <v>0</v>
          </cell>
          <cell r="AR631" t="str">
            <v>CM</v>
          </cell>
          <cell r="AS631">
            <v>0</v>
          </cell>
          <cell r="AT631" t="str">
            <v>CM</v>
          </cell>
          <cell r="AU631">
            <v>0</v>
          </cell>
          <cell r="AW631">
            <v>0</v>
          </cell>
        </row>
        <row r="632">
          <cell r="B632" t="str">
            <v>01.020.00.04.06</v>
          </cell>
          <cell r="C632" t="str">
            <v>YUVARLAK TEPSİ ESKİTME 20cm</v>
          </cell>
          <cell r="D632" t="str">
            <v>BRUSHED BRASS ROUND TRAY 20cm</v>
          </cell>
          <cell r="E632" t="str">
            <v/>
          </cell>
          <cell r="F632" t="str">
            <v/>
          </cell>
          <cell r="G632" t="str">
            <v xml:space="preserve"> ZPARCA</v>
          </cell>
          <cell r="H632" t="str">
            <v>01.020.00.04.06</v>
          </cell>
          <cell r="I632" t="str">
            <v>İÇ</v>
          </cell>
          <cell r="J632" t="str">
            <v>ZPARCA</v>
          </cell>
          <cell r="K632" t="str">
            <v/>
          </cell>
          <cell r="L632" t="str">
            <v/>
          </cell>
          <cell r="M632" t="str">
            <v>ÜRTM:15GÜN</v>
          </cell>
          <cell r="N632" t="str">
            <v/>
          </cell>
          <cell r="O632" t="str">
            <v>HEKA</v>
          </cell>
          <cell r="P632" t="str">
            <v>ADET</v>
          </cell>
          <cell r="R632" t="str">
            <v>METAL</v>
          </cell>
          <cell r="S632" t="str">
            <v>ESKİTME</v>
          </cell>
          <cell r="AF632">
            <v>23</v>
          </cell>
          <cell r="AG632" t="str">
            <v>ADET</v>
          </cell>
          <cell r="AH632">
            <v>13</v>
          </cell>
          <cell r="AI632" t="str">
            <v>CNY</v>
          </cell>
          <cell r="AJ632">
            <v>1050</v>
          </cell>
          <cell r="AK632" t="str">
            <v>TL</v>
          </cell>
          <cell r="AL632">
            <v>1</v>
          </cell>
          <cell r="AM632" t="str">
            <v>01.020.00.04.06</v>
          </cell>
          <cell r="AO632">
            <v>0</v>
          </cell>
          <cell r="AQ632">
            <v>0</v>
          </cell>
          <cell r="AS632">
            <v>100</v>
          </cell>
          <cell r="AU632">
            <v>0</v>
          </cell>
          <cell r="AW632">
            <v>0</v>
          </cell>
        </row>
        <row r="633">
          <cell r="B633" t="str">
            <v>F1C5DRGAAWL-060</v>
          </cell>
          <cell r="C633" t="str">
            <v>TOCHI BIG AHSAP-BETON GU10 SARKIT</v>
          </cell>
          <cell r="D633" t="str">
            <v>TOCHI BIG WOOD-CONCRETE GU10 PENDANT</v>
          </cell>
          <cell r="E633" t="str">
            <v xml:space="preserve">BETON AHŞAP GRİ WENGE   </v>
          </cell>
          <cell r="F633" t="str">
            <v>9405.19.90.00.00</v>
          </cell>
          <cell r="G633" t="str">
            <v>AVİZE</v>
          </cell>
          <cell r="H633" t="str">
            <v>F1A574C200-60</v>
          </cell>
          <cell r="I633" t="str">
            <v>İÇ</v>
          </cell>
          <cell r="J633" t="str">
            <v>AVİZE.SARK</v>
          </cell>
          <cell r="K633" t="str">
            <v>TOCHI</v>
          </cell>
          <cell r="L633" t="str">
            <v/>
          </cell>
          <cell r="M633" t="str">
            <v>ÜRTM:15GÜN</v>
          </cell>
          <cell r="N633" t="str">
            <v>1012-GU10</v>
          </cell>
          <cell r="O633" t="str">
            <v>ISHI</v>
          </cell>
          <cell r="P633" t="str">
            <v>ADET</v>
          </cell>
          <cell r="Q633" t="str">
            <v>GU10</v>
          </cell>
          <cell r="R633" t="str">
            <v>BETON</v>
          </cell>
          <cell r="S633" t="str">
            <v>GRİ</v>
          </cell>
          <cell r="T633" t="str">
            <v>AHŞAP</v>
          </cell>
          <cell r="U633" t="str">
            <v>WENGE</v>
          </cell>
          <cell r="AD633" t="str">
            <v>DÜZ</v>
          </cell>
          <cell r="AE633" t="str">
            <v>02</v>
          </cell>
          <cell r="AF633">
            <v>0</v>
          </cell>
          <cell r="AG633" t="str">
            <v>ADET</v>
          </cell>
          <cell r="AH633">
            <v>1207.5</v>
          </cell>
          <cell r="AI633" t="str">
            <v>TL</v>
          </cell>
          <cell r="AJ633">
            <v>6425</v>
          </cell>
          <cell r="AK633" t="str">
            <v>TL</v>
          </cell>
          <cell r="AL633">
            <v>1</v>
          </cell>
          <cell r="AM633" t="str">
            <v>8684127507622</v>
          </cell>
          <cell r="AO633">
            <v>0</v>
          </cell>
          <cell r="AQ633">
            <v>60</v>
          </cell>
          <cell r="AR633" t="str">
            <v>CM</v>
          </cell>
          <cell r="AS633">
            <v>8</v>
          </cell>
          <cell r="AT633" t="str">
            <v>CM</v>
          </cell>
          <cell r="AU633">
            <v>0</v>
          </cell>
          <cell r="AW633">
            <v>0</v>
          </cell>
        </row>
        <row r="634">
          <cell r="B634" t="str">
            <v>F1W2DRGAAWL-044</v>
          </cell>
          <cell r="C634" t="str">
            <v>TOCHI AHŞAP-BETON E27 WALL LAMP</v>
          </cell>
          <cell r="D634" t="str">
            <v>TOCHI WOOD-CONCRETE E27 WALL LAMP</v>
          </cell>
          <cell r="E634" t="str">
            <v>BETON AHŞAP GRİ WENGE</v>
          </cell>
          <cell r="F634" t="str">
            <v>9405.19.90.00.00</v>
          </cell>
          <cell r="G634" t="str">
            <v>APLİK</v>
          </cell>
          <cell r="H634" t="str">
            <v>F1W174C200-44</v>
          </cell>
          <cell r="I634" t="str">
            <v>İÇ</v>
          </cell>
          <cell r="J634" t="str">
            <v>APLİK</v>
          </cell>
          <cell r="K634" t="str">
            <v>TOCHI</v>
          </cell>
          <cell r="L634" t="str">
            <v/>
          </cell>
          <cell r="M634" t="str">
            <v>ÜRTM:15GÜN</v>
          </cell>
          <cell r="N634" t="str">
            <v>1013-E27</v>
          </cell>
          <cell r="O634" t="str">
            <v>ISHI</v>
          </cell>
          <cell r="P634" t="str">
            <v>ADET</v>
          </cell>
          <cell r="Q634" t="str">
            <v>E27</v>
          </cell>
          <cell r="R634" t="str">
            <v>BETON</v>
          </cell>
          <cell r="S634" t="str">
            <v>GRİ</v>
          </cell>
          <cell r="T634" t="str">
            <v>AHŞAP</v>
          </cell>
          <cell r="U634" t="str">
            <v>WENGE</v>
          </cell>
          <cell r="AD634" t="str">
            <v>DÜZ</v>
          </cell>
          <cell r="AE634" t="str">
            <v>01</v>
          </cell>
          <cell r="AF634">
            <v>1</v>
          </cell>
          <cell r="AG634" t="str">
            <v>ADET</v>
          </cell>
          <cell r="AH634">
            <v>1138.5</v>
          </cell>
          <cell r="AI634" t="str">
            <v>TL</v>
          </cell>
          <cell r="AJ634">
            <v>5830</v>
          </cell>
          <cell r="AK634" t="str">
            <v>TL</v>
          </cell>
          <cell r="AL634">
            <v>1</v>
          </cell>
          <cell r="AM634" t="str">
            <v>8684127507639</v>
          </cell>
          <cell r="AO634">
            <v>0</v>
          </cell>
          <cell r="AQ634">
            <v>44</v>
          </cell>
          <cell r="AR634" t="str">
            <v>CM</v>
          </cell>
          <cell r="AS634">
            <v>18</v>
          </cell>
          <cell r="AT634" t="str">
            <v>CM</v>
          </cell>
          <cell r="AU634">
            <v>0</v>
          </cell>
          <cell r="AW634">
            <v>0</v>
          </cell>
        </row>
        <row r="635">
          <cell r="B635" t="str">
            <v>F1C1DRGAAWL-035</v>
          </cell>
          <cell r="C635" t="str">
            <v>TOCHI LONG WENGE AHSAP-BETON E14 SARKIT</v>
          </cell>
          <cell r="D635" t="str">
            <v>TOCHI LONG WENGE WOOD-CONCRETE E14 PENDANT</v>
          </cell>
          <cell r="E635" t="str">
            <v xml:space="preserve">BETON AHŞAP GRİ WENGE   </v>
          </cell>
          <cell r="F635" t="str">
            <v>9405.19.90.00.00</v>
          </cell>
          <cell r="G635" t="str">
            <v>AVİZE</v>
          </cell>
          <cell r="H635" t="str">
            <v>F1A174C200-35</v>
          </cell>
          <cell r="I635" t="str">
            <v>İÇ</v>
          </cell>
          <cell r="J635" t="str">
            <v>AVİZE.SARK</v>
          </cell>
          <cell r="K635" t="str">
            <v>TOCHI</v>
          </cell>
          <cell r="L635" t="str">
            <v/>
          </cell>
          <cell r="M635" t="str">
            <v>ÜRTM:15GÜN</v>
          </cell>
          <cell r="N635" t="str">
            <v>1010-E14</v>
          </cell>
          <cell r="O635" t="str">
            <v>ISHI</v>
          </cell>
          <cell r="P635" t="str">
            <v>ADET</v>
          </cell>
          <cell r="Q635" t="str">
            <v>E14</v>
          </cell>
          <cell r="R635" t="str">
            <v>BETON</v>
          </cell>
          <cell r="S635" t="str">
            <v>GRİ</v>
          </cell>
          <cell r="T635" t="str">
            <v>AHŞAP</v>
          </cell>
          <cell r="U635" t="str">
            <v>WENGE</v>
          </cell>
          <cell r="AD635" t="str">
            <v>DÜZ</v>
          </cell>
          <cell r="AE635" t="str">
            <v>02</v>
          </cell>
          <cell r="AF635">
            <v>0</v>
          </cell>
          <cell r="AG635" t="str">
            <v>ADET</v>
          </cell>
          <cell r="AH635">
            <v>1046.5</v>
          </cell>
          <cell r="AI635" t="str">
            <v>TL</v>
          </cell>
          <cell r="AJ635">
            <v>1270</v>
          </cell>
          <cell r="AK635" t="str">
            <v>TL</v>
          </cell>
          <cell r="AL635">
            <v>1</v>
          </cell>
          <cell r="AM635" t="str">
            <v>8684127508711</v>
          </cell>
          <cell r="AO635">
            <v>0</v>
          </cell>
          <cell r="AQ635">
            <v>35</v>
          </cell>
          <cell r="AR635" t="str">
            <v>CM</v>
          </cell>
          <cell r="AS635">
            <v>15</v>
          </cell>
          <cell r="AT635" t="str">
            <v>CM</v>
          </cell>
          <cell r="AU635">
            <v>0</v>
          </cell>
          <cell r="AW635">
            <v>0</v>
          </cell>
        </row>
        <row r="636">
          <cell r="B636" t="str">
            <v>H1C6JMGJRSU-021</v>
          </cell>
          <cell r="C636" t="str">
            <v>ODESSA LED ALTIN-SİYAH SARKIT</v>
          </cell>
          <cell r="D636" t="str">
            <v>ODESSA LED GOLD-BLACK PENDANT</v>
          </cell>
          <cell r="E636" t="str">
            <v xml:space="preserve">METAL METAL GOLD SİYAH   </v>
          </cell>
          <cell r="F636" t="str">
            <v>9405.11.90.00.00</v>
          </cell>
          <cell r="G636" t="str">
            <v>AVİZE</v>
          </cell>
          <cell r="H636" t="str">
            <v>T1A5A2A500-23</v>
          </cell>
          <cell r="I636" t="str">
            <v>İÇ</v>
          </cell>
          <cell r="J636" t="str">
            <v>AVİZE.SARK</v>
          </cell>
          <cell r="K636" t="str">
            <v>ODESSA</v>
          </cell>
          <cell r="L636" t="str">
            <v/>
          </cell>
          <cell r="M636" t="str">
            <v/>
          </cell>
          <cell r="N636" t="str">
            <v>HKA-24330</v>
          </cell>
          <cell r="O636" t="str">
            <v>HEKA</v>
          </cell>
          <cell r="P636" t="str">
            <v>ADET</v>
          </cell>
          <cell r="Q636" t="str">
            <v>LED</v>
          </cell>
          <cell r="R636" t="str">
            <v>METAL</v>
          </cell>
          <cell r="S636" t="str">
            <v>GOLD</v>
          </cell>
          <cell r="T636" t="str">
            <v>METAL</v>
          </cell>
          <cell r="U636" t="str">
            <v>SİYAH</v>
          </cell>
          <cell r="AD636" t="str">
            <v>ÜÇGEN</v>
          </cell>
          <cell r="AE636" t="str">
            <v>01</v>
          </cell>
          <cell r="AF636">
            <v>0</v>
          </cell>
          <cell r="AG636" t="str">
            <v>ADET</v>
          </cell>
          <cell r="AH636">
            <v>67</v>
          </cell>
          <cell r="AI636" t="str">
            <v>CNY</v>
          </cell>
          <cell r="AJ636">
            <v>4690</v>
          </cell>
          <cell r="AK636" t="str">
            <v>TL</v>
          </cell>
          <cell r="AL636">
            <v>1</v>
          </cell>
          <cell r="AM636" t="str">
            <v>8684127508223</v>
          </cell>
          <cell r="AO636">
            <v>0</v>
          </cell>
          <cell r="AQ636">
            <v>21</v>
          </cell>
          <cell r="AR636" t="str">
            <v>CM</v>
          </cell>
          <cell r="AS636">
            <v>8</v>
          </cell>
          <cell r="AT636" t="str">
            <v>CM</v>
          </cell>
          <cell r="AU636">
            <v>0</v>
          </cell>
          <cell r="AW636">
            <v>0</v>
          </cell>
        </row>
        <row r="637">
          <cell r="B637" t="str">
            <v>H1C6JMELCSR-060</v>
          </cell>
          <cell r="C637" t="str">
            <v>MADRİD SALON AVİZE 10 LU</v>
          </cell>
          <cell r="D637" t="str">
            <v>MADRİD LIVING ROOM CHANDELIER 10 BULB</v>
          </cell>
          <cell r="E637" t="str">
            <v xml:space="preserve">METAL PLEKSİ ESKİTME ŞEFFAF   </v>
          </cell>
          <cell r="F637" t="str">
            <v>9405.11.90.00.00</v>
          </cell>
          <cell r="G637" t="str">
            <v>AVİZE</v>
          </cell>
          <cell r="H637" t="str">
            <v>T1A6111100-65</v>
          </cell>
          <cell r="I637" t="str">
            <v>İÇ</v>
          </cell>
          <cell r="J637" t="str">
            <v>AVİZE.AVİZ</v>
          </cell>
          <cell r="K637" t="str">
            <v>MADRİD</v>
          </cell>
          <cell r="L637" t="str">
            <v/>
          </cell>
          <cell r="M637" t="str">
            <v/>
          </cell>
          <cell r="N637" t="str">
            <v>MD6312-10Y</v>
          </cell>
          <cell r="O637" t="str">
            <v>HEKA</v>
          </cell>
          <cell r="P637" t="str">
            <v>ADET</v>
          </cell>
          <cell r="Q637" t="str">
            <v>LED</v>
          </cell>
          <cell r="R637" t="str">
            <v>METAL</v>
          </cell>
          <cell r="S637" t="str">
            <v>ESKİTME</v>
          </cell>
          <cell r="T637" t="str">
            <v>PLEKSİ</v>
          </cell>
          <cell r="U637" t="str">
            <v>ŞEFFAF</v>
          </cell>
          <cell r="AD637" t="str">
            <v>DAİRE</v>
          </cell>
          <cell r="AE637" t="str">
            <v>01</v>
          </cell>
          <cell r="AF637">
            <v>0</v>
          </cell>
          <cell r="AG637" t="str">
            <v>ADET</v>
          </cell>
          <cell r="AH637">
            <v>420</v>
          </cell>
          <cell r="AI637" t="str">
            <v>CNY</v>
          </cell>
          <cell r="AJ637">
            <v>50250</v>
          </cell>
          <cell r="AK637" t="str">
            <v>TL</v>
          </cell>
          <cell r="AL637">
            <v>1</v>
          </cell>
          <cell r="AM637" t="str">
            <v>8684127509077</v>
          </cell>
          <cell r="AO637">
            <v>0</v>
          </cell>
          <cell r="AQ637">
            <v>0</v>
          </cell>
          <cell r="AR637" t="str">
            <v>CM</v>
          </cell>
          <cell r="AS637">
            <v>0</v>
          </cell>
          <cell r="AT637" t="str">
            <v>CM</v>
          </cell>
          <cell r="AU637">
            <v>0</v>
          </cell>
          <cell r="AW637">
            <v>0</v>
          </cell>
        </row>
        <row r="638">
          <cell r="B638" t="str">
            <v>H1C6JMEERFR-030</v>
          </cell>
          <cell r="C638" t="str">
            <v>VİYANA FÜME CAM SARKIT 30cm</v>
          </cell>
          <cell r="D638" t="str">
            <v>VIYANA SMOKY GLASS PENDANT 30cm</v>
          </cell>
          <cell r="E638" t="str">
            <v xml:space="preserve">METAL CAM  ESKİTME FÜME   </v>
          </cell>
          <cell r="F638" t="str">
            <v>9405.11.90.00.00</v>
          </cell>
          <cell r="G638" t="str">
            <v>AVİZE</v>
          </cell>
          <cell r="H638" t="str">
            <v>T1A6221100-30</v>
          </cell>
          <cell r="I638" t="str">
            <v>İÇ</v>
          </cell>
          <cell r="J638" t="str">
            <v>AVİZE.SARK</v>
          </cell>
          <cell r="K638" t="str">
            <v>VİYANA</v>
          </cell>
          <cell r="L638" t="str">
            <v/>
          </cell>
          <cell r="M638" t="str">
            <v>15.02.2026</v>
          </cell>
          <cell r="N638" t="str">
            <v>HKA-24136</v>
          </cell>
          <cell r="O638" t="str">
            <v>HEKA</v>
          </cell>
          <cell r="P638" t="str">
            <v>ADET</v>
          </cell>
          <cell r="Q638" t="str">
            <v>PERİ LED</v>
          </cell>
          <cell r="R638" t="str">
            <v>METAL</v>
          </cell>
          <cell r="S638" t="str">
            <v>ESKİTME</v>
          </cell>
          <cell r="T638" t="str">
            <v>CAM</v>
          </cell>
          <cell r="U638" t="str">
            <v>FÜME</v>
          </cell>
          <cell r="AD638" t="str">
            <v>DAİRE</v>
          </cell>
          <cell r="AF638">
            <v>105</v>
          </cell>
          <cell r="AG638" t="str">
            <v>ADET</v>
          </cell>
          <cell r="AH638">
            <v>63.75</v>
          </cell>
          <cell r="AI638" t="str">
            <v>CNY</v>
          </cell>
          <cell r="AJ638">
            <v>4284</v>
          </cell>
          <cell r="AK638" t="str">
            <v>TL</v>
          </cell>
          <cell r="AL638">
            <v>1</v>
          </cell>
          <cell r="AM638" t="str">
            <v>8684127502771</v>
          </cell>
          <cell r="AO638">
            <v>0</v>
          </cell>
          <cell r="AQ638">
            <v>0</v>
          </cell>
          <cell r="AR638" t="str">
            <v>CM</v>
          </cell>
          <cell r="AS638">
            <v>0</v>
          </cell>
          <cell r="AT638" t="str">
            <v>CM</v>
          </cell>
          <cell r="AU638">
            <v>0</v>
          </cell>
          <cell r="AW638">
            <v>0</v>
          </cell>
        </row>
        <row r="639">
          <cell r="B639" t="str">
            <v>H1C6JMEECTR-071</v>
          </cell>
          <cell r="C639" t="str">
            <v>TOKYO ÜÇ CAMLI OPAL SARKIT</v>
          </cell>
          <cell r="D639" t="str">
            <v>TOKYO 3 GLASS OPAL PENDANT</v>
          </cell>
          <cell r="E639" t="str">
            <v xml:space="preserve">METAL CAM  ESKİTME SOFT   </v>
          </cell>
          <cell r="F639" t="str">
            <v>9405.11.90.00.00</v>
          </cell>
          <cell r="G639" t="str">
            <v>AVİZE</v>
          </cell>
          <cell r="H639" t="str">
            <v>T1A6211100-03</v>
          </cell>
          <cell r="I639" t="str">
            <v>İÇ</v>
          </cell>
          <cell r="J639" t="str">
            <v>AVİZE.SARK</v>
          </cell>
          <cell r="K639" t="str">
            <v>TOKYO</v>
          </cell>
          <cell r="L639" t="str">
            <v/>
          </cell>
          <cell r="M639" t="str">
            <v/>
          </cell>
          <cell r="N639" t="str">
            <v>L20007</v>
          </cell>
          <cell r="O639" t="str">
            <v>HEKA</v>
          </cell>
          <cell r="P639" t="str">
            <v>ADET</v>
          </cell>
          <cell r="Q639" t="str">
            <v>LED</v>
          </cell>
          <cell r="R639" t="str">
            <v>METAL</v>
          </cell>
          <cell r="S639" t="str">
            <v>ESKİTME</v>
          </cell>
          <cell r="T639" t="str">
            <v>CAM</v>
          </cell>
          <cell r="U639" t="str">
            <v>SOFT</v>
          </cell>
          <cell r="AD639" t="str">
            <v>DAİRE</v>
          </cell>
          <cell r="AE639" t="str">
            <v>01</v>
          </cell>
          <cell r="AF639">
            <v>0</v>
          </cell>
          <cell r="AG639" t="str">
            <v>ADET</v>
          </cell>
          <cell r="AH639">
            <v>180</v>
          </cell>
          <cell r="AI639" t="str">
            <v>CNY</v>
          </cell>
          <cell r="AJ639">
            <v>3150</v>
          </cell>
          <cell r="AK639" t="str">
            <v>TL</v>
          </cell>
          <cell r="AL639">
            <v>1</v>
          </cell>
          <cell r="AM639" t="str">
            <v>8684127509022</v>
          </cell>
          <cell r="AO639">
            <v>0</v>
          </cell>
          <cell r="AQ639">
            <v>70</v>
          </cell>
          <cell r="AR639" t="str">
            <v>CM</v>
          </cell>
          <cell r="AS639">
            <v>30</v>
          </cell>
          <cell r="AT639" t="str">
            <v>CM</v>
          </cell>
          <cell r="AU639">
            <v>0</v>
          </cell>
          <cell r="AW639">
            <v>0</v>
          </cell>
        </row>
        <row r="640">
          <cell r="B640" t="str">
            <v>H1C6JMEECTR-100</v>
          </cell>
          <cell r="C640" t="str">
            <v>TOKYO DÖRT CAMLI OPAL SARKIT</v>
          </cell>
          <cell r="D640" t="str">
            <v>TOKYO FOUR GLASS OPAL PENDANT</v>
          </cell>
          <cell r="E640" t="str">
            <v xml:space="preserve">METAL CAM  ESKİTME SOFT   </v>
          </cell>
          <cell r="F640" t="str">
            <v>9405.11.90.00.00</v>
          </cell>
          <cell r="G640" t="str">
            <v>AVİZE</v>
          </cell>
          <cell r="H640" t="str">
            <v>T1A6211100-04</v>
          </cell>
          <cell r="I640" t="str">
            <v>İÇ</v>
          </cell>
          <cell r="J640" t="str">
            <v>AVİZE.SARK</v>
          </cell>
          <cell r="K640" t="str">
            <v>TOKYO</v>
          </cell>
          <cell r="L640" t="str">
            <v/>
          </cell>
          <cell r="M640" t="str">
            <v/>
          </cell>
          <cell r="N640" t="str">
            <v>L20024</v>
          </cell>
          <cell r="O640" t="str">
            <v>HEKA</v>
          </cell>
          <cell r="P640" t="str">
            <v>ADET</v>
          </cell>
          <cell r="Q640" t="str">
            <v>LED</v>
          </cell>
          <cell r="R640" t="str">
            <v>METAL</v>
          </cell>
          <cell r="S640" t="str">
            <v>ESKİTME</v>
          </cell>
          <cell r="T640" t="str">
            <v>CAM</v>
          </cell>
          <cell r="U640" t="str">
            <v>SOFT</v>
          </cell>
          <cell r="AD640" t="str">
            <v>DAİRE</v>
          </cell>
          <cell r="AE640" t="str">
            <v>01</v>
          </cell>
          <cell r="AF640">
            <v>0</v>
          </cell>
          <cell r="AG640" t="str">
            <v>ADET</v>
          </cell>
          <cell r="AH640">
            <v>268</v>
          </cell>
          <cell r="AI640" t="str">
            <v>CNY</v>
          </cell>
          <cell r="AJ640">
            <v>4500</v>
          </cell>
          <cell r="AK640" t="str">
            <v>TL</v>
          </cell>
          <cell r="AL640">
            <v>1</v>
          </cell>
          <cell r="AM640" t="str">
            <v>8684127509046</v>
          </cell>
          <cell r="AO640">
            <v>0</v>
          </cell>
          <cell r="AQ640">
            <v>100</v>
          </cell>
          <cell r="AR640" t="str">
            <v>CM</v>
          </cell>
          <cell r="AS640">
            <v>37</v>
          </cell>
          <cell r="AT640" t="str">
            <v>CM</v>
          </cell>
          <cell r="AU640">
            <v>0</v>
          </cell>
          <cell r="AW640">
            <v>0</v>
          </cell>
        </row>
        <row r="641">
          <cell r="B641" t="str">
            <v>CP1F2P4M2F5N0</v>
          </cell>
          <cell r="C641" t="str">
            <v>ERD-256 T37 OPAL 7W 3000K E14 LED AMPUL</v>
          </cell>
          <cell r="D641" t="str">
            <v>ERD-256 T37 OPAL 7W 3000K E14 LED BULB</v>
          </cell>
          <cell r="E641" t="str">
            <v>PLASTİK METAL OPAL SMD LED DIMMSIZ T37</v>
          </cell>
          <cell r="F641" t="str">
            <v>8539.52.00.00.00</v>
          </cell>
          <cell r="G641" t="str">
            <v>AMPUL</v>
          </cell>
          <cell r="H641" t="str">
            <v>ERD-256</v>
          </cell>
          <cell r="I641" t="str">
            <v>İÇ</v>
          </cell>
          <cell r="J641" t="str">
            <v>AMPUL</v>
          </cell>
          <cell r="K641" t="str">
            <v>ERD-256</v>
          </cell>
          <cell r="L641" t="str">
            <v/>
          </cell>
          <cell r="M641" t="str">
            <v/>
          </cell>
          <cell r="N641" t="str">
            <v>ERD-256</v>
          </cell>
          <cell r="O641" t="str">
            <v>HEKA</v>
          </cell>
          <cell r="P641" t="str">
            <v>ADET</v>
          </cell>
          <cell r="Q641" t="str">
            <v>E14</v>
          </cell>
          <cell r="R641" t="str">
            <v>PLASTİK</v>
          </cell>
          <cell r="S641" t="str">
            <v>OPAL</v>
          </cell>
          <cell r="T641" t="str">
            <v>METAL</v>
          </cell>
          <cell r="V641" t="str">
            <v>F</v>
          </cell>
          <cell r="W641" t="str">
            <v>SMD LED</v>
          </cell>
          <cell r="X641" t="str">
            <v>220V</v>
          </cell>
          <cell r="Y641" t="str">
            <v>7 WATT</v>
          </cell>
          <cell r="Z641" t="str">
            <v>3000 K</v>
          </cell>
          <cell r="AA641" t="str">
            <v>DIMMSIZ</v>
          </cell>
          <cell r="AB641" t="str">
            <v>601-700</v>
          </cell>
          <cell r="AC641" t="str">
            <v>T37</v>
          </cell>
          <cell r="AD641" t="str">
            <v>N/A</v>
          </cell>
          <cell r="AF641">
            <v>41</v>
          </cell>
          <cell r="AG641" t="str">
            <v>ADET</v>
          </cell>
          <cell r="AH641">
            <v>0.435</v>
          </cell>
          <cell r="AI641" t="str">
            <v>USD</v>
          </cell>
          <cell r="AJ641">
            <v>1.6</v>
          </cell>
          <cell r="AK641" t="str">
            <v>USD</v>
          </cell>
          <cell r="AL641">
            <v>1</v>
          </cell>
          <cell r="AM641" t="str">
            <v>8684127504003</v>
          </cell>
          <cell r="AN641" t="str">
            <v>8684127500470</v>
          </cell>
          <cell r="AO641">
            <v>0</v>
          </cell>
          <cell r="AQ641">
            <v>3.5</v>
          </cell>
          <cell r="AR641" t="str">
            <v>CM</v>
          </cell>
          <cell r="AS641">
            <v>3.5</v>
          </cell>
          <cell r="AT641" t="str">
            <v>CM</v>
          </cell>
          <cell r="AU641">
            <v>0</v>
          </cell>
          <cell r="AW641">
            <v>0</v>
          </cell>
        </row>
        <row r="642">
          <cell r="B642" t="str">
            <v>CP1F2P4M2F8N0</v>
          </cell>
          <cell r="C642" t="str">
            <v>ERD-257 T37 OPAL 7W 6500K E14 LED AMPUL</v>
          </cell>
          <cell r="D642" t="str">
            <v>ERD-257 T37 OPAL 7W 6500K E14 LED BULB</v>
          </cell>
          <cell r="E642" t="str">
            <v>PLASTİK METAL OPAL SMD LED DIMMSIZ T37</v>
          </cell>
          <cell r="F642" t="str">
            <v>8539.52.00.00.00</v>
          </cell>
          <cell r="G642" t="str">
            <v>AMPUL</v>
          </cell>
          <cell r="H642" t="str">
            <v>ERD-257</v>
          </cell>
          <cell r="I642" t="str">
            <v>İÇ</v>
          </cell>
          <cell r="J642" t="str">
            <v>AMPUL</v>
          </cell>
          <cell r="K642" t="str">
            <v>ERD-257</v>
          </cell>
          <cell r="L642" t="str">
            <v/>
          </cell>
          <cell r="M642" t="str">
            <v/>
          </cell>
          <cell r="N642" t="str">
            <v>ERD-257</v>
          </cell>
          <cell r="O642" t="str">
            <v>HEKA</v>
          </cell>
          <cell r="P642" t="str">
            <v>ADET</v>
          </cell>
          <cell r="Q642" t="str">
            <v>E14</v>
          </cell>
          <cell r="R642" t="str">
            <v>PLASTİK</v>
          </cell>
          <cell r="S642" t="str">
            <v>OPAL</v>
          </cell>
          <cell r="T642" t="str">
            <v>METAL</v>
          </cell>
          <cell r="V642" t="str">
            <v>F</v>
          </cell>
          <cell r="W642" t="str">
            <v>SMD LED</v>
          </cell>
          <cell r="X642" t="str">
            <v>220V</v>
          </cell>
          <cell r="Y642" t="str">
            <v>7 WATT</v>
          </cell>
          <cell r="Z642" t="str">
            <v>6500 K</v>
          </cell>
          <cell r="AA642" t="str">
            <v>DIMMSIZ</v>
          </cell>
          <cell r="AB642" t="str">
            <v>601-700</v>
          </cell>
          <cell r="AC642" t="str">
            <v>T37</v>
          </cell>
          <cell r="AD642" t="str">
            <v>N/A</v>
          </cell>
          <cell r="AF642">
            <v>13</v>
          </cell>
          <cell r="AG642" t="str">
            <v>ADET</v>
          </cell>
          <cell r="AH642">
            <v>0.435</v>
          </cell>
          <cell r="AI642" t="str">
            <v>USD</v>
          </cell>
          <cell r="AJ642">
            <v>1.6</v>
          </cell>
          <cell r="AK642" t="str">
            <v>USD</v>
          </cell>
          <cell r="AL642">
            <v>1</v>
          </cell>
          <cell r="AM642" t="str">
            <v>8684127504010</v>
          </cell>
          <cell r="AN642" t="str">
            <v>8684127500555</v>
          </cell>
          <cell r="AO642">
            <v>0</v>
          </cell>
          <cell r="AQ642">
            <v>3.5</v>
          </cell>
          <cell r="AR642" t="str">
            <v>CM</v>
          </cell>
          <cell r="AS642">
            <v>3.5</v>
          </cell>
          <cell r="AT642" t="str">
            <v>CM</v>
          </cell>
          <cell r="AU642">
            <v>0</v>
          </cell>
          <cell r="AW642">
            <v>0</v>
          </cell>
        </row>
        <row r="643">
          <cell r="B643" t="str">
            <v>H1W1JMEWRB0-062</v>
          </cell>
          <cell r="C643" t="str">
            <v>ARDIÇ ESKİTME APLİK BÜYÜK</v>
          </cell>
          <cell r="D643" t="str">
            <v>ARDIÇ BRUSHED BRASS WALL LAMP BIG</v>
          </cell>
          <cell r="E643" t="str">
            <v>METAL MERMER ESKİTME BEYAZ</v>
          </cell>
          <cell r="F643" t="str">
            <v>9405.19.90.00.00</v>
          </cell>
          <cell r="G643" t="str">
            <v>APLİK</v>
          </cell>
          <cell r="H643" t="str">
            <v>T1W1113100-62</v>
          </cell>
          <cell r="I643" t="str">
            <v>İÇ</v>
          </cell>
          <cell r="J643" t="str">
            <v>APLİK</v>
          </cell>
          <cell r="K643" t="str">
            <v>ARDIÇ</v>
          </cell>
          <cell r="L643" t="str">
            <v/>
          </cell>
          <cell r="M643" t="str">
            <v/>
          </cell>
          <cell r="N643" t="str">
            <v>002-BR-B</v>
          </cell>
          <cell r="O643" t="str">
            <v>HEKA</v>
          </cell>
          <cell r="P643" t="str">
            <v>ADET</v>
          </cell>
          <cell r="Q643" t="str">
            <v>E14</v>
          </cell>
          <cell r="R643" t="str">
            <v>METAL</v>
          </cell>
          <cell r="S643" t="str">
            <v>ESKİTME</v>
          </cell>
          <cell r="T643" t="str">
            <v>MERMER</v>
          </cell>
          <cell r="U643" t="str">
            <v>BEYAZ</v>
          </cell>
          <cell r="AD643" t="str">
            <v>N/A</v>
          </cell>
          <cell r="AE643" t="str">
            <v>01</v>
          </cell>
          <cell r="AF643">
            <v>1</v>
          </cell>
          <cell r="AG643" t="str">
            <v>ADET</v>
          </cell>
          <cell r="AH643">
            <v>500</v>
          </cell>
          <cell r="AI643" t="str">
            <v>TL</v>
          </cell>
          <cell r="AJ643">
            <v>5610</v>
          </cell>
          <cell r="AK643" t="str">
            <v>TL</v>
          </cell>
          <cell r="AL643">
            <v>1</v>
          </cell>
          <cell r="AM643" t="str">
            <v>8684127501507</v>
          </cell>
          <cell r="AO643">
            <v>0</v>
          </cell>
          <cell r="AQ643">
            <v>62</v>
          </cell>
          <cell r="AR643" t="str">
            <v>CM</v>
          </cell>
          <cell r="AS643">
            <v>14</v>
          </cell>
          <cell r="AT643" t="str">
            <v>CM</v>
          </cell>
          <cell r="AU643">
            <v>0</v>
          </cell>
          <cell r="AW643">
            <v>0</v>
          </cell>
        </row>
        <row r="644">
          <cell r="B644" t="str">
            <v>H1C2JMEECT0-015</v>
          </cell>
          <cell r="C644" t="str">
            <v>BERDE PİRİNÇ ESKİTME SARKIT 15cm</v>
          </cell>
          <cell r="D644" t="str">
            <v>BERDE BRUSHED BRASS PENDANT 15cm</v>
          </cell>
          <cell r="E644" t="str">
            <v>METAL CAM ESKİTME SOFT</v>
          </cell>
          <cell r="F644" t="str">
            <v>9405.19.90.00.00</v>
          </cell>
          <cell r="G644" t="str">
            <v>AVİZE</v>
          </cell>
          <cell r="H644" t="str">
            <v>H1A2112010-15</v>
          </cell>
          <cell r="I644" t="str">
            <v>İÇ</v>
          </cell>
          <cell r="J644" t="str">
            <v>AVİZE.SARK</v>
          </cell>
          <cell r="K644" t="str">
            <v>BERDE</v>
          </cell>
          <cell r="L644" t="str">
            <v/>
          </cell>
          <cell r="M644" t="str">
            <v/>
          </cell>
          <cell r="N644" t="str">
            <v/>
          </cell>
          <cell r="O644" t="str">
            <v>HEKA</v>
          </cell>
          <cell r="P644" t="str">
            <v>ADET</v>
          </cell>
          <cell r="Q644" t="str">
            <v>E27</v>
          </cell>
          <cell r="R644" t="str">
            <v>METAL</v>
          </cell>
          <cell r="S644" t="str">
            <v>ESKİTME</v>
          </cell>
          <cell r="T644" t="str">
            <v>CAM</v>
          </cell>
          <cell r="U644" t="str">
            <v>SOFT</v>
          </cell>
          <cell r="AD644" t="str">
            <v>N/A</v>
          </cell>
          <cell r="AE644" t="str">
            <v>02</v>
          </cell>
          <cell r="AF644">
            <v>0</v>
          </cell>
          <cell r="AG644" t="str">
            <v>ADET</v>
          </cell>
          <cell r="AH644">
            <v>300</v>
          </cell>
          <cell r="AI644" t="str">
            <v>TL</v>
          </cell>
          <cell r="AJ644">
            <v>1040</v>
          </cell>
          <cell r="AK644" t="str">
            <v>TL</v>
          </cell>
          <cell r="AL644">
            <v>1</v>
          </cell>
          <cell r="AM644" t="str">
            <v>8684127509954</v>
          </cell>
          <cell r="AO644">
            <v>0</v>
          </cell>
          <cell r="AQ644">
            <v>0</v>
          </cell>
          <cell r="AR644" t="str">
            <v>CM</v>
          </cell>
          <cell r="AS644">
            <v>15</v>
          </cell>
          <cell r="AT644" t="str">
            <v>CM</v>
          </cell>
          <cell r="AU644">
            <v>0</v>
          </cell>
          <cell r="AW644">
            <v>0</v>
          </cell>
        </row>
        <row r="645">
          <cell r="B645" t="str">
            <v>F1C6DRGAAWL-180</v>
          </cell>
          <cell r="C645" t="str">
            <v>TOCHI LINEAR AHŞAP-BETON SARKIT 180cm</v>
          </cell>
          <cell r="D645" t="str">
            <v>TOCHI LINEAR WOOD-CONCRETE PENDANT 180cm</v>
          </cell>
          <cell r="E645" t="str">
            <v xml:space="preserve">BETON AHŞAP GRİ WENGE   </v>
          </cell>
          <cell r="F645" t="str">
            <v>9405.11.90.00.00</v>
          </cell>
          <cell r="G645" t="str">
            <v>AVİZE</v>
          </cell>
          <cell r="H645" t="str">
            <v>F1A674C200-18</v>
          </cell>
          <cell r="I645" t="str">
            <v>İÇ</v>
          </cell>
          <cell r="J645" t="str">
            <v>AVİZE.SARK</v>
          </cell>
          <cell r="K645" t="str">
            <v>TOCHI</v>
          </cell>
          <cell r="L645" t="str">
            <v/>
          </cell>
          <cell r="M645" t="str">
            <v>ÜRTM:15GÜN</v>
          </cell>
          <cell r="N645" t="str">
            <v>1018-180</v>
          </cell>
          <cell r="O645" t="str">
            <v>ISHI</v>
          </cell>
          <cell r="P645" t="str">
            <v>ADET</v>
          </cell>
          <cell r="Q645" t="str">
            <v>LED</v>
          </cell>
          <cell r="R645" t="str">
            <v>BETON</v>
          </cell>
          <cell r="S645" t="str">
            <v>GRİ</v>
          </cell>
          <cell r="T645" t="str">
            <v>AHŞAP</v>
          </cell>
          <cell r="U645" t="str">
            <v>WENGE</v>
          </cell>
          <cell r="AD645" t="str">
            <v>DÜZ</v>
          </cell>
          <cell r="AF645">
            <v>2</v>
          </cell>
          <cell r="AG645" t="str">
            <v>ADET</v>
          </cell>
          <cell r="AH645">
            <v>6037.5</v>
          </cell>
          <cell r="AI645" t="str">
            <v>TL</v>
          </cell>
          <cell r="AJ645">
            <v>30788</v>
          </cell>
          <cell r="AK645" t="str">
            <v>TL</v>
          </cell>
          <cell r="AL645">
            <v>1</v>
          </cell>
          <cell r="AM645" t="str">
            <v>8684127508780</v>
          </cell>
          <cell r="AO645">
            <v>0</v>
          </cell>
          <cell r="AQ645">
            <v>180</v>
          </cell>
          <cell r="AR645" t="str">
            <v>CM</v>
          </cell>
          <cell r="AS645">
            <v>6.5</v>
          </cell>
          <cell r="AT645" t="str">
            <v>CM</v>
          </cell>
          <cell r="AU645">
            <v>0</v>
          </cell>
          <cell r="AW645">
            <v>0</v>
          </cell>
        </row>
        <row r="646">
          <cell r="B646" t="str">
            <v>F1C2DRV000L-019</v>
          </cell>
          <cell r="C646" t="str">
            <v>POT BETON KAHVERENGİ SARKIT</v>
          </cell>
          <cell r="D646" t="str">
            <v>POT CONCRETE BROWN PENDANT</v>
          </cell>
          <cell r="E646" t="str">
            <v xml:space="preserve">BETON YOK KAHVERENGİ YOK   </v>
          </cell>
          <cell r="F646" t="str">
            <v>9405.19.90.00.00</v>
          </cell>
          <cell r="G646" t="str">
            <v>AVİZE</v>
          </cell>
          <cell r="H646" t="str">
            <v>F1A514C300-21</v>
          </cell>
          <cell r="I646" t="str">
            <v>İÇ</v>
          </cell>
          <cell r="J646" t="str">
            <v>AVİZE.SARK</v>
          </cell>
          <cell r="K646" t="str">
            <v>POT</v>
          </cell>
          <cell r="L646" t="str">
            <v/>
          </cell>
          <cell r="M646" t="str">
            <v>ÜRTM:15GÜN</v>
          </cell>
          <cell r="N646" t="str">
            <v>1003-BRC</v>
          </cell>
          <cell r="O646" t="str">
            <v>ISHI</v>
          </cell>
          <cell r="P646" t="str">
            <v>ADET</v>
          </cell>
          <cell r="Q646" t="str">
            <v>E27</v>
          </cell>
          <cell r="R646" t="str">
            <v>BETON</v>
          </cell>
          <cell r="S646" t="str">
            <v>KAHVERENGİ</v>
          </cell>
          <cell r="T646" t="str">
            <v>YOK</v>
          </cell>
          <cell r="U646" t="str">
            <v>YOK</v>
          </cell>
          <cell r="AD646" t="str">
            <v>DÜZ</v>
          </cell>
          <cell r="AE646" t="str">
            <v>01</v>
          </cell>
          <cell r="AF646">
            <v>17</v>
          </cell>
          <cell r="AG646" t="str">
            <v>ADET</v>
          </cell>
          <cell r="AH646">
            <v>966</v>
          </cell>
          <cell r="AI646" t="str">
            <v>TL</v>
          </cell>
          <cell r="AJ646">
            <v>4926</v>
          </cell>
          <cell r="AK646" t="str">
            <v>TL</v>
          </cell>
          <cell r="AL646">
            <v>1</v>
          </cell>
          <cell r="AM646" t="str">
            <v>8684127508681</v>
          </cell>
          <cell r="AO646">
            <v>0</v>
          </cell>
          <cell r="AQ646">
            <v>21</v>
          </cell>
          <cell r="AR646" t="str">
            <v>CM</v>
          </cell>
          <cell r="AS646">
            <v>19</v>
          </cell>
          <cell r="AT646" t="str">
            <v>CM</v>
          </cell>
          <cell r="AU646">
            <v>0</v>
          </cell>
          <cell r="AW646">
            <v>0</v>
          </cell>
        </row>
        <row r="647">
          <cell r="B647" t="str">
            <v>F1C1DRGAAWL-028</v>
          </cell>
          <cell r="C647" t="str">
            <v>TOCHI MINI WENGE AHSAP-BETON E14 SARKIT</v>
          </cell>
          <cell r="D647" t="str">
            <v>TOCHI MINI WENGE WOOD-CONCRETE E14 PENDANT</v>
          </cell>
          <cell r="E647" t="str">
            <v xml:space="preserve">BETON AHŞAP GRİ WENGE   </v>
          </cell>
          <cell r="F647" t="str">
            <v>9405.19.90.00.00</v>
          </cell>
          <cell r="G647" t="str">
            <v>AVİZE</v>
          </cell>
          <cell r="H647" t="str">
            <v>F1A174C200-28</v>
          </cell>
          <cell r="I647" t="str">
            <v>İÇ</v>
          </cell>
          <cell r="J647" t="str">
            <v>AVİZE.SARK</v>
          </cell>
          <cell r="K647" t="str">
            <v>TOCHI</v>
          </cell>
          <cell r="L647" t="str">
            <v/>
          </cell>
          <cell r="M647" t="str">
            <v>ÜRTM:15GÜN</v>
          </cell>
          <cell r="N647" t="str">
            <v>1009-E14</v>
          </cell>
          <cell r="O647" t="str">
            <v>ISHI</v>
          </cell>
          <cell r="P647" t="str">
            <v>ADET</v>
          </cell>
          <cell r="Q647" t="str">
            <v>E14</v>
          </cell>
          <cell r="R647" t="str">
            <v>BETON</v>
          </cell>
          <cell r="S647" t="str">
            <v>GRİ</v>
          </cell>
          <cell r="T647" t="str">
            <v>AHŞAP</v>
          </cell>
          <cell r="U647" t="str">
            <v>WENGE</v>
          </cell>
          <cell r="AD647" t="str">
            <v>DÜZ</v>
          </cell>
          <cell r="AE647" t="str">
            <v>02</v>
          </cell>
          <cell r="AF647">
            <v>0</v>
          </cell>
          <cell r="AG647" t="str">
            <v>ADET</v>
          </cell>
          <cell r="AH647">
            <v>966</v>
          </cell>
          <cell r="AI647" t="str">
            <v>TL</v>
          </cell>
          <cell r="AJ647">
            <v>1200</v>
          </cell>
          <cell r="AK647" t="str">
            <v>TL</v>
          </cell>
          <cell r="AL647">
            <v>1</v>
          </cell>
          <cell r="AM647" t="str">
            <v>8684127508698</v>
          </cell>
          <cell r="AO647">
            <v>0</v>
          </cell>
          <cell r="AQ647">
            <v>28</v>
          </cell>
          <cell r="AR647" t="str">
            <v>CM</v>
          </cell>
          <cell r="AS647">
            <v>15</v>
          </cell>
          <cell r="AT647" t="str">
            <v>CM</v>
          </cell>
          <cell r="AU647">
            <v>0</v>
          </cell>
          <cell r="AW647">
            <v>0</v>
          </cell>
        </row>
        <row r="648">
          <cell r="B648" t="str">
            <v>H1W3JME0000-030</v>
          </cell>
          <cell r="C648" t="str">
            <v>GENT UFO ESKİTME APLİK 30cm</v>
          </cell>
          <cell r="D648" t="str">
            <v>GENT BRUSHED BRASS UFO WALL LAMP 30cm</v>
          </cell>
          <cell r="E648" t="str">
            <v>METAL YOK ESKİTME YOK</v>
          </cell>
          <cell r="F648" t="str">
            <v>9405.19.90.00.00</v>
          </cell>
          <cell r="G648" t="str">
            <v>APLİK</v>
          </cell>
          <cell r="H648" t="str">
            <v>H1W3110000-29</v>
          </cell>
          <cell r="I648" t="str">
            <v>İÇ</v>
          </cell>
          <cell r="J648" t="str">
            <v>APLİK</v>
          </cell>
          <cell r="K648" t="str">
            <v>GENT</v>
          </cell>
          <cell r="L648" t="str">
            <v/>
          </cell>
          <cell r="M648" t="str">
            <v/>
          </cell>
          <cell r="N648" t="str">
            <v/>
          </cell>
          <cell r="O648" t="str">
            <v>HEKA</v>
          </cell>
          <cell r="P648" t="str">
            <v>ADET</v>
          </cell>
          <cell r="Q648" t="str">
            <v>G9</v>
          </cell>
          <cell r="R648" t="str">
            <v>METAL</v>
          </cell>
          <cell r="S648" t="str">
            <v>ESKİTME</v>
          </cell>
          <cell r="T648" t="str">
            <v>YOK</v>
          </cell>
          <cell r="U648" t="str">
            <v>YOK</v>
          </cell>
          <cell r="AD648" t="str">
            <v>N/A</v>
          </cell>
          <cell r="AE648" t="str">
            <v>04</v>
          </cell>
          <cell r="AF648">
            <v>0</v>
          </cell>
          <cell r="AG648" t="str">
            <v>ADET</v>
          </cell>
          <cell r="AH648">
            <v>150</v>
          </cell>
          <cell r="AI648" t="str">
            <v>TL</v>
          </cell>
          <cell r="AJ648">
            <v>1100</v>
          </cell>
          <cell r="AK648" t="str">
            <v>TL</v>
          </cell>
          <cell r="AL648">
            <v>1</v>
          </cell>
          <cell r="AM648" t="str">
            <v>8684127509589</v>
          </cell>
          <cell r="AO648">
            <v>0</v>
          </cell>
          <cell r="AQ648">
            <v>7</v>
          </cell>
          <cell r="AR648" t="str">
            <v>CM</v>
          </cell>
          <cell r="AS648">
            <v>30</v>
          </cell>
          <cell r="AT648" t="str">
            <v>CM</v>
          </cell>
          <cell r="AU648">
            <v>0</v>
          </cell>
          <cell r="AW648">
            <v>0</v>
          </cell>
        </row>
        <row r="649">
          <cell r="B649" t="str">
            <v>F1W6JMG000L-050</v>
          </cell>
          <cell r="C649" t="str">
            <v>ŞERUR ALTIN DÖKÜM KÜLÇE APLİK 50cm</v>
          </cell>
          <cell r="D649" t="str">
            <v>SERUR GOLD IGNOT CASTING WALL LAMP 50cm</v>
          </cell>
          <cell r="E649" t="str">
            <v>METAL YOK GOLD YOK</v>
          </cell>
          <cell r="F649" t="str">
            <v>9405.11.90.00.00</v>
          </cell>
          <cell r="G649" t="str">
            <v>APLİK</v>
          </cell>
          <cell r="H649" t="str">
            <v>F1W61200X0-50</v>
          </cell>
          <cell r="I649" t="str">
            <v>İÇ</v>
          </cell>
          <cell r="J649" t="str">
            <v>APLİK</v>
          </cell>
          <cell r="K649" t="str">
            <v>ŞERUR</v>
          </cell>
          <cell r="L649" t="str">
            <v/>
          </cell>
          <cell r="M649" t="str">
            <v/>
          </cell>
          <cell r="N649" t="str">
            <v/>
          </cell>
          <cell r="O649" t="str">
            <v>LIGHTIST</v>
          </cell>
          <cell r="P649" t="str">
            <v>ADET</v>
          </cell>
          <cell r="Q649" t="str">
            <v>LED</v>
          </cell>
          <cell r="R649" t="str">
            <v>METAL</v>
          </cell>
          <cell r="S649" t="str">
            <v>GOLD</v>
          </cell>
          <cell r="T649" t="str">
            <v>YOK</v>
          </cell>
          <cell r="U649" t="str">
            <v>YOK</v>
          </cell>
          <cell r="AD649" t="str">
            <v>DÜZ</v>
          </cell>
          <cell r="AE649" t="str">
            <v>01</v>
          </cell>
          <cell r="AF649">
            <v>0</v>
          </cell>
          <cell r="AG649" t="str">
            <v>ADET</v>
          </cell>
          <cell r="AH649">
            <v>2000</v>
          </cell>
          <cell r="AI649" t="str">
            <v>TL</v>
          </cell>
          <cell r="AJ649">
            <v>4500</v>
          </cell>
          <cell r="AK649" t="str">
            <v>TL</v>
          </cell>
          <cell r="AL649">
            <v>1</v>
          </cell>
          <cell r="AM649" t="str">
            <v>8684127509596</v>
          </cell>
          <cell r="AO649">
            <v>0</v>
          </cell>
          <cell r="AQ649">
            <v>12</v>
          </cell>
          <cell r="AR649" t="str">
            <v>CM</v>
          </cell>
          <cell r="AS649">
            <v>50</v>
          </cell>
          <cell r="AT649" t="str">
            <v>CM</v>
          </cell>
          <cell r="AU649">
            <v>0</v>
          </cell>
          <cell r="AW649">
            <v>0</v>
          </cell>
        </row>
        <row r="650">
          <cell r="B650" t="str">
            <v>F1W3DRGAAWL-044</v>
          </cell>
          <cell r="C650" t="str">
            <v>TOCHI AHŞAP-BETON G9 WALL LAMP</v>
          </cell>
          <cell r="D650" t="str">
            <v>TOCHI WOOD-CONCRETE G9 WALL LAMP</v>
          </cell>
          <cell r="E650" t="str">
            <v>BETON AHŞAP GRİ WENGE</v>
          </cell>
          <cell r="F650" t="str">
            <v>9405.19.90.00.00</v>
          </cell>
          <cell r="G650" t="str">
            <v>APLİK</v>
          </cell>
          <cell r="H650" t="str">
            <v>F1W374C200-44</v>
          </cell>
          <cell r="I650" t="str">
            <v>İÇ</v>
          </cell>
          <cell r="J650" t="str">
            <v>APLİK</v>
          </cell>
          <cell r="K650" t="str">
            <v>TOCHI</v>
          </cell>
          <cell r="L650" t="str">
            <v/>
          </cell>
          <cell r="M650" t="str">
            <v>ÜRTM:15GÜN</v>
          </cell>
          <cell r="N650" t="str">
            <v>1013-G9</v>
          </cell>
          <cell r="O650" t="str">
            <v>ISHI</v>
          </cell>
          <cell r="P650" t="str">
            <v>ADET</v>
          </cell>
          <cell r="Q650" t="str">
            <v>G9</v>
          </cell>
          <cell r="R650" t="str">
            <v>BETON</v>
          </cell>
          <cell r="S650" t="str">
            <v>GRİ</v>
          </cell>
          <cell r="T650" t="str">
            <v>AHŞAP</v>
          </cell>
          <cell r="U650" t="str">
            <v>WENGE</v>
          </cell>
          <cell r="AD650" t="str">
            <v>DÜZ</v>
          </cell>
          <cell r="AE650" t="str">
            <v>01</v>
          </cell>
          <cell r="AF650">
            <v>12</v>
          </cell>
          <cell r="AG650" t="str">
            <v>ADET</v>
          </cell>
          <cell r="AH650">
            <v>1150</v>
          </cell>
          <cell r="AI650" t="str">
            <v>TL</v>
          </cell>
          <cell r="AJ650">
            <v>5830</v>
          </cell>
          <cell r="AK650" t="str">
            <v>TL</v>
          </cell>
          <cell r="AL650">
            <v>1</v>
          </cell>
          <cell r="AM650" t="str">
            <v>8684127509145</v>
          </cell>
          <cell r="AO650">
            <v>0</v>
          </cell>
          <cell r="AQ650">
            <v>44</v>
          </cell>
          <cell r="AR650" t="str">
            <v>CM</v>
          </cell>
          <cell r="AS650">
            <v>18</v>
          </cell>
          <cell r="AT650" t="str">
            <v>CM</v>
          </cell>
          <cell r="AU650">
            <v>0</v>
          </cell>
          <cell r="AW650">
            <v>0</v>
          </cell>
        </row>
        <row r="651">
          <cell r="B651" t="str">
            <v>F1C2DRGAAWL-019</v>
          </cell>
          <cell r="C651" t="str">
            <v>TOCHI LONG WENGE AHSAP-BETON E27 SARKIT</v>
          </cell>
          <cell r="D651" t="str">
            <v>TOCHI LONG WENGE WOOD-CONCRETE E27 PENDANT</v>
          </cell>
          <cell r="E651" t="str">
            <v xml:space="preserve">BETON AHŞAP GRİ WENGE   </v>
          </cell>
          <cell r="F651" t="str">
            <v>9405.19.90.00.00</v>
          </cell>
          <cell r="G651" t="str">
            <v>AVİZE</v>
          </cell>
          <cell r="H651" t="str">
            <v>F1A274C200-19</v>
          </cell>
          <cell r="I651" t="str">
            <v>İÇ</v>
          </cell>
          <cell r="J651" t="str">
            <v>AVİZE.SARK</v>
          </cell>
          <cell r="K651" t="str">
            <v>TOCHI</v>
          </cell>
          <cell r="L651" t="str">
            <v/>
          </cell>
          <cell r="M651" t="str">
            <v>ÜRTM:15GÜN</v>
          </cell>
          <cell r="N651" t="str">
            <v>1010-E27</v>
          </cell>
          <cell r="O651" t="str">
            <v>ISHI</v>
          </cell>
          <cell r="P651" t="str">
            <v>ADET</v>
          </cell>
          <cell r="Q651" t="str">
            <v>E27</v>
          </cell>
          <cell r="R651" t="str">
            <v>BETON</v>
          </cell>
          <cell r="S651" t="str">
            <v>GRİ</v>
          </cell>
          <cell r="T651" t="str">
            <v>AHŞAP</v>
          </cell>
          <cell r="U651" t="str">
            <v>WENGE</v>
          </cell>
          <cell r="AD651" t="str">
            <v>DÜZ</v>
          </cell>
          <cell r="AE651" t="str">
            <v>01</v>
          </cell>
          <cell r="AF651">
            <v>2</v>
          </cell>
          <cell r="AG651" t="str">
            <v>ADET</v>
          </cell>
          <cell r="AH651">
            <v>897</v>
          </cell>
          <cell r="AI651" t="str">
            <v>TL</v>
          </cell>
          <cell r="AJ651">
            <v>4570</v>
          </cell>
          <cell r="AK651" t="str">
            <v>TL</v>
          </cell>
          <cell r="AL651">
            <v>1</v>
          </cell>
          <cell r="AM651" t="str">
            <v>8684127508728</v>
          </cell>
          <cell r="AO651">
            <v>0</v>
          </cell>
          <cell r="AQ651">
            <v>19</v>
          </cell>
          <cell r="AR651" t="str">
            <v>CM</v>
          </cell>
          <cell r="AS651">
            <v>6.5</v>
          </cell>
          <cell r="AT651" t="str">
            <v>CM</v>
          </cell>
          <cell r="AU651">
            <v>0</v>
          </cell>
          <cell r="AW651">
            <v>0</v>
          </cell>
        </row>
        <row r="652">
          <cell r="B652" t="str">
            <v>F1C2DRGAAWL-060</v>
          </cell>
          <cell r="C652" t="str">
            <v>TOCHI BIG AHSAP-BETON E27 SARKIT</v>
          </cell>
          <cell r="D652" t="str">
            <v>TOCHI BIG WOOD-CONCRETE E27 PENDANT</v>
          </cell>
          <cell r="E652" t="str">
            <v xml:space="preserve">BETON AHŞAP GRİ WENGE   </v>
          </cell>
          <cell r="F652" t="str">
            <v>9405.19.90.00.00</v>
          </cell>
          <cell r="G652" t="str">
            <v>AVİZE</v>
          </cell>
          <cell r="H652" t="str">
            <v>F1A274C200-60</v>
          </cell>
          <cell r="I652" t="str">
            <v>İÇ</v>
          </cell>
          <cell r="J652" t="str">
            <v>AVİZE.SARK</v>
          </cell>
          <cell r="K652" t="str">
            <v>TOCHI</v>
          </cell>
          <cell r="L652" t="str">
            <v/>
          </cell>
          <cell r="M652" t="str">
            <v>ÜRTM:15GÜN</v>
          </cell>
          <cell r="N652" t="str">
            <v>1012-E27</v>
          </cell>
          <cell r="O652" t="str">
            <v>ISHI</v>
          </cell>
          <cell r="P652" t="str">
            <v>ADET</v>
          </cell>
          <cell r="Q652" t="str">
            <v>E27</v>
          </cell>
          <cell r="R652" t="str">
            <v>BETON</v>
          </cell>
          <cell r="S652" t="str">
            <v>GRİ</v>
          </cell>
          <cell r="T652" t="str">
            <v>AHŞAP</v>
          </cell>
          <cell r="U652" t="str">
            <v>WENGE</v>
          </cell>
          <cell r="AD652" t="str">
            <v>DÜZ</v>
          </cell>
          <cell r="AE652" t="str">
            <v>02</v>
          </cell>
          <cell r="AF652">
            <v>0</v>
          </cell>
          <cell r="AG652" t="str">
            <v>ADET</v>
          </cell>
          <cell r="AH652">
            <v>1207.5</v>
          </cell>
          <cell r="AI652" t="str">
            <v>TL</v>
          </cell>
          <cell r="AJ652">
            <v>6425</v>
          </cell>
          <cell r="AK652" t="str">
            <v>TL</v>
          </cell>
          <cell r="AL652">
            <v>1</v>
          </cell>
          <cell r="AM652" t="str">
            <v>8684127508766</v>
          </cell>
          <cell r="AO652">
            <v>0</v>
          </cell>
          <cell r="AQ652">
            <v>60</v>
          </cell>
          <cell r="AR652" t="str">
            <v>CM</v>
          </cell>
          <cell r="AS652">
            <v>8</v>
          </cell>
          <cell r="AT652" t="str">
            <v>CM</v>
          </cell>
          <cell r="AU652">
            <v>0</v>
          </cell>
          <cell r="AW652">
            <v>0</v>
          </cell>
        </row>
        <row r="653">
          <cell r="B653" t="str">
            <v>F1W3DRGAAWS-015</v>
          </cell>
          <cell r="C653" t="str">
            <v xml:space="preserve">TOCHI MINI AHŞAP-BETON G9 SABİT APLİK </v>
          </cell>
          <cell r="D653" t="str">
            <v>TOCHI MINI WOOD-CONCRETE G9 WALL LAMP</v>
          </cell>
          <cell r="E653" t="str">
            <v>BETON AHŞAP GRİ WENGE</v>
          </cell>
          <cell r="F653" t="str">
            <v>9405.19.90.00.00</v>
          </cell>
          <cell r="G653" t="str">
            <v>APLİK</v>
          </cell>
          <cell r="H653" t="str">
            <v>F1W374C200-15</v>
          </cell>
          <cell r="I653" t="str">
            <v>İÇ</v>
          </cell>
          <cell r="J653" t="str">
            <v>APLİK</v>
          </cell>
          <cell r="K653" t="str">
            <v>TOCHI</v>
          </cell>
          <cell r="L653" t="str">
            <v/>
          </cell>
          <cell r="M653" t="str">
            <v>ÜRTM:15GÜN</v>
          </cell>
          <cell r="N653" t="str">
            <v>1014-G9</v>
          </cell>
          <cell r="O653" t="str">
            <v>ISHI</v>
          </cell>
          <cell r="P653" t="str">
            <v>ADET</v>
          </cell>
          <cell r="Q653" t="str">
            <v>G9</v>
          </cell>
          <cell r="R653" t="str">
            <v>BETON</v>
          </cell>
          <cell r="S653" t="str">
            <v>GRİ</v>
          </cell>
          <cell r="T653" t="str">
            <v>AHŞAP</v>
          </cell>
          <cell r="U653" t="str">
            <v>WENGE</v>
          </cell>
          <cell r="AD653" t="str">
            <v>SABİT</v>
          </cell>
          <cell r="AE653" t="str">
            <v>01</v>
          </cell>
          <cell r="AF653">
            <v>0</v>
          </cell>
          <cell r="AG653" t="str">
            <v>ADET</v>
          </cell>
          <cell r="AH653">
            <v>908.5</v>
          </cell>
          <cell r="AI653" t="str">
            <v>TL</v>
          </cell>
          <cell r="AJ653">
            <v>5104</v>
          </cell>
          <cell r="AK653" t="str">
            <v>TL</v>
          </cell>
          <cell r="AL653">
            <v>1</v>
          </cell>
          <cell r="AM653" t="str">
            <v>8684127509152</v>
          </cell>
          <cell r="AO653">
            <v>0</v>
          </cell>
          <cell r="AQ653">
            <v>15</v>
          </cell>
          <cell r="AR653" t="str">
            <v>CM</v>
          </cell>
          <cell r="AS653">
            <v>12</v>
          </cell>
          <cell r="AT653" t="str">
            <v>CM</v>
          </cell>
          <cell r="AU653">
            <v>0</v>
          </cell>
          <cell r="AW653">
            <v>0</v>
          </cell>
        </row>
        <row r="654">
          <cell r="B654" t="str">
            <v>F1C5DRB000L-015</v>
          </cell>
          <cell r="C654" t="str">
            <v>TOPPU BETON BEYAZ SARKIT</v>
          </cell>
          <cell r="D654" t="str">
            <v>TOPPU CONCRETE WHITE PENDANT</v>
          </cell>
          <cell r="E654" t="str">
            <v xml:space="preserve">BETON YOK BEYAZ YOK   </v>
          </cell>
          <cell r="F654" t="str">
            <v>9405.19.90.00.00</v>
          </cell>
          <cell r="G654" t="str">
            <v>AVİZE</v>
          </cell>
          <cell r="H654" t="str">
            <v>F1A514C100-15</v>
          </cell>
          <cell r="I654" t="str">
            <v>İÇ</v>
          </cell>
          <cell r="J654" t="str">
            <v>AVİZE.SARK</v>
          </cell>
          <cell r="K654" t="str">
            <v>TOPPU</v>
          </cell>
          <cell r="L654" t="str">
            <v/>
          </cell>
          <cell r="M654" t="str">
            <v>ÜRTM:15GÜN</v>
          </cell>
          <cell r="N654" t="str">
            <v>1002-WC</v>
          </cell>
          <cell r="O654" t="str">
            <v>ISHI</v>
          </cell>
          <cell r="P654" t="str">
            <v>ADET</v>
          </cell>
          <cell r="Q654" t="str">
            <v>GU10</v>
          </cell>
          <cell r="R654" t="str">
            <v>BETON</v>
          </cell>
          <cell r="S654" t="str">
            <v>BEYAZ</v>
          </cell>
          <cell r="T654" t="str">
            <v>YOK</v>
          </cell>
          <cell r="U654" t="str">
            <v>YOK</v>
          </cell>
          <cell r="AD654" t="str">
            <v>DÜZ</v>
          </cell>
          <cell r="AE654" t="str">
            <v>01</v>
          </cell>
          <cell r="AF654">
            <v>8</v>
          </cell>
          <cell r="AG654" t="str">
            <v>ADET</v>
          </cell>
          <cell r="AH654">
            <v>966</v>
          </cell>
          <cell r="AI654" t="str">
            <v>TL</v>
          </cell>
          <cell r="AJ654">
            <v>4927</v>
          </cell>
          <cell r="AK654" t="str">
            <v>TL</v>
          </cell>
          <cell r="AL654">
            <v>1</v>
          </cell>
          <cell r="AM654" t="str">
            <v>8684127508612</v>
          </cell>
          <cell r="AO654">
            <v>0</v>
          </cell>
          <cell r="AQ654">
            <v>15</v>
          </cell>
          <cell r="AR654" t="str">
            <v>CM</v>
          </cell>
          <cell r="AS654">
            <v>15</v>
          </cell>
          <cell r="AT654" t="str">
            <v>CM</v>
          </cell>
          <cell r="AU654">
            <v>0</v>
          </cell>
          <cell r="AW654">
            <v>0</v>
          </cell>
        </row>
        <row r="655">
          <cell r="B655" t="str">
            <v>H1C6JMELCSL-057</v>
          </cell>
          <cell r="C655" t="str">
            <v>MADRİD MEŞALE TEKLİ ESKİTME SARKIT</v>
          </cell>
          <cell r="D655" t="str">
            <v>MADRİD TORCH SINGLE BRUSHED BRASS PENDANT LAMP</v>
          </cell>
          <cell r="E655" t="str">
            <v>METAL PLEKSİ ESKİTME ŞEFFAF</v>
          </cell>
          <cell r="F655" t="str">
            <v>9405.11.90.00.00</v>
          </cell>
          <cell r="G655" t="str">
            <v>AVİZE</v>
          </cell>
          <cell r="H655" t="str">
            <v>T1A6111100-01</v>
          </cell>
          <cell r="I655" t="str">
            <v>İÇ</v>
          </cell>
          <cell r="J655" t="str">
            <v>AVİZE.SARK</v>
          </cell>
          <cell r="K655" t="str">
            <v>MADRİD</v>
          </cell>
          <cell r="L655" t="str">
            <v>Ç</v>
          </cell>
          <cell r="M655" t="str">
            <v>30.01.2026</v>
          </cell>
          <cell r="N655" t="str">
            <v>HKA-24062</v>
          </cell>
          <cell r="O655" t="str">
            <v>HEKA</v>
          </cell>
          <cell r="P655" t="str">
            <v>ADET</v>
          </cell>
          <cell r="Q655" t="str">
            <v>LED</v>
          </cell>
          <cell r="R655" t="str">
            <v>METAL</v>
          </cell>
          <cell r="S655" t="str">
            <v>ESKİTME</v>
          </cell>
          <cell r="T655" t="str">
            <v>PLEKSİ</v>
          </cell>
          <cell r="U655" t="str">
            <v>ŞEFFAF</v>
          </cell>
          <cell r="AD655" t="str">
            <v>DÜZ</v>
          </cell>
          <cell r="AF655">
            <v>3</v>
          </cell>
          <cell r="AG655" t="str">
            <v>ADET</v>
          </cell>
          <cell r="AH655">
            <v>48</v>
          </cell>
          <cell r="AI655" t="str">
            <v>CNY</v>
          </cell>
          <cell r="AJ655">
            <v>3975</v>
          </cell>
          <cell r="AK655" t="str">
            <v>TL</v>
          </cell>
          <cell r="AL655">
            <v>1</v>
          </cell>
          <cell r="AM655" t="str">
            <v>8684127509831</v>
          </cell>
          <cell r="AO655">
            <v>0</v>
          </cell>
          <cell r="AQ655">
            <v>0</v>
          </cell>
          <cell r="AR655" t="str">
            <v>CM</v>
          </cell>
          <cell r="AS655">
            <v>57</v>
          </cell>
          <cell r="AT655" t="str">
            <v>CM</v>
          </cell>
          <cell r="AU655">
            <v>0</v>
          </cell>
          <cell r="AW655">
            <v>0</v>
          </cell>
        </row>
        <row r="656">
          <cell r="B656" t="str">
            <v>H1C6JMEECSC-022</v>
          </cell>
          <cell r="C656" t="str">
            <v>DUBBO TEKLİ ALTIN SARKIT</v>
          </cell>
          <cell r="D656" t="str">
            <v>DUBBO SINGLE GOLD PENDANT</v>
          </cell>
          <cell r="E656" t="str">
            <v xml:space="preserve">METAL CAM GOLD ŞEFFAF   </v>
          </cell>
          <cell r="F656" t="str">
            <v>9405.11.90.00.00</v>
          </cell>
          <cell r="G656" t="str">
            <v>AVİZE</v>
          </cell>
          <cell r="H656" t="str">
            <v>T1A6126200-01</v>
          </cell>
          <cell r="I656" t="str">
            <v>İÇ</v>
          </cell>
          <cell r="J656" t="str">
            <v>AVİZE.SARK</v>
          </cell>
          <cell r="K656" t="str">
            <v>DUBBO</v>
          </cell>
          <cell r="L656" t="str">
            <v/>
          </cell>
          <cell r="M656" t="str">
            <v/>
          </cell>
          <cell r="N656" t="str">
            <v>HKA-24389</v>
          </cell>
          <cell r="O656" t="str">
            <v>HEKA</v>
          </cell>
          <cell r="P656" t="str">
            <v>ADET</v>
          </cell>
          <cell r="Q656" t="str">
            <v>LED</v>
          </cell>
          <cell r="R656" t="str">
            <v>METAL</v>
          </cell>
          <cell r="S656" t="str">
            <v>GOLD</v>
          </cell>
          <cell r="T656" t="str">
            <v>CAM</v>
          </cell>
          <cell r="U656" t="str">
            <v>ŞEFFAF</v>
          </cell>
          <cell r="AD656" t="str">
            <v>SİLİNDİR</v>
          </cell>
          <cell r="AF656">
            <v>79</v>
          </cell>
          <cell r="AG656" t="str">
            <v>ADET</v>
          </cell>
          <cell r="AH656">
            <v>48</v>
          </cell>
          <cell r="AI656" t="str">
            <v>CNY</v>
          </cell>
          <cell r="AJ656">
            <v>3780</v>
          </cell>
          <cell r="AK656" t="str">
            <v>TL</v>
          </cell>
          <cell r="AL656">
            <v>1</v>
          </cell>
          <cell r="AM656" t="str">
            <v>8684127506250</v>
          </cell>
          <cell r="AO656">
            <v>0</v>
          </cell>
          <cell r="AQ656">
            <v>9</v>
          </cell>
          <cell r="AR656" t="str">
            <v>CM</v>
          </cell>
          <cell r="AS656">
            <v>9</v>
          </cell>
          <cell r="AT656" t="str">
            <v>CM</v>
          </cell>
          <cell r="AU656">
            <v>0</v>
          </cell>
          <cell r="AW656">
            <v>0</v>
          </cell>
        </row>
        <row r="657">
          <cell r="B657" t="str">
            <v>H1C6JMEECSC-062</v>
          </cell>
          <cell r="C657" t="str">
            <v>DUBBO ÜÇLÜ ALTIN SARKIT</v>
          </cell>
          <cell r="D657" t="str">
            <v>DUBBO TRIPLE GOLD PENDANT</v>
          </cell>
          <cell r="E657" t="str">
            <v xml:space="preserve">METAL CAM GOLD ŞEFFAF   </v>
          </cell>
          <cell r="F657" t="str">
            <v>9405.11.90.00.00</v>
          </cell>
          <cell r="G657" t="str">
            <v>AVİZE</v>
          </cell>
          <cell r="H657" t="str">
            <v>T1A6126200-03</v>
          </cell>
          <cell r="I657" t="str">
            <v>İÇ</v>
          </cell>
          <cell r="J657" t="str">
            <v>AVİZE.SARK</v>
          </cell>
          <cell r="K657" t="str">
            <v>DUBBO</v>
          </cell>
          <cell r="L657" t="str">
            <v/>
          </cell>
          <cell r="M657" t="str">
            <v/>
          </cell>
          <cell r="N657" t="str">
            <v>HKA-24391</v>
          </cell>
          <cell r="O657" t="str">
            <v>HEKA</v>
          </cell>
          <cell r="P657" t="str">
            <v>ADET</v>
          </cell>
          <cell r="Q657" t="str">
            <v>LED</v>
          </cell>
          <cell r="R657" t="str">
            <v>METAL</v>
          </cell>
          <cell r="S657" t="str">
            <v>GOLD</v>
          </cell>
          <cell r="T657" t="str">
            <v>CAM</v>
          </cell>
          <cell r="U657" t="str">
            <v>ŞEFFAF</v>
          </cell>
          <cell r="AD657" t="str">
            <v>SİLİNDİR</v>
          </cell>
          <cell r="AF657">
            <v>49</v>
          </cell>
          <cell r="AG657" t="str">
            <v>ADET</v>
          </cell>
          <cell r="AH657">
            <v>136</v>
          </cell>
          <cell r="AI657" t="str">
            <v>CNY</v>
          </cell>
          <cell r="AJ657">
            <v>9520</v>
          </cell>
          <cell r="AK657" t="str">
            <v>TL</v>
          </cell>
          <cell r="AL657">
            <v>1</v>
          </cell>
          <cell r="AM657" t="str">
            <v>8684127506274</v>
          </cell>
          <cell r="AO657">
            <v>0</v>
          </cell>
          <cell r="AQ657">
            <v>9</v>
          </cell>
          <cell r="AR657" t="str">
            <v>CM</v>
          </cell>
          <cell r="AS657">
            <v>9</v>
          </cell>
          <cell r="AT657" t="str">
            <v>CM</v>
          </cell>
          <cell r="AU657">
            <v>0</v>
          </cell>
          <cell r="AW657">
            <v>0</v>
          </cell>
        </row>
        <row r="658">
          <cell r="B658" t="str">
            <v>H1W3JMKECS0-032</v>
          </cell>
          <cell r="C658" t="str">
            <v>OTTAVA 2 Lİ KROM APLİK</v>
          </cell>
          <cell r="D658" t="str">
            <v>OTTAVA DOUBLE CHROME WALL LAMP</v>
          </cell>
          <cell r="E658" t="str">
            <v>METAL CAM KROM ŞEFFAF</v>
          </cell>
          <cell r="F658" t="str">
            <v>9405.19.90.00.00</v>
          </cell>
          <cell r="G658" t="str">
            <v>APLİK</v>
          </cell>
          <cell r="H658" t="str">
            <v>T1W3136200-31</v>
          </cell>
          <cell r="I658" t="str">
            <v>İÇ</v>
          </cell>
          <cell r="J658" t="str">
            <v>APLİK</v>
          </cell>
          <cell r="K658" t="str">
            <v>OTTAVA</v>
          </cell>
          <cell r="L658" t="str">
            <v/>
          </cell>
          <cell r="M658" t="str">
            <v/>
          </cell>
          <cell r="N658" t="str">
            <v>ERD2202-CH</v>
          </cell>
          <cell r="O658" t="str">
            <v>HEKA</v>
          </cell>
          <cell r="P658" t="str">
            <v>ADET</v>
          </cell>
          <cell r="Q658" t="str">
            <v>G9</v>
          </cell>
          <cell r="R658" t="str">
            <v>METAL</v>
          </cell>
          <cell r="S658" t="str">
            <v>KROM</v>
          </cell>
          <cell r="T658" t="str">
            <v>CAM</v>
          </cell>
          <cell r="U658" t="str">
            <v>ŞEFFAF</v>
          </cell>
          <cell r="AD658" t="str">
            <v>N/A</v>
          </cell>
          <cell r="AE658" t="str">
            <v>02</v>
          </cell>
          <cell r="AF658">
            <v>1</v>
          </cell>
          <cell r="AG658" t="str">
            <v>ADET</v>
          </cell>
          <cell r="AH658">
            <v>36</v>
          </cell>
          <cell r="AI658" t="str">
            <v>CNY</v>
          </cell>
          <cell r="AJ658">
            <v>3020</v>
          </cell>
          <cell r="AK658" t="str">
            <v>TL</v>
          </cell>
          <cell r="AL658">
            <v>1</v>
          </cell>
          <cell r="AM658" t="str">
            <v>8684127502894</v>
          </cell>
          <cell r="AO658">
            <v>0</v>
          </cell>
          <cell r="AQ658">
            <v>32</v>
          </cell>
          <cell r="AR658" t="str">
            <v>CM</v>
          </cell>
          <cell r="AS658">
            <v>10</v>
          </cell>
          <cell r="AT658" t="str">
            <v>CM</v>
          </cell>
          <cell r="AU658">
            <v>0</v>
          </cell>
          <cell r="AW658">
            <v>0</v>
          </cell>
        </row>
        <row r="659">
          <cell r="B659" t="str">
            <v>H1W1JMG0000-035</v>
          </cell>
          <cell r="C659" t="str">
            <v>MAHPERİ KROM YAPRAK ALİK KÜÇÜK BOY</v>
          </cell>
          <cell r="D659" t="str">
            <v>MAHPERİ CHROME LEAF WALL LAMP SMALL SIZE</v>
          </cell>
          <cell r="E659" t="str">
            <v>METAL YOK GOLD YOK</v>
          </cell>
          <cell r="F659" t="str">
            <v>9405.19.90.00.00</v>
          </cell>
          <cell r="G659" t="str">
            <v>APLİK</v>
          </cell>
          <cell r="H659" t="str">
            <v>H1W1130000-35</v>
          </cell>
          <cell r="I659" t="str">
            <v>İÇ</v>
          </cell>
          <cell r="J659" t="str">
            <v>APLİK</v>
          </cell>
          <cell r="K659" t="str">
            <v>MAHPERİ</v>
          </cell>
          <cell r="L659" t="str">
            <v/>
          </cell>
          <cell r="M659" t="str">
            <v/>
          </cell>
          <cell r="N659" t="str">
            <v/>
          </cell>
          <cell r="O659" t="str">
            <v>LIGHTIST</v>
          </cell>
          <cell r="P659" t="str">
            <v>ADET</v>
          </cell>
          <cell r="Q659" t="str">
            <v>E14</v>
          </cell>
          <cell r="R659" t="str">
            <v>METAL</v>
          </cell>
          <cell r="S659" t="str">
            <v>GOLD</v>
          </cell>
          <cell r="T659" t="str">
            <v>YOK</v>
          </cell>
          <cell r="U659" t="str">
            <v>YOK</v>
          </cell>
          <cell r="AD659" t="str">
            <v>N/A</v>
          </cell>
          <cell r="AE659" t="str">
            <v>02</v>
          </cell>
          <cell r="AG659" t="str">
            <v>ADET</v>
          </cell>
          <cell r="AH659">
            <v>200</v>
          </cell>
          <cell r="AI659" t="str">
            <v>TL</v>
          </cell>
          <cell r="AJ659">
            <v>2000</v>
          </cell>
          <cell r="AK659" t="str">
            <v>TL</v>
          </cell>
          <cell r="AL659">
            <v>1</v>
          </cell>
          <cell r="AM659" t="str">
            <v>8684127510028</v>
          </cell>
          <cell r="AO659">
            <v>0</v>
          </cell>
          <cell r="AQ659">
            <v>0</v>
          </cell>
          <cell r="AR659" t="str">
            <v>CM</v>
          </cell>
          <cell r="AS659">
            <v>35</v>
          </cell>
          <cell r="AT659" t="str">
            <v>CM</v>
          </cell>
          <cell r="AU659">
            <v>0</v>
          </cell>
          <cell r="AW659">
            <v>0</v>
          </cell>
        </row>
        <row r="660">
          <cell r="B660" t="str">
            <v>H1T6JMKERF0-063</v>
          </cell>
          <cell r="C660" t="str">
            <v>HOBART 3 LÜ FÜME CAMLI KROM MASA LAMBASI</v>
          </cell>
          <cell r="D660" t="str">
            <v>HOBART SMOKY GLASS CHROME TABLE LAMP 3 BULB</v>
          </cell>
          <cell r="E660" t="str">
            <v xml:space="preserve">METAL CAM  KROM FÜME   </v>
          </cell>
          <cell r="F660" t="str">
            <v>9405.21.90.00.00</v>
          </cell>
          <cell r="G660" t="str">
            <v>MASA LAMBASI</v>
          </cell>
          <cell r="H660" t="str">
            <v>T1M6132200-03</v>
          </cell>
          <cell r="I660" t="str">
            <v>İÇ</v>
          </cell>
          <cell r="J660" t="str">
            <v>MASAABAJ</v>
          </cell>
          <cell r="K660" t="str">
            <v>HOBART</v>
          </cell>
          <cell r="L660" t="str">
            <v/>
          </cell>
          <cell r="M660" t="str">
            <v/>
          </cell>
          <cell r="N660" t="str">
            <v>HK20074</v>
          </cell>
          <cell r="O660" t="str">
            <v>HEKA</v>
          </cell>
          <cell r="P660" t="str">
            <v>ADET</v>
          </cell>
          <cell r="Q660" t="str">
            <v>LED</v>
          </cell>
          <cell r="R660" t="str">
            <v>METAL</v>
          </cell>
          <cell r="S660" t="str">
            <v>KROM</v>
          </cell>
          <cell r="T660" t="str">
            <v>CAM</v>
          </cell>
          <cell r="U660" t="str">
            <v>FÜME</v>
          </cell>
          <cell r="AD660" t="str">
            <v>N/A</v>
          </cell>
          <cell r="AF660">
            <v>0</v>
          </cell>
          <cell r="AG660" t="str">
            <v>ADET</v>
          </cell>
          <cell r="AH660">
            <v>1000</v>
          </cell>
          <cell r="AI660" t="str">
            <v>TL</v>
          </cell>
          <cell r="AJ660">
            <v>19375</v>
          </cell>
          <cell r="AK660" t="str">
            <v>TL</v>
          </cell>
          <cell r="AL660">
            <v>1</v>
          </cell>
          <cell r="AM660" t="str">
            <v>8684127505178</v>
          </cell>
          <cell r="AO660">
            <v>0</v>
          </cell>
          <cell r="AQ660">
            <v>31</v>
          </cell>
          <cell r="AR660" t="str">
            <v>CM</v>
          </cell>
          <cell r="AS660">
            <v>31</v>
          </cell>
          <cell r="AT660" t="str">
            <v>CM</v>
          </cell>
          <cell r="AU660">
            <v>0</v>
          </cell>
          <cell r="AW660">
            <v>0</v>
          </cell>
        </row>
        <row r="661">
          <cell r="B661" t="str">
            <v>F1F5DRGAAWL-155</v>
          </cell>
          <cell r="C661" t="str">
            <v>TOCHI AHŞAP-BETON LAMBADER</v>
          </cell>
          <cell r="D661" t="str">
            <v>TOCHI WOOD-CONCRETE FLOOR LAMP</v>
          </cell>
          <cell r="E661" t="str">
            <v xml:space="preserve">BETON AHŞAP GRİ WENGE   </v>
          </cell>
          <cell r="F661" t="str">
            <v>9405.29.90.00.00</v>
          </cell>
          <cell r="G661" t="str">
            <v>LAMBADER</v>
          </cell>
          <cell r="H661" t="str">
            <v>F1L574C201-55</v>
          </cell>
          <cell r="I661" t="str">
            <v>İÇ</v>
          </cell>
          <cell r="J661" t="str">
            <v>LAMBADER</v>
          </cell>
          <cell r="K661" t="str">
            <v>TOCHI</v>
          </cell>
          <cell r="L661" t="str">
            <v/>
          </cell>
          <cell r="M661" t="str">
            <v>ÜRTM:15GÜN</v>
          </cell>
          <cell r="N661" t="str">
            <v>1015</v>
          </cell>
          <cell r="O661" t="str">
            <v>ISHI</v>
          </cell>
          <cell r="P661" t="str">
            <v>ADET</v>
          </cell>
          <cell r="Q661" t="str">
            <v>GU10</v>
          </cell>
          <cell r="R661" t="str">
            <v>BETON</v>
          </cell>
          <cell r="S661" t="str">
            <v>GRİ</v>
          </cell>
          <cell r="T661" t="str">
            <v>AHŞAP</v>
          </cell>
          <cell r="U661" t="str">
            <v>WENGE</v>
          </cell>
          <cell r="AD661" t="str">
            <v>DÜZ</v>
          </cell>
          <cell r="AE661" t="str">
            <v>01</v>
          </cell>
          <cell r="AF661">
            <v>1</v>
          </cell>
          <cell r="AG661" t="str">
            <v>ADET</v>
          </cell>
          <cell r="AH661">
            <v>2898</v>
          </cell>
          <cell r="AI661" t="str">
            <v>TL</v>
          </cell>
          <cell r="AJ661">
            <v>15455</v>
          </cell>
          <cell r="AK661" t="str">
            <v>TL</v>
          </cell>
          <cell r="AL661">
            <v>1</v>
          </cell>
          <cell r="AM661" t="str">
            <v>8684127503082</v>
          </cell>
          <cell r="AO661">
            <v>0</v>
          </cell>
          <cell r="AQ661">
            <v>155</v>
          </cell>
          <cell r="AR661" t="str">
            <v>CM</v>
          </cell>
          <cell r="AS661">
            <v>30</v>
          </cell>
          <cell r="AT661" t="str">
            <v>CM</v>
          </cell>
          <cell r="AU661">
            <v>0</v>
          </cell>
          <cell r="AW661">
            <v>0</v>
          </cell>
        </row>
        <row r="662">
          <cell r="B662" t="str">
            <v>F1C5DRV000L-015</v>
          </cell>
          <cell r="C662" t="str">
            <v>TOPPU BETON KAHVERENGİ SARKIT</v>
          </cell>
          <cell r="D662" t="str">
            <v>TOPPU CONCRETE BROWN PENDANT</v>
          </cell>
          <cell r="E662" t="str">
            <v xml:space="preserve">BETON YOK KAHVERENGİ YOK   </v>
          </cell>
          <cell r="F662" t="str">
            <v>9405.19.90.00.00</v>
          </cell>
          <cell r="G662" t="str">
            <v>AVİZE</v>
          </cell>
          <cell r="H662" t="str">
            <v>F1A514C300-15</v>
          </cell>
          <cell r="I662" t="str">
            <v>İÇ</v>
          </cell>
          <cell r="J662" t="str">
            <v>AVİZE.SARK</v>
          </cell>
          <cell r="K662" t="str">
            <v>TOPPU</v>
          </cell>
          <cell r="L662" t="str">
            <v/>
          </cell>
          <cell r="M662" t="str">
            <v>ÜRTM:15GÜN</v>
          </cell>
          <cell r="N662" t="str">
            <v>1002-BRC</v>
          </cell>
          <cell r="O662" t="str">
            <v>ISHI</v>
          </cell>
          <cell r="P662" t="str">
            <v>ADET</v>
          </cell>
          <cell r="Q662" t="str">
            <v>GU10</v>
          </cell>
          <cell r="R662" t="str">
            <v>BETON</v>
          </cell>
          <cell r="S662" t="str">
            <v>KAHVERENGİ</v>
          </cell>
          <cell r="T662" t="str">
            <v>YOK</v>
          </cell>
          <cell r="U662" t="str">
            <v>YOK</v>
          </cell>
          <cell r="AD662" t="str">
            <v>DÜZ</v>
          </cell>
          <cell r="AE662" t="str">
            <v>01</v>
          </cell>
          <cell r="AF662">
            <v>14</v>
          </cell>
          <cell r="AG662" t="str">
            <v>ADET</v>
          </cell>
          <cell r="AH662">
            <v>966</v>
          </cell>
          <cell r="AI662" t="str">
            <v>TL</v>
          </cell>
          <cell r="AJ662">
            <v>4927</v>
          </cell>
          <cell r="AK662" t="str">
            <v>TL</v>
          </cell>
          <cell r="AL662">
            <v>1</v>
          </cell>
          <cell r="AM662" t="str">
            <v>8684127508650</v>
          </cell>
          <cell r="AO662">
            <v>0</v>
          </cell>
          <cell r="AQ662">
            <v>15</v>
          </cell>
          <cell r="AR662" t="str">
            <v>CM</v>
          </cell>
          <cell r="AS662">
            <v>15</v>
          </cell>
          <cell r="AT662" t="str">
            <v>CM</v>
          </cell>
          <cell r="AU662">
            <v>0</v>
          </cell>
          <cell r="AW662">
            <v>0</v>
          </cell>
        </row>
        <row r="663">
          <cell r="B663" t="str">
            <v>F1C2DRG000L-019</v>
          </cell>
          <cell r="C663" t="str">
            <v>POT BETON GRİ SARKIT</v>
          </cell>
          <cell r="D663" t="str">
            <v>POT CONCRETE GREY PENDANT</v>
          </cell>
          <cell r="E663" t="str">
            <v xml:space="preserve">BETON YOK GRİ YOK   </v>
          </cell>
          <cell r="F663" t="str">
            <v>9405.19.90.00.00</v>
          </cell>
          <cell r="G663" t="str">
            <v>AVİZE</v>
          </cell>
          <cell r="H663" t="str">
            <v>F1A514C200-21</v>
          </cell>
          <cell r="I663" t="str">
            <v>İÇ</v>
          </cell>
          <cell r="J663" t="str">
            <v>AVİZE.SARK</v>
          </cell>
          <cell r="K663" t="str">
            <v>POT</v>
          </cell>
          <cell r="L663" t="str">
            <v/>
          </cell>
          <cell r="M663" t="str">
            <v>ÜRTM:15GÜN</v>
          </cell>
          <cell r="N663" t="str">
            <v>1003-GC</v>
          </cell>
          <cell r="O663" t="str">
            <v>ISHI</v>
          </cell>
          <cell r="P663" t="str">
            <v>ADET</v>
          </cell>
          <cell r="Q663" t="str">
            <v>E27</v>
          </cell>
          <cell r="R663" t="str">
            <v>BETON</v>
          </cell>
          <cell r="S663" t="str">
            <v>GRİ</v>
          </cell>
          <cell r="T663" t="str">
            <v>YOK</v>
          </cell>
          <cell r="U663" t="str">
            <v>YOK</v>
          </cell>
          <cell r="AD663" t="str">
            <v>DÜZ</v>
          </cell>
          <cell r="AE663" t="str">
            <v>01</v>
          </cell>
          <cell r="AF663">
            <v>7</v>
          </cell>
          <cell r="AG663" t="str">
            <v>ADET</v>
          </cell>
          <cell r="AH663">
            <v>966</v>
          </cell>
          <cell r="AI663" t="str">
            <v>TL</v>
          </cell>
          <cell r="AJ663">
            <v>4926</v>
          </cell>
          <cell r="AK663" t="str">
            <v>TL</v>
          </cell>
          <cell r="AL663">
            <v>1</v>
          </cell>
          <cell r="AM663" t="str">
            <v>8684127508674</v>
          </cell>
          <cell r="AO663">
            <v>0</v>
          </cell>
          <cell r="AQ663">
            <v>21</v>
          </cell>
          <cell r="AR663" t="str">
            <v>CM</v>
          </cell>
          <cell r="AS663">
            <v>19</v>
          </cell>
          <cell r="AT663" t="str">
            <v>CM</v>
          </cell>
          <cell r="AU663">
            <v>0</v>
          </cell>
          <cell r="AW663">
            <v>0</v>
          </cell>
        </row>
        <row r="664">
          <cell r="B664" t="str">
            <v>F1C3DRGAAWL-018</v>
          </cell>
          <cell r="C664" t="str">
            <v>TOCHI LARGE AHSAP-BETON G9 SARKIT</v>
          </cell>
          <cell r="D664" t="str">
            <v>TOCHI LARGE WOOD-CONCRETE G9 PENDANT</v>
          </cell>
          <cell r="E664" t="str">
            <v>BETON AHŞAP GRİ WENGE</v>
          </cell>
          <cell r="F664" t="str">
            <v>9405.19.90.00.00</v>
          </cell>
          <cell r="G664" t="str">
            <v>AVİZE</v>
          </cell>
          <cell r="H664" t="str">
            <v>F1A374C200-18</v>
          </cell>
          <cell r="I664" t="str">
            <v>İÇ</v>
          </cell>
          <cell r="J664" t="str">
            <v>AVİZE.SARK</v>
          </cell>
          <cell r="K664" t="str">
            <v>TOCHI</v>
          </cell>
          <cell r="L664" t="str">
            <v/>
          </cell>
          <cell r="M664" t="str">
            <v>ÜRTM:15GÜN</v>
          </cell>
          <cell r="N664" t="str">
            <v>1011-G9</v>
          </cell>
          <cell r="O664" t="str">
            <v>ISHI</v>
          </cell>
          <cell r="P664" t="str">
            <v>ADET</v>
          </cell>
          <cell r="Q664" t="str">
            <v>G9</v>
          </cell>
          <cell r="R664" t="str">
            <v>BETON</v>
          </cell>
          <cell r="S664" t="str">
            <v>GRİ</v>
          </cell>
          <cell r="T664" t="str">
            <v>AHŞAP</v>
          </cell>
          <cell r="U664" t="str">
            <v>WENGE</v>
          </cell>
          <cell r="AD664" t="str">
            <v>DÜZ</v>
          </cell>
          <cell r="AE664" t="str">
            <v>02</v>
          </cell>
          <cell r="AF664">
            <v>0</v>
          </cell>
          <cell r="AG664" t="str">
            <v>ADET</v>
          </cell>
          <cell r="AH664">
            <v>966</v>
          </cell>
          <cell r="AI664" t="str">
            <v>TL</v>
          </cell>
          <cell r="AJ664">
            <v>4810</v>
          </cell>
          <cell r="AK664" t="str">
            <v>TL</v>
          </cell>
          <cell r="AL664">
            <v>1</v>
          </cell>
          <cell r="AM664" t="str">
            <v>8684127509275</v>
          </cell>
          <cell r="AO664">
            <v>0</v>
          </cell>
          <cell r="AQ664">
            <v>18</v>
          </cell>
          <cell r="AR664" t="str">
            <v>CM</v>
          </cell>
          <cell r="AS664">
            <v>8</v>
          </cell>
          <cell r="AT664" t="str">
            <v>CM</v>
          </cell>
          <cell r="AU664">
            <v>0</v>
          </cell>
          <cell r="AW664">
            <v>0</v>
          </cell>
        </row>
        <row r="665">
          <cell r="B665" t="str">
            <v>F1C1DRGAAWL-033</v>
          </cell>
          <cell r="C665" t="str">
            <v>TOCHI LARGE AHSAP-BETON E14 SARKIT</v>
          </cell>
          <cell r="D665" t="str">
            <v>TOCHI LARGE WOOD-CONCRETE E14 PENDANT</v>
          </cell>
          <cell r="E665" t="str">
            <v xml:space="preserve">BETON AHŞAP GRİ WENGE   </v>
          </cell>
          <cell r="F665" t="str">
            <v>9405.19.90.00.00</v>
          </cell>
          <cell r="G665" t="str">
            <v>AVİZE</v>
          </cell>
          <cell r="H665" t="str">
            <v>F1A174C200-33</v>
          </cell>
          <cell r="I665" t="str">
            <v>İÇ</v>
          </cell>
          <cell r="J665" t="str">
            <v>AVİZE.SARK</v>
          </cell>
          <cell r="K665" t="str">
            <v>TOCHI</v>
          </cell>
          <cell r="L665" t="str">
            <v/>
          </cell>
          <cell r="M665" t="str">
            <v>ÜRTM:15GÜN</v>
          </cell>
          <cell r="N665" t="str">
            <v>1011-E14</v>
          </cell>
          <cell r="O665" t="str">
            <v>ISHI</v>
          </cell>
          <cell r="P665" t="str">
            <v>ADET</v>
          </cell>
          <cell r="Q665" t="str">
            <v>E14</v>
          </cell>
          <cell r="R665" t="str">
            <v>BETON</v>
          </cell>
          <cell r="S665" t="str">
            <v>GRİ</v>
          </cell>
          <cell r="T665" t="str">
            <v>AHŞAP</v>
          </cell>
          <cell r="U665" t="str">
            <v>WENGE</v>
          </cell>
          <cell r="AD665" t="str">
            <v>DÜZ</v>
          </cell>
          <cell r="AE665" t="str">
            <v>02</v>
          </cell>
          <cell r="AF665">
            <v>0</v>
          </cell>
          <cell r="AG665" t="str">
            <v>ADET</v>
          </cell>
          <cell r="AH665">
            <v>1104</v>
          </cell>
          <cell r="AI665" t="str">
            <v>TL</v>
          </cell>
          <cell r="AJ665">
            <v>1300</v>
          </cell>
          <cell r="AK665" t="str">
            <v>TL</v>
          </cell>
          <cell r="AL665">
            <v>1</v>
          </cell>
          <cell r="AM665" t="str">
            <v>8684127508742</v>
          </cell>
          <cell r="AO665">
            <v>0</v>
          </cell>
          <cell r="AQ665">
            <v>33</v>
          </cell>
          <cell r="AR665" t="str">
            <v>CM</v>
          </cell>
          <cell r="AS665">
            <v>15</v>
          </cell>
          <cell r="AT665" t="str">
            <v>CM</v>
          </cell>
          <cell r="AU665">
            <v>0</v>
          </cell>
          <cell r="AW665">
            <v>0</v>
          </cell>
        </row>
        <row r="666">
          <cell r="B666" t="str">
            <v>H1W3JMEECT0-017</v>
          </cell>
          <cell r="C666" t="str">
            <v>OSAKA ESKİTME APLİK</v>
          </cell>
          <cell r="D666" t="str">
            <v>OSAKA BRUSHED BRASS WALL LAMP</v>
          </cell>
          <cell r="E666" t="str">
            <v>METAL CAM ESKİTME SOFT</v>
          </cell>
          <cell r="F666" t="str">
            <v>9405.19.90.00.00</v>
          </cell>
          <cell r="G666" t="str">
            <v>APLİK</v>
          </cell>
          <cell r="H666" t="str">
            <v>T1W3112100-20</v>
          </cell>
          <cell r="I666" t="str">
            <v>İÇ</v>
          </cell>
          <cell r="J666" t="str">
            <v>APLİK</v>
          </cell>
          <cell r="K666" t="str">
            <v>OSAKA</v>
          </cell>
          <cell r="L666" t="str">
            <v>Ç</v>
          </cell>
          <cell r="M666" t="str">
            <v/>
          </cell>
          <cell r="N666" t="str">
            <v>HKA-24338</v>
          </cell>
          <cell r="O666" t="str">
            <v>HEKA</v>
          </cell>
          <cell r="P666" t="str">
            <v>ADET</v>
          </cell>
          <cell r="Q666" t="str">
            <v>G9</v>
          </cell>
          <cell r="R666" t="str">
            <v>METAL</v>
          </cell>
          <cell r="S666" t="str">
            <v>ESKİTME</v>
          </cell>
          <cell r="T666" t="str">
            <v>CAM</v>
          </cell>
          <cell r="U666" t="str">
            <v>SOFT</v>
          </cell>
          <cell r="AD666" t="str">
            <v>N/A</v>
          </cell>
          <cell r="AE666" t="str">
            <v>01</v>
          </cell>
          <cell r="AF666">
            <v>25</v>
          </cell>
          <cell r="AG666" t="str">
            <v>ADET</v>
          </cell>
          <cell r="AH666">
            <v>60</v>
          </cell>
          <cell r="AI666" t="str">
            <v>CNY</v>
          </cell>
          <cell r="AJ666">
            <v>2499</v>
          </cell>
          <cell r="AK666" t="str">
            <v>TL</v>
          </cell>
          <cell r="AL666">
            <v>1</v>
          </cell>
          <cell r="AM666" t="str">
            <v>8684127502856</v>
          </cell>
          <cell r="AO666">
            <v>0</v>
          </cell>
          <cell r="AQ666">
            <v>13</v>
          </cell>
          <cell r="AR666" t="str">
            <v>CM</v>
          </cell>
          <cell r="AS666">
            <v>12</v>
          </cell>
          <cell r="AT666" t="str">
            <v>CM</v>
          </cell>
          <cell r="AU666">
            <v>0</v>
          </cell>
          <cell r="AW666">
            <v>0</v>
          </cell>
        </row>
        <row r="667">
          <cell r="B667" t="str">
            <v>H1C6JMEECSR-058</v>
          </cell>
          <cell r="C667" t="str">
            <v>KAMAKURA ESKİTME SARKIT 58cm</v>
          </cell>
          <cell r="D667" t="str">
            <v>KAMAKURA BRUSHED BRASS PENDANT 58cm</v>
          </cell>
          <cell r="E667" t="str">
            <v xml:space="preserve">METAL CAM  ESKİTME ŞEFFAF   </v>
          </cell>
          <cell r="F667" t="str">
            <v>9405.11.90.00.00</v>
          </cell>
          <cell r="G667" t="str">
            <v>AVİZE</v>
          </cell>
          <cell r="H667" t="str">
            <v>T1A6116200-58</v>
          </cell>
          <cell r="I667" t="str">
            <v>İÇ</v>
          </cell>
          <cell r="J667" t="str">
            <v>AVİZE.SARK</v>
          </cell>
          <cell r="K667" t="str">
            <v>KAMAKURA</v>
          </cell>
          <cell r="L667" t="str">
            <v/>
          </cell>
          <cell r="M667" t="str">
            <v/>
          </cell>
          <cell r="N667" t="str">
            <v>HKA-24122</v>
          </cell>
          <cell r="O667" t="str">
            <v>HEKA</v>
          </cell>
          <cell r="P667" t="str">
            <v>ADET</v>
          </cell>
          <cell r="Q667" t="str">
            <v>LED</v>
          </cell>
          <cell r="R667" t="str">
            <v>METAL</v>
          </cell>
          <cell r="S667" t="str">
            <v>ESKİTME</v>
          </cell>
          <cell r="T667" t="str">
            <v>CAM</v>
          </cell>
          <cell r="U667" t="str">
            <v>ŞEFFAF</v>
          </cell>
          <cell r="AD667" t="str">
            <v>DAİRE</v>
          </cell>
          <cell r="AE667" t="str">
            <v>01</v>
          </cell>
          <cell r="AF667">
            <v>0</v>
          </cell>
          <cell r="AG667" t="str">
            <v>ADET</v>
          </cell>
          <cell r="AH667">
            <v>290</v>
          </cell>
          <cell r="AI667" t="str">
            <v>CNY</v>
          </cell>
          <cell r="AJ667">
            <v>13923</v>
          </cell>
          <cell r="AK667" t="str">
            <v>TL</v>
          </cell>
          <cell r="AL667">
            <v>1</v>
          </cell>
          <cell r="AM667" t="str">
            <v>8684127508988</v>
          </cell>
          <cell r="AO667">
            <v>0</v>
          </cell>
          <cell r="AQ667">
            <v>30</v>
          </cell>
          <cell r="AR667" t="str">
            <v>CM</v>
          </cell>
          <cell r="AS667">
            <v>58</v>
          </cell>
          <cell r="AT667" t="str">
            <v>CM</v>
          </cell>
          <cell r="AU667">
            <v>0</v>
          </cell>
          <cell r="AW667">
            <v>0</v>
          </cell>
        </row>
        <row r="668">
          <cell r="B668" t="str">
            <v>H1C6JMEBCSR-038</v>
          </cell>
          <cell r="C668" t="str">
            <v>HAKONE ALTIN SARKIT 38cm</v>
          </cell>
          <cell r="D668" t="str">
            <v>HAKONE GOLD PENDANT 38cm</v>
          </cell>
          <cell r="E668" t="str">
            <v xml:space="preserve">METAL AKRİLİK ESKİTME ŞEFFAF   </v>
          </cell>
          <cell r="F668" t="str">
            <v>9405.11.90.00.00</v>
          </cell>
          <cell r="G668" t="str">
            <v>AVİZE</v>
          </cell>
          <cell r="H668" t="str">
            <v>T1A6126200-38</v>
          </cell>
          <cell r="I668" t="str">
            <v>İÇ</v>
          </cell>
          <cell r="J668" t="str">
            <v>AVİZE.SARK</v>
          </cell>
          <cell r="K668" t="str">
            <v>HAKONE</v>
          </cell>
          <cell r="L668" t="str">
            <v/>
          </cell>
          <cell r="M668" t="str">
            <v/>
          </cell>
          <cell r="N668" t="str">
            <v>7006-G</v>
          </cell>
          <cell r="O668" t="str">
            <v>HEKA</v>
          </cell>
          <cell r="P668" t="str">
            <v>ADET</v>
          </cell>
          <cell r="Q668" t="str">
            <v>LED</v>
          </cell>
          <cell r="R668" t="str">
            <v>METAL</v>
          </cell>
          <cell r="S668" t="str">
            <v>ESKİTME</v>
          </cell>
          <cell r="T668" t="str">
            <v>AKRİLİK</v>
          </cell>
          <cell r="U668" t="str">
            <v>ŞEFFAF</v>
          </cell>
          <cell r="AD668" t="str">
            <v>DAİRE</v>
          </cell>
          <cell r="AF668">
            <v>12</v>
          </cell>
          <cell r="AG668" t="str">
            <v>ADET</v>
          </cell>
          <cell r="AH668">
            <v>98</v>
          </cell>
          <cell r="AI668" t="str">
            <v>CNY</v>
          </cell>
          <cell r="AJ668">
            <v>5117</v>
          </cell>
          <cell r="AK668" t="str">
            <v>TL</v>
          </cell>
          <cell r="AL668">
            <v>1</v>
          </cell>
          <cell r="AM668" t="str">
            <v>8684127502054</v>
          </cell>
          <cell r="AO668">
            <v>0</v>
          </cell>
          <cell r="AQ668">
            <v>38</v>
          </cell>
          <cell r="AR668" t="str">
            <v>CM</v>
          </cell>
          <cell r="AS668">
            <v>38</v>
          </cell>
          <cell r="AT668" t="str">
            <v>CM</v>
          </cell>
          <cell r="AU668">
            <v>0</v>
          </cell>
          <cell r="AW668">
            <v>0</v>
          </cell>
        </row>
        <row r="669">
          <cell r="B669" t="str">
            <v>H1C6JMELCTR-018</v>
          </cell>
          <cell r="C669" t="str">
            <v>LAVAL LED ESKİTME SARKIT 18cm</v>
          </cell>
          <cell r="D669" t="str">
            <v>LAVAL LED BRUSHED BRASS PENDANT 18cm</v>
          </cell>
          <cell r="E669" t="str">
            <v xml:space="preserve">METAL PLEKSİ ESKİTME SOFT   </v>
          </cell>
          <cell r="F669" t="str">
            <v>9405.11.90.00.00</v>
          </cell>
          <cell r="G669" t="str">
            <v>AVİZE</v>
          </cell>
          <cell r="H669" t="str">
            <v>T1A6118100-18</v>
          </cell>
          <cell r="I669" t="str">
            <v>İÇ</v>
          </cell>
          <cell r="J669" t="str">
            <v>AVİZE.SARK</v>
          </cell>
          <cell r="K669" t="str">
            <v>LAVAL</v>
          </cell>
          <cell r="L669" t="str">
            <v/>
          </cell>
          <cell r="M669" t="str">
            <v/>
          </cell>
          <cell r="N669" t="str">
            <v>9991-BR-18</v>
          </cell>
          <cell r="O669" t="str">
            <v>HEKA</v>
          </cell>
          <cell r="P669" t="str">
            <v>ADET</v>
          </cell>
          <cell r="Q669" t="str">
            <v>LED</v>
          </cell>
          <cell r="R669" t="str">
            <v>METAL</v>
          </cell>
          <cell r="S669" t="str">
            <v>ESKİTME</v>
          </cell>
          <cell r="T669" t="str">
            <v>PLEKSİ</v>
          </cell>
          <cell r="U669" t="str">
            <v>SOFT</v>
          </cell>
          <cell r="AD669" t="str">
            <v>DAİRE</v>
          </cell>
          <cell r="AE669" t="str">
            <v>01</v>
          </cell>
          <cell r="AF669">
            <v>0</v>
          </cell>
          <cell r="AG669" t="str">
            <v>ADET</v>
          </cell>
          <cell r="AH669">
            <v>100</v>
          </cell>
          <cell r="AI669" t="str">
            <v>CNY</v>
          </cell>
          <cell r="AJ669">
            <v>1480</v>
          </cell>
          <cell r="AK669" t="str">
            <v>TL</v>
          </cell>
          <cell r="AL669">
            <v>1</v>
          </cell>
          <cell r="AM669" t="str">
            <v>8684127508797</v>
          </cell>
          <cell r="AO669">
            <v>0</v>
          </cell>
          <cell r="AQ669">
            <v>18</v>
          </cell>
          <cell r="AR669" t="str">
            <v>CM</v>
          </cell>
          <cell r="AS669">
            <v>18</v>
          </cell>
          <cell r="AT669" t="str">
            <v>CM</v>
          </cell>
          <cell r="AU669">
            <v>0</v>
          </cell>
          <cell r="AW669">
            <v>0</v>
          </cell>
        </row>
        <row r="670">
          <cell r="B670" t="str">
            <v>H1C6JMELCTR-025</v>
          </cell>
          <cell r="C670" t="str">
            <v>LAVAL LED ESKİTME SARKIT 25cm</v>
          </cell>
          <cell r="D670" t="str">
            <v>LAVAL LED BRUSHED BRASS PENDANT 25cm</v>
          </cell>
          <cell r="E670" t="str">
            <v xml:space="preserve">METAL PLEKSİ ESKİTME SOFT   </v>
          </cell>
          <cell r="F670" t="str">
            <v>9405.11.90.00.00</v>
          </cell>
          <cell r="G670" t="str">
            <v>AVİZE</v>
          </cell>
          <cell r="H670" t="str">
            <v>T1A6118100-25</v>
          </cell>
          <cell r="I670" t="str">
            <v>İÇ</v>
          </cell>
          <cell r="J670" t="str">
            <v>AVİZE.SARK</v>
          </cell>
          <cell r="K670" t="str">
            <v>LAVAL</v>
          </cell>
          <cell r="L670" t="str">
            <v/>
          </cell>
          <cell r="M670" t="str">
            <v/>
          </cell>
          <cell r="N670" t="str">
            <v>9991-BR-25</v>
          </cell>
          <cell r="O670" t="str">
            <v>HEKA</v>
          </cell>
          <cell r="P670" t="str">
            <v>ADET</v>
          </cell>
          <cell r="Q670" t="str">
            <v>LED</v>
          </cell>
          <cell r="R670" t="str">
            <v>METAL</v>
          </cell>
          <cell r="S670" t="str">
            <v>ESKİTME</v>
          </cell>
          <cell r="T670" t="str">
            <v>PLEKSİ</v>
          </cell>
          <cell r="U670" t="str">
            <v>SOFT</v>
          </cell>
          <cell r="AD670" t="str">
            <v>DAİRE</v>
          </cell>
          <cell r="AE670" t="str">
            <v>01</v>
          </cell>
          <cell r="AF670">
            <v>0</v>
          </cell>
          <cell r="AG670" t="str">
            <v>ADET</v>
          </cell>
          <cell r="AH670">
            <v>100</v>
          </cell>
          <cell r="AI670" t="str">
            <v>CNY</v>
          </cell>
          <cell r="AJ670">
            <v>1760</v>
          </cell>
          <cell r="AK670" t="str">
            <v>TL</v>
          </cell>
          <cell r="AL670">
            <v>1</v>
          </cell>
          <cell r="AM670" t="str">
            <v>8684127502344</v>
          </cell>
          <cell r="AO670">
            <v>0</v>
          </cell>
          <cell r="AQ670">
            <v>37</v>
          </cell>
          <cell r="AR670" t="str">
            <v>CM</v>
          </cell>
          <cell r="AS670">
            <v>27.5</v>
          </cell>
          <cell r="AT670" t="str">
            <v>CM</v>
          </cell>
          <cell r="AU670">
            <v>0</v>
          </cell>
          <cell r="AW670">
            <v>0</v>
          </cell>
        </row>
        <row r="671">
          <cell r="B671" t="str">
            <v>F1C2DRGJRS0-008</v>
          </cell>
          <cell r="C671" t="str">
            <v>HOLDERCON BETON GRİ E27 SARKIT</v>
          </cell>
          <cell r="D671" t="str">
            <v>HOLDERCON CONCRETE GREY E27 PENDANT</v>
          </cell>
          <cell r="E671" t="str">
            <v>BETON METAL GRİ SİYAH</v>
          </cell>
          <cell r="F671" t="str">
            <v>9405.19.90.00.00</v>
          </cell>
          <cell r="G671" t="str">
            <v>AVİZE</v>
          </cell>
          <cell r="H671" t="str">
            <v>F1A214C300-00</v>
          </cell>
          <cell r="I671" t="str">
            <v>İÇ</v>
          </cell>
          <cell r="J671" t="str">
            <v>AVİZE.SARK</v>
          </cell>
          <cell r="K671" t="str">
            <v>HOLDERCON</v>
          </cell>
          <cell r="L671" t="str">
            <v/>
          </cell>
          <cell r="M671" t="str">
            <v/>
          </cell>
          <cell r="N671" t="str">
            <v>1004-GC</v>
          </cell>
          <cell r="O671" t="str">
            <v>ISHI</v>
          </cell>
          <cell r="P671" t="str">
            <v>ADET</v>
          </cell>
          <cell r="Q671" t="str">
            <v>E27</v>
          </cell>
          <cell r="R671" t="str">
            <v>BETON</v>
          </cell>
          <cell r="S671" t="str">
            <v>GRİ</v>
          </cell>
          <cell r="T671" t="str">
            <v>METAL</v>
          </cell>
          <cell r="U671" t="str">
            <v>SİYAH</v>
          </cell>
          <cell r="AD671" t="str">
            <v>N/A</v>
          </cell>
          <cell r="AE671" t="str">
            <v>02</v>
          </cell>
          <cell r="AG671" t="str">
            <v>ADET</v>
          </cell>
          <cell r="AH671">
            <v>166.75</v>
          </cell>
          <cell r="AI671" t="str">
            <v>TL</v>
          </cell>
          <cell r="AJ671">
            <v>378</v>
          </cell>
          <cell r="AK671" t="str">
            <v>TL</v>
          </cell>
          <cell r="AL671">
            <v>1</v>
          </cell>
          <cell r="AM671" t="str">
            <v>8684127509251</v>
          </cell>
          <cell r="AO671">
            <v>0</v>
          </cell>
          <cell r="AQ671">
            <v>8.6</v>
          </cell>
          <cell r="AR671" t="str">
            <v>CM</v>
          </cell>
          <cell r="AS671">
            <v>6</v>
          </cell>
          <cell r="AT671" t="str">
            <v>CM</v>
          </cell>
          <cell r="AU671">
            <v>0</v>
          </cell>
          <cell r="AW671">
            <v>0</v>
          </cell>
        </row>
        <row r="672">
          <cell r="B672" t="str">
            <v>H1W3JMEERL0-035</v>
          </cell>
          <cell r="C672" t="str">
            <v>BENİN BAL CAM ESKİTME APLİK</v>
          </cell>
          <cell r="D672" t="str">
            <v>BENİN AMBER GLASS BRUSHED BRASS WALL LAMP</v>
          </cell>
          <cell r="E672" t="str">
            <v>METAL CAM ESKİTME BAL</v>
          </cell>
          <cell r="F672" t="str">
            <v>9405.19.90.00.00</v>
          </cell>
          <cell r="G672" t="str">
            <v>APLİK</v>
          </cell>
          <cell r="H672" t="str">
            <v>T1W1112300-25</v>
          </cell>
          <cell r="I672" t="str">
            <v>İÇ</v>
          </cell>
          <cell r="J672" t="str">
            <v>APLİK</v>
          </cell>
          <cell r="K672" t="str">
            <v>BENİN</v>
          </cell>
          <cell r="L672" t="str">
            <v/>
          </cell>
          <cell r="M672" t="str">
            <v>ÜRTM:15GÜN</v>
          </cell>
          <cell r="N672" t="str">
            <v>HK20072</v>
          </cell>
          <cell r="O672" t="str">
            <v>HEKA</v>
          </cell>
          <cell r="P672" t="str">
            <v>ADET</v>
          </cell>
          <cell r="Q672" t="str">
            <v>E14</v>
          </cell>
          <cell r="R672" t="str">
            <v>METAL</v>
          </cell>
          <cell r="S672" t="str">
            <v>ESKİTME</v>
          </cell>
          <cell r="T672" t="str">
            <v>CAM</v>
          </cell>
          <cell r="U672" t="str">
            <v>BAL</v>
          </cell>
          <cell r="AD672" t="str">
            <v>N/A</v>
          </cell>
          <cell r="AE672" t="str">
            <v>02</v>
          </cell>
          <cell r="AF672">
            <v>0</v>
          </cell>
          <cell r="AG672" t="str">
            <v>ADET</v>
          </cell>
          <cell r="AH672">
            <v>150</v>
          </cell>
          <cell r="AI672" t="str">
            <v>TL</v>
          </cell>
          <cell r="AJ672">
            <v>5100</v>
          </cell>
          <cell r="AK672" t="str">
            <v>TL</v>
          </cell>
          <cell r="AL672">
            <v>1</v>
          </cell>
          <cell r="AM672" t="str">
            <v>8684127505147</v>
          </cell>
          <cell r="AO672">
            <v>0</v>
          </cell>
          <cell r="AQ672">
            <v>12</v>
          </cell>
          <cell r="AR672" t="str">
            <v>CM</v>
          </cell>
          <cell r="AS672">
            <v>23</v>
          </cell>
          <cell r="AT672" t="str">
            <v>CM</v>
          </cell>
          <cell r="AU672">
            <v>0</v>
          </cell>
          <cell r="AW672">
            <v>0</v>
          </cell>
        </row>
        <row r="673">
          <cell r="B673" t="str">
            <v>H1W3JMKERF0-035</v>
          </cell>
          <cell r="C673" t="str">
            <v>BENİN FÜME CAM KROM APLİK</v>
          </cell>
          <cell r="D673" t="str">
            <v>BENİN SMOKY GLASS CHROME WALL LAMP</v>
          </cell>
          <cell r="E673" t="str">
            <v>METAL CAM KROM FÜME</v>
          </cell>
          <cell r="F673" t="str">
            <v>9405.19.90.00.00</v>
          </cell>
          <cell r="G673" t="str">
            <v>APLİK</v>
          </cell>
          <cell r="H673" t="str">
            <v>T1W1132200-25</v>
          </cell>
          <cell r="I673" t="str">
            <v>İÇ</v>
          </cell>
          <cell r="J673" t="str">
            <v>APLİK</v>
          </cell>
          <cell r="K673" t="str">
            <v>BENİN</v>
          </cell>
          <cell r="L673" t="str">
            <v/>
          </cell>
          <cell r="M673" t="str">
            <v>ÜRTM:15GÜN</v>
          </cell>
          <cell r="N673" t="str">
            <v>HK20070</v>
          </cell>
          <cell r="O673" t="str">
            <v>HEKA</v>
          </cell>
          <cell r="P673" t="str">
            <v>ADET</v>
          </cell>
          <cell r="Q673" t="str">
            <v>E14</v>
          </cell>
          <cell r="R673" t="str">
            <v>METAL</v>
          </cell>
          <cell r="S673" t="str">
            <v>KROM</v>
          </cell>
          <cell r="T673" t="str">
            <v>CAM</v>
          </cell>
          <cell r="U673" t="str">
            <v>FÜME</v>
          </cell>
          <cell r="AD673" t="str">
            <v>N/A</v>
          </cell>
          <cell r="AE673" t="str">
            <v>02</v>
          </cell>
          <cell r="AF673">
            <v>0</v>
          </cell>
          <cell r="AG673" t="str">
            <v>ADET</v>
          </cell>
          <cell r="AJ673">
            <v>5100</v>
          </cell>
          <cell r="AK673" t="str">
            <v>TL</v>
          </cell>
          <cell r="AL673">
            <v>1</v>
          </cell>
          <cell r="AM673" t="str">
            <v>8684127506106</v>
          </cell>
          <cell r="AO673">
            <v>0</v>
          </cell>
          <cell r="AQ673">
            <v>35</v>
          </cell>
          <cell r="AR673" t="str">
            <v>CM</v>
          </cell>
          <cell r="AS673">
            <v>12</v>
          </cell>
          <cell r="AT673" t="str">
            <v>CM</v>
          </cell>
          <cell r="AU673">
            <v>0</v>
          </cell>
          <cell r="AW673">
            <v>0</v>
          </cell>
        </row>
        <row r="674">
          <cell r="B674" t="str">
            <v>F1T3DRGAAWW-054</v>
          </cell>
          <cell r="C674" t="str">
            <v>TOCHI LOOP MASA LAMBASI KABLOSUZ TELEFON ŞARJLI</v>
          </cell>
          <cell r="D674" t="str">
            <v>TOCHI LOOP WIRELESS PHONE CHARGER TABLE LAMP</v>
          </cell>
          <cell r="E674" t="str">
            <v xml:space="preserve">BETON AHŞAP GRİ WENGE   </v>
          </cell>
          <cell r="F674" t="str">
            <v>9405.29.90.00.00</v>
          </cell>
          <cell r="G674" t="str">
            <v>MASAABAJ</v>
          </cell>
          <cell r="H674" t="str">
            <v>F1M374C20W-00</v>
          </cell>
          <cell r="I674" t="str">
            <v>İÇ</v>
          </cell>
          <cell r="J674" t="str">
            <v>MASAABAJ</v>
          </cell>
          <cell r="K674" t="str">
            <v>TOCHI</v>
          </cell>
          <cell r="L674" t="str">
            <v/>
          </cell>
          <cell r="M674" t="str">
            <v>ÜRTM:15GÜN</v>
          </cell>
          <cell r="N674" t="str">
            <v>1016</v>
          </cell>
          <cell r="O674" t="str">
            <v>ISHI</v>
          </cell>
          <cell r="P674" t="str">
            <v>ADET</v>
          </cell>
          <cell r="Q674" t="str">
            <v>G9</v>
          </cell>
          <cell r="R674" t="str">
            <v>BETON</v>
          </cell>
          <cell r="S674" t="str">
            <v>GRİ</v>
          </cell>
          <cell r="T674" t="str">
            <v>AHŞAP</v>
          </cell>
          <cell r="U674" t="str">
            <v>WENGE</v>
          </cell>
          <cell r="AD674" t="str">
            <v>KABLOSUZ ŞARJ</v>
          </cell>
          <cell r="AE674" t="str">
            <v>02</v>
          </cell>
          <cell r="AF674">
            <v>0</v>
          </cell>
          <cell r="AG674" t="str">
            <v>ADET</v>
          </cell>
          <cell r="AH674">
            <v>2162</v>
          </cell>
          <cell r="AI674" t="str">
            <v>TL</v>
          </cell>
          <cell r="AJ674">
            <v>5430</v>
          </cell>
          <cell r="AK674" t="str">
            <v>TL</v>
          </cell>
          <cell r="AL674">
            <v>1</v>
          </cell>
          <cell r="AM674" t="str">
            <v>8684127503099</v>
          </cell>
          <cell r="AO674">
            <v>0</v>
          </cell>
          <cell r="AQ674">
            <v>54</v>
          </cell>
          <cell r="AR674" t="str">
            <v>CM</v>
          </cell>
          <cell r="AS674">
            <v>20</v>
          </cell>
          <cell r="AT674" t="str">
            <v>CM</v>
          </cell>
          <cell r="AU674">
            <v>0</v>
          </cell>
          <cell r="AW674">
            <v>0</v>
          </cell>
        </row>
        <row r="675">
          <cell r="B675" t="str">
            <v>F1T1AAMJRSR-030</v>
          </cell>
          <cell r="C675" t="str">
            <v>TOCHI MUSH AHŞAP-SİYAH MASA LAMBASI</v>
          </cell>
          <cell r="D675" t="str">
            <v>TOCHI MUSH WOOD-BLACK CONCRETE TABLE LAMP</v>
          </cell>
          <cell r="E675" t="str">
            <v xml:space="preserve">AHŞAP METAL MEŞE SİYAH   </v>
          </cell>
          <cell r="F675" t="str">
            <v>9405.29.90.00.00</v>
          </cell>
          <cell r="G675" t="str">
            <v>MASAABAJ</v>
          </cell>
          <cell r="H675" t="str">
            <v>F1M174C400-30</v>
          </cell>
          <cell r="I675" t="str">
            <v>İÇ</v>
          </cell>
          <cell r="J675" t="str">
            <v>MASAABAJ</v>
          </cell>
          <cell r="K675" t="str">
            <v>TOCHI</v>
          </cell>
          <cell r="L675" t="str">
            <v/>
          </cell>
          <cell r="M675" t="str">
            <v>ÜRTM:15GÜN</v>
          </cell>
          <cell r="N675" t="str">
            <v>1021-BC</v>
          </cell>
          <cell r="O675" t="str">
            <v>ISHI</v>
          </cell>
          <cell r="P675" t="str">
            <v>ADET</v>
          </cell>
          <cell r="Q675" t="str">
            <v>E14</v>
          </cell>
          <cell r="R675" t="str">
            <v>AHŞAP</v>
          </cell>
          <cell r="S675" t="str">
            <v>MEŞE</v>
          </cell>
          <cell r="T675" t="str">
            <v>METAL</v>
          </cell>
          <cell r="U675" t="str">
            <v>SİYAH</v>
          </cell>
          <cell r="AD675" t="str">
            <v>DAİRE</v>
          </cell>
          <cell r="AE675" t="str">
            <v>01</v>
          </cell>
          <cell r="AF675">
            <v>2</v>
          </cell>
          <cell r="AG675" t="str">
            <v>ADET</v>
          </cell>
          <cell r="AH675">
            <v>1564</v>
          </cell>
          <cell r="AI675" t="str">
            <v>TL</v>
          </cell>
          <cell r="AJ675">
            <v>7975</v>
          </cell>
          <cell r="AK675" t="str">
            <v>TL</v>
          </cell>
          <cell r="AL675">
            <v>1</v>
          </cell>
          <cell r="AM675" t="str">
            <v>8684127507592</v>
          </cell>
          <cell r="AO675">
            <v>0</v>
          </cell>
          <cell r="AQ675">
            <v>30</v>
          </cell>
          <cell r="AR675" t="str">
            <v>CM</v>
          </cell>
          <cell r="AS675">
            <v>25</v>
          </cell>
          <cell r="AT675" t="str">
            <v>CM</v>
          </cell>
          <cell r="AU675">
            <v>0</v>
          </cell>
          <cell r="AW675">
            <v>0</v>
          </cell>
        </row>
        <row r="676">
          <cell r="B676" t="str">
            <v>F1C2DRB000L-019</v>
          </cell>
          <cell r="C676" t="str">
            <v>POT BETON BEYAZ SARKIT</v>
          </cell>
          <cell r="D676" t="str">
            <v>POT CONCRETE WHITE PENDANT</v>
          </cell>
          <cell r="E676" t="str">
            <v xml:space="preserve">BETON YOK BEYAZ YOK   </v>
          </cell>
          <cell r="F676" t="str">
            <v>9405.19.90.00.00</v>
          </cell>
          <cell r="G676" t="str">
            <v>AVİZE</v>
          </cell>
          <cell r="H676" t="str">
            <v>F1A514C100-21</v>
          </cell>
          <cell r="I676" t="str">
            <v>İÇ</v>
          </cell>
          <cell r="J676" t="str">
            <v>AVİZE.SARK</v>
          </cell>
          <cell r="K676" t="str">
            <v>POT</v>
          </cell>
          <cell r="L676" t="str">
            <v/>
          </cell>
          <cell r="M676" t="str">
            <v>ÜRTM:15GÜN</v>
          </cell>
          <cell r="N676" t="str">
            <v>1003-WC</v>
          </cell>
          <cell r="O676" t="str">
            <v>ISHI</v>
          </cell>
          <cell r="P676" t="str">
            <v>ADET</v>
          </cell>
          <cell r="Q676" t="str">
            <v>E27</v>
          </cell>
          <cell r="R676" t="str">
            <v>BETON</v>
          </cell>
          <cell r="S676" t="str">
            <v>BEYAZ</v>
          </cell>
          <cell r="T676" t="str">
            <v>YOK</v>
          </cell>
          <cell r="U676" t="str">
            <v>YOK</v>
          </cell>
          <cell r="AD676" t="str">
            <v>DÜZ</v>
          </cell>
          <cell r="AE676" t="str">
            <v>01</v>
          </cell>
          <cell r="AF676">
            <v>7</v>
          </cell>
          <cell r="AG676" t="str">
            <v>ADET</v>
          </cell>
          <cell r="AH676">
            <v>966</v>
          </cell>
          <cell r="AI676" t="str">
            <v>TL</v>
          </cell>
          <cell r="AJ676">
            <v>4926</v>
          </cell>
          <cell r="AK676" t="str">
            <v>TL</v>
          </cell>
          <cell r="AL676">
            <v>1</v>
          </cell>
          <cell r="AM676" t="str">
            <v>8684127508667</v>
          </cell>
          <cell r="AO676">
            <v>0</v>
          </cell>
          <cell r="AQ676">
            <v>21</v>
          </cell>
          <cell r="AR676" t="str">
            <v>CM</v>
          </cell>
          <cell r="AS676">
            <v>19</v>
          </cell>
          <cell r="AT676" t="str">
            <v>CM</v>
          </cell>
          <cell r="AU676">
            <v>0</v>
          </cell>
          <cell r="AW676">
            <v>0</v>
          </cell>
        </row>
        <row r="677">
          <cell r="B677" t="str">
            <v>F1C2DRGAAWL-018</v>
          </cell>
          <cell r="C677" t="str">
            <v>TOCHI LARGE AHSAP-BETON E27 SARKIT</v>
          </cell>
          <cell r="D677" t="str">
            <v>TOCHI LARGE WOOD-CONCRETE E27 PENDANT</v>
          </cell>
          <cell r="E677" t="str">
            <v xml:space="preserve">BETON AHŞAP GRİ WENGE   </v>
          </cell>
          <cell r="F677" t="str">
            <v>9405.19.90.00.00</v>
          </cell>
          <cell r="G677" t="str">
            <v>AVİZE</v>
          </cell>
          <cell r="H677" t="str">
            <v>F1A274C200-18</v>
          </cell>
          <cell r="I677" t="str">
            <v>İÇ</v>
          </cell>
          <cell r="J677" t="str">
            <v>AVİZE.SARK</v>
          </cell>
          <cell r="K677" t="str">
            <v>TOCHI</v>
          </cell>
          <cell r="L677" t="str">
            <v/>
          </cell>
          <cell r="M677" t="str">
            <v>ÜRTM:15GÜN</v>
          </cell>
          <cell r="N677" t="str">
            <v>1011-E27</v>
          </cell>
          <cell r="O677" t="str">
            <v>ISHI</v>
          </cell>
          <cell r="P677" t="str">
            <v>ADET</v>
          </cell>
          <cell r="Q677" t="str">
            <v>E27</v>
          </cell>
          <cell r="R677" t="str">
            <v>BETON</v>
          </cell>
          <cell r="S677" t="str">
            <v>GRİ</v>
          </cell>
          <cell r="T677" t="str">
            <v>AHŞAP</v>
          </cell>
          <cell r="U677" t="str">
            <v>WENGE</v>
          </cell>
          <cell r="AD677" t="str">
            <v>DÜZ</v>
          </cell>
          <cell r="AE677" t="str">
            <v>01</v>
          </cell>
          <cell r="AF677">
            <v>1</v>
          </cell>
          <cell r="AG677" t="str">
            <v>ADET</v>
          </cell>
          <cell r="AH677">
            <v>943</v>
          </cell>
          <cell r="AI677" t="str">
            <v>TL</v>
          </cell>
          <cell r="AJ677">
            <v>4810</v>
          </cell>
          <cell r="AK677" t="str">
            <v>TL</v>
          </cell>
          <cell r="AL677">
            <v>1</v>
          </cell>
          <cell r="AM677" t="str">
            <v>8684127508759</v>
          </cell>
          <cell r="AO677">
            <v>0</v>
          </cell>
          <cell r="AQ677">
            <v>18</v>
          </cell>
          <cell r="AR677" t="str">
            <v>CM</v>
          </cell>
          <cell r="AS677">
            <v>8</v>
          </cell>
          <cell r="AT677" t="str">
            <v>CM</v>
          </cell>
          <cell r="AU677">
            <v>0</v>
          </cell>
          <cell r="AW677">
            <v>0</v>
          </cell>
        </row>
        <row r="678">
          <cell r="B678" t="str">
            <v>H1C6JMEECSU-012</v>
          </cell>
          <cell r="C678" t="str">
            <v>KOBE ŞEFFAF TEKLİ  ESKİTME SARKIT</v>
          </cell>
          <cell r="D678" t="str">
            <v>KOBE SINGLE CLEAR BRUSHED BRASS PENDANT</v>
          </cell>
          <cell r="E678" t="str">
            <v xml:space="preserve">METAL CAM  ESKİTME ŞEFFAF   </v>
          </cell>
          <cell r="F678" t="str">
            <v>9405.11.90.00.00</v>
          </cell>
          <cell r="G678" t="str">
            <v>AVİZE</v>
          </cell>
          <cell r="H678" t="str">
            <v>T1A6621100-27</v>
          </cell>
          <cell r="I678" t="str">
            <v>İÇ</v>
          </cell>
          <cell r="J678" t="str">
            <v>AVİZE.SARK</v>
          </cell>
          <cell r="K678" t="str">
            <v>KOBE</v>
          </cell>
          <cell r="L678" t="str">
            <v/>
          </cell>
          <cell r="M678" t="str">
            <v/>
          </cell>
          <cell r="N678" t="str">
            <v>ERD-2201</v>
          </cell>
          <cell r="O678" t="str">
            <v>HEKA</v>
          </cell>
          <cell r="P678" t="str">
            <v>ADET</v>
          </cell>
          <cell r="Q678" t="str">
            <v>LED</v>
          </cell>
          <cell r="R678" t="str">
            <v>METAL</v>
          </cell>
          <cell r="S678" t="str">
            <v>ESKİTME</v>
          </cell>
          <cell r="T678" t="str">
            <v>CAM</v>
          </cell>
          <cell r="U678" t="str">
            <v>ŞEFFAF</v>
          </cell>
          <cell r="AD678" t="str">
            <v>ÜÇGEN</v>
          </cell>
          <cell r="AE678" t="str">
            <v>01</v>
          </cell>
          <cell r="AF678">
            <v>5</v>
          </cell>
          <cell r="AG678" t="str">
            <v>ADET</v>
          </cell>
          <cell r="AH678">
            <v>23</v>
          </cell>
          <cell r="AI678" t="str">
            <v>CNY</v>
          </cell>
          <cell r="AJ678">
            <v>1203.99</v>
          </cell>
          <cell r="AK678" t="str">
            <v>TL</v>
          </cell>
          <cell r="AL678">
            <v>1</v>
          </cell>
          <cell r="AM678" t="str">
            <v>8684127502184</v>
          </cell>
          <cell r="AO678">
            <v>0</v>
          </cell>
          <cell r="AQ678">
            <v>17</v>
          </cell>
          <cell r="AR678" t="str">
            <v>CM</v>
          </cell>
          <cell r="AS678">
            <v>17</v>
          </cell>
          <cell r="AT678" t="str">
            <v>CM</v>
          </cell>
          <cell r="AU678">
            <v>0</v>
          </cell>
          <cell r="AW678">
            <v>0</v>
          </cell>
        </row>
        <row r="679">
          <cell r="B679" t="str">
            <v>H1C6JMEECSR-048</v>
          </cell>
          <cell r="C679" t="str">
            <v>KAMAKURA ESKİTME SARKIT 48cm</v>
          </cell>
          <cell r="D679" t="str">
            <v>KAMAKURA BRUSHED BRASS PENDANT 48cm</v>
          </cell>
          <cell r="E679" t="str">
            <v xml:space="preserve">METAL CAM  ESKİTME ŞEFFAF   </v>
          </cell>
          <cell r="F679" t="str">
            <v>9405.11.90.00.00</v>
          </cell>
          <cell r="G679" t="str">
            <v>AVİZE</v>
          </cell>
          <cell r="H679" t="str">
            <v>T1A6116200-48</v>
          </cell>
          <cell r="I679" t="str">
            <v>İÇ</v>
          </cell>
          <cell r="J679" t="str">
            <v>AVİZE.SARK</v>
          </cell>
          <cell r="K679" t="str">
            <v>KAMAKURA</v>
          </cell>
          <cell r="L679" t="str">
            <v/>
          </cell>
          <cell r="M679" t="str">
            <v/>
          </cell>
          <cell r="N679" t="str">
            <v>HKA-24121</v>
          </cell>
          <cell r="O679" t="str">
            <v>HEKA</v>
          </cell>
          <cell r="P679" t="str">
            <v>ADET</v>
          </cell>
          <cell r="Q679" t="str">
            <v>LED</v>
          </cell>
          <cell r="R679" t="str">
            <v>METAL</v>
          </cell>
          <cell r="S679" t="str">
            <v>ESKİTME</v>
          </cell>
          <cell r="T679" t="str">
            <v>CAM</v>
          </cell>
          <cell r="U679" t="str">
            <v>ŞEFFAF</v>
          </cell>
          <cell r="AD679" t="str">
            <v>DAİRE</v>
          </cell>
          <cell r="AE679" t="str">
            <v>01</v>
          </cell>
          <cell r="AF679">
            <v>0</v>
          </cell>
          <cell r="AG679" t="str">
            <v>ADET</v>
          </cell>
          <cell r="AH679">
            <v>228</v>
          </cell>
          <cell r="AI679" t="str">
            <v>CNY</v>
          </cell>
          <cell r="AJ679">
            <v>11067</v>
          </cell>
          <cell r="AK679" t="str">
            <v>TL</v>
          </cell>
          <cell r="AL679">
            <v>1</v>
          </cell>
          <cell r="AM679" t="str">
            <v>8684127508971</v>
          </cell>
          <cell r="AO679">
            <v>0</v>
          </cell>
          <cell r="AQ679">
            <v>30</v>
          </cell>
          <cell r="AR679" t="str">
            <v>CM</v>
          </cell>
          <cell r="AS679">
            <v>48</v>
          </cell>
          <cell r="AT679" t="str">
            <v>CM</v>
          </cell>
          <cell r="AU679">
            <v>0</v>
          </cell>
          <cell r="AW679">
            <v>0</v>
          </cell>
        </row>
        <row r="680">
          <cell r="B680" t="str">
            <v>H1C6JMEBCSR-048</v>
          </cell>
          <cell r="C680" t="str">
            <v>HAKONE ALTIN SARKIT 48cm</v>
          </cell>
          <cell r="D680" t="str">
            <v>HAKONE GOLD PENDANT 48cm</v>
          </cell>
          <cell r="E680" t="str">
            <v xml:space="preserve">METAL AKRİLİK ESKİTME ŞEFFAF   </v>
          </cell>
          <cell r="F680" t="str">
            <v>9405.11.90.00.00</v>
          </cell>
          <cell r="G680" t="str">
            <v>AVİZE</v>
          </cell>
          <cell r="H680" t="str">
            <v>T1A6126200-48</v>
          </cell>
          <cell r="I680" t="str">
            <v>İÇ</v>
          </cell>
          <cell r="J680" t="str">
            <v>AVİZE.SARK</v>
          </cell>
          <cell r="K680" t="str">
            <v>HAKONE</v>
          </cell>
          <cell r="L680" t="str">
            <v/>
          </cell>
          <cell r="M680" t="str">
            <v/>
          </cell>
          <cell r="N680" t="str">
            <v>7010-G</v>
          </cell>
          <cell r="O680" t="str">
            <v>HEKA</v>
          </cell>
          <cell r="P680" t="str">
            <v>ADET</v>
          </cell>
          <cell r="Q680" t="str">
            <v>LED</v>
          </cell>
          <cell r="R680" t="str">
            <v>METAL</v>
          </cell>
          <cell r="S680" t="str">
            <v>ESKİTME</v>
          </cell>
          <cell r="T680" t="str">
            <v>AKRİLİK</v>
          </cell>
          <cell r="U680" t="str">
            <v>ŞEFFAF</v>
          </cell>
          <cell r="AD680" t="str">
            <v>DAİRE</v>
          </cell>
          <cell r="AF680">
            <v>3</v>
          </cell>
          <cell r="AG680" t="str">
            <v>ADET</v>
          </cell>
          <cell r="AH680">
            <v>128</v>
          </cell>
          <cell r="AI680" t="str">
            <v>CNY</v>
          </cell>
          <cell r="AJ680">
            <v>6307</v>
          </cell>
          <cell r="AK680" t="str">
            <v>TL</v>
          </cell>
          <cell r="AL680">
            <v>1</v>
          </cell>
          <cell r="AM680" t="str">
            <v>8684127502061</v>
          </cell>
          <cell r="AO680">
            <v>0</v>
          </cell>
          <cell r="AQ680">
            <v>48</v>
          </cell>
          <cell r="AR680" t="str">
            <v>CM</v>
          </cell>
          <cell r="AS680">
            <v>48</v>
          </cell>
          <cell r="AT680" t="str">
            <v>CM</v>
          </cell>
          <cell r="AU680">
            <v>0</v>
          </cell>
          <cell r="AW680">
            <v>0</v>
          </cell>
        </row>
        <row r="681">
          <cell r="B681" t="str">
            <v>H1C6JMEWRBR-040</v>
          </cell>
          <cell r="C681" t="str">
            <v>DELHİ LED MERMER SARKIT 40cm</v>
          </cell>
          <cell r="D681" t="str">
            <v>DELHİ LED MARBLE PENDANT 40cm</v>
          </cell>
          <cell r="E681" t="str">
            <v xml:space="preserve">METAL MERMER ESKİTME BEYAZ   </v>
          </cell>
          <cell r="F681" t="str">
            <v>9405.11.90.00.00</v>
          </cell>
          <cell r="G681" t="str">
            <v>AVİZE</v>
          </cell>
          <cell r="H681" t="str">
            <v>T1A6311100-40</v>
          </cell>
          <cell r="I681" t="str">
            <v>İÇ</v>
          </cell>
          <cell r="J681" t="str">
            <v>AVİZE.SARK</v>
          </cell>
          <cell r="K681" t="str">
            <v>DELHİ</v>
          </cell>
          <cell r="L681" t="str">
            <v/>
          </cell>
          <cell r="M681" t="str">
            <v/>
          </cell>
          <cell r="N681" t="str">
            <v>HKA-24024</v>
          </cell>
          <cell r="O681" t="str">
            <v>HEKA</v>
          </cell>
          <cell r="P681" t="str">
            <v>ADET</v>
          </cell>
          <cell r="Q681" t="str">
            <v>LED</v>
          </cell>
          <cell r="R681" t="str">
            <v>METAL</v>
          </cell>
          <cell r="S681" t="str">
            <v>ESKİTME</v>
          </cell>
          <cell r="T681" t="str">
            <v>MERMER</v>
          </cell>
          <cell r="U681" t="str">
            <v>BEYAZ</v>
          </cell>
          <cell r="AD681" t="str">
            <v>DAİRE</v>
          </cell>
          <cell r="AF681">
            <v>34</v>
          </cell>
          <cell r="AG681" t="str">
            <v>ADET</v>
          </cell>
          <cell r="AH681">
            <v>260</v>
          </cell>
          <cell r="AI681" t="str">
            <v>CNY</v>
          </cell>
          <cell r="AJ681">
            <v>20980</v>
          </cell>
          <cell r="AK681" t="str">
            <v>TL</v>
          </cell>
          <cell r="AL681">
            <v>1</v>
          </cell>
          <cell r="AM681" t="str">
            <v>8684127501927</v>
          </cell>
          <cell r="AO681">
            <v>0</v>
          </cell>
          <cell r="AQ681">
            <v>22</v>
          </cell>
          <cell r="AR681" t="str">
            <v>CM</v>
          </cell>
          <cell r="AS681">
            <v>40</v>
          </cell>
          <cell r="AT681" t="str">
            <v>CM</v>
          </cell>
          <cell r="AU681">
            <v>0</v>
          </cell>
          <cell r="AW681">
            <v>0</v>
          </cell>
        </row>
        <row r="682">
          <cell r="B682" t="str">
            <v>H1C6JMEPRB0-025</v>
          </cell>
          <cell r="C682" t="str">
            <v>DURBAN LED HORTUM ESKİTME SARKIT 25mm</v>
          </cell>
          <cell r="D682" t="str">
            <v>DURBAN LED HOSE BRUSHED BRASS PENDANT 25mm</v>
          </cell>
          <cell r="E682" t="str">
            <v xml:space="preserve">METAL SİLİKON ESKİTME BEYAZ   </v>
          </cell>
          <cell r="F682" t="str">
            <v>9405.11.90.00.00</v>
          </cell>
          <cell r="G682" t="str">
            <v>AVİZE</v>
          </cell>
          <cell r="H682" t="str">
            <v>T1A611S100-08</v>
          </cell>
          <cell r="I682" t="str">
            <v>İÇ</v>
          </cell>
          <cell r="J682" t="str">
            <v>AVİZE.SARK</v>
          </cell>
          <cell r="K682" t="str">
            <v>DURBAN</v>
          </cell>
          <cell r="L682" t="str">
            <v/>
          </cell>
          <cell r="M682" t="str">
            <v/>
          </cell>
          <cell r="N682" t="str">
            <v>HK20077</v>
          </cell>
          <cell r="O682" t="str">
            <v>HEKA</v>
          </cell>
          <cell r="P682" t="str">
            <v>ADET</v>
          </cell>
          <cell r="Q682" t="str">
            <v>LED</v>
          </cell>
          <cell r="R682" t="str">
            <v>METAL</v>
          </cell>
          <cell r="S682" t="str">
            <v>ESKİTME</v>
          </cell>
          <cell r="T682" t="str">
            <v>SİLİKON</v>
          </cell>
          <cell r="U682" t="str">
            <v>BEYAZ</v>
          </cell>
          <cell r="AD682" t="str">
            <v>N/A</v>
          </cell>
          <cell r="AE682" t="str">
            <v>01</v>
          </cell>
          <cell r="AF682">
            <v>27</v>
          </cell>
          <cell r="AG682" t="str">
            <v>ADET</v>
          </cell>
          <cell r="AH682">
            <v>65</v>
          </cell>
          <cell r="AI682" t="str">
            <v>CNY</v>
          </cell>
          <cell r="AJ682">
            <v>1285</v>
          </cell>
          <cell r="AK682" t="str">
            <v>TL</v>
          </cell>
          <cell r="AL682">
            <v>1</v>
          </cell>
          <cell r="AM682" t="str">
            <v>8684127505703</v>
          </cell>
          <cell r="AO682">
            <v>0</v>
          </cell>
          <cell r="AQ682">
            <v>2.5</v>
          </cell>
          <cell r="AR682" t="str">
            <v>CM</v>
          </cell>
          <cell r="AS682">
            <v>2.5</v>
          </cell>
          <cell r="AT682" t="str">
            <v>CM</v>
          </cell>
          <cell r="AU682">
            <v>0</v>
          </cell>
          <cell r="AW682">
            <v>0</v>
          </cell>
        </row>
        <row r="683">
          <cell r="B683" t="str">
            <v>H1W6JMEECT0-055</v>
          </cell>
          <cell r="C683" t="str">
            <v>TORONTO ESKİTME APLİK</v>
          </cell>
          <cell r="D683" t="str">
            <v>TORONTO BRUSHED BRASS WALL LAMP</v>
          </cell>
          <cell r="E683" t="str">
            <v>METAL CAM ESKİTME SOFT</v>
          </cell>
          <cell r="F683" t="str">
            <v>9405.11.90.00.00</v>
          </cell>
          <cell r="G683" t="str">
            <v>APLİK</v>
          </cell>
          <cell r="H683" t="str">
            <v>T1W6118100-54</v>
          </cell>
          <cell r="I683" t="str">
            <v>İÇ</v>
          </cell>
          <cell r="J683" t="str">
            <v>APLİK</v>
          </cell>
          <cell r="K683" t="str">
            <v>TORONTO</v>
          </cell>
          <cell r="L683" t="str">
            <v/>
          </cell>
          <cell r="M683" t="str">
            <v/>
          </cell>
          <cell r="N683" t="str">
            <v>HKA-25035</v>
          </cell>
          <cell r="O683" t="str">
            <v>HEKA</v>
          </cell>
          <cell r="P683" t="str">
            <v>ADET</v>
          </cell>
          <cell r="Q683" t="str">
            <v>LED</v>
          </cell>
          <cell r="R683" t="str">
            <v>METAL</v>
          </cell>
          <cell r="S683" t="str">
            <v>ESKİTME</v>
          </cell>
          <cell r="T683" t="str">
            <v>CAM</v>
          </cell>
          <cell r="U683" t="str">
            <v>SOFT</v>
          </cell>
          <cell r="AD683" t="str">
            <v>N/A</v>
          </cell>
          <cell r="AF683">
            <v>72</v>
          </cell>
          <cell r="AG683" t="str">
            <v>ADET</v>
          </cell>
          <cell r="AH683">
            <v>60</v>
          </cell>
          <cell r="AI683" t="str">
            <v>CNY</v>
          </cell>
          <cell r="AJ683">
            <v>4970</v>
          </cell>
          <cell r="AK683" t="str">
            <v>TL</v>
          </cell>
          <cell r="AL683">
            <v>1</v>
          </cell>
          <cell r="AM683" t="str">
            <v>8684127503006</v>
          </cell>
          <cell r="AO683">
            <v>0</v>
          </cell>
          <cell r="AQ683">
            <v>10</v>
          </cell>
          <cell r="AR683" t="str">
            <v>CM</v>
          </cell>
          <cell r="AS683">
            <v>14</v>
          </cell>
          <cell r="AT683" t="str">
            <v>CM</v>
          </cell>
          <cell r="AU683">
            <v>0</v>
          </cell>
          <cell r="AW683">
            <v>0</v>
          </cell>
        </row>
        <row r="684">
          <cell r="B684" t="str">
            <v>H1C6JMKLCTR-025</v>
          </cell>
          <cell r="C684" t="str">
            <v>LAVAL LED KROM SARKIT 25cm</v>
          </cell>
          <cell r="D684" t="str">
            <v>LAVAL LED CHROME PENDANT 25cm</v>
          </cell>
          <cell r="E684" t="str">
            <v xml:space="preserve">METAL PLEKSİ KROM SOFT   </v>
          </cell>
          <cell r="F684" t="str">
            <v>9405.11.90.00.00</v>
          </cell>
          <cell r="G684" t="str">
            <v>AVİZE</v>
          </cell>
          <cell r="H684" t="str">
            <v>T1A6138100-25</v>
          </cell>
          <cell r="I684" t="str">
            <v>İÇ</v>
          </cell>
          <cell r="J684" t="str">
            <v>AVİZE.SARK</v>
          </cell>
          <cell r="K684" t="str">
            <v>LAVAL</v>
          </cell>
          <cell r="L684" t="str">
            <v/>
          </cell>
          <cell r="M684" t="str">
            <v/>
          </cell>
          <cell r="N684" t="str">
            <v>9991-CH-25</v>
          </cell>
          <cell r="O684" t="str">
            <v>HEKA</v>
          </cell>
          <cell r="P684" t="str">
            <v>ADET</v>
          </cell>
          <cell r="Q684" t="str">
            <v>LED</v>
          </cell>
          <cell r="R684" t="str">
            <v>METAL</v>
          </cell>
          <cell r="S684" t="str">
            <v>KROM</v>
          </cell>
          <cell r="T684" t="str">
            <v>PLEKSİ</v>
          </cell>
          <cell r="U684" t="str">
            <v>SOFT</v>
          </cell>
          <cell r="AD684" t="str">
            <v>DAİRE</v>
          </cell>
          <cell r="AE684" t="str">
            <v>01</v>
          </cell>
          <cell r="AF684">
            <v>0</v>
          </cell>
          <cell r="AG684" t="str">
            <v>ADET</v>
          </cell>
          <cell r="AH684">
            <v>100</v>
          </cell>
          <cell r="AI684" t="str">
            <v>CNY</v>
          </cell>
          <cell r="AJ684">
            <v>4189</v>
          </cell>
          <cell r="AK684" t="str">
            <v>TL</v>
          </cell>
          <cell r="AL684">
            <v>1</v>
          </cell>
          <cell r="AM684" t="str">
            <v>8684127505499</v>
          </cell>
          <cell r="AO684">
            <v>0</v>
          </cell>
          <cell r="AQ684">
            <v>27.5</v>
          </cell>
          <cell r="AR684" t="str">
            <v>CM</v>
          </cell>
          <cell r="AS684">
            <v>27.5</v>
          </cell>
          <cell r="AT684" t="str">
            <v>CM</v>
          </cell>
          <cell r="AU684">
            <v>0</v>
          </cell>
          <cell r="AW684">
            <v>0</v>
          </cell>
        </row>
        <row r="685">
          <cell r="B685" t="str">
            <v>F1C2DRGJRSK-040</v>
          </cell>
          <cell r="C685" t="str">
            <v>WIRECON BETON GRİ KARE TEL E27 SARKIT</v>
          </cell>
          <cell r="D685" t="str">
            <v>WIRECON CONCRETE GREY SQUARE WIRE E27 PENDANT</v>
          </cell>
          <cell r="E685" t="str">
            <v>BETON METAL GRİ SİYAH</v>
          </cell>
          <cell r="F685" t="str">
            <v>9405.19.90.00.00</v>
          </cell>
          <cell r="G685" t="str">
            <v>AVİZE</v>
          </cell>
          <cell r="H685" t="str">
            <v>F1A214C300-05</v>
          </cell>
          <cell r="I685" t="str">
            <v>İÇ</v>
          </cell>
          <cell r="J685" t="str">
            <v>AVİZE.SARK</v>
          </cell>
          <cell r="K685" t="str">
            <v>WIRECON</v>
          </cell>
          <cell r="L685" t="str">
            <v/>
          </cell>
          <cell r="M685" t="str">
            <v/>
          </cell>
          <cell r="N685" t="str">
            <v>1005-S</v>
          </cell>
          <cell r="O685" t="str">
            <v>ISHI</v>
          </cell>
          <cell r="P685" t="str">
            <v>ADET</v>
          </cell>
          <cell r="Q685" t="str">
            <v>E27</v>
          </cell>
          <cell r="R685" t="str">
            <v>BETON</v>
          </cell>
          <cell r="S685" t="str">
            <v>GRİ</v>
          </cell>
          <cell r="T685" t="str">
            <v>METAL</v>
          </cell>
          <cell r="U685" t="str">
            <v>SİYAH</v>
          </cell>
          <cell r="AD685" t="str">
            <v>KARE</v>
          </cell>
          <cell r="AE685" t="str">
            <v>02</v>
          </cell>
          <cell r="AG685" t="str">
            <v>ADET</v>
          </cell>
          <cell r="AH685">
            <v>230</v>
          </cell>
          <cell r="AI685" t="str">
            <v>TL</v>
          </cell>
          <cell r="AJ685">
            <v>495</v>
          </cell>
          <cell r="AK685" t="str">
            <v>TL</v>
          </cell>
          <cell r="AL685">
            <v>1</v>
          </cell>
          <cell r="AM685" t="str">
            <v>8684127509268</v>
          </cell>
          <cell r="AO685">
            <v>0</v>
          </cell>
          <cell r="AQ685">
            <v>6</v>
          </cell>
          <cell r="AR685" t="str">
            <v>CM</v>
          </cell>
          <cell r="AS685">
            <v>40</v>
          </cell>
          <cell r="AT685" t="str">
            <v>CM</v>
          </cell>
          <cell r="AU685">
            <v>0</v>
          </cell>
          <cell r="AW685">
            <v>0</v>
          </cell>
        </row>
        <row r="686">
          <cell r="B686" t="str">
            <v>H1C6JMEERF0-018</v>
          </cell>
          <cell r="C686" t="str">
            <v>BROOME TEKLİ FÜME CAM SARKIT 16cm</v>
          </cell>
          <cell r="D686" t="str">
            <v>BROOME SINGLE SMOKY GLASS PENDANT 16cm</v>
          </cell>
          <cell r="E686" t="str">
            <v xml:space="preserve">METAL CAM  ESKİTME FÜME   </v>
          </cell>
          <cell r="F686" t="str">
            <v>9405.11.90.00.00</v>
          </cell>
          <cell r="G686" t="str">
            <v>AVİZE</v>
          </cell>
          <cell r="H686" t="str">
            <v>T1A6220000-18</v>
          </cell>
          <cell r="I686" t="str">
            <v>İÇ</v>
          </cell>
          <cell r="J686" t="str">
            <v>AVİZE.SARK</v>
          </cell>
          <cell r="K686" t="str">
            <v>BROOME</v>
          </cell>
          <cell r="L686" t="str">
            <v/>
          </cell>
          <cell r="M686" t="str">
            <v/>
          </cell>
          <cell r="N686" t="str">
            <v>HKA-24145</v>
          </cell>
          <cell r="O686" t="str">
            <v>HEKA</v>
          </cell>
          <cell r="P686" t="str">
            <v>ADET</v>
          </cell>
          <cell r="Q686" t="str">
            <v>LED</v>
          </cell>
          <cell r="R686" t="str">
            <v>METAL</v>
          </cell>
          <cell r="S686" t="str">
            <v>ESKİTME</v>
          </cell>
          <cell r="T686" t="str">
            <v>CAM</v>
          </cell>
          <cell r="U686" t="str">
            <v>FÜME</v>
          </cell>
          <cell r="AD686" t="str">
            <v>N/A</v>
          </cell>
          <cell r="AF686">
            <v>0</v>
          </cell>
          <cell r="AG686" t="str">
            <v>ADET</v>
          </cell>
          <cell r="AH686">
            <v>58</v>
          </cell>
          <cell r="AI686" t="str">
            <v>CNY</v>
          </cell>
          <cell r="AJ686">
            <v>5100</v>
          </cell>
          <cell r="AK686" t="str">
            <v>TL</v>
          </cell>
          <cell r="AL686">
            <v>1</v>
          </cell>
          <cell r="AM686" t="str">
            <v>8684127504447</v>
          </cell>
          <cell r="AO686">
            <v>0</v>
          </cell>
          <cell r="AQ686">
            <v>18</v>
          </cell>
          <cell r="AR686" t="str">
            <v>CM</v>
          </cell>
          <cell r="AS686">
            <v>16</v>
          </cell>
          <cell r="AT686" t="str">
            <v>CM</v>
          </cell>
          <cell r="AU686">
            <v>0</v>
          </cell>
          <cell r="AW686">
            <v>0</v>
          </cell>
        </row>
        <row r="687">
          <cell r="B687" t="str">
            <v>H1C6JMEWRBR-123</v>
          </cell>
          <cell r="C687" t="str">
            <v>ANVERS MERMER YEMEK MASASI ESKİTME AVİZE</v>
          </cell>
          <cell r="D687" t="str">
            <v>ANVERS MARBLE DINNING TABLE BRUSHED BRASS CHANDELIER</v>
          </cell>
          <cell r="E687" t="str">
            <v xml:space="preserve">METAL MERMER ESKİTME BEYAZ   </v>
          </cell>
          <cell r="F687" t="str">
            <v>9405.11.90.00.00</v>
          </cell>
          <cell r="G687" t="str">
            <v>AVİZE</v>
          </cell>
          <cell r="H687" t="str">
            <v>T1A6311100-12</v>
          </cell>
          <cell r="I687" t="str">
            <v>İÇ</v>
          </cell>
          <cell r="J687" t="str">
            <v>AVİZE.AVİZ</v>
          </cell>
          <cell r="K687" t="str">
            <v>ANVERS</v>
          </cell>
          <cell r="L687" t="str">
            <v>Ç</v>
          </cell>
          <cell r="M687" t="str">
            <v/>
          </cell>
          <cell r="N687" t="str">
            <v>HKA-24014</v>
          </cell>
          <cell r="O687" t="str">
            <v>HEKA</v>
          </cell>
          <cell r="P687" t="str">
            <v>ADET</v>
          </cell>
          <cell r="Q687" t="str">
            <v>LED</v>
          </cell>
          <cell r="R687" t="str">
            <v>METAL</v>
          </cell>
          <cell r="S687" t="str">
            <v>ESKİTME</v>
          </cell>
          <cell r="T687" t="str">
            <v>MERMER</v>
          </cell>
          <cell r="U687" t="str">
            <v>BEYAZ</v>
          </cell>
          <cell r="AD687" t="str">
            <v>DAİRE</v>
          </cell>
          <cell r="AF687">
            <v>77</v>
          </cell>
          <cell r="AG687" t="str">
            <v>ADET</v>
          </cell>
          <cell r="AH687">
            <v>650</v>
          </cell>
          <cell r="AI687" t="str">
            <v>CNY</v>
          </cell>
          <cell r="AJ687">
            <v>49500</v>
          </cell>
          <cell r="AK687" t="str">
            <v>TL</v>
          </cell>
          <cell r="AL687">
            <v>1</v>
          </cell>
          <cell r="AM687" t="str">
            <v>8684127506199</v>
          </cell>
          <cell r="AO687">
            <v>0</v>
          </cell>
          <cell r="AQ687">
            <v>0</v>
          </cell>
          <cell r="AR687" t="str">
            <v>CM</v>
          </cell>
          <cell r="AS687">
            <v>0</v>
          </cell>
          <cell r="AT687" t="str">
            <v>CM</v>
          </cell>
          <cell r="AU687">
            <v>0</v>
          </cell>
          <cell r="AW687">
            <v>0</v>
          </cell>
        </row>
        <row r="688">
          <cell r="B688" t="str">
            <v>H1W6JMEWRB0-040</v>
          </cell>
          <cell r="C688" t="str">
            <v>LİON MERMER ESKİTME APLİK 40cm</v>
          </cell>
          <cell r="D688" t="str">
            <v>LİON MARBLE BRUSHED BRASS WALL LAMP 40cm</v>
          </cell>
          <cell r="E688" t="str">
            <v>METAL MERMER ESKİTME BEYAZ</v>
          </cell>
          <cell r="F688" t="str">
            <v/>
          </cell>
          <cell r="G688" t="str">
            <v>APLİK</v>
          </cell>
          <cell r="H688" t="str">
            <v>T1W6113100-40</v>
          </cell>
          <cell r="I688" t="str">
            <v>İÇ</v>
          </cell>
          <cell r="J688" t="str">
            <v>APLİK</v>
          </cell>
          <cell r="K688" t="str">
            <v>LİON</v>
          </cell>
          <cell r="L688" t="str">
            <v/>
          </cell>
          <cell r="M688" t="str">
            <v/>
          </cell>
          <cell r="N688" t="str">
            <v>HKA-23036</v>
          </cell>
          <cell r="O688" t="str">
            <v>HEKA</v>
          </cell>
          <cell r="P688" t="str">
            <v>ADET</v>
          </cell>
          <cell r="Q688" t="str">
            <v>LED</v>
          </cell>
          <cell r="R688" t="str">
            <v>METAL</v>
          </cell>
          <cell r="S688" t="str">
            <v>ESKİTME</v>
          </cell>
          <cell r="T688" t="str">
            <v>MERMER</v>
          </cell>
          <cell r="U688" t="str">
            <v>BEYAZ</v>
          </cell>
          <cell r="AF688">
            <v>1</v>
          </cell>
          <cell r="AG688" t="str">
            <v>ADET</v>
          </cell>
          <cell r="AH688">
            <v>155</v>
          </cell>
          <cell r="AI688" t="str">
            <v>CNY</v>
          </cell>
          <cell r="AJ688">
            <v>15950</v>
          </cell>
          <cell r="AK688" t="str">
            <v>TL</v>
          </cell>
          <cell r="AL688">
            <v>1</v>
          </cell>
          <cell r="AM688" t="str">
            <v>8684127504782</v>
          </cell>
          <cell r="AO688">
            <v>0</v>
          </cell>
          <cell r="AQ688">
            <v>0</v>
          </cell>
          <cell r="AR688" t="str">
            <v>CM</v>
          </cell>
          <cell r="AS688">
            <v>0</v>
          </cell>
          <cell r="AT688" t="str">
            <v>CM</v>
          </cell>
          <cell r="AU688">
            <v>0</v>
          </cell>
          <cell r="AW688">
            <v>0</v>
          </cell>
        </row>
        <row r="689">
          <cell r="B689" t="str">
            <v>H1W1JMKECS0-042</v>
          </cell>
          <cell r="C689" t="str">
            <v>MARSİLYA İKİLİ KROM APLİK</v>
          </cell>
          <cell r="D689" t="str">
            <v>MARSİLYA DOUBLE GLASS CHROME WALL LAMP</v>
          </cell>
          <cell r="E689" t="str">
            <v>METAL CAM KROM ŞEFFAF</v>
          </cell>
          <cell r="F689" t="str">
            <v>9405.19.90.00.00</v>
          </cell>
          <cell r="G689" t="str">
            <v>APLİK</v>
          </cell>
          <cell r="H689" t="str">
            <v>T1W1132400-45</v>
          </cell>
          <cell r="I689" t="str">
            <v>İÇ</v>
          </cell>
          <cell r="J689" t="str">
            <v>APLİK</v>
          </cell>
          <cell r="K689" t="str">
            <v>MARSİLYA</v>
          </cell>
          <cell r="L689" t="str">
            <v/>
          </cell>
          <cell r="M689" t="str">
            <v/>
          </cell>
          <cell r="N689" t="str">
            <v>9718F-2W-CH</v>
          </cell>
          <cell r="O689" t="str">
            <v>HEKA</v>
          </cell>
          <cell r="P689" t="str">
            <v>ADET</v>
          </cell>
          <cell r="Q689" t="str">
            <v>E14</v>
          </cell>
          <cell r="R689" t="str">
            <v>METAL</v>
          </cell>
          <cell r="S689" t="str">
            <v>KROM</v>
          </cell>
          <cell r="T689" t="str">
            <v>CAM</v>
          </cell>
          <cell r="U689" t="str">
            <v>ŞEFFAF</v>
          </cell>
          <cell r="AD689" t="str">
            <v>N/A</v>
          </cell>
          <cell r="AE689" t="str">
            <v>03</v>
          </cell>
          <cell r="AF689">
            <v>0</v>
          </cell>
          <cell r="AG689" t="str">
            <v>ADET</v>
          </cell>
          <cell r="AH689">
            <v>80</v>
          </cell>
          <cell r="AI689" t="str">
            <v>CNY</v>
          </cell>
          <cell r="AJ689">
            <v>6720</v>
          </cell>
          <cell r="AK689" t="str">
            <v>TL</v>
          </cell>
          <cell r="AL689">
            <v>1</v>
          </cell>
          <cell r="AM689" t="str">
            <v>8684127502801</v>
          </cell>
          <cell r="AO689">
            <v>0</v>
          </cell>
          <cell r="AQ689">
            <v>0</v>
          </cell>
          <cell r="AR689" t="str">
            <v>CM</v>
          </cell>
          <cell r="AS689">
            <v>0</v>
          </cell>
          <cell r="AT689" t="str">
            <v>CM</v>
          </cell>
          <cell r="AU689">
            <v>0</v>
          </cell>
          <cell r="AW689">
            <v>0</v>
          </cell>
        </row>
        <row r="690">
          <cell r="B690" t="str">
            <v>H1C6JMGLCS0-070</v>
          </cell>
          <cell r="C690" t="str">
            <v>FLORİDA AKRİLİK SARKIT 70cm</v>
          </cell>
          <cell r="D690" t="str">
            <v>FLORİDA ACRYLIC PENDANT 70cm</v>
          </cell>
          <cell r="E690" t="str">
            <v xml:space="preserve">METAL PLEKSİ GOLD ŞEFFAF   </v>
          </cell>
          <cell r="F690" t="str">
            <v>9405.11.90.00.00</v>
          </cell>
          <cell r="G690" t="str">
            <v>AVİZE</v>
          </cell>
          <cell r="H690" t="str">
            <v>T1A6844200-70</v>
          </cell>
          <cell r="I690" t="str">
            <v>İÇ</v>
          </cell>
          <cell r="J690" t="str">
            <v>AVİZE.SARK</v>
          </cell>
          <cell r="K690" t="str">
            <v>FLORİDA</v>
          </cell>
          <cell r="L690" t="str">
            <v/>
          </cell>
          <cell r="M690" t="str">
            <v/>
          </cell>
          <cell r="N690" t="str">
            <v>D9986-700</v>
          </cell>
          <cell r="O690" t="str">
            <v>HEKA</v>
          </cell>
          <cell r="P690" t="str">
            <v>ADET</v>
          </cell>
          <cell r="Q690" t="str">
            <v>LED</v>
          </cell>
          <cell r="R690" t="str">
            <v>METAL</v>
          </cell>
          <cell r="S690" t="str">
            <v>GOLD</v>
          </cell>
          <cell r="T690" t="str">
            <v>PLEKSİ</v>
          </cell>
          <cell r="U690" t="str">
            <v>ŞEFFAF</v>
          </cell>
          <cell r="AD690" t="str">
            <v>N/A</v>
          </cell>
          <cell r="AE690" t="str">
            <v>01</v>
          </cell>
          <cell r="AF690">
            <v>18</v>
          </cell>
          <cell r="AG690" t="str">
            <v>ADET</v>
          </cell>
          <cell r="AH690">
            <v>245</v>
          </cell>
          <cell r="AI690" t="str">
            <v>CNY</v>
          </cell>
          <cell r="AJ690">
            <v>12058</v>
          </cell>
          <cell r="AK690" t="str">
            <v>TL</v>
          </cell>
          <cell r="AL690">
            <v>1</v>
          </cell>
          <cell r="AM690" t="str">
            <v>8684127502009</v>
          </cell>
          <cell r="AO690">
            <v>0</v>
          </cell>
          <cell r="AQ690">
            <v>0</v>
          </cell>
          <cell r="AR690" t="str">
            <v>CM</v>
          </cell>
          <cell r="AS690">
            <v>0</v>
          </cell>
          <cell r="AT690" t="str">
            <v>CM</v>
          </cell>
          <cell r="AU690">
            <v>0</v>
          </cell>
          <cell r="AW690">
            <v>0</v>
          </cell>
        </row>
        <row r="691">
          <cell r="B691" t="str">
            <v>H1C6JMKECSR-008</v>
          </cell>
          <cell r="C691" t="str">
            <v>ZAGREB LED KROM SARKIT 8cm</v>
          </cell>
          <cell r="D691" t="str">
            <v>ZAGREB LED CHROME PENDANT 8cm</v>
          </cell>
          <cell r="E691" t="str">
            <v xml:space="preserve">METAL CAM  KROM ŞEFFAF   </v>
          </cell>
          <cell r="F691" t="str">
            <v>9405.11.90.00.00</v>
          </cell>
          <cell r="G691" t="str">
            <v>AVİZE</v>
          </cell>
          <cell r="H691" t="str">
            <v>T1A6A60000-08</v>
          </cell>
          <cell r="I691" t="str">
            <v>İÇ</v>
          </cell>
          <cell r="J691" t="str">
            <v>AVİZE.SARK</v>
          </cell>
          <cell r="K691" t="str">
            <v>ZAGREB</v>
          </cell>
          <cell r="L691" t="str">
            <v/>
          </cell>
          <cell r="M691" t="str">
            <v/>
          </cell>
          <cell r="N691" t="str">
            <v>HC06-1D-8-CH</v>
          </cell>
          <cell r="O691" t="str">
            <v>HEKA</v>
          </cell>
          <cell r="P691" t="str">
            <v>ADET</v>
          </cell>
          <cell r="Q691" t="str">
            <v>LED</v>
          </cell>
          <cell r="R691" t="str">
            <v>METAL</v>
          </cell>
          <cell r="S691" t="str">
            <v>KROM</v>
          </cell>
          <cell r="T691" t="str">
            <v>CAM</v>
          </cell>
          <cell r="U691" t="str">
            <v>ŞEFFAF</v>
          </cell>
          <cell r="AD691" t="str">
            <v>DAİRE</v>
          </cell>
          <cell r="AE691" t="str">
            <v>01</v>
          </cell>
          <cell r="AF691">
            <v>0</v>
          </cell>
          <cell r="AG691" t="str">
            <v>ADET</v>
          </cell>
          <cell r="AH691">
            <v>55</v>
          </cell>
          <cell r="AI691" t="str">
            <v>CNY</v>
          </cell>
          <cell r="AJ691">
            <v>950</v>
          </cell>
          <cell r="AK691" t="str">
            <v>TL</v>
          </cell>
          <cell r="AL691">
            <v>1</v>
          </cell>
          <cell r="AM691" t="str">
            <v>8684127508216</v>
          </cell>
          <cell r="AO691">
            <v>0</v>
          </cell>
          <cell r="AQ691">
            <v>8</v>
          </cell>
          <cell r="AR691" t="str">
            <v>CM</v>
          </cell>
          <cell r="AS691">
            <v>8</v>
          </cell>
          <cell r="AT691" t="str">
            <v>CM</v>
          </cell>
          <cell r="AU691">
            <v>0</v>
          </cell>
          <cell r="AW691">
            <v>0</v>
          </cell>
        </row>
        <row r="692">
          <cell r="B692" t="str">
            <v>H1C6JMEERFR-018</v>
          </cell>
          <cell r="C692" t="str">
            <v>VİYANA FÜME CAM SARKIT 18cm</v>
          </cell>
          <cell r="D692" t="str">
            <v>VIYANA SMOKY GLASS PENDANT 18cm</v>
          </cell>
          <cell r="E692" t="str">
            <v xml:space="preserve">METAL CAM  ESKİTME FÜME   </v>
          </cell>
          <cell r="F692" t="str">
            <v>9405.11.90.00.00</v>
          </cell>
          <cell r="G692" t="str">
            <v>AVİZE</v>
          </cell>
          <cell r="H692" t="str">
            <v>T1A6221100-18</v>
          </cell>
          <cell r="I692" t="str">
            <v>İÇ</v>
          </cell>
          <cell r="J692" t="str">
            <v>AVİZE.SARK</v>
          </cell>
          <cell r="K692" t="str">
            <v>VİYANA</v>
          </cell>
          <cell r="L692" t="str">
            <v/>
          </cell>
          <cell r="M692" t="str">
            <v>15.02.2026</v>
          </cell>
          <cell r="N692" t="str">
            <v>HKA-24069</v>
          </cell>
          <cell r="O692" t="str">
            <v>HEKA</v>
          </cell>
          <cell r="P692" t="str">
            <v>ADET</v>
          </cell>
          <cell r="Q692" t="str">
            <v>PERİ LED</v>
          </cell>
          <cell r="R692" t="str">
            <v>METAL</v>
          </cell>
          <cell r="S692" t="str">
            <v>ESKİTME</v>
          </cell>
          <cell r="T692" t="str">
            <v>CAM</v>
          </cell>
          <cell r="U692" t="str">
            <v>FÜME</v>
          </cell>
          <cell r="AD692" t="str">
            <v>DAİRE</v>
          </cell>
          <cell r="AF692">
            <v>75</v>
          </cell>
          <cell r="AG692" t="str">
            <v>ADET</v>
          </cell>
          <cell r="AH692">
            <v>52.7</v>
          </cell>
          <cell r="AI692" t="str">
            <v>CNY</v>
          </cell>
          <cell r="AJ692">
            <v>3713</v>
          </cell>
          <cell r="AK692" t="str">
            <v>TL</v>
          </cell>
          <cell r="AL692">
            <v>1</v>
          </cell>
          <cell r="AM692" t="str">
            <v>8684127506380</v>
          </cell>
          <cell r="AO692">
            <v>0</v>
          </cell>
          <cell r="AQ692">
            <v>0</v>
          </cell>
          <cell r="AR692" t="str">
            <v>CM</v>
          </cell>
          <cell r="AS692">
            <v>0</v>
          </cell>
          <cell r="AT692" t="str">
            <v>CM</v>
          </cell>
          <cell r="AU692">
            <v>0</v>
          </cell>
          <cell r="AW692">
            <v>0</v>
          </cell>
        </row>
        <row r="693">
          <cell r="B693" t="str">
            <v>H1C6JMEBCSR-070</v>
          </cell>
          <cell r="C693" t="str">
            <v>SOFYA AKRİLİK SARKIT 70cm</v>
          </cell>
          <cell r="D693" t="str">
            <v>SOFYA ACRYLIC PENDANT 70cm</v>
          </cell>
          <cell r="E693" t="str">
            <v xml:space="preserve">METAL AKRİLİK ESKİTME ŞEFFAF   </v>
          </cell>
          <cell r="F693" t="str">
            <v>9405.11.90.00.00</v>
          </cell>
          <cell r="G693" t="str">
            <v>AVİZE</v>
          </cell>
          <cell r="H693" t="str">
            <v>T1A6621100-70</v>
          </cell>
          <cell r="I693" t="str">
            <v>İÇ</v>
          </cell>
          <cell r="J693" t="str">
            <v>AVİZE.SARK</v>
          </cell>
          <cell r="K693" t="str">
            <v>SOFYA</v>
          </cell>
          <cell r="L693" t="str">
            <v/>
          </cell>
          <cell r="M693" t="str">
            <v>30.03.2026</v>
          </cell>
          <cell r="N693" t="str">
            <v>HKA-24127</v>
          </cell>
          <cell r="O693" t="str">
            <v>HEKA</v>
          </cell>
          <cell r="P693" t="str">
            <v>ADET</v>
          </cell>
          <cell r="Q693" t="str">
            <v>LED</v>
          </cell>
          <cell r="R693" t="str">
            <v>METAL</v>
          </cell>
          <cell r="S693" t="str">
            <v>ESKİTME</v>
          </cell>
          <cell r="T693" t="str">
            <v>AKRİLİK</v>
          </cell>
          <cell r="U693" t="str">
            <v>ŞEFFAF</v>
          </cell>
          <cell r="AD693" t="str">
            <v>DAİRE</v>
          </cell>
          <cell r="AF693">
            <v>5</v>
          </cell>
          <cell r="AG693" t="str">
            <v>ADET</v>
          </cell>
          <cell r="AH693">
            <v>130</v>
          </cell>
          <cell r="AI693" t="str">
            <v>CNY</v>
          </cell>
          <cell r="AJ693">
            <v>7450</v>
          </cell>
          <cell r="AK693" t="str">
            <v>TL</v>
          </cell>
          <cell r="AL693">
            <v>1</v>
          </cell>
          <cell r="AM693" t="str">
            <v>8684127507677</v>
          </cell>
          <cell r="AO693">
            <v>0</v>
          </cell>
          <cell r="AQ693">
            <v>0</v>
          </cell>
          <cell r="AR693" t="str">
            <v>CM</v>
          </cell>
          <cell r="AS693">
            <v>0</v>
          </cell>
          <cell r="AT693" t="str">
            <v>CM</v>
          </cell>
          <cell r="AU693">
            <v>0</v>
          </cell>
          <cell r="AW693">
            <v>0</v>
          </cell>
        </row>
        <row r="694">
          <cell r="B694" t="str">
            <v>CA2E1C3M2J5V0</v>
          </cell>
          <cell r="C694" t="str">
            <v>ERD-253 A60 ŞEFFAF 12W 3000K E27 LED AMPUL</v>
          </cell>
          <cell r="D694" t="str">
            <v>ERD-253 A60 CLEAR 12W E27 3000K LED BULB</v>
          </cell>
          <cell r="E694" t="str">
            <v>CAM METAL ŞEFFAF FLAMENT DIMMSIZ A60</v>
          </cell>
          <cell r="F694" t="str">
            <v>8539.52.00.00.00</v>
          </cell>
          <cell r="G694" t="str">
            <v>AMPUL</v>
          </cell>
          <cell r="H694" t="str">
            <v>ERD-253</v>
          </cell>
          <cell r="I694" t="str">
            <v>İÇ</v>
          </cell>
          <cell r="J694" t="str">
            <v>AMPUL</v>
          </cell>
          <cell r="K694" t="str">
            <v>ERD-253</v>
          </cell>
          <cell r="L694" t="str">
            <v/>
          </cell>
          <cell r="M694" t="str">
            <v/>
          </cell>
          <cell r="N694" t="str">
            <v>ERD-253</v>
          </cell>
          <cell r="O694" t="str">
            <v>HEKA</v>
          </cell>
          <cell r="P694" t="str">
            <v>ADET</v>
          </cell>
          <cell r="Q694" t="str">
            <v>E27</v>
          </cell>
          <cell r="R694" t="str">
            <v>CAM</v>
          </cell>
          <cell r="S694" t="str">
            <v>ŞEFFAF</v>
          </cell>
          <cell r="T694" t="str">
            <v>METAL</v>
          </cell>
          <cell r="V694" t="str">
            <v>E</v>
          </cell>
          <cell r="W694" t="str">
            <v>FLAMENT</v>
          </cell>
          <cell r="X694" t="str">
            <v>220V</v>
          </cell>
          <cell r="Y694" t="str">
            <v>12 WATT</v>
          </cell>
          <cell r="Z694" t="str">
            <v>3000 K</v>
          </cell>
          <cell r="AA694" t="str">
            <v>DIMMSIZ</v>
          </cell>
          <cell r="AB694" t="str">
            <v>1501-1600</v>
          </cell>
          <cell r="AC694" t="str">
            <v>A60</v>
          </cell>
          <cell r="AD694" t="str">
            <v>N/A</v>
          </cell>
          <cell r="AF694">
            <v>0</v>
          </cell>
          <cell r="AG694" t="str">
            <v>ADET</v>
          </cell>
          <cell r="AH694">
            <v>0.84199999999999997</v>
          </cell>
          <cell r="AI694" t="str">
            <v>USD</v>
          </cell>
          <cell r="AJ694">
            <v>3.9</v>
          </cell>
          <cell r="AK694" t="str">
            <v>USD</v>
          </cell>
          <cell r="AL694">
            <v>1</v>
          </cell>
          <cell r="AM694" t="str">
            <v>8684127503976</v>
          </cell>
          <cell r="AN694" t="str">
            <v>8684127500647</v>
          </cell>
          <cell r="AO694">
            <v>0</v>
          </cell>
          <cell r="AQ694">
            <v>6</v>
          </cell>
          <cell r="AR694" t="str">
            <v>CM</v>
          </cell>
          <cell r="AS694">
            <v>6</v>
          </cell>
          <cell r="AT694" t="str">
            <v>CM</v>
          </cell>
          <cell r="AU694">
            <v>0</v>
          </cell>
          <cell r="AW694">
            <v>0</v>
          </cell>
        </row>
        <row r="695">
          <cell r="B695" t="str">
            <v>CK3G2P3M2H5R0</v>
          </cell>
          <cell r="C695" t="str">
            <v>ERD-270 MISIR ŞEFFAF 9W 3000K G9 LED AMPUL</v>
          </cell>
          <cell r="D695" t="str">
            <v>ERD-270 CORN CLEAR 9W 3000K G9 LED BULB</v>
          </cell>
          <cell r="E695" t="str">
            <v>PLASTİK METAL ŞEFFAF SMD LED DIMMSIZ MISIR</v>
          </cell>
          <cell r="F695" t="str">
            <v>8539.52.00.00.00</v>
          </cell>
          <cell r="G695" t="str">
            <v>AMPUL</v>
          </cell>
          <cell r="H695" t="str">
            <v>G9-10</v>
          </cell>
          <cell r="I695" t="str">
            <v>İÇ</v>
          </cell>
          <cell r="J695" t="str">
            <v>AMPUL</v>
          </cell>
          <cell r="K695" t="str">
            <v>ERD-270</v>
          </cell>
          <cell r="L695" t="str">
            <v/>
          </cell>
          <cell r="M695" t="str">
            <v/>
          </cell>
          <cell r="N695" t="str">
            <v>ERD-270</v>
          </cell>
          <cell r="O695" t="str">
            <v>HEKA</v>
          </cell>
          <cell r="P695" t="str">
            <v>ADET</v>
          </cell>
          <cell r="Q695" t="str">
            <v>G9</v>
          </cell>
          <cell r="R695" t="str">
            <v>PLASTİK</v>
          </cell>
          <cell r="S695" t="str">
            <v>ŞEFFAF</v>
          </cell>
          <cell r="T695" t="str">
            <v>METAL</v>
          </cell>
          <cell r="V695" t="str">
            <v>G</v>
          </cell>
          <cell r="W695" t="str">
            <v>SMD LED</v>
          </cell>
          <cell r="X695" t="str">
            <v>220V</v>
          </cell>
          <cell r="Y695" t="str">
            <v>9 WATT</v>
          </cell>
          <cell r="Z695" t="str">
            <v>3000 K</v>
          </cell>
          <cell r="AA695" t="str">
            <v>DIMMSIZ</v>
          </cell>
          <cell r="AB695" t="str">
            <v>701-800</v>
          </cell>
          <cell r="AC695" t="str">
            <v>MISIR</v>
          </cell>
          <cell r="AD695" t="str">
            <v>N/A</v>
          </cell>
          <cell r="AF695">
            <v>8235</v>
          </cell>
          <cell r="AG695" t="str">
            <v>ADET</v>
          </cell>
          <cell r="AH695">
            <v>6.6</v>
          </cell>
          <cell r="AI695" t="str">
            <v>CNY</v>
          </cell>
          <cell r="AJ695">
            <v>3.1</v>
          </cell>
          <cell r="AK695" t="str">
            <v>USD</v>
          </cell>
          <cell r="AL695">
            <v>1</v>
          </cell>
          <cell r="AM695" t="str">
            <v>8684127504027</v>
          </cell>
          <cell r="AN695" t="str">
            <v>8684127500302</v>
          </cell>
          <cell r="AO695">
            <v>0</v>
          </cell>
          <cell r="AQ695">
            <v>4</v>
          </cell>
          <cell r="AR695" t="str">
            <v>CM</v>
          </cell>
          <cell r="AS695">
            <v>4</v>
          </cell>
          <cell r="AT695" t="str">
            <v>CM</v>
          </cell>
          <cell r="AU695">
            <v>0</v>
          </cell>
          <cell r="AW695">
            <v>0</v>
          </cell>
        </row>
        <row r="696">
          <cell r="B696" t="str">
            <v>F1C5DRV000U-023</v>
          </cell>
          <cell r="C696" t="str">
            <v>CONE BETON KAHVERENGİ SARKIT</v>
          </cell>
          <cell r="D696" t="str">
            <v>CONE CONCRETE BROWN PENDANT</v>
          </cell>
          <cell r="E696" t="str">
            <v xml:space="preserve">BETON YOK KAHVERENGİ YOK   </v>
          </cell>
          <cell r="F696" t="str">
            <v>9405.19.90.00.00</v>
          </cell>
          <cell r="G696" t="str">
            <v>AVİZE</v>
          </cell>
          <cell r="H696" t="str">
            <v>F1A514C300-16</v>
          </cell>
          <cell r="I696" t="str">
            <v>İÇ</v>
          </cell>
          <cell r="J696" t="str">
            <v>AVİZE.SARK</v>
          </cell>
          <cell r="K696" t="str">
            <v>CONE</v>
          </cell>
          <cell r="L696" t="str">
            <v/>
          </cell>
          <cell r="M696" t="str">
            <v>ÜRTM:15GÜN</v>
          </cell>
          <cell r="N696" t="str">
            <v>1001-BRC</v>
          </cell>
          <cell r="O696" t="str">
            <v>ISHI</v>
          </cell>
          <cell r="P696" t="str">
            <v>ADET</v>
          </cell>
          <cell r="Q696" t="str">
            <v>GU10</v>
          </cell>
          <cell r="R696" t="str">
            <v>BETON</v>
          </cell>
          <cell r="S696" t="str">
            <v>KAHVERENGİ</v>
          </cell>
          <cell r="T696" t="str">
            <v>YOK</v>
          </cell>
          <cell r="U696" t="str">
            <v>YOK</v>
          </cell>
          <cell r="AD696" t="str">
            <v>ÜÇGEN</v>
          </cell>
          <cell r="AE696" t="str">
            <v>01</v>
          </cell>
          <cell r="AF696">
            <v>8</v>
          </cell>
          <cell r="AG696" t="str">
            <v>ADET</v>
          </cell>
          <cell r="AH696">
            <v>966</v>
          </cell>
          <cell r="AI696" t="str">
            <v>TL</v>
          </cell>
          <cell r="AJ696">
            <v>4927</v>
          </cell>
          <cell r="AK696" t="str">
            <v>TL</v>
          </cell>
          <cell r="AL696">
            <v>1</v>
          </cell>
          <cell r="AM696" t="str">
            <v>8684127508599</v>
          </cell>
          <cell r="AO696">
            <v>0</v>
          </cell>
          <cell r="AQ696">
            <v>16</v>
          </cell>
          <cell r="AR696" t="str">
            <v>CM</v>
          </cell>
          <cell r="AS696">
            <v>23</v>
          </cell>
          <cell r="AT696" t="str">
            <v>CM</v>
          </cell>
          <cell r="AU696">
            <v>0</v>
          </cell>
          <cell r="AW696">
            <v>0</v>
          </cell>
        </row>
        <row r="697">
          <cell r="B697" t="str">
            <v>F1W1DRGAAWL-044</v>
          </cell>
          <cell r="C697" t="str">
            <v>TOCHI AHŞAP-BETON E14 WALL LAMP</v>
          </cell>
          <cell r="D697" t="str">
            <v>TOCHI WOOD-CONCRETE E14 WALL LAMP</v>
          </cell>
          <cell r="E697" t="str">
            <v>BETON AHŞAP GRİ WENGE</v>
          </cell>
          <cell r="F697" t="str">
            <v>9405.19.90.00.00</v>
          </cell>
          <cell r="G697" t="str">
            <v>APLİK</v>
          </cell>
          <cell r="H697" t="str">
            <v>F1W274C200-44</v>
          </cell>
          <cell r="I697" t="str">
            <v>İÇ</v>
          </cell>
          <cell r="J697" t="str">
            <v>APLİK</v>
          </cell>
          <cell r="K697" t="str">
            <v>TOCHI</v>
          </cell>
          <cell r="L697" t="str">
            <v/>
          </cell>
          <cell r="M697" t="str">
            <v>ÜRTM:15GÜN</v>
          </cell>
          <cell r="N697" t="str">
            <v>1013-E14</v>
          </cell>
          <cell r="O697" t="str">
            <v>ISHI</v>
          </cell>
          <cell r="P697" t="str">
            <v>ADET</v>
          </cell>
          <cell r="Q697" t="str">
            <v>E14</v>
          </cell>
          <cell r="R697" t="str">
            <v>BETON</v>
          </cell>
          <cell r="S697" t="str">
            <v>GRİ</v>
          </cell>
          <cell r="T697" t="str">
            <v>AHŞAP</v>
          </cell>
          <cell r="U697" t="str">
            <v>WENGE</v>
          </cell>
          <cell r="AD697" t="str">
            <v>DÜZ</v>
          </cell>
          <cell r="AE697" t="str">
            <v>02</v>
          </cell>
          <cell r="AF697">
            <v>0</v>
          </cell>
          <cell r="AG697" t="str">
            <v>ADET</v>
          </cell>
          <cell r="AH697">
            <v>1265</v>
          </cell>
          <cell r="AI697" t="str">
            <v>TL</v>
          </cell>
          <cell r="AJ697">
            <v>1420</v>
          </cell>
          <cell r="AK697" t="str">
            <v>TL</v>
          </cell>
          <cell r="AL697">
            <v>1</v>
          </cell>
          <cell r="AM697" t="str">
            <v>8684127509138</v>
          </cell>
          <cell r="AO697">
            <v>0</v>
          </cell>
          <cell r="AQ697">
            <v>44</v>
          </cell>
          <cell r="AR697" t="str">
            <v>CM</v>
          </cell>
          <cell r="AS697">
            <v>22</v>
          </cell>
          <cell r="AT697" t="str">
            <v>CM</v>
          </cell>
          <cell r="AU697">
            <v>0</v>
          </cell>
          <cell r="AW697">
            <v>0</v>
          </cell>
        </row>
        <row r="698">
          <cell r="B698" t="str">
            <v>F1T1AAMJRBR-030</v>
          </cell>
          <cell r="C698" t="str">
            <v>TOCHI MUSH AHŞAP-BEYAZ MASA LAMBASI</v>
          </cell>
          <cell r="D698" t="str">
            <v>TOCHI MUSH WOOD-WHITE CONCRETE TABLE LAMP</v>
          </cell>
          <cell r="E698" t="str">
            <v xml:space="preserve">AHŞAP METAL MEŞE BEYAZ   </v>
          </cell>
          <cell r="F698" t="str">
            <v>9405.29.90.00.00</v>
          </cell>
          <cell r="G698" t="str">
            <v>MASAABAJ</v>
          </cell>
          <cell r="H698" t="str">
            <v>F1M174C100-30</v>
          </cell>
          <cell r="I698" t="str">
            <v>İÇ</v>
          </cell>
          <cell r="J698" t="str">
            <v>MASAABAJ</v>
          </cell>
          <cell r="K698" t="str">
            <v>TOCHI</v>
          </cell>
          <cell r="L698" t="str">
            <v/>
          </cell>
          <cell r="M698" t="str">
            <v>ÜRTM:15GÜN</v>
          </cell>
          <cell r="N698" t="str">
            <v>1021-WC</v>
          </cell>
          <cell r="O698" t="str">
            <v>ISHI</v>
          </cell>
          <cell r="P698" t="str">
            <v>ADET</v>
          </cell>
          <cell r="Q698" t="str">
            <v>E14</v>
          </cell>
          <cell r="R698" t="str">
            <v>AHŞAP</v>
          </cell>
          <cell r="S698" t="str">
            <v>MEŞE</v>
          </cell>
          <cell r="T698" t="str">
            <v>METAL</v>
          </cell>
          <cell r="U698" t="str">
            <v>BEYAZ</v>
          </cell>
          <cell r="AD698" t="str">
            <v>DAİRE</v>
          </cell>
          <cell r="AE698" t="str">
            <v>01</v>
          </cell>
          <cell r="AF698">
            <v>3</v>
          </cell>
          <cell r="AG698" t="str">
            <v>ADET</v>
          </cell>
          <cell r="AH698">
            <v>1564</v>
          </cell>
          <cell r="AI698" t="str">
            <v>TL</v>
          </cell>
          <cell r="AJ698">
            <v>7975</v>
          </cell>
          <cell r="AK698" t="str">
            <v>TL</v>
          </cell>
          <cell r="AL698">
            <v>1</v>
          </cell>
          <cell r="AM698" t="str">
            <v>8684127507585</v>
          </cell>
          <cell r="AO698">
            <v>0</v>
          </cell>
          <cell r="AQ698">
            <v>30</v>
          </cell>
          <cell r="AR698" t="str">
            <v>CM</v>
          </cell>
          <cell r="AS698">
            <v>25</v>
          </cell>
          <cell r="AT698" t="str">
            <v>CM</v>
          </cell>
          <cell r="AU698">
            <v>0</v>
          </cell>
          <cell r="AW698">
            <v>0</v>
          </cell>
        </row>
        <row r="699">
          <cell r="B699" t="str">
            <v>F1C3DRGAAWL-019</v>
          </cell>
          <cell r="C699" t="str">
            <v>TOCHI LONG WENGE AHSAP-BETON G9 SARKIT</v>
          </cell>
          <cell r="D699" t="str">
            <v>TOCHI LONG WENGE WOOD-CONCRETE G9 PENDANT</v>
          </cell>
          <cell r="E699" t="str">
            <v xml:space="preserve">BETON AHŞAP GRİ WENGE   </v>
          </cell>
          <cell r="F699" t="str">
            <v>9405.19.90.00.00</v>
          </cell>
          <cell r="G699" t="str">
            <v>AVİZE</v>
          </cell>
          <cell r="H699" t="str">
            <v>F1A374C200-19</v>
          </cell>
          <cell r="I699" t="str">
            <v>İÇ</v>
          </cell>
          <cell r="J699" t="str">
            <v>AVİZE.SARK</v>
          </cell>
          <cell r="K699" t="str">
            <v>TOCHI</v>
          </cell>
          <cell r="L699" t="str">
            <v/>
          </cell>
          <cell r="M699" t="str">
            <v>ÜRTM:15GÜN</v>
          </cell>
          <cell r="N699" t="str">
            <v>1010-G9</v>
          </cell>
          <cell r="O699" t="str">
            <v>ISHI</v>
          </cell>
          <cell r="P699" t="str">
            <v>ADET</v>
          </cell>
          <cell r="Q699" t="str">
            <v>G9</v>
          </cell>
          <cell r="R699" t="str">
            <v>BETON</v>
          </cell>
          <cell r="S699" t="str">
            <v>GRİ</v>
          </cell>
          <cell r="T699" t="str">
            <v>AHŞAP</v>
          </cell>
          <cell r="U699" t="str">
            <v>WENGE</v>
          </cell>
          <cell r="AD699" t="str">
            <v>DÜZ</v>
          </cell>
          <cell r="AE699" t="str">
            <v>01</v>
          </cell>
          <cell r="AF699">
            <v>1</v>
          </cell>
          <cell r="AG699" t="str">
            <v>ADET</v>
          </cell>
          <cell r="AH699">
            <v>920</v>
          </cell>
          <cell r="AI699" t="str">
            <v>TL</v>
          </cell>
          <cell r="AJ699">
            <v>4950</v>
          </cell>
          <cell r="AK699" t="str">
            <v>TL</v>
          </cell>
          <cell r="AL699">
            <v>1</v>
          </cell>
          <cell r="AM699" t="str">
            <v>8684127508735</v>
          </cell>
          <cell r="AO699">
            <v>0</v>
          </cell>
          <cell r="AQ699">
            <v>19</v>
          </cell>
          <cell r="AR699" t="str">
            <v>CM</v>
          </cell>
          <cell r="AS699">
            <v>6.5</v>
          </cell>
          <cell r="AT699" t="str">
            <v>CM</v>
          </cell>
          <cell r="AU699">
            <v>0</v>
          </cell>
          <cell r="AW699">
            <v>0</v>
          </cell>
        </row>
        <row r="700">
          <cell r="B700" t="str">
            <v>F1C1DRGAAWL-075</v>
          </cell>
          <cell r="C700" t="str">
            <v>TOCHI BIG AHSAP-BETON E14 SARKIT</v>
          </cell>
          <cell r="D700" t="str">
            <v>TOCHI BIG WOOD-CONCRETE E14 PENDANT</v>
          </cell>
          <cell r="E700" t="str">
            <v xml:space="preserve">BETON AHŞAP GRİ WENGE   </v>
          </cell>
          <cell r="F700" t="str">
            <v>9405.19.90.00.00</v>
          </cell>
          <cell r="G700" t="str">
            <v>AVİZE</v>
          </cell>
          <cell r="H700" t="str">
            <v>F1A174C200-75</v>
          </cell>
          <cell r="I700" t="str">
            <v>İÇ</v>
          </cell>
          <cell r="J700" t="str">
            <v>AVİZE.SARK</v>
          </cell>
          <cell r="K700" t="str">
            <v>TOCHI</v>
          </cell>
          <cell r="L700" t="str">
            <v/>
          </cell>
          <cell r="M700" t="str">
            <v>ÜRTM:15GÜN</v>
          </cell>
          <cell r="N700" t="str">
            <v>1012-E14</v>
          </cell>
          <cell r="O700" t="str">
            <v>ISHI</v>
          </cell>
          <cell r="P700" t="str">
            <v>ADET</v>
          </cell>
          <cell r="Q700" t="str">
            <v>E14</v>
          </cell>
          <cell r="R700" t="str">
            <v>BETON</v>
          </cell>
          <cell r="S700" t="str">
            <v>GRİ</v>
          </cell>
          <cell r="T700" t="str">
            <v>AHŞAP</v>
          </cell>
          <cell r="U700" t="str">
            <v>WENGE</v>
          </cell>
          <cell r="AD700" t="str">
            <v>DÜZ</v>
          </cell>
          <cell r="AE700" t="str">
            <v>02</v>
          </cell>
          <cell r="AF700">
            <v>0</v>
          </cell>
          <cell r="AG700" t="str">
            <v>ADET</v>
          </cell>
          <cell r="AH700">
            <v>1322.5</v>
          </cell>
          <cell r="AI700" t="str">
            <v>TL</v>
          </cell>
          <cell r="AJ700">
            <v>1520</v>
          </cell>
          <cell r="AK700" t="str">
            <v>TL</v>
          </cell>
          <cell r="AL700">
            <v>1</v>
          </cell>
          <cell r="AM700" t="str">
            <v>8684127507615</v>
          </cell>
          <cell r="AO700">
            <v>0</v>
          </cell>
          <cell r="AQ700">
            <v>75</v>
          </cell>
          <cell r="AR700" t="str">
            <v>CM</v>
          </cell>
          <cell r="AS700">
            <v>8</v>
          </cell>
          <cell r="AT700" t="str">
            <v>CM</v>
          </cell>
          <cell r="AU700">
            <v>0</v>
          </cell>
          <cell r="AW700">
            <v>0</v>
          </cell>
        </row>
        <row r="701">
          <cell r="B701" t="str">
            <v>F1W3DRGAAWH-015</v>
          </cell>
          <cell r="C701" t="str">
            <v>TOCHI MINI AHŞAP-BETON G9 HAREKETLİ APLİK</v>
          </cell>
          <cell r="D701" t="str">
            <v>TOCHI MINI WOOD-CONCRETE G9 180º MOVING WALL LAMP</v>
          </cell>
          <cell r="E701" t="str">
            <v>BETON AHŞAP GRİ WENGE</v>
          </cell>
          <cell r="F701" t="str">
            <v>9405.19.90.00.00</v>
          </cell>
          <cell r="G701" t="str">
            <v>APLİK</v>
          </cell>
          <cell r="H701" t="str">
            <v>F1W374C200-16</v>
          </cell>
          <cell r="I701" t="str">
            <v>İÇ</v>
          </cell>
          <cell r="J701" t="str">
            <v>APLİK</v>
          </cell>
          <cell r="K701" t="str">
            <v>TOCHI</v>
          </cell>
          <cell r="L701" t="str">
            <v/>
          </cell>
          <cell r="M701" t="str">
            <v>ÜRTM:15GÜN</v>
          </cell>
          <cell r="N701" t="str">
            <v>1014-G9-180</v>
          </cell>
          <cell r="O701" t="str">
            <v>ISHI</v>
          </cell>
          <cell r="P701" t="str">
            <v>ADET</v>
          </cell>
          <cell r="Q701" t="str">
            <v>G9</v>
          </cell>
          <cell r="R701" t="str">
            <v>BETON</v>
          </cell>
          <cell r="S701" t="str">
            <v>GRİ</v>
          </cell>
          <cell r="T701" t="str">
            <v>AHŞAP</v>
          </cell>
          <cell r="U701" t="str">
            <v>WENGE</v>
          </cell>
          <cell r="AD701" t="str">
            <v>HAREKETLİ</v>
          </cell>
          <cell r="AE701" t="str">
            <v>01</v>
          </cell>
          <cell r="AF701">
            <v>20</v>
          </cell>
          <cell r="AG701" t="str">
            <v>ADET</v>
          </cell>
          <cell r="AH701">
            <v>966</v>
          </cell>
          <cell r="AI701" t="str">
            <v>TL</v>
          </cell>
          <cell r="AJ701">
            <v>5475</v>
          </cell>
          <cell r="AK701" t="str">
            <v>TL</v>
          </cell>
          <cell r="AL701">
            <v>1</v>
          </cell>
          <cell r="AM701" t="str">
            <v>8684127507646</v>
          </cell>
          <cell r="AO701">
            <v>0</v>
          </cell>
          <cell r="AQ701">
            <v>15</v>
          </cell>
          <cell r="AR701" t="str">
            <v>CM</v>
          </cell>
          <cell r="AS701">
            <v>12</v>
          </cell>
          <cell r="AT701" t="str">
            <v>CM</v>
          </cell>
          <cell r="AU701">
            <v>0</v>
          </cell>
          <cell r="AW701">
            <v>0</v>
          </cell>
        </row>
        <row r="702">
          <cell r="B702" t="str">
            <v>01.020.00.04.01</v>
          </cell>
          <cell r="C702" t="str">
            <v>YUVARLAK TEPSİ SİYAH 20cm</v>
          </cell>
          <cell r="D702" t="str">
            <v>BLACK ROUND TRAY 20cm</v>
          </cell>
          <cell r="E702" t="str">
            <v/>
          </cell>
          <cell r="F702" t="str">
            <v/>
          </cell>
          <cell r="G702" t="str">
            <v>ZPARCA</v>
          </cell>
          <cell r="H702" t="str">
            <v>01.020.00.04.01</v>
          </cell>
          <cell r="I702" t="str">
            <v>İÇ</v>
          </cell>
          <cell r="J702" t="str">
            <v>ZPARCA</v>
          </cell>
          <cell r="K702" t="str">
            <v/>
          </cell>
          <cell r="L702" t="str">
            <v/>
          </cell>
          <cell r="M702" t="str">
            <v/>
          </cell>
          <cell r="N702" t="str">
            <v/>
          </cell>
          <cell r="O702" t="str">
            <v>HEKA</v>
          </cell>
          <cell r="P702" t="str">
            <v>ADET</v>
          </cell>
          <cell r="R702" t="str">
            <v>METAL</v>
          </cell>
          <cell r="S702" t="str">
            <v>SİYAH</v>
          </cell>
          <cell r="AF702">
            <v>89</v>
          </cell>
          <cell r="AG702" t="str">
            <v>ADET</v>
          </cell>
          <cell r="AH702">
            <v>6.5</v>
          </cell>
          <cell r="AI702" t="str">
            <v>CNY</v>
          </cell>
          <cell r="AJ702">
            <v>685</v>
          </cell>
          <cell r="AK702" t="str">
            <v>TL</v>
          </cell>
          <cell r="AL702">
            <v>1</v>
          </cell>
          <cell r="AM702" t="str">
            <v>01.020.00.04.01</v>
          </cell>
          <cell r="AO702">
            <v>0</v>
          </cell>
          <cell r="AQ702">
            <v>0</v>
          </cell>
          <cell r="AS702">
            <v>100</v>
          </cell>
          <cell r="AU702">
            <v>0</v>
          </cell>
          <cell r="AW702">
            <v>0</v>
          </cell>
        </row>
        <row r="703">
          <cell r="B703" t="str">
            <v>H1C6JMEECSC-042</v>
          </cell>
          <cell r="C703" t="str">
            <v>DUBBO İKİLİ ALTIN SARKIT</v>
          </cell>
          <cell r="D703" t="str">
            <v>DUBBO DOUBLE GOLD PENDANT</v>
          </cell>
          <cell r="E703" t="str">
            <v xml:space="preserve">METAL CAM GOLD ŞEFFAF   </v>
          </cell>
          <cell r="F703" t="str">
            <v>9405.11.90.00.00</v>
          </cell>
          <cell r="G703" t="str">
            <v>AVİZE</v>
          </cell>
          <cell r="H703" t="str">
            <v>T1A6126200-02</v>
          </cell>
          <cell r="I703" t="str">
            <v>İÇ</v>
          </cell>
          <cell r="J703" t="str">
            <v>AVİZE.SARK</v>
          </cell>
          <cell r="K703" t="str">
            <v>DUBBO</v>
          </cell>
          <cell r="L703" t="str">
            <v/>
          </cell>
          <cell r="M703" t="str">
            <v/>
          </cell>
          <cell r="N703" t="str">
            <v>HKA-24390</v>
          </cell>
          <cell r="O703" t="str">
            <v>HEKA</v>
          </cell>
          <cell r="P703" t="str">
            <v>ADET</v>
          </cell>
          <cell r="Q703" t="str">
            <v>LED</v>
          </cell>
          <cell r="R703" t="str">
            <v>METAL</v>
          </cell>
          <cell r="S703" t="str">
            <v>GOLD</v>
          </cell>
          <cell r="T703" t="str">
            <v>CAM</v>
          </cell>
          <cell r="U703" t="str">
            <v>ŞEFFAF</v>
          </cell>
          <cell r="AD703" t="str">
            <v>SİLİNDİR</v>
          </cell>
          <cell r="AF703">
            <v>91</v>
          </cell>
          <cell r="AG703" t="str">
            <v>ADET</v>
          </cell>
          <cell r="AH703">
            <v>100</v>
          </cell>
          <cell r="AI703" t="str">
            <v>CNY</v>
          </cell>
          <cell r="AJ703">
            <v>6950</v>
          </cell>
          <cell r="AK703" t="str">
            <v>TL</v>
          </cell>
          <cell r="AL703">
            <v>1</v>
          </cell>
          <cell r="AM703" t="str">
            <v>8684127506267</v>
          </cell>
          <cell r="AO703">
            <v>0</v>
          </cell>
          <cell r="AQ703">
            <v>9</v>
          </cell>
          <cell r="AR703" t="str">
            <v>CM</v>
          </cell>
          <cell r="AS703">
            <v>9</v>
          </cell>
          <cell r="AT703" t="str">
            <v>CM</v>
          </cell>
          <cell r="AU703">
            <v>0</v>
          </cell>
          <cell r="AW703">
            <v>0</v>
          </cell>
        </row>
        <row r="704">
          <cell r="B704" t="str">
            <v>H1C6JMEECSR-017</v>
          </cell>
          <cell r="C704" t="str">
            <v>MELTON TEKLİ ALTIN SARKIT</v>
          </cell>
          <cell r="D704" t="str">
            <v>MELTON SINGLE GOLD PENDANT</v>
          </cell>
          <cell r="E704" t="str">
            <v xml:space="preserve">METAL CAM  ESKİTME ŞEFFAF   </v>
          </cell>
          <cell r="F704" t="str">
            <v>9405.11.90.00.00</v>
          </cell>
          <cell r="G704" t="str">
            <v>AVİZE</v>
          </cell>
          <cell r="H704" t="str">
            <v>T1A6126200-16</v>
          </cell>
          <cell r="I704" t="str">
            <v>İÇ</v>
          </cell>
          <cell r="J704" t="str">
            <v>AVİZE.SARK</v>
          </cell>
          <cell r="K704" t="str">
            <v>MELTON</v>
          </cell>
          <cell r="L704" t="str">
            <v/>
          </cell>
          <cell r="M704" t="str">
            <v/>
          </cell>
          <cell r="N704" t="str">
            <v>9001-G</v>
          </cell>
          <cell r="O704" t="str">
            <v>HEKA</v>
          </cell>
          <cell r="P704" t="str">
            <v>ADET</v>
          </cell>
          <cell r="Q704" t="str">
            <v>LED</v>
          </cell>
          <cell r="R704" t="str">
            <v>METAL</v>
          </cell>
          <cell r="S704" t="str">
            <v>ESKİTME</v>
          </cell>
          <cell r="T704" t="str">
            <v>CAM</v>
          </cell>
          <cell r="U704" t="str">
            <v>ŞEFFAF</v>
          </cell>
          <cell r="AD704" t="str">
            <v>DAİRE</v>
          </cell>
          <cell r="AE704" t="str">
            <v>01</v>
          </cell>
          <cell r="AF704">
            <v>0</v>
          </cell>
          <cell r="AG704" t="str">
            <v>ADET</v>
          </cell>
          <cell r="AH704">
            <v>40</v>
          </cell>
          <cell r="AI704" t="str">
            <v>CNY</v>
          </cell>
          <cell r="AJ704">
            <v>1952</v>
          </cell>
          <cell r="AK704" t="str">
            <v>TL</v>
          </cell>
          <cell r="AL704">
            <v>1</v>
          </cell>
          <cell r="AM704" t="str">
            <v>8684127505727</v>
          </cell>
          <cell r="AO704">
            <v>0</v>
          </cell>
          <cell r="AQ704">
            <v>17</v>
          </cell>
          <cell r="AR704" t="str">
            <v>CM</v>
          </cell>
          <cell r="AS704">
            <v>17</v>
          </cell>
          <cell r="AT704" t="str">
            <v>CM</v>
          </cell>
          <cell r="AU704">
            <v>0</v>
          </cell>
          <cell r="AW704">
            <v>0</v>
          </cell>
        </row>
        <row r="705">
          <cell r="B705" t="str">
            <v>H1W3JMEECS0-032</v>
          </cell>
          <cell r="C705" t="str">
            <v>OTTAVA 2 Lİ ESKİTME APLİK</v>
          </cell>
          <cell r="D705" t="str">
            <v>OTTAVA DOUBLE BRUSHED BRASS WALL LAMP</v>
          </cell>
          <cell r="E705" t="str">
            <v>METAL CAM ESKİTME ŞEFFAF</v>
          </cell>
          <cell r="F705" t="str">
            <v>9405.19.90.00.00</v>
          </cell>
          <cell r="G705" t="str">
            <v>APLİK</v>
          </cell>
          <cell r="H705" t="str">
            <v>T1W3116200-31</v>
          </cell>
          <cell r="I705" t="str">
            <v>İÇ</v>
          </cell>
          <cell r="J705" t="str">
            <v>APLİK</v>
          </cell>
          <cell r="K705" t="str">
            <v>OTTAVA</v>
          </cell>
          <cell r="L705" t="str">
            <v>Ç</v>
          </cell>
          <cell r="M705" t="str">
            <v/>
          </cell>
          <cell r="N705" t="str">
            <v>HKA-24151</v>
          </cell>
          <cell r="O705" t="str">
            <v>HEKA</v>
          </cell>
          <cell r="P705" t="str">
            <v>ADET</v>
          </cell>
          <cell r="Q705" t="str">
            <v>G9</v>
          </cell>
          <cell r="R705" t="str">
            <v>METAL</v>
          </cell>
          <cell r="S705" t="str">
            <v>ESKİTME</v>
          </cell>
          <cell r="T705" t="str">
            <v>CAM</v>
          </cell>
          <cell r="U705" t="str">
            <v>ŞEFFAF</v>
          </cell>
          <cell r="AD705" t="str">
            <v>N/A</v>
          </cell>
          <cell r="AE705" t="str">
            <v>02</v>
          </cell>
          <cell r="AF705">
            <v>66</v>
          </cell>
          <cell r="AG705" t="str">
            <v>ADET</v>
          </cell>
          <cell r="AH705">
            <v>38</v>
          </cell>
          <cell r="AI705" t="str">
            <v>CNY</v>
          </cell>
          <cell r="AJ705">
            <v>3020</v>
          </cell>
          <cell r="AK705" t="str">
            <v>TL</v>
          </cell>
          <cell r="AL705">
            <v>1</v>
          </cell>
          <cell r="AM705" t="str">
            <v>8684127502887</v>
          </cell>
          <cell r="AO705">
            <v>0</v>
          </cell>
          <cell r="AQ705">
            <v>10</v>
          </cell>
          <cell r="AR705" t="str">
            <v>CM</v>
          </cell>
          <cell r="AS705">
            <v>14</v>
          </cell>
          <cell r="AT705" t="str">
            <v>CM</v>
          </cell>
          <cell r="AU705">
            <v>0</v>
          </cell>
          <cell r="AW705">
            <v>0</v>
          </cell>
        </row>
        <row r="706">
          <cell r="B706" t="str">
            <v>H1W1JMG0000-045</v>
          </cell>
          <cell r="C706" t="str">
            <v>MAHPERİ KROM YAPRAK APLİK BÜYÜK BOY</v>
          </cell>
          <cell r="D706" t="str">
            <v>MAHPERİ CHROME LEAF WALL LAMP BIG SIZE</v>
          </cell>
          <cell r="E706" t="str">
            <v>METAL YOK GOLD YOK</v>
          </cell>
          <cell r="F706" t="str">
            <v>9405.19.90.00.00</v>
          </cell>
          <cell r="G706" t="str">
            <v>APLİK</v>
          </cell>
          <cell r="H706" t="str">
            <v>H1W1130000-45</v>
          </cell>
          <cell r="I706" t="str">
            <v>İÇ</v>
          </cell>
          <cell r="J706" t="str">
            <v>APLİK</v>
          </cell>
          <cell r="K706" t="str">
            <v>MAHPERİ</v>
          </cell>
          <cell r="L706" t="str">
            <v/>
          </cell>
          <cell r="M706" t="str">
            <v/>
          </cell>
          <cell r="N706" t="str">
            <v/>
          </cell>
          <cell r="O706" t="str">
            <v>LIGHTIST</v>
          </cell>
          <cell r="P706" t="str">
            <v>ADET</v>
          </cell>
          <cell r="Q706" t="str">
            <v>E14</v>
          </cell>
          <cell r="R706" t="str">
            <v>METAL</v>
          </cell>
          <cell r="S706" t="str">
            <v>GOLD</v>
          </cell>
          <cell r="T706" t="str">
            <v>YOK</v>
          </cell>
          <cell r="U706" t="str">
            <v>YOK</v>
          </cell>
          <cell r="AD706" t="str">
            <v>N/A</v>
          </cell>
          <cell r="AE706" t="str">
            <v>02</v>
          </cell>
          <cell r="AF706">
            <v>0</v>
          </cell>
          <cell r="AG706" t="str">
            <v>ADET</v>
          </cell>
          <cell r="AH706">
            <v>300</v>
          </cell>
          <cell r="AI706" t="str">
            <v>TL</v>
          </cell>
          <cell r="AJ706">
            <v>2500</v>
          </cell>
          <cell r="AK706" t="str">
            <v>TL</v>
          </cell>
          <cell r="AL706">
            <v>1</v>
          </cell>
          <cell r="AM706" t="str">
            <v>8684127510011</v>
          </cell>
          <cell r="AO706">
            <v>0</v>
          </cell>
          <cell r="AQ706">
            <v>0</v>
          </cell>
          <cell r="AR706" t="str">
            <v>CM</v>
          </cell>
          <cell r="AS706">
            <v>45</v>
          </cell>
          <cell r="AT706" t="str">
            <v>CM</v>
          </cell>
          <cell r="AU706">
            <v>0</v>
          </cell>
          <cell r="AW706">
            <v>0</v>
          </cell>
        </row>
        <row r="707">
          <cell r="B707" t="str">
            <v>H1C6JMEWRBB-030</v>
          </cell>
          <cell r="C707" t="str">
            <v>GAMBA LED MERMER BEYAZ SARKIT 30cm</v>
          </cell>
          <cell r="D707" t="str">
            <v>GAMBA LED MARBLE WHITE PENDANT 30cm</v>
          </cell>
          <cell r="E707" t="str">
            <v xml:space="preserve">METAL MERMER ESKİTME BEYAZ   </v>
          </cell>
          <cell r="F707" t="str">
            <v>9405.11.90.00.00</v>
          </cell>
          <cell r="G707" t="str">
            <v>AVİZE</v>
          </cell>
          <cell r="H707" t="str">
            <v>T1A611310D-30</v>
          </cell>
          <cell r="I707" t="str">
            <v>İÇ</v>
          </cell>
          <cell r="J707" t="str">
            <v>AVİZE.SARK</v>
          </cell>
          <cell r="K707" t="str">
            <v>GAMBA</v>
          </cell>
          <cell r="L707" t="str">
            <v/>
          </cell>
          <cell r="M707" t="str">
            <v/>
          </cell>
          <cell r="N707" t="str">
            <v>HKA-24078</v>
          </cell>
          <cell r="O707" t="str">
            <v>HEKA</v>
          </cell>
          <cell r="P707" t="str">
            <v>ADET</v>
          </cell>
          <cell r="Q707" t="str">
            <v>LED</v>
          </cell>
          <cell r="R707" t="str">
            <v>METAL</v>
          </cell>
          <cell r="S707" t="str">
            <v>ESKİTME</v>
          </cell>
          <cell r="T707" t="str">
            <v>MERMER</v>
          </cell>
          <cell r="U707" t="str">
            <v>BEYAZ</v>
          </cell>
          <cell r="AD707" t="str">
            <v>SİMİT</v>
          </cell>
          <cell r="AF707">
            <v>2</v>
          </cell>
          <cell r="AG707" t="str">
            <v>ADET</v>
          </cell>
          <cell r="AH707">
            <v>240</v>
          </cell>
          <cell r="AI707" t="str">
            <v>CNY</v>
          </cell>
          <cell r="AJ707">
            <v>20980</v>
          </cell>
          <cell r="AK707" t="str">
            <v>TL</v>
          </cell>
          <cell r="AL707">
            <v>1</v>
          </cell>
          <cell r="AM707" t="str">
            <v>8684127502016</v>
          </cell>
          <cell r="AO707">
            <v>0</v>
          </cell>
          <cell r="AQ707">
            <v>15</v>
          </cell>
          <cell r="AR707" t="str">
            <v>CM</v>
          </cell>
          <cell r="AS707">
            <v>30</v>
          </cell>
          <cell r="AT707" t="str">
            <v>CM</v>
          </cell>
          <cell r="AU707">
            <v>0</v>
          </cell>
          <cell r="AW707">
            <v>0</v>
          </cell>
        </row>
        <row r="708">
          <cell r="B708" t="str">
            <v>H1F6JMKERF0-182</v>
          </cell>
          <cell r="C708" t="str">
            <v>HOBART 6 LI FÜME CAMLI KROM LAMBADER</v>
          </cell>
          <cell r="D708" t="str">
            <v>HOBART SMOKY GLASS CHROME FLOOR LAMP 6 BULB</v>
          </cell>
          <cell r="E708" t="str">
            <v xml:space="preserve">METAL CAM  KROM FÜME   </v>
          </cell>
          <cell r="F708" t="str">
            <v>9405.21.90.00.00</v>
          </cell>
          <cell r="G708" t="str">
            <v>LAMBADER</v>
          </cell>
          <cell r="H708" t="str">
            <v>T1L6132200-06</v>
          </cell>
          <cell r="I708" t="str">
            <v>İÇ</v>
          </cell>
          <cell r="J708" t="str">
            <v>LAMBADER</v>
          </cell>
          <cell r="K708" t="str">
            <v>HOBART</v>
          </cell>
          <cell r="L708" t="str">
            <v/>
          </cell>
          <cell r="M708" t="str">
            <v>ÜRTM:15GÜN</v>
          </cell>
          <cell r="N708" t="str">
            <v>HK20073</v>
          </cell>
          <cell r="O708" t="str">
            <v>HEKA</v>
          </cell>
          <cell r="P708" t="str">
            <v>ADET</v>
          </cell>
          <cell r="Q708" t="str">
            <v>LED</v>
          </cell>
          <cell r="R708" t="str">
            <v>METAL</v>
          </cell>
          <cell r="S708" t="str">
            <v>KROM</v>
          </cell>
          <cell r="T708" t="str">
            <v>CAM</v>
          </cell>
          <cell r="U708" t="str">
            <v>FÜME</v>
          </cell>
          <cell r="AD708" t="str">
            <v>N/A</v>
          </cell>
          <cell r="AF708">
            <v>0</v>
          </cell>
          <cell r="AG708" t="str">
            <v>ADET</v>
          </cell>
          <cell r="AH708">
            <v>2000</v>
          </cell>
          <cell r="AI708" t="str">
            <v>TL</v>
          </cell>
          <cell r="AJ708">
            <v>44375</v>
          </cell>
          <cell r="AK708" t="str">
            <v>TL</v>
          </cell>
          <cell r="AL708">
            <v>1</v>
          </cell>
          <cell r="AM708" t="str">
            <v>8684127505192</v>
          </cell>
          <cell r="AO708">
            <v>0</v>
          </cell>
          <cell r="AQ708">
            <v>32</v>
          </cell>
          <cell r="AR708" t="str">
            <v>CM</v>
          </cell>
          <cell r="AS708">
            <v>32</v>
          </cell>
          <cell r="AT708" t="str">
            <v>CM</v>
          </cell>
          <cell r="AU708">
            <v>0</v>
          </cell>
          <cell r="AW708">
            <v>0</v>
          </cell>
        </row>
        <row r="709">
          <cell r="B709" t="str">
            <v>01.050.00.04.05</v>
          </cell>
          <cell r="C709" t="str">
            <v>YUVARLAK TEPSİ ESKİTME 50cm</v>
          </cell>
          <cell r="D709" t="str">
            <v>BRUSHED BRASS ROUND TRAY 50cm</v>
          </cell>
          <cell r="E709" t="str">
            <v/>
          </cell>
          <cell r="F709" t="str">
            <v/>
          </cell>
          <cell r="G709" t="str">
            <v>ZPARCA</v>
          </cell>
          <cell r="H709" t="str">
            <v>01.050.00.04.05</v>
          </cell>
          <cell r="I709" t="str">
            <v>İÇ</v>
          </cell>
          <cell r="J709" t="str">
            <v>ZPARCA</v>
          </cell>
          <cell r="K709" t="str">
            <v/>
          </cell>
          <cell r="L709" t="str">
            <v/>
          </cell>
          <cell r="M709" t="str">
            <v/>
          </cell>
          <cell r="N709" t="str">
            <v/>
          </cell>
          <cell r="O709" t="str">
            <v>HEKA</v>
          </cell>
          <cell r="P709" t="str">
            <v>ADET</v>
          </cell>
          <cell r="R709" t="str">
            <v>METAL</v>
          </cell>
          <cell r="S709" t="str">
            <v>ESKİTME</v>
          </cell>
          <cell r="AF709">
            <v>61</v>
          </cell>
          <cell r="AG709" t="str">
            <v>ADET</v>
          </cell>
          <cell r="AH709">
            <v>65</v>
          </cell>
          <cell r="AI709" t="str">
            <v>CNY</v>
          </cell>
          <cell r="AJ709">
            <v>1870</v>
          </cell>
          <cell r="AK709" t="str">
            <v>TL</v>
          </cell>
          <cell r="AL709">
            <v>0</v>
          </cell>
          <cell r="AM709" t="str">
            <v>01.050.00.04.05</v>
          </cell>
          <cell r="AO709">
            <v>0</v>
          </cell>
          <cell r="AQ709">
            <v>0</v>
          </cell>
          <cell r="AS709">
            <v>0</v>
          </cell>
          <cell r="AU709">
            <v>0</v>
          </cell>
          <cell r="AW709">
            <v>0</v>
          </cell>
        </row>
        <row r="710">
          <cell r="B710" t="str">
            <v>F1C5DRGAAWL-018</v>
          </cell>
          <cell r="C710" t="str">
            <v>TOCHI LARGE AHSAP-BETON GU10 SARKIT</v>
          </cell>
          <cell r="D710" t="str">
            <v>TOCHI LARGE WOOD-CONCRETE GU10 PENDANT</v>
          </cell>
          <cell r="E710" t="str">
            <v xml:space="preserve">BETON AHŞAP GRİ WENGE   </v>
          </cell>
          <cell r="F710" t="str">
            <v>9405.19.90.00.00</v>
          </cell>
          <cell r="G710" t="str">
            <v>AVİZE</v>
          </cell>
          <cell r="H710" t="str">
            <v>F1A574C200-18</v>
          </cell>
          <cell r="I710" t="str">
            <v>İÇ</v>
          </cell>
          <cell r="J710" t="str">
            <v>AVİZE.SARK</v>
          </cell>
          <cell r="K710" t="str">
            <v>TOCHI</v>
          </cell>
          <cell r="L710" t="str">
            <v/>
          </cell>
          <cell r="M710" t="str">
            <v>ÜRTM:15GÜN</v>
          </cell>
          <cell r="N710" t="str">
            <v>1011-GU10</v>
          </cell>
          <cell r="O710" t="str">
            <v>ISHI</v>
          </cell>
          <cell r="P710" t="str">
            <v>ADET</v>
          </cell>
          <cell r="Q710" t="str">
            <v>GU10</v>
          </cell>
          <cell r="R710" t="str">
            <v>BETON</v>
          </cell>
          <cell r="S710" t="str">
            <v>GRİ</v>
          </cell>
          <cell r="T710" t="str">
            <v>AHŞAP</v>
          </cell>
          <cell r="U710" t="str">
            <v>WENGE</v>
          </cell>
          <cell r="AD710" t="str">
            <v>DÜZ</v>
          </cell>
          <cell r="AE710" t="str">
            <v>01</v>
          </cell>
          <cell r="AF710">
            <v>1</v>
          </cell>
          <cell r="AG710" t="str">
            <v>ADET</v>
          </cell>
          <cell r="AH710">
            <v>943</v>
          </cell>
          <cell r="AI710" t="str">
            <v>TL</v>
          </cell>
          <cell r="AJ710">
            <v>4810</v>
          </cell>
          <cell r="AK710" t="str">
            <v>TL</v>
          </cell>
          <cell r="AL710">
            <v>1</v>
          </cell>
          <cell r="AM710" t="str">
            <v>8684127507608</v>
          </cell>
          <cell r="AO710">
            <v>0</v>
          </cell>
          <cell r="AQ710">
            <v>18</v>
          </cell>
          <cell r="AR710" t="str">
            <v>CM</v>
          </cell>
          <cell r="AS710">
            <v>8</v>
          </cell>
          <cell r="AT710" t="str">
            <v>CM</v>
          </cell>
          <cell r="AU710">
            <v>0</v>
          </cell>
          <cell r="AW710">
            <v>0</v>
          </cell>
        </row>
        <row r="711">
          <cell r="B711" t="str">
            <v>F1C5DRB000U-023</v>
          </cell>
          <cell r="C711" t="str">
            <v>CONE BETON BEYAZ SARKIT</v>
          </cell>
          <cell r="D711" t="str">
            <v>CONE CONCRETE WHITE PENDANT</v>
          </cell>
          <cell r="E711" t="str">
            <v xml:space="preserve">BETON YOK BEYAZ YOK   </v>
          </cell>
          <cell r="F711" t="str">
            <v>9405.19.90.00.00</v>
          </cell>
          <cell r="G711" t="str">
            <v>AVİZE</v>
          </cell>
          <cell r="H711" t="str">
            <v>F1A514C100-16</v>
          </cell>
          <cell r="I711" t="str">
            <v>İÇ</v>
          </cell>
          <cell r="J711" t="str">
            <v>AVİZE.SARK</v>
          </cell>
          <cell r="K711" t="str">
            <v>CONE</v>
          </cell>
          <cell r="L711" t="str">
            <v/>
          </cell>
          <cell r="M711" t="str">
            <v>ÜRTM:15GÜN</v>
          </cell>
          <cell r="N711" t="str">
            <v>1001-WC</v>
          </cell>
          <cell r="O711" t="str">
            <v>ISHI</v>
          </cell>
          <cell r="P711" t="str">
            <v>ADET</v>
          </cell>
          <cell r="Q711" t="str">
            <v>GU10</v>
          </cell>
          <cell r="R711" t="str">
            <v>BETON</v>
          </cell>
          <cell r="S711" t="str">
            <v>BEYAZ</v>
          </cell>
          <cell r="T711" t="str">
            <v>YOK</v>
          </cell>
          <cell r="U711" t="str">
            <v>YOK</v>
          </cell>
          <cell r="AD711" t="str">
            <v>ÜÇGEN</v>
          </cell>
          <cell r="AE711" t="str">
            <v>01</v>
          </cell>
          <cell r="AF711">
            <v>27</v>
          </cell>
          <cell r="AG711" t="str">
            <v>ADET</v>
          </cell>
          <cell r="AH711">
            <v>966</v>
          </cell>
          <cell r="AI711" t="str">
            <v>TL</v>
          </cell>
          <cell r="AJ711">
            <v>4927</v>
          </cell>
          <cell r="AK711" t="str">
            <v>TL</v>
          </cell>
          <cell r="AL711">
            <v>1</v>
          </cell>
          <cell r="AM711" t="str">
            <v>8684127506113</v>
          </cell>
          <cell r="AO711">
            <v>0</v>
          </cell>
          <cell r="AQ711">
            <v>16</v>
          </cell>
          <cell r="AR711" t="str">
            <v>CM</v>
          </cell>
          <cell r="AS711">
            <v>23</v>
          </cell>
          <cell r="AT711" t="str">
            <v>CM</v>
          </cell>
          <cell r="AU711">
            <v>0</v>
          </cell>
          <cell r="AW711">
            <v>0</v>
          </cell>
        </row>
        <row r="712">
          <cell r="B712" t="str">
            <v>F1C5DRG000U-023</v>
          </cell>
          <cell r="C712" t="str">
            <v>CONE BETON GRİ SARKIT</v>
          </cell>
          <cell r="D712" t="str">
            <v>CONE CONCRETE GREY PENDANT</v>
          </cell>
          <cell r="E712" t="str">
            <v xml:space="preserve">BETON YOK GRİ YOK   </v>
          </cell>
          <cell r="F712" t="str">
            <v>9405.19.90.00.00</v>
          </cell>
          <cell r="G712" t="str">
            <v>AVİZE</v>
          </cell>
          <cell r="H712" t="str">
            <v>F1A514C200-16</v>
          </cell>
          <cell r="I712" t="str">
            <v>İÇ</v>
          </cell>
          <cell r="J712" t="str">
            <v>AVİZE.SARK</v>
          </cell>
          <cell r="K712" t="str">
            <v>CONE</v>
          </cell>
          <cell r="L712" t="str">
            <v/>
          </cell>
          <cell r="M712" t="str">
            <v>ÜRTM:15GÜN</v>
          </cell>
          <cell r="N712" t="str">
            <v>1001-GC</v>
          </cell>
          <cell r="O712" t="str">
            <v>ISHI</v>
          </cell>
          <cell r="P712" t="str">
            <v>ADET</v>
          </cell>
          <cell r="Q712" t="str">
            <v>GU10</v>
          </cell>
          <cell r="R712" t="str">
            <v>BETON</v>
          </cell>
          <cell r="S712" t="str">
            <v>GRİ</v>
          </cell>
          <cell r="T712" t="str">
            <v>YOK</v>
          </cell>
          <cell r="U712" t="str">
            <v>YOK</v>
          </cell>
          <cell r="AD712" t="str">
            <v>ÜÇGEN</v>
          </cell>
          <cell r="AE712" t="str">
            <v>01</v>
          </cell>
          <cell r="AF712">
            <v>33</v>
          </cell>
          <cell r="AG712" t="str">
            <v>ADET</v>
          </cell>
          <cell r="AH712">
            <v>966</v>
          </cell>
          <cell r="AI712" t="str">
            <v>TL</v>
          </cell>
          <cell r="AJ712">
            <v>4927</v>
          </cell>
          <cell r="AK712" t="str">
            <v>TL</v>
          </cell>
          <cell r="AL712">
            <v>1</v>
          </cell>
          <cell r="AM712" t="str">
            <v>8684127506120</v>
          </cell>
          <cell r="AO712">
            <v>0</v>
          </cell>
          <cell r="AQ712">
            <v>16</v>
          </cell>
          <cell r="AR712" t="str">
            <v>CM</v>
          </cell>
          <cell r="AS712">
            <v>23</v>
          </cell>
          <cell r="AT712" t="str">
            <v>CM</v>
          </cell>
          <cell r="AU712">
            <v>0</v>
          </cell>
          <cell r="AW712">
            <v>0</v>
          </cell>
        </row>
        <row r="713">
          <cell r="B713" t="str">
            <v>F1C6DRGAAWL-150</v>
          </cell>
          <cell r="C713" t="str">
            <v>TOCHI LINEAR AHŞAP-BETON SARKIT 150cm</v>
          </cell>
          <cell r="D713" t="str">
            <v>TOCHI LINEAR WOOD-CONCRETE PENDANT 150cm</v>
          </cell>
          <cell r="E713" t="str">
            <v xml:space="preserve">BETON AHŞAP GRİ WENGE   </v>
          </cell>
          <cell r="F713" t="str">
            <v>9405.11.90.00.00</v>
          </cell>
          <cell r="G713" t="str">
            <v>AVİZE</v>
          </cell>
          <cell r="H713" t="str">
            <v>F1A674C200-15</v>
          </cell>
          <cell r="I713" t="str">
            <v>İÇ</v>
          </cell>
          <cell r="J713" t="str">
            <v>AVİZE.SARK</v>
          </cell>
          <cell r="K713" t="str">
            <v>TOCHI</v>
          </cell>
          <cell r="L713" t="str">
            <v/>
          </cell>
          <cell r="M713" t="str">
            <v>ÜRTM:15GÜN</v>
          </cell>
          <cell r="N713" t="str">
            <v>1018-150</v>
          </cell>
          <cell r="O713" t="str">
            <v>ISHI</v>
          </cell>
          <cell r="P713" t="str">
            <v>ADET</v>
          </cell>
          <cell r="Q713" t="str">
            <v>LED</v>
          </cell>
          <cell r="R713" t="str">
            <v>BETON</v>
          </cell>
          <cell r="S713" t="str">
            <v>GRİ</v>
          </cell>
          <cell r="T713" t="str">
            <v>AHŞAP</v>
          </cell>
          <cell r="U713" t="str">
            <v>WENGE</v>
          </cell>
          <cell r="AD713" t="str">
            <v>DÜZ</v>
          </cell>
          <cell r="AF713">
            <v>3</v>
          </cell>
          <cell r="AG713" t="str">
            <v>ADET</v>
          </cell>
          <cell r="AH713">
            <v>5543</v>
          </cell>
          <cell r="AI713" t="str">
            <v>TL</v>
          </cell>
          <cell r="AJ713">
            <v>28030</v>
          </cell>
          <cell r="AK713" t="str">
            <v>TL</v>
          </cell>
          <cell r="AL713">
            <v>1</v>
          </cell>
          <cell r="AM713" t="str">
            <v>8684127508773</v>
          </cell>
          <cell r="AO713">
            <v>0</v>
          </cell>
          <cell r="AQ713">
            <v>150</v>
          </cell>
          <cell r="AR713" t="str">
            <v>CM</v>
          </cell>
          <cell r="AS713">
            <v>6.5</v>
          </cell>
          <cell r="AT713" t="str">
            <v>CM</v>
          </cell>
          <cell r="AU713">
            <v>0</v>
          </cell>
          <cell r="AW713">
            <v>0</v>
          </cell>
        </row>
        <row r="714">
          <cell r="B714" t="str">
            <v>F1C3DRGAAWL-028</v>
          </cell>
          <cell r="C714" t="str">
            <v>TOCHI MINI WENGE AHSAP-BETON G9 SARKIT</v>
          </cell>
          <cell r="D714" t="str">
            <v>TOCHI MINI WENGE WOOD-CONCRETE G9 PENDANT</v>
          </cell>
          <cell r="E714" t="str">
            <v xml:space="preserve">BETON AHŞAP GRİ WENGE   </v>
          </cell>
          <cell r="F714" t="str">
            <v>9405.19.90.00.00</v>
          </cell>
          <cell r="G714" t="str">
            <v>AVİZE</v>
          </cell>
          <cell r="H714" t="str">
            <v>F1A374C200-13</v>
          </cell>
          <cell r="I714" t="str">
            <v>İÇ</v>
          </cell>
          <cell r="J714" t="str">
            <v>AVİZE.SARK</v>
          </cell>
          <cell r="K714" t="str">
            <v>TOCHI</v>
          </cell>
          <cell r="L714" t="str">
            <v/>
          </cell>
          <cell r="M714" t="str">
            <v>ÜRTM:15GÜN</v>
          </cell>
          <cell r="N714" t="str">
            <v>1009-G9</v>
          </cell>
          <cell r="O714" t="str">
            <v>ISHI</v>
          </cell>
          <cell r="P714" t="str">
            <v>ADET</v>
          </cell>
          <cell r="Q714" t="str">
            <v>G9</v>
          </cell>
          <cell r="R714" t="str">
            <v>BETON</v>
          </cell>
          <cell r="S714" t="str">
            <v>GRİ</v>
          </cell>
          <cell r="T714" t="str">
            <v>AHŞAP</v>
          </cell>
          <cell r="U714" t="str">
            <v>WENGE</v>
          </cell>
          <cell r="AD714" t="str">
            <v>DÜZ</v>
          </cell>
          <cell r="AE714" t="str">
            <v>01</v>
          </cell>
          <cell r="AF714">
            <v>1</v>
          </cell>
          <cell r="AG714" t="str">
            <v>ADET</v>
          </cell>
          <cell r="AH714">
            <v>885.5</v>
          </cell>
          <cell r="AI714" t="str">
            <v>TL</v>
          </cell>
          <cell r="AJ714">
            <v>4570</v>
          </cell>
          <cell r="AK714" t="str">
            <v>TL</v>
          </cell>
          <cell r="AL714">
            <v>1</v>
          </cell>
          <cell r="AM714" t="str">
            <v>8684127505574</v>
          </cell>
          <cell r="AO714">
            <v>0</v>
          </cell>
          <cell r="AQ714">
            <v>13</v>
          </cell>
          <cell r="AR714" t="str">
            <v>CM</v>
          </cell>
          <cell r="AS714">
            <v>6.5</v>
          </cell>
          <cell r="AT714" t="str">
            <v>CM</v>
          </cell>
          <cell r="AU714">
            <v>0</v>
          </cell>
          <cell r="AW714">
            <v>0</v>
          </cell>
        </row>
        <row r="715">
          <cell r="B715" t="str">
            <v>F1C2DRGAAWL-013</v>
          </cell>
          <cell r="C715" t="str">
            <v>TOCHI MINI WENGE AHSAP-BETON E27 SARKIT</v>
          </cell>
          <cell r="D715" t="str">
            <v>TOCHI MINI WENGE WOOD-CONCRETE E27 PENDANT</v>
          </cell>
          <cell r="E715" t="str">
            <v xml:space="preserve">BETON AHŞAP GRİ WENGE   </v>
          </cell>
          <cell r="F715" t="str">
            <v>9405.19.90.00.00</v>
          </cell>
          <cell r="G715" t="str">
            <v>AVİZE</v>
          </cell>
          <cell r="H715" t="str">
            <v>F1A274C200-13</v>
          </cell>
          <cell r="I715" t="str">
            <v>İÇ</v>
          </cell>
          <cell r="J715" t="str">
            <v>AVİZE.SARK</v>
          </cell>
          <cell r="K715" t="str">
            <v>TOCHI</v>
          </cell>
          <cell r="L715" t="str">
            <v/>
          </cell>
          <cell r="M715" t="str">
            <v>ÜRTM:15GÜN</v>
          </cell>
          <cell r="N715" t="str">
            <v>1009-E27</v>
          </cell>
          <cell r="O715" t="str">
            <v>ISHI</v>
          </cell>
          <cell r="P715" t="str">
            <v>ADET</v>
          </cell>
          <cell r="Q715" t="str">
            <v>E27</v>
          </cell>
          <cell r="R715" t="str">
            <v>BETON</v>
          </cell>
          <cell r="S715" t="str">
            <v>GRİ</v>
          </cell>
          <cell r="T715" t="str">
            <v>AHŞAP</v>
          </cell>
          <cell r="U715" t="str">
            <v>WENGE</v>
          </cell>
          <cell r="AD715" t="str">
            <v>DÜZ</v>
          </cell>
          <cell r="AE715" t="str">
            <v>01</v>
          </cell>
          <cell r="AF715">
            <v>2</v>
          </cell>
          <cell r="AG715" t="str">
            <v>ADET</v>
          </cell>
          <cell r="AH715">
            <v>851</v>
          </cell>
          <cell r="AI715" t="str">
            <v>TL</v>
          </cell>
          <cell r="AJ715">
            <v>4355</v>
          </cell>
          <cell r="AK715" t="str">
            <v>TL</v>
          </cell>
          <cell r="AL715">
            <v>1</v>
          </cell>
          <cell r="AM715" t="str">
            <v>8684127508704</v>
          </cell>
          <cell r="AO715">
            <v>0</v>
          </cell>
          <cell r="AQ715">
            <v>13</v>
          </cell>
          <cell r="AR715" t="str">
            <v>CM</v>
          </cell>
          <cell r="AS715">
            <v>6.5</v>
          </cell>
          <cell r="AT715" t="str">
            <v>CM</v>
          </cell>
          <cell r="AU715">
            <v>0</v>
          </cell>
          <cell r="AW715">
            <v>0</v>
          </cell>
        </row>
        <row r="716">
          <cell r="B716" t="str">
            <v>H1W3JRSECT0-017</v>
          </cell>
          <cell r="C716" t="str">
            <v>OSAKA SİYAH APLİK</v>
          </cell>
          <cell r="D716" t="str">
            <v>OSAKA BLACK WALL LAMP</v>
          </cell>
          <cell r="E716" t="str">
            <v>METAL CAM SİYAH SOFT</v>
          </cell>
          <cell r="F716" t="str">
            <v>9405.19.90.00.00</v>
          </cell>
          <cell r="G716" t="str">
            <v>APLİK</v>
          </cell>
          <cell r="H716" t="str">
            <v>T1W3142100-20</v>
          </cell>
          <cell r="I716" t="str">
            <v>İÇ</v>
          </cell>
          <cell r="J716" t="str">
            <v>APLİK</v>
          </cell>
          <cell r="K716" t="str">
            <v>OSAKA</v>
          </cell>
          <cell r="L716" t="str">
            <v>Y</v>
          </cell>
          <cell r="M716" t="str">
            <v/>
          </cell>
          <cell r="N716" t="str">
            <v>10083-BC</v>
          </cell>
          <cell r="O716" t="str">
            <v>HEKA</v>
          </cell>
          <cell r="P716" t="str">
            <v>ADET</v>
          </cell>
          <cell r="Q716" t="str">
            <v>G9</v>
          </cell>
          <cell r="R716" t="str">
            <v>METAL</v>
          </cell>
          <cell r="S716" t="str">
            <v>SİYAH</v>
          </cell>
          <cell r="T716" t="str">
            <v>CAM</v>
          </cell>
          <cell r="U716" t="str">
            <v>SOFT</v>
          </cell>
          <cell r="AD716" t="str">
            <v>N/A</v>
          </cell>
          <cell r="AE716" t="str">
            <v>01</v>
          </cell>
          <cell r="AF716">
            <v>11</v>
          </cell>
          <cell r="AG716" t="str">
            <v>ADET</v>
          </cell>
          <cell r="AH716">
            <v>60</v>
          </cell>
          <cell r="AI716" t="str">
            <v>CNY</v>
          </cell>
          <cell r="AJ716">
            <v>2499</v>
          </cell>
          <cell r="AK716" t="str">
            <v>TL</v>
          </cell>
          <cell r="AL716">
            <v>1</v>
          </cell>
          <cell r="AM716" t="str">
            <v>8684127502870</v>
          </cell>
          <cell r="AO716">
            <v>0</v>
          </cell>
          <cell r="AQ716">
            <v>17</v>
          </cell>
          <cell r="AR716" t="str">
            <v>CM</v>
          </cell>
          <cell r="AS716">
            <v>12</v>
          </cell>
          <cell r="AT716" t="str">
            <v>CM</v>
          </cell>
          <cell r="AU716">
            <v>0</v>
          </cell>
          <cell r="AW716">
            <v>0</v>
          </cell>
        </row>
        <row r="717">
          <cell r="B717" t="str">
            <v>H1W3JMKECT0-017</v>
          </cell>
          <cell r="C717" t="str">
            <v>OSAKA KROM APLİK</v>
          </cell>
          <cell r="D717" t="str">
            <v>OSAKA CHROME WALL LAMP</v>
          </cell>
          <cell r="E717" t="str">
            <v>METAL CAM KROM SOFT</v>
          </cell>
          <cell r="F717" t="str">
            <v>9405.19.90.00.00</v>
          </cell>
          <cell r="G717" t="str">
            <v>APLİK</v>
          </cell>
          <cell r="H717" t="str">
            <v>T1W3132100-20</v>
          </cell>
          <cell r="I717" t="str">
            <v>İÇ</v>
          </cell>
          <cell r="J717" t="str">
            <v>APLİK</v>
          </cell>
          <cell r="K717" t="str">
            <v>OSAKA</v>
          </cell>
          <cell r="L717" t="str">
            <v/>
          </cell>
          <cell r="M717" t="str">
            <v/>
          </cell>
          <cell r="N717" t="str">
            <v>10083-CH</v>
          </cell>
          <cell r="O717" t="str">
            <v>HEKA</v>
          </cell>
          <cell r="P717" t="str">
            <v>ADET</v>
          </cell>
          <cell r="Q717" t="str">
            <v>G9</v>
          </cell>
          <cell r="R717" t="str">
            <v>METAL</v>
          </cell>
          <cell r="S717" t="str">
            <v>KROM</v>
          </cell>
          <cell r="T717" t="str">
            <v>CAM</v>
          </cell>
          <cell r="U717" t="str">
            <v>SOFT</v>
          </cell>
          <cell r="AD717" t="str">
            <v>N/A</v>
          </cell>
          <cell r="AE717" t="str">
            <v>02</v>
          </cell>
          <cell r="AF717">
            <v>0</v>
          </cell>
          <cell r="AG717" t="str">
            <v>ADET</v>
          </cell>
          <cell r="AH717">
            <v>60</v>
          </cell>
          <cell r="AI717" t="str">
            <v>CNY</v>
          </cell>
          <cell r="AJ717">
            <v>2499</v>
          </cell>
          <cell r="AK717" t="str">
            <v>TL</v>
          </cell>
          <cell r="AL717">
            <v>1</v>
          </cell>
          <cell r="AM717" t="str">
            <v>8684127502863</v>
          </cell>
          <cell r="AO717">
            <v>0</v>
          </cell>
          <cell r="AQ717">
            <v>17</v>
          </cell>
          <cell r="AR717" t="str">
            <v>CM</v>
          </cell>
          <cell r="AS717">
            <v>12</v>
          </cell>
          <cell r="AT717" t="str">
            <v>CM</v>
          </cell>
          <cell r="AU717">
            <v>0</v>
          </cell>
          <cell r="AW717">
            <v>0</v>
          </cell>
        </row>
        <row r="718">
          <cell r="B718" t="str">
            <v>H1C6JMEWRB0-030</v>
          </cell>
          <cell r="C718" t="str">
            <v>MUMBAİ MERMER ESKİTME SARKIT 30cm</v>
          </cell>
          <cell r="D718" t="str">
            <v>MUMBAİ MARBLE BRUSHED BRASS PENDANT 30cm</v>
          </cell>
          <cell r="E718" t="str">
            <v xml:space="preserve">METAL MERMER ESKİTME BEYAZ   </v>
          </cell>
          <cell r="F718" t="str">
            <v>9405.11.90.00.00</v>
          </cell>
          <cell r="G718" t="str">
            <v>AVİZE</v>
          </cell>
          <cell r="H718" t="str">
            <v>T1A6311100-31</v>
          </cell>
          <cell r="I718" t="str">
            <v>İÇ</v>
          </cell>
          <cell r="J718" t="str">
            <v>AVİZE.SARK</v>
          </cell>
          <cell r="K718" t="str">
            <v>MUMBAİ</v>
          </cell>
          <cell r="L718" t="str">
            <v/>
          </cell>
          <cell r="M718" t="str">
            <v/>
          </cell>
          <cell r="N718" t="str">
            <v>3003-WC</v>
          </cell>
          <cell r="O718" t="str">
            <v>HEKA</v>
          </cell>
          <cell r="P718" t="str">
            <v>ADET</v>
          </cell>
          <cell r="Q718" t="str">
            <v>LED</v>
          </cell>
          <cell r="R718" t="str">
            <v>METAL</v>
          </cell>
          <cell r="S718" t="str">
            <v>ESKİTME</v>
          </cell>
          <cell r="T718" t="str">
            <v>MERMER</v>
          </cell>
          <cell r="U718" t="str">
            <v>BEYAZ</v>
          </cell>
          <cell r="AD718" t="str">
            <v>N/A</v>
          </cell>
          <cell r="AE718" t="str">
            <v>01</v>
          </cell>
          <cell r="AF718">
            <v>3</v>
          </cell>
          <cell r="AG718" t="str">
            <v>ADET</v>
          </cell>
          <cell r="AH718">
            <v>356</v>
          </cell>
          <cell r="AI718" t="str">
            <v>CNY</v>
          </cell>
          <cell r="AJ718">
            <v>14756</v>
          </cell>
          <cell r="AK718" t="str">
            <v>TL</v>
          </cell>
          <cell r="AL718">
            <v>1</v>
          </cell>
          <cell r="AM718" t="str">
            <v>8684127504430</v>
          </cell>
          <cell r="AO718">
            <v>0</v>
          </cell>
          <cell r="AQ718">
            <v>30</v>
          </cell>
          <cell r="AR718" t="str">
            <v>CM</v>
          </cell>
          <cell r="AS718">
            <v>30</v>
          </cell>
          <cell r="AT718" t="str">
            <v>CM</v>
          </cell>
          <cell r="AU718">
            <v>0</v>
          </cell>
          <cell r="AW718">
            <v>0</v>
          </cell>
        </row>
        <row r="719">
          <cell r="B719" t="str">
            <v>H1C6JMEBCS0-043</v>
          </cell>
          <cell r="C719" t="str">
            <v>SYDNEY TEKLİ ESKİTME SARKIT</v>
          </cell>
          <cell r="D719" t="str">
            <v>SYDNEY SINGLE BRUSHED BRASS PENDANT</v>
          </cell>
          <cell r="E719" t="str">
            <v xml:space="preserve">METAL AKRİLİK ESKİTME ŞEFFAF   </v>
          </cell>
          <cell r="F719" t="str">
            <v>9405.11.90.00.00</v>
          </cell>
          <cell r="G719" t="str">
            <v>AVİZE</v>
          </cell>
          <cell r="H719" t="str">
            <v>T1A6116200-45</v>
          </cell>
          <cell r="I719" t="str">
            <v>İÇ</v>
          </cell>
          <cell r="J719" t="str">
            <v>AVİZE.SARK</v>
          </cell>
          <cell r="K719" t="str">
            <v>SYDNEY</v>
          </cell>
          <cell r="L719" t="str">
            <v/>
          </cell>
          <cell r="M719" t="str">
            <v/>
          </cell>
          <cell r="N719" t="str">
            <v>1001-A</v>
          </cell>
          <cell r="O719" t="str">
            <v>HEKA</v>
          </cell>
          <cell r="P719" t="str">
            <v>ADET</v>
          </cell>
          <cell r="Q719" t="str">
            <v>LED</v>
          </cell>
          <cell r="R719" t="str">
            <v>METAL</v>
          </cell>
          <cell r="S719" t="str">
            <v>ESKİTME</v>
          </cell>
          <cell r="T719" t="str">
            <v>AKRİLİK</v>
          </cell>
          <cell r="U719" t="str">
            <v>ŞEFFAF</v>
          </cell>
          <cell r="AD719" t="str">
            <v>N/A</v>
          </cell>
          <cell r="AE719" t="str">
            <v>01</v>
          </cell>
          <cell r="AF719">
            <v>0</v>
          </cell>
          <cell r="AG719" t="str">
            <v>ADET</v>
          </cell>
          <cell r="AH719">
            <v>55</v>
          </cell>
          <cell r="AI719" t="str">
            <v>CNY</v>
          </cell>
          <cell r="AJ719">
            <v>1060</v>
          </cell>
          <cell r="AK719" t="str">
            <v>TL</v>
          </cell>
          <cell r="AL719">
            <v>1</v>
          </cell>
          <cell r="AM719" t="str">
            <v>8684127502740</v>
          </cell>
          <cell r="AO719">
            <v>0</v>
          </cell>
          <cell r="AQ719">
            <v>12</v>
          </cell>
          <cell r="AR719" t="str">
            <v>CM</v>
          </cell>
          <cell r="AS719">
            <v>43</v>
          </cell>
          <cell r="AT719" t="str">
            <v>CM</v>
          </cell>
          <cell r="AU719">
            <v>0</v>
          </cell>
          <cell r="AW719">
            <v>0</v>
          </cell>
        </row>
        <row r="720">
          <cell r="B720" t="str">
            <v>H1W3JMEECT0-019</v>
          </cell>
          <cell r="C720" t="str">
            <v>ARUBA TEK CAMLI ESKİTME APLİK</v>
          </cell>
          <cell r="D720" t="str">
            <v>ARUBA SINGLE GLASS BRUSHED BRASS WALL LAMP</v>
          </cell>
          <cell r="E720" t="str">
            <v>METAL CAM ESKİTME SOFT</v>
          </cell>
          <cell r="F720" t="str">
            <v>9405.19.90.00.00</v>
          </cell>
          <cell r="G720" t="str">
            <v>APLİK</v>
          </cell>
          <cell r="H720" t="str">
            <v>H1W3112100-20</v>
          </cell>
          <cell r="I720" t="str">
            <v>İÇ</v>
          </cell>
          <cell r="J720" t="str">
            <v>APLİK</v>
          </cell>
          <cell r="K720" t="str">
            <v>ARUBA</v>
          </cell>
          <cell r="L720" t="str">
            <v/>
          </cell>
          <cell r="M720" t="str">
            <v/>
          </cell>
          <cell r="N720" t="str">
            <v/>
          </cell>
          <cell r="O720" t="str">
            <v>HEKA</v>
          </cell>
          <cell r="P720" t="str">
            <v>ADET</v>
          </cell>
          <cell r="Q720" t="str">
            <v>G9</v>
          </cell>
          <cell r="R720" t="str">
            <v>METAL</v>
          </cell>
          <cell r="S720" t="str">
            <v>ESKİTME</v>
          </cell>
          <cell r="T720" t="str">
            <v>CAM</v>
          </cell>
          <cell r="U720" t="str">
            <v>SOFT</v>
          </cell>
          <cell r="AD720" t="str">
            <v>N/A</v>
          </cell>
          <cell r="AE720" t="str">
            <v>02</v>
          </cell>
          <cell r="AF720">
            <v>1</v>
          </cell>
          <cell r="AG720" t="str">
            <v>ADET</v>
          </cell>
          <cell r="AH720">
            <v>150</v>
          </cell>
          <cell r="AI720" t="str">
            <v>TL</v>
          </cell>
          <cell r="AJ720">
            <v>495</v>
          </cell>
          <cell r="AK720" t="str">
            <v>TL</v>
          </cell>
          <cell r="AL720">
            <v>1</v>
          </cell>
          <cell r="AM720" t="str">
            <v>8684127503105</v>
          </cell>
          <cell r="AO720">
            <v>0</v>
          </cell>
          <cell r="AQ720">
            <v>10</v>
          </cell>
          <cell r="AR720" t="str">
            <v>CM</v>
          </cell>
          <cell r="AS720">
            <v>19</v>
          </cell>
          <cell r="AT720" t="str">
            <v>CM</v>
          </cell>
          <cell r="AU720">
            <v>0</v>
          </cell>
          <cell r="AW720">
            <v>0</v>
          </cell>
        </row>
        <row r="721">
          <cell r="B721" t="str">
            <v>H1C2JMEECSU-020</v>
          </cell>
          <cell r="C721" t="str">
            <v>DAKAR ESKİTME SARKIT 20cm</v>
          </cell>
          <cell r="D721" t="str">
            <v>DAKAR BRUSHED BRASS PENDANT 20cm</v>
          </cell>
          <cell r="E721" t="str">
            <v xml:space="preserve">METAL CAM  ESKİTME ŞEFFAF   </v>
          </cell>
          <cell r="F721" t="str">
            <v>9405.19.90.00.00</v>
          </cell>
          <cell r="G721" t="str">
            <v>AVİZE</v>
          </cell>
          <cell r="H721" t="str">
            <v>T1A2112400-21</v>
          </cell>
          <cell r="I721" t="str">
            <v>İÇ</v>
          </cell>
          <cell r="J721" t="str">
            <v>AVİZE.SARK</v>
          </cell>
          <cell r="K721" t="str">
            <v>DAKAR</v>
          </cell>
          <cell r="L721" t="str">
            <v/>
          </cell>
          <cell r="M721" t="str">
            <v/>
          </cell>
          <cell r="N721" t="str">
            <v>T-4</v>
          </cell>
          <cell r="O721" t="str">
            <v>HEKA</v>
          </cell>
          <cell r="P721" t="str">
            <v>ADET</v>
          </cell>
          <cell r="Q721" t="str">
            <v>E27</v>
          </cell>
          <cell r="R721" t="str">
            <v>METAL</v>
          </cell>
          <cell r="S721" t="str">
            <v>ESKİTME</v>
          </cell>
          <cell r="T721" t="str">
            <v>CAM</v>
          </cell>
          <cell r="U721" t="str">
            <v>ŞEFFAF</v>
          </cell>
          <cell r="AD721" t="str">
            <v>ÜÇGEN</v>
          </cell>
          <cell r="AE721" t="str">
            <v>01</v>
          </cell>
          <cell r="AF721">
            <v>88</v>
          </cell>
          <cell r="AG721" t="str">
            <v>ADET</v>
          </cell>
          <cell r="AH721">
            <v>27</v>
          </cell>
          <cell r="AI721" t="str">
            <v>CNY</v>
          </cell>
          <cell r="AJ721">
            <v>2142</v>
          </cell>
          <cell r="AK721" t="str">
            <v>TL</v>
          </cell>
          <cell r="AL721">
            <v>1</v>
          </cell>
          <cell r="AM721" t="str">
            <v>8684127501811</v>
          </cell>
          <cell r="AO721">
            <v>0</v>
          </cell>
          <cell r="AQ721">
            <v>18</v>
          </cell>
          <cell r="AR721" t="str">
            <v>CM</v>
          </cell>
          <cell r="AS721">
            <v>18</v>
          </cell>
          <cell r="AT721" t="str">
            <v>CM</v>
          </cell>
          <cell r="AU721">
            <v>0</v>
          </cell>
          <cell r="AW721">
            <v>0</v>
          </cell>
        </row>
        <row r="722">
          <cell r="B722" t="str">
            <v>H1C2JMEECSU-025</v>
          </cell>
          <cell r="C722" t="str">
            <v>DAKAR ESKİTME SARKIT 25cm</v>
          </cell>
          <cell r="D722" t="str">
            <v>DAKAR BRUSHED BRASS PENDANT 25cm</v>
          </cell>
          <cell r="E722" t="str">
            <v xml:space="preserve">METAL CAM  ESKİTME ŞEFFAF   </v>
          </cell>
          <cell r="F722" t="str">
            <v>9405.19.90.00.00</v>
          </cell>
          <cell r="G722" t="str">
            <v>AVİZE</v>
          </cell>
          <cell r="H722" t="str">
            <v>T1A2112400-25</v>
          </cell>
          <cell r="I722" t="str">
            <v>İÇ</v>
          </cell>
          <cell r="J722" t="str">
            <v>AVİZE.SARK</v>
          </cell>
          <cell r="K722" t="str">
            <v>DAKAR</v>
          </cell>
          <cell r="L722" t="str">
            <v/>
          </cell>
          <cell r="M722" t="str">
            <v/>
          </cell>
          <cell r="N722" t="str">
            <v>T-5</v>
          </cell>
          <cell r="O722" t="str">
            <v>HEKA</v>
          </cell>
          <cell r="P722" t="str">
            <v>ADET</v>
          </cell>
          <cell r="Q722" t="str">
            <v>E27</v>
          </cell>
          <cell r="R722" t="str">
            <v>METAL</v>
          </cell>
          <cell r="S722" t="str">
            <v>ESKİTME</v>
          </cell>
          <cell r="T722" t="str">
            <v>CAM</v>
          </cell>
          <cell r="U722" t="str">
            <v>ŞEFFAF</v>
          </cell>
          <cell r="AD722" t="str">
            <v>ÜÇGEN</v>
          </cell>
          <cell r="AE722" t="str">
            <v>01</v>
          </cell>
          <cell r="AF722">
            <v>90</v>
          </cell>
          <cell r="AG722" t="str">
            <v>ADET</v>
          </cell>
          <cell r="AH722">
            <v>41</v>
          </cell>
          <cell r="AI722" t="str">
            <v>CNY</v>
          </cell>
          <cell r="AJ722">
            <v>2714</v>
          </cell>
          <cell r="AK722" t="str">
            <v>TL</v>
          </cell>
          <cell r="AL722">
            <v>1</v>
          </cell>
          <cell r="AM722" t="str">
            <v>8684127501828</v>
          </cell>
          <cell r="AO722">
            <v>0</v>
          </cell>
          <cell r="AQ722">
            <v>24</v>
          </cell>
          <cell r="AR722" t="str">
            <v>CM</v>
          </cell>
          <cell r="AS722">
            <v>24</v>
          </cell>
          <cell r="AT722" t="str">
            <v>CM</v>
          </cell>
          <cell r="AU722">
            <v>0</v>
          </cell>
          <cell r="AW722">
            <v>0</v>
          </cell>
        </row>
        <row r="723">
          <cell r="B723" t="str">
            <v>H1C1JMEECSU-018</v>
          </cell>
          <cell r="C723" t="str">
            <v>DARFUR CAM ESKİTME SARKIT 18cm</v>
          </cell>
          <cell r="D723" t="str">
            <v>DARFUR GLASS BRUSHED BRASS PENDANT 18cm</v>
          </cell>
          <cell r="E723" t="str">
            <v xml:space="preserve">METAL CAM  ESKİTME ŞEFFAF   </v>
          </cell>
          <cell r="F723" t="str">
            <v>9405.19.90.00.00</v>
          </cell>
          <cell r="G723" t="str">
            <v>AVİZE</v>
          </cell>
          <cell r="H723" t="str">
            <v>T1A1112400-18</v>
          </cell>
          <cell r="I723" t="str">
            <v>İÇ</v>
          </cell>
          <cell r="J723" t="str">
            <v>AVİZE.SARK</v>
          </cell>
          <cell r="K723" t="str">
            <v>DARFUR</v>
          </cell>
          <cell r="L723" t="str">
            <v/>
          </cell>
          <cell r="M723" t="str">
            <v/>
          </cell>
          <cell r="N723" t="str">
            <v>T-1</v>
          </cell>
          <cell r="O723" t="str">
            <v>HEKA</v>
          </cell>
          <cell r="P723" t="str">
            <v>ADET</v>
          </cell>
          <cell r="Q723" t="str">
            <v>E14</v>
          </cell>
          <cell r="R723" t="str">
            <v>METAL</v>
          </cell>
          <cell r="S723" t="str">
            <v>ESKİTME</v>
          </cell>
          <cell r="T723" t="str">
            <v>CAM</v>
          </cell>
          <cell r="U723" t="str">
            <v>ŞEFFAF</v>
          </cell>
          <cell r="AD723" t="str">
            <v>ÜÇGEN</v>
          </cell>
          <cell r="AE723" t="str">
            <v>02</v>
          </cell>
          <cell r="AF723">
            <v>1</v>
          </cell>
          <cell r="AG723" t="str">
            <v>ADET</v>
          </cell>
          <cell r="AH723">
            <v>130</v>
          </cell>
          <cell r="AI723" t="str">
            <v>TL</v>
          </cell>
          <cell r="AJ723">
            <v>1952</v>
          </cell>
          <cell r="AK723" t="str">
            <v>TL</v>
          </cell>
          <cell r="AL723">
            <v>1</v>
          </cell>
          <cell r="AM723" t="str">
            <v>8684127501866</v>
          </cell>
          <cell r="AO723">
            <v>0</v>
          </cell>
          <cell r="AQ723">
            <v>18</v>
          </cell>
          <cell r="AR723" t="str">
            <v>CM</v>
          </cell>
          <cell r="AS723">
            <v>18</v>
          </cell>
          <cell r="AT723" t="str">
            <v>CM</v>
          </cell>
          <cell r="AU723">
            <v>0</v>
          </cell>
          <cell r="AW723">
            <v>0</v>
          </cell>
        </row>
        <row r="724">
          <cell r="B724" t="str">
            <v>H1C6JMEWRBR-030</v>
          </cell>
          <cell r="C724" t="str">
            <v>DELHİ LED MERMER SARKIT 30cm</v>
          </cell>
          <cell r="D724" t="str">
            <v>DELHİ LED MARBLE PENDANT 30cm</v>
          </cell>
          <cell r="E724" t="str">
            <v xml:space="preserve">METAL MERMER ESKİTME BEYAZ   </v>
          </cell>
          <cell r="F724" t="str">
            <v>9405.11.90.00.00</v>
          </cell>
          <cell r="G724" t="str">
            <v>AVİZE</v>
          </cell>
          <cell r="H724" t="str">
            <v>T1A6311100-30</v>
          </cell>
          <cell r="I724" t="str">
            <v>İÇ</v>
          </cell>
          <cell r="J724" t="str">
            <v>AVİZE.SARK</v>
          </cell>
          <cell r="K724" t="str">
            <v>DELHİ</v>
          </cell>
          <cell r="L724" t="str">
            <v/>
          </cell>
          <cell r="M724" t="str">
            <v/>
          </cell>
          <cell r="N724" t="str">
            <v>HKA-24023</v>
          </cell>
          <cell r="O724" t="str">
            <v>HEKA</v>
          </cell>
          <cell r="P724" t="str">
            <v>ADET</v>
          </cell>
          <cell r="Q724" t="str">
            <v>LED</v>
          </cell>
          <cell r="R724" t="str">
            <v>METAL</v>
          </cell>
          <cell r="S724" t="str">
            <v>ESKİTME</v>
          </cell>
          <cell r="T724" t="str">
            <v>MERMER</v>
          </cell>
          <cell r="U724" t="str">
            <v>BEYAZ</v>
          </cell>
          <cell r="AD724" t="str">
            <v>DAİRE</v>
          </cell>
          <cell r="AF724">
            <v>14</v>
          </cell>
          <cell r="AG724" t="str">
            <v>ADET</v>
          </cell>
          <cell r="AH724">
            <v>170</v>
          </cell>
          <cell r="AI724" t="str">
            <v>CNY</v>
          </cell>
          <cell r="AJ724">
            <v>14800</v>
          </cell>
          <cell r="AK724" t="str">
            <v>TL</v>
          </cell>
          <cell r="AL724">
            <v>1</v>
          </cell>
          <cell r="AM724" t="str">
            <v>8684127501910</v>
          </cell>
          <cell r="AO724">
            <v>0</v>
          </cell>
          <cell r="AQ724">
            <v>22</v>
          </cell>
          <cell r="AR724" t="str">
            <v>CM</v>
          </cell>
          <cell r="AS724">
            <v>30</v>
          </cell>
          <cell r="AT724" t="str">
            <v>CM</v>
          </cell>
          <cell r="AU724">
            <v>0</v>
          </cell>
          <cell r="AW724">
            <v>0</v>
          </cell>
        </row>
        <row r="725">
          <cell r="B725" t="str">
            <v>H1C6JMEWRB0-020</v>
          </cell>
          <cell r="C725" t="str">
            <v>MUMBAİ MERMER ESKİTME SARKIT 20cm</v>
          </cell>
          <cell r="D725" t="str">
            <v>MUMBAİ MARBLE BRUSHED BRASS PENDANT 20cm</v>
          </cell>
          <cell r="E725" t="str">
            <v xml:space="preserve">METAL MERMER ESKİTME BEYAZ   </v>
          </cell>
          <cell r="F725" t="str">
            <v>9405.11.90.00.00</v>
          </cell>
          <cell r="G725" t="str">
            <v>AVİZE</v>
          </cell>
          <cell r="H725" t="str">
            <v>T1A6311100-21</v>
          </cell>
          <cell r="I725" t="str">
            <v>İÇ</v>
          </cell>
          <cell r="J725" t="str">
            <v>AVİZE.SARK</v>
          </cell>
          <cell r="K725" t="str">
            <v>MUMBAİ</v>
          </cell>
          <cell r="L725" t="str">
            <v/>
          </cell>
          <cell r="M725" t="str">
            <v/>
          </cell>
          <cell r="N725" t="str">
            <v>3001-WC</v>
          </cell>
          <cell r="O725" t="str">
            <v>HEKA</v>
          </cell>
          <cell r="P725" t="str">
            <v>ADET</v>
          </cell>
          <cell r="Q725" t="str">
            <v>LED</v>
          </cell>
          <cell r="R725" t="str">
            <v>METAL</v>
          </cell>
          <cell r="S725" t="str">
            <v>ESKİTME</v>
          </cell>
          <cell r="T725" t="str">
            <v>MERMER</v>
          </cell>
          <cell r="U725" t="str">
            <v>BEYAZ</v>
          </cell>
          <cell r="AD725" t="str">
            <v>N/A</v>
          </cell>
          <cell r="AE725" t="str">
            <v>01</v>
          </cell>
          <cell r="AF725">
            <v>1</v>
          </cell>
          <cell r="AG725" t="str">
            <v>ADET</v>
          </cell>
          <cell r="AH725">
            <v>216</v>
          </cell>
          <cell r="AI725" t="str">
            <v>CNY</v>
          </cell>
          <cell r="AJ725">
            <v>3700</v>
          </cell>
          <cell r="AK725" t="str">
            <v>TL</v>
          </cell>
          <cell r="AL725">
            <v>1</v>
          </cell>
          <cell r="AM725" t="str">
            <v>8684127504416</v>
          </cell>
          <cell r="AO725">
            <v>0</v>
          </cell>
          <cell r="AQ725">
            <v>20</v>
          </cell>
          <cell r="AR725" t="str">
            <v>CM</v>
          </cell>
          <cell r="AS725">
            <v>20</v>
          </cell>
          <cell r="AT725" t="str">
            <v>CM</v>
          </cell>
          <cell r="AU725">
            <v>0</v>
          </cell>
          <cell r="AW725">
            <v>0</v>
          </cell>
        </row>
        <row r="726">
          <cell r="B726" t="str">
            <v>H1C6JMEPRB0-022</v>
          </cell>
          <cell r="C726" t="str">
            <v>DURBAN LED HORTUM ESKİTME SARKIT 22mm</v>
          </cell>
          <cell r="D726" t="str">
            <v>DURBAN LED HOSE BRUSHED BRASS PENDANT 22mm</v>
          </cell>
          <cell r="E726" t="str">
            <v xml:space="preserve">METAL SİLİKON ESKİTME BEYAZ   </v>
          </cell>
          <cell r="F726" t="str">
            <v>9405.11.90.00.00</v>
          </cell>
          <cell r="G726" t="str">
            <v>AVİZE</v>
          </cell>
          <cell r="H726" t="str">
            <v>T1A611S100-07</v>
          </cell>
          <cell r="I726" t="str">
            <v>İÇ</v>
          </cell>
          <cell r="J726" t="str">
            <v>AVİZE.SARK</v>
          </cell>
          <cell r="K726" t="str">
            <v>DURBAN</v>
          </cell>
          <cell r="L726" t="str">
            <v/>
          </cell>
          <cell r="M726" t="str">
            <v/>
          </cell>
          <cell r="N726" t="str">
            <v>HK20076</v>
          </cell>
          <cell r="O726" t="str">
            <v>HEKA</v>
          </cell>
          <cell r="P726" t="str">
            <v>ADET</v>
          </cell>
          <cell r="Q726" t="str">
            <v>LED</v>
          </cell>
          <cell r="R726" t="str">
            <v>METAL</v>
          </cell>
          <cell r="S726" t="str">
            <v>ESKİTME</v>
          </cell>
          <cell r="T726" t="str">
            <v>SİLİKON</v>
          </cell>
          <cell r="U726" t="str">
            <v>BEYAZ</v>
          </cell>
          <cell r="AD726" t="str">
            <v>N/A</v>
          </cell>
          <cell r="AE726" t="str">
            <v>01</v>
          </cell>
          <cell r="AF726">
            <v>6</v>
          </cell>
          <cell r="AG726" t="str">
            <v>ADET</v>
          </cell>
          <cell r="AH726">
            <v>60</v>
          </cell>
          <cell r="AI726" t="str">
            <v>CNY</v>
          </cell>
          <cell r="AJ726">
            <v>1100</v>
          </cell>
          <cell r="AK726" t="str">
            <v>TL</v>
          </cell>
          <cell r="AL726">
            <v>1</v>
          </cell>
          <cell r="AM726" t="str">
            <v>8684127505710</v>
          </cell>
          <cell r="AO726">
            <v>0</v>
          </cell>
          <cell r="AQ726">
            <v>2.2000000000000002</v>
          </cell>
          <cell r="AR726" t="str">
            <v>CM</v>
          </cell>
          <cell r="AS726">
            <v>2.2000000000000002</v>
          </cell>
          <cell r="AT726" t="str">
            <v>CM</v>
          </cell>
          <cell r="AU726">
            <v>0</v>
          </cell>
          <cell r="AW726">
            <v>0</v>
          </cell>
        </row>
        <row r="727">
          <cell r="B727" t="str">
            <v>H1W2JMEECT0-028</v>
          </cell>
          <cell r="C727" t="str">
            <v>GİZE ESKİTME APLİK</v>
          </cell>
          <cell r="D727" t="str">
            <v>GİZE BRUSHED BRASS WALL LAMP</v>
          </cell>
          <cell r="E727" t="str">
            <v>METAL CAM ESKİTME SOFT</v>
          </cell>
          <cell r="F727" t="str">
            <v>9405.19.90.00.00</v>
          </cell>
          <cell r="G727" t="str">
            <v>APLİK</v>
          </cell>
          <cell r="H727" t="str">
            <v>T1W2112100-15</v>
          </cell>
          <cell r="I727" t="str">
            <v>İÇ</v>
          </cell>
          <cell r="J727" t="str">
            <v>APLİK</v>
          </cell>
          <cell r="K727" t="str">
            <v>GİZE</v>
          </cell>
          <cell r="L727" t="str">
            <v/>
          </cell>
          <cell r="M727" t="str">
            <v/>
          </cell>
          <cell r="N727" t="str">
            <v>8745S/1W</v>
          </cell>
          <cell r="O727" t="str">
            <v>HEKA</v>
          </cell>
          <cell r="P727" t="str">
            <v>ADET</v>
          </cell>
          <cell r="Q727" t="str">
            <v>E27</v>
          </cell>
          <cell r="R727" t="str">
            <v>METAL</v>
          </cell>
          <cell r="S727" t="str">
            <v>ESKİTME</v>
          </cell>
          <cell r="T727" t="str">
            <v>CAM</v>
          </cell>
          <cell r="U727" t="str">
            <v>SOFT</v>
          </cell>
          <cell r="AD727" t="str">
            <v>N/A</v>
          </cell>
          <cell r="AE727" t="str">
            <v>01</v>
          </cell>
          <cell r="AF727">
            <v>1</v>
          </cell>
          <cell r="AG727" t="str">
            <v>ADET</v>
          </cell>
          <cell r="AH727">
            <v>75</v>
          </cell>
          <cell r="AI727" t="str">
            <v>CNY</v>
          </cell>
          <cell r="AJ727">
            <v>3927</v>
          </cell>
          <cell r="AK727" t="str">
            <v>TL</v>
          </cell>
          <cell r="AL727">
            <v>1</v>
          </cell>
          <cell r="AM727" t="str">
            <v>8684127502023</v>
          </cell>
          <cell r="AO727">
            <v>0</v>
          </cell>
          <cell r="AQ727">
            <v>15</v>
          </cell>
          <cell r="AR727" t="str">
            <v>CM</v>
          </cell>
          <cell r="AS727">
            <v>15</v>
          </cell>
          <cell r="AT727" t="str">
            <v>CM</v>
          </cell>
          <cell r="AU727">
            <v>0</v>
          </cell>
          <cell r="AW727">
            <v>0</v>
          </cell>
        </row>
        <row r="728">
          <cell r="B728" t="str">
            <v>F1C2LCSHRBR-050</v>
          </cell>
          <cell r="C728" t="str">
            <v>CLOUDY FANUSLU SARKIT</v>
          </cell>
          <cell r="D728" t="str">
            <v>CLOUDY LANTERN PENDANT</v>
          </cell>
          <cell r="E728" t="str">
            <v>PLEKSİ KUMAŞ ŞEFFAF BEYAZ</v>
          </cell>
          <cell r="F728" t="str">
            <v>9405.19.90.00.00</v>
          </cell>
          <cell r="G728" t="str">
            <v>AVİZE</v>
          </cell>
          <cell r="H728" t="str">
            <v>F1A2948400-01</v>
          </cell>
          <cell r="I728" t="str">
            <v>İÇ</v>
          </cell>
          <cell r="J728" t="str">
            <v>AVİZE.AVİZ</v>
          </cell>
          <cell r="K728" t="str">
            <v>CLOUDY</v>
          </cell>
          <cell r="L728" t="str">
            <v/>
          </cell>
          <cell r="M728" t="str">
            <v/>
          </cell>
          <cell r="N728" t="str">
            <v/>
          </cell>
          <cell r="O728" t="str">
            <v>ISHI</v>
          </cell>
          <cell r="P728" t="str">
            <v>ADET</v>
          </cell>
          <cell r="Q728" t="str">
            <v>E27</v>
          </cell>
          <cell r="R728" t="str">
            <v>PLEKSİ</v>
          </cell>
          <cell r="S728" t="str">
            <v>ŞEFFAF</v>
          </cell>
          <cell r="T728" t="str">
            <v>KUMAŞ</v>
          </cell>
          <cell r="U728" t="str">
            <v>BEYAZ</v>
          </cell>
          <cell r="AD728" t="str">
            <v>DAİRE</v>
          </cell>
          <cell r="AE728" t="str">
            <v>02</v>
          </cell>
          <cell r="AF728">
            <v>0</v>
          </cell>
          <cell r="AG728" t="str">
            <v>ADET</v>
          </cell>
          <cell r="AH728">
            <v>2562.5</v>
          </cell>
          <cell r="AI728" t="str">
            <v>TL</v>
          </cell>
          <cell r="AJ728">
            <v>6000</v>
          </cell>
          <cell r="AK728" t="str">
            <v>TL</v>
          </cell>
          <cell r="AL728">
            <v>1</v>
          </cell>
          <cell r="AM728" t="str">
            <v>8684127509664</v>
          </cell>
          <cell r="AO728">
            <v>0</v>
          </cell>
          <cell r="AQ728">
            <v>50</v>
          </cell>
          <cell r="AR728" t="str">
            <v>CM</v>
          </cell>
          <cell r="AS728">
            <v>50</v>
          </cell>
          <cell r="AT728" t="str">
            <v>CM</v>
          </cell>
          <cell r="AU728">
            <v>0</v>
          </cell>
          <cell r="AW728">
            <v>0</v>
          </cell>
        </row>
        <row r="729">
          <cell r="B729" t="str">
            <v>H1C6JMEWRBR-065</v>
          </cell>
          <cell r="C729" t="str">
            <v>RABAT İKİLİ MERMER ESKİTME PLAFONYER</v>
          </cell>
          <cell r="D729" t="str">
            <v>RABAT DOUBLE MARBLE BRUSHED BRASS PLAFONYER</v>
          </cell>
          <cell r="E729" t="str">
            <v xml:space="preserve">METAL MERMER ESKİTME BEYAZ   </v>
          </cell>
          <cell r="F729" t="str">
            <v>9405.11.90.00.00</v>
          </cell>
          <cell r="G729" t="str">
            <v>AVİZE</v>
          </cell>
          <cell r="H729" t="str">
            <v>T1P6113100-02</v>
          </cell>
          <cell r="I729" t="str">
            <v>İÇ</v>
          </cell>
          <cell r="J729" t="str">
            <v>AVİZE.PLF</v>
          </cell>
          <cell r="K729" t="str">
            <v>RABAT</v>
          </cell>
          <cell r="L729" t="str">
            <v>Y</v>
          </cell>
          <cell r="M729" t="str">
            <v/>
          </cell>
          <cell r="N729" t="str">
            <v>HKA-24081</v>
          </cell>
          <cell r="O729" t="str">
            <v>HEKA</v>
          </cell>
          <cell r="P729" t="str">
            <v>ADET</v>
          </cell>
          <cell r="Q729" t="str">
            <v>LED</v>
          </cell>
          <cell r="R729" t="str">
            <v>METAL</v>
          </cell>
          <cell r="S729" t="str">
            <v>ESKİTME</v>
          </cell>
          <cell r="T729" t="str">
            <v>MERMER</v>
          </cell>
          <cell r="U729" t="str">
            <v>BEYAZ</v>
          </cell>
          <cell r="AD729" t="str">
            <v>DAİRE</v>
          </cell>
          <cell r="AF729">
            <v>11</v>
          </cell>
          <cell r="AG729" t="str">
            <v>ADET</v>
          </cell>
          <cell r="AH729">
            <v>430</v>
          </cell>
          <cell r="AI729" t="str">
            <v>CNY</v>
          </cell>
          <cell r="AJ729">
            <v>35750</v>
          </cell>
          <cell r="AK729" t="str">
            <v>TL</v>
          </cell>
          <cell r="AL729">
            <v>1</v>
          </cell>
          <cell r="AM729" t="str">
            <v>8684127502665</v>
          </cell>
          <cell r="AO729">
            <v>0</v>
          </cell>
          <cell r="AQ729">
            <v>10</v>
          </cell>
          <cell r="AR729" t="str">
            <v>CM</v>
          </cell>
          <cell r="AS729">
            <v>30</v>
          </cell>
          <cell r="AT729" t="str">
            <v>CM</v>
          </cell>
          <cell r="AU729">
            <v>0</v>
          </cell>
          <cell r="AW729">
            <v>0</v>
          </cell>
        </row>
        <row r="730">
          <cell r="B730" t="str">
            <v>H1C6JMEWRBB-020</v>
          </cell>
          <cell r="C730" t="str">
            <v>GAMBA LED MERMER BEYAZ SARKIT 20cm</v>
          </cell>
          <cell r="D730" t="str">
            <v>GAMBA LED MARBLE WHITE PENDANT 20cm</v>
          </cell>
          <cell r="E730" t="str">
            <v xml:space="preserve">METAL MERMER ESKİTME BEYAZ   </v>
          </cell>
          <cell r="F730" t="str">
            <v>9405.11.90.00.00</v>
          </cell>
          <cell r="G730" t="str">
            <v>AVİZE</v>
          </cell>
          <cell r="H730" t="str">
            <v>T1A611310D-20</v>
          </cell>
          <cell r="I730" t="str">
            <v>İÇ</v>
          </cell>
          <cell r="J730" t="str">
            <v>AVİZE.SARK</v>
          </cell>
          <cell r="K730" t="str">
            <v>GAMBA</v>
          </cell>
          <cell r="L730" t="str">
            <v>Ç</v>
          </cell>
          <cell r="M730" t="str">
            <v/>
          </cell>
          <cell r="N730" t="str">
            <v>HKA-24079</v>
          </cell>
          <cell r="O730" t="str">
            <v>HEKA</v>
          </cell>
          <cell r="P730" t="str">
            <v>ADET</v>
          </cell>
          <cell r="Q730" t="str">
            <v>LED</v>
          </cell>
          <cell r="R730" t="str">
            <v>METAL</v>
          </cell>
          <cell r="S730" t="str">
            <v>ESKİTME</v>
          </cell>
          <cell r="T730" t="str">
            <v>MERMER</v>
          </cell>
          <cell r="U730" t="str">
            <v>BEYAZ</v>
          </cell>
          <cell r="AD730" t="str">
            <v>SİMİT</v>
          </cell>
          <cell r="AF730">
            <v>30</v>
          </cell>
          <cell r="AG730" t="str">
            <v>ADET</v>
          </cell>
          <cell r="AH730">
            <v>130</v>
          </cell>
          <cell r="AI730" t="str">
            <v>CNY</v>
          </cell>
          <cell r="AJ730">
            <v>9750</v>
          </cell>
          <cell r="AK730" t="str">
            <v>TL</v>
          </cell>
          <cell r="AL730">
            <v>1</v>
          </cell>
          <cell r="AM730" t="str">
            <v>8684127506212</v>
          </cell>
          <cell r="AO730">
            <v>0</v>
          </cell>
          <cell r="AQ730">
            <v>15</v>
          </cell>
          <cell r="AR730" t="str">
            <v>CM</v>
          </cell>
          <cell r="AS730">
            <v>20</v>
          </cell>
          <cell r="AT730" t="str">
            <v>CM</v>
          </cell>
          <cell r="AU730">
            <v>0</v>
          </cell>
          <cell r="AW730">
            <v>0</v>
          </cell>
        </row>
        <row r="731">
          <cell r="B731" t="str">
            <v>F1C2AAMDRBR-080</v>
          </cell>
          <cell r="C731" t="str">
            <v>PAPIRUS ÇİFT KATLI MEŞE SARKIT</v>
          </cell>
          <cell r="D731" t="str">
            <v>PAPIRUS DOUBLE LAYER OAK PENDANT</v>
          </cell>
          <cell r="E731" t="str">
            <v xml:space="preserve">AHŞAP BETON MEŞE BEYAZ   </v>
          </cell>
          <cell r="F731" t="str">
            <v>9405.19.90.00.00</v>
          </cell>
          <cell r="G731" t="str">
            <v>AVİZE</v>
          </cell>
          <cell r="H731" t="str">
            <v>F1A2737500-80</v>
          </cell>
          <cell r="I731" t="str">
            <v>İÇ</v>
          </cell>
          <cell r="J731" t="str">
            <v>AVİZE.SARK</v>
          </cell>
          <cell r="K731" t="str">
            <v>PAPIRUS</v>
          </cell>
          <cell r="L731" t="str">
            <v/>
          </cell>
          <cell r="M731" t="str">
            <v>ÜRTM:15GÜN</v>
          </cell>
          <cell r="N731" t="str">
            <v>1019-DL</v>
          </cell>
          <cell r="O731" t="str">
            <v>ISHI</v>
          </cell>
          <cell r="P731" t="str">
            <v>ADET</v>
          </cell>
          <cell r="Q731" t="str">
            <v>E27</v>
          </cell>
          <cell r="R731" t="str">
            <v>AHŞAP</v>
          </cell>
          <cell r="S731" t="str">
            <v>MEŞE</v>
          </cell>
          <cell r="T731" t="str">
            <v>BETON</v>
          </cell>
          <cell r="U731" t="str">
            <v>BEYAZ</v>
          </cell>
          <cell r="AD731" t="str">
            <v>DAİRE</v>
          </cell>
          <cell r="AE731" t="str">
            <v>02</v>
          </cell>
          <cell r="AF731">
            <v>1</v>
          </cell>
          <cell r="AG731" t="str">
            <v>ADET</v>
          </cell>
          <cell r="AH731">
            <v>2978.5</v>
          </cell>
          <cell r="AI731" t="str">
            <v>TL</v>
          </cell>
          <cell r="AJ731">
            <v>15456</v>
          </cell>
          <cell r="AK731" t="str">
            <v>TL</v>
          </cell>
          <cell r="AL731">
            <v>1</v>
          </cell>
          <cell r="AM731" t="str">
            <v>8684127507554</v>
          </cell>
          <cell r="AO731">
            <v>0</v>
          </cell>
          <cell r="AQ731">
            <v>40</v>
          </cell>
          <cell r="AR731" t="str">
            <v>CM</v>
          </cell>
          <cell r="AS731">
            <v>60</v>
          </cell>
          <cell r="AT731" t="str">
            <v>CM</v>
          </cell>
          <cell r="AU731">
            <v>0</v>
          </cell>
          <cell r="AW731">
            <v>0</v>
          </cell>
        </row>
        <row r="732">
          <cell r="B732" t="str">
            <v>F1C2AAWDRBR-060</v>
          </cell>
          <cell r="C732" t="str">
            <v>PAPIRUS BÜYÜK WENGE SARKIT</v>
          </cell>
          <cell r="D732" t="str">
            <v>PAPIRUS BIG WENGE PENDANT</v>
          </cell>
          <cell r="E732" t="str">
            <v>AHŞAP BETON WENGE BEYAZ</v>
          </cell>
          <cell r="F732" t="str">
            <v>9405.19.90.00.00</v>
          </cell>
          <cell r="G732" t="str">
            <v>AVİZE</v>
          </cell>
          <cell r="H732" t="str">
            <v>F1A2737600-60</v>
          </cell>
          <cell r="I732" t="str">
            <v>İÇ</v>
          </cell>
          <cell r="J732" t="str">
            <v>AVİZE.AVİZ</v>
          </cell>
          <cell r="K732" t="str">
            <v>PAPIRUS</v>
          </cell>
          <cell r="L732" t="str">
            <v/>
          </cell>
          <cell r="M732" t="str">
            <v>ÜRTM:15GÜN</v>
          </cell>
          <cell r="N732" t="str">
            <v>1019-WL-16</v>
          </cell>
          <cell r="O732" t="str">
            <v>ISHI</v>
          </cell>
          <cell r="P732" t="str">
            <v>ADET</v>
          </cell>
          <cell r="Q732" t="str">
            <v>E27</v>
          </cell>
          <cell r="R732" t="str">
            <v>AHŞAP</v>
          </cell>
          <cell r="S732" t="str">
            <v>WENGE</v>
          </cell>
          <cell r="T732" t="str">
            <v>BETON</v>
          </cell>
          <cell r="U732" t="str">
            <v>BEYAZ</v>
          </cell>
          <cell r="AD732" t="str">
            <v>DAİRE</v>
          </cell>
          <cell r="AE732" t="str">
            <v>01</v>
          </cell>
          <cell r="AF732">
            <v>5</v>
          </cell>
          <cell r="AG732" t="str">
            <v>ADET</v>
          </cell>
          <cell r="AH732">
            <v>2288.5</v>
          </cell>
          <cell r="AI732" t="str">
            <v>TL</v>
          </cell>
          <cell r="AJ732">
            <v>12138</v>
          </cell>
          <cell r="AK732" t="str">
            <v>TL</v>
          </cell>
          <cell r="AL732">
            <v>0</v>
          </cell>
          <cell r="AM732" t="str">
            <v>8684127507578</v>
          </cell>
          <cell r="AO732">
            <v>0</v>
          </cell>
          <cell r="AQ732">
            <v>40</v>
          </cell>
          <cell r="AR732" t="str">
            <v>CM</v>
          </cell>
          <cell r="AS732">
            <v>60</v>
          </cell>
          <cell r="AT732" t="str">
            <v>CM</v>
          </cell>
          <cell r="AU732">
            <v>0</v>
          </cell>
          <cell r="AW732">
            <v>0</v>
          </cell>
        </row>
        <row r="733">
          <cell r="B733" t="str">
            <v>T1W1JMKERF0-019</v>
          </cell>
          <cell r="C733" t="str">
            <v>MİNA FÜME CAM KROM APLİK</v>
          </cell>
          <cell r="D733" t="str">
            <v>MİNA SMOKY GLASS CHROME WALL LAMP</v>
          </cell>
          <cell r="E733" t="str">
            <v xml:space="preserve">METAL CAM  KROM FÜME   </v>
          </cell>
          <cell r="F733" t="str">
            <v/>
          </cell>
          <cell r="G733" t="str">
            <v>APLİK</v>
          </cell>
          <cell r="H733" t="str">
            <v/>
          </cell>
          <cell r="I733" t="str">
            <v>İÇ</v>
          </cell>
          <cell r="J733" t="str">
            <v>APLİK</v>
          </cell>
          <cell r="K733" t="str">
            <v>MİNA</v>
          </cell>
          <cell r="L733" t="str">
            <v/>
          </cell>
          <cell r="M733" t="str">
            <v/>
          </cell>
          <cell r="N733" t="str">
            <v>AD-106 - TYH-F</v>
          </cell>
          <cell r="O733" t="str">
            <v>HEKA</v>
          </cell>
          <cell r="P733" t="str">
            <v>ADET</v>
          </cell>
          <cell r="Q733" t="str">
            <v>G4</v>
          </cell>
          <cell r="R733" t="str">
            <v>METAL</v>
          </cell>
          <cell r="S733" t="str">
            <v>KROM</v>
          </cell>
          <cell r="T733" t="str">
            <v>CAM</v>
          </cell>
          <cell r="U733" t="str">
            <v>FÜME</v>
          </cell>
          <cell r="AD733" t="str">
            <v>N/A</v>
          </cell>
          <cell r="AE733" t="str">
            <v>01</v>
          </cell>
          <cell r="AF733">
            <v>24</v>
          </cell>
          <cell r="AG733" t="str">
            <v>ADET</v>
          </cell>
          <cell r="AJ733">
            <v>1785</v>
          </cell>
          <cell r="AK733" t="str">
            <v>TL</v>
          </cell>
          <cell r="AL733">
            <v>1</v>
          </cell>
          <cell r="AM733" t="str">
            <v>8684127505048</v>
          </cell>
          <cell r="AO733">
            <v>0</v>
          </cell>
          <cell r="AQ733">
            <v>0</v>
          </cell>
          <cell r="AR733" t="str">
            <v>CM</v>
          </cell>
          <cell r="AS733">
            <v>0</v>
          </cell>
          <cell r="AT733" t="str">
            <v>CM</v>
          </cell>
          <cell r="AU733">
            <v>0</v>
          </cell>
          <cell r="AW733">
            <v>0</v>
          </cell>
        </row>
        <row r="734">
          <cell r="B734" t="str">
            <v>F1W5AAJJEMH-007</v>
          </cell>
          <cell r="C734" t="str">
            <v>ANGEL TEKLİ AHŞAP &amp; ESKİTME APLİK</v>
          </cell>
          <cell r="D734" t="str">
            <v>ANGEL SINGLE WOOD &amp; BRASS WALL LAMP</v>
          </cell>
          <cell r="E734" t="str">
            <v xml:space="preserve">AHŞAP METAL JATOBA ESKİTME   </v>
          </cell>
          <cell r="F734" t="str">
            <v>9405.19.90.00.00</v>
          </cell>
          <cell r="G734" t="str">
            <v>APLİK</v>
          </cell>
          <cell r="H734" t="str">
            <v/>
          </cell>
          <cell r="I734" t="str">
            <v>İÇ</v>
          </cell>
          <cell r="J734" t="str">
            <v>APLİK</v>
          </cell>
          <cell r="K734" t="str">
            <v>ANGEL</v>
          </cell>
          <cell r="L734" t="str">
            <v/>
          </cell>
          <cell r="M734" t="str">
            <v/>
          </cell>
          <cell r="N734" t="str">
            <v/>
          </cell>
          <cell r="O734" t="str">
            <v>ISHI</v>
          </cell>
          <cell r="P734" t="str">
            <v>ADET</v>
          </cell>
          <cell r="Q734" t="str">
            <v>GU10</v>
          </cell>
          <cell r="R734" t="str">
            <v>AHŞAP</v>
          </cell>
          <cell r="S734" t="str">
            <v>JATOBA</v>
          </cell>
          <cell r="T734" t="str">
            <v>METAL</v>
          </cell>
          <cell r="U734" t="str">
            <v>ESKİTME</v>
          </cell>
          <cell r="AD734" t="str">
            <v>HAREKETLİ</v>
          </cell>
          <cell r="AE734" t="str">
            <v>01</v>
          </cell>
          <cell r="AF734">
            <v>39</v>
          </cell>
          <cell r="AG734" t="str">
            <v>ADET</v>
          </cell>
          <cell r="AH734">
            <v>100</v>
          </cell>
          <cell r="AI734" t="str">
            <v>TL</v>
          </cell>
          <cell r="AJ734">
            <v>1476</v>
          </cell>
          <cell r="AK734" t="str">
            <v>TL</v>
          </cell>
          <cell r="AL734">
            <v>1</v>
          </cell>
          <cell r="AM734" t="str">
            <v>8684127503297</v>
          </cell>
          <cell r="AO734">
            <v>0</v>
          </cell>
          <cell r="AQ734">
            <v>12.6</v>
          </cell>
          <cell r="AR734" t="str">
            <v>CM</v>
          </cell>
          <cell r="AS734">
            <v>7</v>
          </cell>
          <cell r="AT734" t="str">
            <v>CM</v>
          </cell>
          <cell r="AU734">
            <v>0</v>
          </cell>
          <cell r="AW734">
            <v>0</v>
          </cell>
        </row>
        <row r="735">
          <cell r="B735" t="str">
            <v>F1W5AAJJSRH-099</v>
          </cell>
          <cell r="C735" t="str">
            <v>ANGEL DÖRTLÜ AHŞAP &amp; SİYAH APLİK</v>
          </cell>
          <cell r="D735" t="str">
            <v>ANGEL QUATERNARY WOOD &amp; BLACK WALL LAMP</v>
          </cell>
          <cell r="E735" t="str">
            <v xml:space="preserve">AHŞAP METAL JATOBA SİYAH   </v>
          </cell>
          <cell r="F735" t="str">
            <v>9405.19.90.00.00</v>
          </cell>
          <cell r="G735" t="str">
            <v>APLİK</v>
          </cell>
          <cell r="H735" t="str">
            <v/>
          </cell>
          <cell r="I735" t="str">
            <v>İÇ</v>
          </cell>
          <cell r="J735" t="str">
            <v>APLİK</v>
          </cell>
          <cell r="K735" t="str">
            <v>ANGEL</v>
          </cell>
          <cell r="L735" t="str">
            <v/>
          </cell>
          <cell r="M735" t="str">
            <v/>
          </cell>
          <cell r="N735" t="str">
            <v/>
          </cell>
          <cell r="O735" t="str">
            <v>ISHI</v>
          </cell>
          <cell r="P735" t="str">
            <v>ADET</v>
          </cell>
          <cell r="Q735" t="str">
            <v>GU10</v>
          </cell>
          <cell r="R735" t="str">
            <v>AHŞAP</v>
          </cell>
          <cell r="S735" t="str">
            <v>JATOBA</v>
          </cell>
          <cell r="T735" t="str">
            <v>METAL</v>
          </cell>
          <cell r="U735" t="str">
            <v>SİYAH</v>
          </cell>
          <cell r="AD735" t="str">
            <v>HAREKETLİ</v>
          </cell>
          <cell r="AE735" t="str">
            <v>04</v>
          </cell>
          <cell r="AF735">
            <v>10</v>
          </cell>
          <cell r="AG735" t="str">
            <v>ADET</v>
          </cell>
          <cell r="AH735">
            <v>370</v>
          </cell>
          <cell r="AI735" t="str">
            <v>TL</v>
          </cell>
          <cell r="AJ735">
            <v>5546</v>
          </cell>
          <cell r="AK735" t="str">
            <v>TL</v>
          </cell>
          <cell r="AL735">
            <v>1</v>
          </cell>
          <cell r="AM735" t="str">
            <v>8684127503365</v>
          </cell>
          <cell r="AO735">
            <v>0</v>
          </cell>
          <cell r="AQ735">
            <v>12.6</v>
          </cell>
          <cell r="AR735" t="str">
            <v>CM</v>
          </cell>
          <cell r="AS735">
            <v>99</v>
          </cell>
          <cell r="AT735" t="str">
            <v>CM</v>
          </cell>
          <cell r="AU735">
            <v>0</v>
          </cell>
          <cell r="AW735">
            <v>0</v>
          </cell>
        </row>
        <row r="736">
          <cell r="B736" t="str">
            <v>F1W5AAJJBRH-049</v>
          </cell>
          <cell r="C736" t="str">
            <v>ANGEL İKİLİ AHŞAP &amp; BEYAZ APLİK</v>
          </cell>
          <cell r="D736" t="str">
            <v>ANGEL DOUBLE WOOD &amp; WHITE WALL LAMP</v>
          </cell>
          <cell r="E736" t="str">
            <v xml:space="preserve">AHŞAP METAL JATOBA BEYAZ   </v>
          </cell>
          <cell r="F736" t="str">
            <v>9405.19.90.00.00</v>
          </cell>
          <cell r="G736" t="str">
            <v>APLİK</v>
          </cell>
          <cell r="H736" t="str">
            <v/>
          </cell>
          <cell r="I736" t="str">
            <v>İÇ</v>
          </cell>
          <cell r="J736" t="str">
            <v>APLİK</v>
          </cell>
          <cell r="K736" t="str">
            <v>ANGEL</v>
          </cell>
          <cell r="L736" t="str">
            <v/>
          </cell>
          <cell r="M736" t="str">
            <v/>
          </cell>
          <cell r="N736" t="str">
            <v/>
          </cell>
          <cell r="O736" t="str">
            <v>ISHI</v>
          </cell>
          <cell r="P736" t="str">
            <v>ADET</v>
          </cell>
          <cell r="Q736" t="str">
            <v>GU10</v>
          </cell>
          <cell r="R736" t="str">
            <v>AHŞAP</v>
          </cell>
          <cell r="S736" t="str">
            <v>JATOBA</v>
          </cell>
          <cell r="T736" t="str">
            <v>METAL</v>
          </cell>
          <cell r="U736" t="str">
            <v>BEYAZ</v>
          </cell>
          <cell r="AD736" t="str">
            <v>HAREKETLİ</v>
          </cell>
          <cell r="AE736" t="str">
            <v>02</v>
          </cell>
          <cell r="AF736">
            <v>8</v>
          </cell>
          <cell r="AG736" t="str">
            <v>ADET</v>
          </cell>
          <cell r="AH736">
            <v>190</v>
          </cell>
          <cell r="AI736" t="str">
            <v>TL</v>
          </cell>
          <cell r="AJ736">
            <v>3047</v>
          </cell>
          <cell r="AK736" t="str">
            <v>TL</v>
          </cell>
          <cell r="AL736">
            <v>1</v>
          </cell>
          <cell r="AM736" t="str">
            <v>8684127503389</v>
          </cell>
          <cell r="AO736">
            <v>0</v>
          </cell>
          <cell r="AQ736">
            <v>12.6</v>
          </cell>
          <cell r="AR736" t="str">
            <v>CM</v>
          </cell>
          <cell r="AS736">
            <v>49</v>
          </cell>
          <cell r="AT736" t="str">
            <v>CM</v>
          </cell>
          <cell r="AU736">
            <v>0</v>
          </cell>
          <cell r="AW736">
            <v>0</v>
          </cell>
        </row>
        <row r="737">
          <cell r="B737" t="str">
            <v>F1C2MRGJRS0-025</v>
          </cell>
          <cell r="C737" t="str">
            <v>STONE GRİ KAYA SARKIT 25cm</v>
          </cell>
          <cell r="D737" t="str">
            <v>STONE GREY ROCK PENDANT 25cm</v>
          </cell>
          <cell r="E737" t="str">
            <v>POLİKARBON METAL GRİ SİYAH</v>
          </cell>
          <cell r="F737" t="str">
            <v>9405.19.40.00.00</v>
          </cell>
          <cell r="G737" t="str">
            <v>AVİZE</v>
          </cell>
          <cell r="H737" t="str">
            <v>F1A2L11400-25</v>
          </cell>
          <cell r="I737" t="str">
            <v>İÇ</v>
          </cell>
          <cell r="J737" t="str">
            <v>AVİZE.AVİZ</v>
          </cell>
          <cell r="K737" t="str">
            <v>STONE</v>
          </cell>
          <cell r="L737" t="str">
            <v/>
          </cell>
          <cell r="M737" t="str">
            <v>ÜRTM:15GÜN</v>
          </cell>
          <cell r="N737" t="str">
            <v/>
          </cell>
          <cell r="O737" t="str">
            <v>HEKA</v>
          </cell>
          <cell r="P737" t="str">
            <v>ADET</v>
          </cell>
          <cell r="Q737" t="str">
            <v>E27</v>
          </cell>
          <cell r="R737" t="str">
            <v>POLİKARBON</v>
          </cell>
          <cell r="S737" t="str">
            <v>GRİ</v>
          </cell>
          <cell r="T737" t="str">
            <v>METAL</v>
          </cell>
          <cell r="U737" t="str">
            <v>SİYAH</v>
          </cell>
          <cell r="AD737" t="str">
            <v>N/A</v>
          </cell>
          <cell r="AE737" t="str">
            <v>01</v>
          </cell>
          <cell r="AF737">
            <v>0</v>
          </cell>
          <cell r="AG737" t="str">
            <v>ADET</v>
          </cell>
          <cell r="AH737">
            <v>1900</v>
          </cell>
          <cell r="AI737" t="str">
            <v>TL</v>
          </cell>
          <cell r="AJ737">
            <v>8950</v>
          </cell>
          <cell r="AK737" t="str">
            <v>TL</v>
          </cell>
          <cell r="AL737">
            <v>1</v>
          </cell>
          <cell r="AM737" t="str">
            <v>8684127504942</v>
          </cell>
          <cell r="AO737">
            <v>0</v>
          </cell>
          <cell r="AQ737">
            <v>0</v>
          </cell>
          <cell r="AR737" t="str">
            <v>CM</v>
          </cell>
          <cell r="AS737">
            <v>25</v>
          </cell>
          <cell r="AT737" t="str">
            <v>CM</v>
          </cell>
          <cell r="AU737">
            <v>0</v>
          </cell>
          <cell r="AW737">
            <v>0</v>
          </cell>
        </row>
        <row r="738">
          <cell r="B738" t="str">
            <v>H1W3JRSECT0-052</v>
          </cell>
          <cell r="C738" t="str">
            <v>MELİD İKİ CAMLI L MODEL SİYAH APLİK</v>
          </cell>
          <cell r="D738" t="str">
            <v>MELİD 2 GLASS L MODEL SİYAH WALL LAMP</v>
          </cell>
          <cell r="E738" t="str">
            <v>METAL CAM SİYAH SOFT</v>
          </cell>
          <cell r="F738" t="str">
            <v>9405.19.90.00.00</v>
          </cell>
          <cell r="G738" t="str">
            <v>APLİK</v>
          </cell>
          <cell r="H738" t="str">
            <v>H1W3211400-02</v>
          </cell>
          <cell r="I738" t="str">
            <v>İÇ</v>
          </cell>
          <cell r="J738" t="str">
            <v>APLİK</v>
          </cell>
          <cell r="K738" t="str">
            <v>MELİD</v>
          </cell>
          <cell r="L738" t="str">
            <v/>
          </cell>
          <cell r="M738" t="str">
            <v>ÜRTM:15GÜN</v>
          </cell>
          <cell r="N738" t="str">
            <v/>
          </cell>
          <cell r="O738" t="str">
            <v>HEKA</v>
          </cell>
          <cell r="P738" t="str">
            <v>ADET</v>
          </cell>
          <cell r="Q738" t="str">
            <v>G9</v>
          </cell>
          <cell r="R738" t="str">
            <v>METAL</v>
          </cell>
          <cell r="S738" t="str">
            <v>SİYAH</v>
          </cell>
          <cell r="T738" t="str">
            <v>CAM</v>
          </cell>
          <cell r="U738" t="str">
            <v>SOFT</v>
          </cell>
          <cell r="AD738" t="str">
            <v>N/A</v>
          </cell>
          <cell r="AE738" t="str">
            <v>03</v>
          </cell>
          <cell r="AF738">
            <v>0</v>
          </cell>
          <cell r="AG738" t="str">
            <v>ADET</v>
          </cell>
          <cell r="AH738">
            <v>150</v>
          </cell>
          <cell r="AI738" t="str">
            <v>TL</v>
          </cell>
          <cell r="AJ738">
            <v>4403</v>
          </cell>
          <cell r="AK738" t="str">
            <v>TL</v>
          </cell>
          <cell r="AL738">
            <v>1</v>
          </cell>
          <cell r="AM738" t="str">
            <v>8684127509527</v>
          </cell>
          <cell r="AO738">
            <v>0</v>
          </cell>
          <cell r="AQ738">
            <v>18</v>
          </cell>
          <cell r="AR738" t="str">
            <v>CM</v>
          </cell>
          <cell r="AS738">
            <v>52</v>
          </cell>
          <cell r="AT738" t="str">
            <v>CM</v>
          </cell>
          <cell r="AU738">
            <v>0</v>
          </cell>
          <cell r="AW738">
            <v>0</v>
          </cell>
        </row>
        <row r="739">
          <cell r="B739" t="str">
            <v>H1W1JMB0000-086</v>
          </cell>
          <cell r="C739" t="str">
            <v>PASSAU BAKIR APLİK</v>
          </cell>
          <cell r="D739" t="str">
            <v>PASSAU COPPER WALL LAMP</v>
          </cell>
          <cell r="E739" t="str">
            <v>METAL YOK BAKIR YOK</v>
          </cell>
          <cell r="F739" t="str">
            <v>9405.19.90.00.00</v>
          </cell>
          <cell r="G739" t="str">
            <v>APLİK</v>
          </cell>
          <cell r="H739" t="str">
            <v>H1W1JC000-086</v>
          </cell>
          <cell r="I739" t="str">
            <v>İÇ</v>
          </cell>
          <cell r="J739" t="str">
            <v>APLİK</v>
          </cell>
          <cell r="K739" t="str">
            <v>PASSAU</v>
          </cell>
          <cell r="L739" t="str">
            <v/>
          </cell>
          <cell r="M739" t="str">
            <v/>
          </cell>
          <cell r="N739" t="str">
            <v/>
          </cell>
          <cell r="O739" t="str">
            <v>HEKA</v>
          </cell>
          <cell r="P739" t="str">
            <v>ADET</v>
          </cell>
          <cell r="Q739" t="str">
            <v>E14</v>
          </cell>
          <cell r="R739" t="str">
            <v>METAL</v>
          </cell>
          <cell r="S739" t="str">
            <v>BAKIR</v>
          </cell>
          <cell r="T739" t="str">
            <v>YOK</v>
          </cell>
          <cell r="U739" t="str">
            <v>YOK</v>
          </cell>
          <cell r="AD739" t="str">
            <v>N/A</v>
          </cell>
          <cell r="AE739" t="str">
            <v>03</v>
          </cell>
          <cell r="AF739">
            <v>0</v>
          </cell>
          <cell r="AG739" t="str">
            <v>ADET</v>
          </cell>
          <cell r="AH739">
            <v>1750</v>
          </cell>
          <cell r="AI739" t="str">
            <v>TL</v>
          </cell>
          <cell r="AJ739">
            <v>4000</v>
          </cell>
          <cell r="AK739" t="str">
            <v>TL</v>
          </cell>
          <cell r="AL739">
            <v>1</v>
          </cell>
          <cell r="AM739" t="str">
            <v>8684127509916</v>
          </cell>
          <cell r="AO739">
            <v>0</v>
          </cell>
          <cell r="AQ739">
            <v>0</v>
          </cell>
          <cell r="AR739" t="str">
            <v>CM</v>
          </cell>
          <cell r="AS739">
            <v>0</v>
          </cell>
          <cell r="AT739" t="str">
            <v>CM</v>
          </cell>
          <cell r="AU739">
            <v>0</v>
          </cell>
          <cell r="AW739">
            <v>0</v>
          </cell>
        </row>
        <row r="740">
          <cell r="B740" t="str">
            <v>F1C5DRGAAW0-030</v>
          </cell>
          <cell r="C740" t="str">
            <v>BONO WENGE AHSAP-BETON GU10 GRİ SARKIT</v>
          </cell>
          <cell r="D740" t="str">
            <v>BONO WENGE WOOD-CONCRETE GU10 GREY PENDANT</v>
          </cell>
          <cell r="E740" t="str">
            <v xml:space="preserve">BETON AHŞAP GRİ WENGE   </v>
          </cell>
          <cell r="F740" t="str">
            <v>9405.19.90.00.00</v>
          </cell>
          <cell r="G740" t="str">
            <v>AVİZE</v>
          </cell>
          <cell r="H740" t="str">
            <v/>
          </cell>
          <cell r="I740" t="str">
            <v>İÇ</v>
          </cell>
          <cell r="J740" t="str">
            <v>AVİZE.SARK</v>
          </cell>
          <cell r="K740" t="str">
            <v>BONO</v>
          </cell>
          <cell r="L740" t="str">
            <v/>
          </cell>
          <cell r="M740" t="str">
            <v>ÜRTM:15GÜN</v>
          </cell>
          <cell r="N740" t="str">
            <v>1006-GC</v>
          </cell>
          <cell r="O740" t="str">
            <v>ISHI</v>
          </cell>
          <cell r="P740" t="str">
            <v>ADET</v>
          </cell>
          <cell r="Q740" t="str">
            <v>GU10</v>
          </cell>
          <cell r="R740" t="str">
            <v>BETON</v>
          </cell>
          <cell r="S740" t="str">
            <v>GRİ</v>
          </cell>
          <cell r="T740" t="str">
            <v>AHŞAP</v>
          </cell>
          <cell r="U740" t="str">
            <v>WENGE</v>
          </cell>
          <cell r="AD740" t="str">
            <v>N/A</v>
          </cell>
          <cell r="AE740" t="str">
            <v>01</v>
          </cell>
          <cell r="AF740">
            <v>5</v>
          </cell>
          <cell r="AG740" t="str">
            <v>ADET</v>
          </cell>
          <cell r="AH740">
            <v>966</v>
          </cell>
          <cell r="AI740" t="str">
            <v>TL</v>
          </cell>
          <cell r="AJ740">
            <v>4927</v>
          </cell>
          <cell r="AK740" t="str">
            <v>TL</v>
          </cell>
          <cell r="AL740">
            <v>1</v>
          </cell>
          <cell r="AM740" t="str">
            <v>8684127510042</v>
          </cell>
          <cell r="AO740">
            <v>0</v>
          </cell>
          <cell r="AQ740">
            <v>14</v>
          </cell>
          <cell r="AR740" t="str">
            <v>CM</v>
          </cell>
          <cell r="AS740">
            <v>30</v>
          </cell>
          <cell r="AT740" t="str">
            <v>CM</v>
          </cell>
          <cell r="AU740">
            <v>0</v>
          </cell>
          <cell r="AW740">
            <v>0</v>
          </cell>
        </row>
        <row r="741">
          <cell r="B741" t="str">
            <v>F1C2DRGJRSD-040</v>
          </cell>
          <cell r="C741" t="str">
            <v>WIRECON BETON GRİ DİKDÖRTGEN TEL E27 SARKIT</v>
          </cell>
          <cell r="D741" t="str">
            <v>WIRECON CONCRETE GREY RECTANGLE WIRE E27 PENDANT</v>
          </cell>
          <cell r="E741" t="str">
            <v xml:space="preserve">BETON METAL GRİ SİYAH   </v>
          </cell>
          <cell r="F741" t="str">
            <v>9405.19.90.00.00</v>
          </cell>
          <cell r="G741" t="str">
            <v>AVİZE</v>
          </cell>
          <cell r="H741" t="str">
            <v/>
          </cell>
          <cell r="I741" t="str">
            <v>İÇ</v>
          </cell>
          <cell r="J741" t="str">
            <v>AVİZE.SARK</v>
          </cell>
          <cell r="K741" t="str">
            <v>WIRECON</v>
          </cell>
          <cell r="L741" t="str">
            <v>N/A</v>
          </cell>
          <cell r="M741" t="str">
            <v/>
          </cell>
          <cell r="N741" t="str">
            <v>1005-R</v>
          </cell>
          <cell r="O741" t="str">
            <v>ISHI</v>
          </cell>
          <cell r="P741" t="str">
            <v>ADET</v>
          </cell>
          <cell r="Q741" t="str">
            <v>E27</v>
          </cell>
          <cell r="R741" t="str">
            <v>BETON</v>
          </cell>
          <cell r="S741" t="str">
            <v>GRİ</v>
          </cell>
          <cell r="T741" t="str">
            <v>METAL</v>
          </cell>
          <cell r="U741" t="str">
            <v>SİYAH</v>
          </cell>
          <cell r="AD741" t="str">
            <v>DİKDÖRTGEN</v>
          </cell>
          <cell r="AE741" t="str">
            <v>02</v>
          </cell>
          <cell r="AG741" t="str">
            <v>ADET</v>
          </cell>
          <cell r="AL741">
            <v>1</v>
          </cell>
          <cell r="AM741" t="str">
            <v>8684127510066</v>
          </cell>
          <cell r="AO741">
            <v>0</v>
          </cell>
          <cell r="AQ741">
            <v>6</v>
          </cell>
          <cell r="AR741" t="str">
            <v>CM</v>
          </cell>
          <cell r="AS741">
            <v>40</v>
          </cell>
          <cell r="AT741" t="str">
            <v>CM</v>
          </cell>
          <cell r="AU741">
            <v>0</v>
          </cell>
          <cell r="AW741">
            <v>0</v>
          </cell>
        </row>
        <row r="742">
          <cell r="B742" t="str">
            <v>CD1E1C3M2E9Q0</v>
          </cell>
          <cell r="C742" t="str">
            <v>ERD-260 C35 ŞEFFAF DÜZ 6W 3 RENK E14 LED AMPUL</v>
          </cell>
          <cell r="D742" t="str">
            <v>ERD-260 CLEAR CANDLE 220V 6W 3 COLOR E14 LED BULB</v>
          </cell>
          <cell r="E742" t="str">
            <v>CAM  METAL ŞEFFAF  FLAMENT DIMMSIZ C35 - DÜZ</v>
          </cell>
          <cell r="F742" t="str">
            <v>9405.19.50.00.19</v>
          </cell>
          <cell r="G742" t="str">
            <v>AMPUL</v>
          </cell>
          <cell r="H742" t="str">
            <v/>
          </cell>
          <cell r="I742" t="str">
            <v>İÇ</v>
          </cell>
          <cell r="J742" t="str">
            <v>AMPUL</v>
          </cell>
          <cell r="K742" t="str">
            <v>ERD-260</v>
          </cell>
          <cell r="L742" t="str">
            <v/>
          </cell>
          <cell r="M742" t="str">
            <v/>
          </cell>
          <cell r="N742" t="str">
            <v>ERD-260</v>
          </cell>
          <cell r="O742" t="str">
            <v>HEKA</v>
          </cell>
          <cell r="P742" t="str">
            <v>ADET</v>
          </cell>
          <cell r="Q742" t="str">
            <v>E14</v>
          </cell>
          <cell r="R742" t="str">
            <v>CAM</v>
          </cell>
          <cell r="S742" t="str">
            <v>ŞEFFAF</v>
          </cell>
          <cell r="T742" t="str">
            <v>METAL</v>
          </cell>
          <cell r="V742" t="str">
            <v>E</v>
          </cell>
          <cell r="W742" t="str">
            <v>FLAMENT</v>
          </cell>
          <cell r="X742" t="str">
            <v>220V</v>
          </cell>
          <cell r="Y742" t="str">
            <v>6 WATT</v>
          </cell>
          <cell r="Z742" t="str">
            <v>3000-4000-6500K</v>
          </cell>
          <cell r="AA742" t="str">
            <v>DIMMSIZ</v>
          </cell>
          <cell r="AB742" t="str">
            <v>601-700</v>
          </cell>
          <cell r="AC742" t="str">
            <v>C35 - DÜZ</v>
          </cell>
          <cell r="AD742" t="str">
            <v>N/A</v>
          </cell>
          <cell r="AF742">
            <v>9136</v>
          </cell>
          <cell r="AG742" t="str">
            <v>ADET</v>
          </cell>
          <cell r="AH742">
            <v>0.92</v>
          </cell>
          <cell r="AI742" t="str">
            <v>USD</v>
          </cell>
          <cell r="AJ742">
            <v>4.5</v>
          </cell>
          <cell r="AK742" t="str">
            <v>USD</v>
          </cell>
          <cell r="AL742">
            <v>1</v>
          </cell>
          <cell r="AM742" t="str">
            <v>8684127504379</v>
          </cell>
          <cell r="AN742" t="str">
            <v>8684127510301</v>
          </cell>
          <cell r="AO742">
            <v>0</v>
          </cell>
          <cell r="AQ742">
            <v>3.5</v>
          </cell>
          <cell r="AR742" t="str">
            <v>CM</v>
          </cell>
          <cell r="AS742">
            <v>3.5</v>
          </cell>
          <cell r="AT742" t="str">
            <v>CM</v>
          </cell>
          <cell r="AU742">
            <v>0</v>
          </cell>
          <cell r="AW742">
            <v>0</v>
          </cell>
        </row>
        <row r="743">
          <cell r="B743" t="str">
            <v>H1W6JMEWRB0-060</v>
          </cell>
          <cell r="C743" t="str">
            <v>LİON MERMER ESKİTME APLİK 60cm</v>
          </cell>
          <cell r="D743" t="str">
            <v>LİON MARBLE BRUSHED BRASS WALL LAMP 60cm</v>
          </cell>
          <cell r="E743" t="str">
            <v xml:space="preserve">METAL MERMER ESKİTME BEYAZ   </v>
          </cell>
          <cell r="F743" t="str">
            <v/>
          </cell>
          <cell r="G743" t="str">
            <v>APLİK</v>
          </cell>
          <cell r="H743" t="str">
            <v/>
          </cell>
          <cell r="I743" t="str">
            <v>İÇ</v>
          </cell>
          <cell r="J743" t="str">
            <v>APLİK</v>
          </cell>
          <cell r="K743" t="str">
            <v>LİON</v>
          </cell>
          <cell r="L743" t="str">
            <v/>
          </cell>
          <cell r="M743" t="str">
            <v/>
          </cell>
          <cell r="N743" t="str">
            <v>HKA-23037</v>
          </cell>
          <cell r="O743" t="str">
            <v>HEKA</v>
          </cell>
          <cell r="P743" t="str">
            <v>ADET</v>
          </cell>
          <cell r="Q743" t="str">
            <v>LED</v>
          </cell>
          <cell r="R743" t="str">
            <v>METAL</v>
          </cell>
          <cell r="S743" t="str">
            <v>ESKİTME</v>
          </cell>
          <cell r="T743" t="str">
            <v>MERMER</v>
          </cell>
          <cell r="U743" t="str">
            <v>BEYAZ</v>
          </cell>
          <cell r="AE743" t="str">
            <v>01</v>
          </cell>
          <cell r="AF743">
            <v>0</v>
          </cell>
          <cell r="AG743" t="str">
            <v>ADET</v>
          </cell>
          <cell r="AH743">
            <v>220</v>
          </cell>
          <cell r="AI743" t="str">
            <v>CNY</v>
          </cell>
          <cell r="AJ743">
            <v>22680</v>
          </cell>
          <cell r="AK743" t="str">
            <v>TL</v>
          </cell>
          <cell r="AL743">
            <v>1</v>
          </cell>
          <cell r="AM743" t="str">
            <v>8684127504799</v>
          </cell>
          <cell r="AO743">
            <v>0</v>
          </cell>
          <cell r="AQ743">
            <v>0</v>
          </cell>
          <cell r="AR743" t="str">
            <v>CM</v>
          </cell>
          <cell r="AS743">
            <v>0</v>
          </cell>
          <cell r="AT743" t="str">
            <v>CM</v>
          </cell>
          <cell r="AU743">
            <v>0</v>
          </cell>
          <cell r="AW743">
            <v>0</v>
          </cell>
        </row>
        <row r="744">
          <cell r="B744" t="str">
            <v>F1W5AAWJEMH-074</v>
          </cell>
          <cell r="C744" t="str">
            <v>VICTORIA ÜÇLÜ AHŞAP &amp; ESKİTME APLİK</v>
          </cell>
          <cell r="D744" t="str">
            <v>VICTORIA TRIPLE WOOD &amp; BRASS WALL LAMP</v>
          </cell>
          <cell r="E744" t="str">
            <v xml:space="preserve">AHŞAP METAL WENGE ESKİTME   </v>
          </cell>
          <cell r="F744" t="str">
            <v>9405.19.90.00.00</v>
          </cell>
          <cell r="G744" t="str">
            <v>APLİK</v>
          </cell>
          <cell r="H744" t="str">
            <v/>
          </cell>
          <cell r="I744" t="str">
            <v>İÇ</v>
          </cell>
          <cell r="J744" t="str">
            <v>APLİK</v>
          </cell>
          <cell r="K744" t="str">
            <v>VICTORIA</v>
          </cell>
          <cell r="L744" t="str">
            <v/>
          </cell>
          <cell r="M744" t="str">
            <v/>
          </cell>
          <cell r="N744" t="str">
            <v/>
          </cell>
          <cell r="O744" t="str">
            <v>ISHI</v>
          </cell>
          <cell r="P744" t="str">
            <v>ADET</v>
          </cell>
          <cell r="Q744" t="str">
            <v>GU10</v>
          </cell>
          <cell r="R744" t="str">
            <v>AHŞAP</v>
          </cell>
          <cell r="S744" t="str">
            <v>WENGE</v>
          </cell>
          <cell r="T744" t="str">
            <v>METAL</v>
          </cell>
          <cell r="U744" t="str">
            <v>ESKİTME</v>
          </cell>
          <cell r="AD744" t="str">
            <v>HAREKETLİ</v>
          </cell>
          <cell r="AE744" t="str">
            <v>03</v>
          </cell>
          <cell r="AF744">
            <v>14</v>
          </cell>
          <cell r="AG744" t="str">
            <v>ADET</v>
          </cell>
          <cell r="AH744">
            <v>280</v>
          </cell>
          <cell r="AI744" t="str">
            <v>TL</v>
          </cell>
          <cell r="AJ744">
            <v>3927</v>
          </cell>
          <cell r="AK744" t="str">
            <v>TL</v>
          </cell>
          <cell r="AL744">
            <v>1</v>
          </cell>
          <cell r="AM744" t="str">
            <v>8684127503433</v>
          </cell>
          <cell r="AO744">
            <v>0</v>
          </cell>
          <cell r="AQ744">
            <v>12.6</v>
          </cell>
          <cell r="AR744" t="str">
            <v>CM</v>
          </cell>
          <cell r="AS744">
            <v>74</v>
          </cell>
          <cell r="AT744" t="str">
            <v>CM</v>
          </cell>
          <cell r="AU744">
            <v>0</v>
          </cell>
          <cell r="AW744">
            <v>0</v>
          </cell>
        </row>
        <row r="745">
          <cell r="B745" t="str">
            <v>F1W5AAWJSRH-007</v>
          </cell>
          <cell r="C745" t="str">
            <v>VICTORIA TEKLİ AHŞAP &amp; SİYAH APLİK</v>
          </cell>
          <cell r="D745" t="str">
            <v>VICTORIA SINGLE WOOD &amp; BLACK WALL LAMP</v>
          </cell>
          <cell r="E745" t="str">
            <v xml:space="preserve">AHŞAP METAL WENGE SİYAH   </v>
          </cell>
          <cell r="F745" t="str">
            <v>9405.19.90.00.00</v>
          </cell>
          <cell r="G745" t="str">
            <v>APLİK</v>
          </cell>
          <cell r="H745" t="str">
            <v/>
          </cell>
          <cell r="I745" t="str">
            <v>İÇ</v>
          </cell>
          <cell r="J745" t="str">
            <v>APLİK</v>
          </cell>
          <cell r="K745" t="str">
            <v>VICTORIA</v>
          </cell>
          <cell r="L745" t="str">
            <v/>
          </cell>
          <cell r="M745" t="str">
            <v/>
          </cell>
          <cell r="N745" t="str">
            <v/>
          </cell>
          <cell r="O745" t="str">
            <v>ISHI</v>
          </cell>
          <cell r="P745" t="str">
            <v>ADET</v>
          </cell>
          <cell r="Q745" t="str">
            <v>GU10</v>
          </cell>
          <cell r="R745" t="str">
            <v>AHŞAP</v>
          </cell>
          <cell r="S745" t="str">
            <v>WENGE</v>
          </cell>
          <cell r="T745" t="str">
            <v>METAL</v>
          </cell>
          <cell r="U745" t="str">
            <v>SİYAH</v>
          </cell>
          <cell r="AD745" t="str">
            <v>HAREKETLİ</v>
          </cell>
          <cell r="AE745" t="str">
            <v>01</v>
          </cell>
          <cell r="AF745">
            <v>23</v>
          </cell>
          <cell r="AG745" t="str">
            <v>ADET</v>
          </cell>
          <cell r="AH745">
            <v>100</v>
          </cell>
          <cell r="AI745" t="str">
            <v>TL</v>
          </cell>
          <cell r="AJ745">
            <v>1476</v>
          </cell>
          <cell r="AK745" t="str">
            <v>TL</v>
          </cell>
          <cell r="AL745">
            <v>1</v>
          </cell>
          <cell r="AM745" t="str">
            <v>8684127503457</v>
          </cell>
          <cell r="AO745">
            <v>0</v>
          </cell>
          <cell r="AQ745">
            <v>12.6</v>
          </cell>
          <cell r="AR745" t="str">
            <v>CM</v>
          </cell>
          <cell r="AS745">
            <v>7</v>
          </cell>
          <cell r="AT745" t="str">
            <v>CM</v>
          </cell>
          <cell r="AU745">
            <v>0</v>
          </cell>
          <cell r="AW745">
            <v>0</v>
          </cell>
        </row>
        <row r="746">
          <cell r="B746" t="str">
            <v>F1W5AAWJBRH-099</v>
          </cell>
          <cell r="C746" t="str">
            <v>VICTORIA DÖRTLÜ AHŞAP &amp; BEYAZ APLİK</v>
          </cell>
          <cell r="D746" t="str">
            <v>VICTORIA QUATERNARY WOOD &amp; WHITE WALL LAMP</v>
          </cell>
          <cell r="E746" t="str">
            <v xml:space="preserve">AHŞAP METAL WENGE BEYAZ   </v>
          </cell>
          <cell r="F746" t="str">
            <v>9405.19.90.00.00</v>
          </cell>
          <cell r="G746" t="str">
            <v>APLİK</v>
          </cell>
          <cell r="H746" t="str">
            <v/>
          </cell>
          <cell r="I746" t="str">
            <v>İÇ</v>
          </cell>
          <cell r="J746" t="str">
            <v>APLİK</v>
          </cell>
          <cell r="K746" t="str">
            <v>VICTORIA</v>
          </cell>
          <cell r="L746" t="str">
            <v/>
          </cell>
          <cell r="M746" t="str">
            <v/>
          </cell>
          <cell r="N746" t="str">
            <v/>
          </cell>
          <cell r="O746" t="str">
            <v>ISHI</v>
          </cell>
          <cell r="P746" t="str">
            <v>ADET</v>
          </cell>
          <cell r="Q746" t="str">
            <v>GU10</v>
          </cell>
          <cell r="R746" t="str">
            <v>AHŞAP</v>
          </cell>
          <cell r="S746" t="str">
            <v>WENGE</v>
          </cell>
          <cell r="T746" t="str">
            <v>METAL</v>
          </cell>
          <cell r="U746" t="str">
            <v>BEYAZ</v>
          </cell>
          <cell r="AD746" t="str">
            <v>HAREKETLİ</v>
          </cell>
          <cell r="AE746" t="str">
            <v>04</v>
          </cell>
          <cell r="AF746">
            <v>18</v>
          </cell>
          <cell r="AG746" t="str">
            <v>ADET</v>
          </cell>
          <cell r="AH746">
            <v>370</v>
          </cell>
          <cell r="AI746" t="str">
            <v>TL</v>
          </cell>
          <cell r="AJ746">
            <v>5546</v>
          </cell>
          <cell r="AK746" t="str">
            <v>TL</v>
          </cell>
          <cell r="AL746">
            <v>1</v>
          </cell>
          <cell r="AM746" t="str">
            <v>8684127503525</v>
          </cell>
          <cell r="AO746">
            <v>0</v>
          </cell>
          <cell r="AQ746">
            <v>12.6</v>
          </cell>
          <cell r="AR746" t="str">
            <v>CM</v>
          </cell>
          <cell r="AS746">
            <v>99</v>
          </cell>
          <cell r="AT746" t="str">
            <v>CM</v>
          </cell>
          <cell r="AU746">
            <v>0</v>
          </cell>
          <cell r="AW746">
            <v>0</v>
          </cell>
        </row>
        <row r="747">
          <cell r="B747" t="str">
            <v>F1W5AA1JEMH-049</v>
          </cell>
          <cell r="C747" t="str">
            <v>NIAGARA İKİLİ AHŞAP &amp; ESKİTME APLİK</v>
          </cell>
          <cell r="D747" t="str">
            <v>NIAGARA DOUBLE WOOD &amp; BRASS WALL LAMP</v>
          </cell>
          <cell r="E747" t="str">
            <v xml:space="preserve">AHŞAP METAL ANTİK MEŞE ESKİTME   </v>
          </cell>
          <cell r="F747" t="str">
            <v>9405.19.90.00.00</v>
          </cell>
          <cell r="G747" t="str">
            <v>APLİK</v>
          </cell>
          <cell r="H747" t="str">
            <v/>
          </cell>
          <cell r="I747" t="str">
            <v>İÇ</v>
          </cell>
          <cell r="J747" t="str">
            <v>APLİK</v>
          </cell>
          <cell r="K747" t="str">
            <v>NIAGARA</v>
          </cell>
          <cell r="L747" t="str">
            <v/>
          </cell>
          <cell r="M747" t="str">
            <v/>
          </cell>
          <cell r="N747" t="str">
            <v/>
          </cell>
          <cell r="O747" t="str">
            <v>ISHI</v>
          </cell>
          <cell r="P747" t="str">
            <v>ADET</v>
          </cell>
          <cell r="Q747" t="str">
            <v>GU10</v>
          </cell>
          <cell r="R747" t="str">
            <v>AHŞAP</v>
          </cell>
          <cell r="S747" t="str">
            <v>ANTİK MEŞE</v>
          </cell>
          <cell r="T747" t="str">
            <v>METAL</v>
          </cell>
          <cell r="U747" t="str">
            <v>ESKİTME</v>
          </cell>
          <cell r="AD747" t="str">
            <v>HAREKETLİ</v>
          </cell>
          <cell r="AE747" t="str">
            <v>02</v>
          </cell>
          <cell r="AF747">
            <v>21</v>
          </cell>
          <cell r="AG747" t="str">
            <v>ADET</v>
          </cell>
          <cell r="AH747">
            <v>190</v>
          </cell>
          <cell r="AI747" t="str">
            <v>TL</v>
          </cell>
          <cell r="AJ747">
            <v>3047</v>
          </cell>
          <cell r="AK747" t="str">
            <v>TL</v>
          </cell>
          <cell r="AL747">
            <v>1</v>
          </cell>
          <cell r="AM747" t="str">
            <v>8684127503549</v>
          </cell>
          <cell r="AO747">
            <v>0</v>
          </cell>
          <cell r="AQ747">
            <v>12.6</v>
          </cell>
          <cell r="AR747" t="str">
            <v>CM</v>
          </cell>
          <cell r="AS747">
            <v>49</v>
          </cell>
          <cell r="AT747" t="str">
            <v>CM</v>
          </cell>
          <cell r="AU747">
            <v>0</v>
          </cell>
          <cell r="AW747">
            <v>0</v>
          </cell>
        </row>
        <row r="748">
          <cell r="B748" t="str">
            <v>200-CAM-BAL</v>
          </cell>
          <cell r="C748" t="str">
            <v>BATUR DİŞLİ BAL CAM 20 cm</v>
          </cell>
          <cell r="D748" t="str">
            <v>THREADED AMBER GLASS 20 cm</v>
          </cell>
          <cell r="E748" t="str">
            <v/>
          </cell>
          <cell r="F748" t="str">
            <v/>
          </cell>
          <cell r="G748" t="str">
            <v>AVİZE</v>
          </cell>
          <cell r="H748" t="str">
            <v>200A-BAL</v>
          </cell>
          <cell r="I748" t="str">
            <v>İÇ</v>
          </cell>
          <cell r="J748" t="str">
            <v>AVİZE.SARK</v>
          </cell>
          <cell r="K748" t="str">
            <v>BATUR</v>
          </cell>
          <cell r="L748" t="str">
            <v/>
          </cell>
          <cell r="M748" t="str">
            <v/>
          </cell>
          <cell r="N748" t="str">
            <v/>
          </cell>
          <cell r="O748" t="str">
            <v>HEKA</v>
          </cell>
          <cell r="P748" t="str">
            <v>ADET</v>
          </cell>
          <cell r="R748" t="str">
            <v>CAM</v>
          </cell>
          <cell r="S748" t="str">
            <v>BAL</v>
          </cell>
          <cell r="AF748">
            <v>5</v>
          </cell>
          <cell r="AG748" t="str">
            <v>ADET</v>
          </cell>
          <cell r="AH748">
            <v>18</v>
          </cell>
          <cell r="AI748" t="str">
            <v>CNY</v>
          </cell>
          <cell r="AJ748">
            <v>2070</v>
          </cell>
          <cell r="AK748" t="str">
            <v>TL</v>
          </cell>
          <cell r="AL748">
            <v>1</v>
          </cell>
          <cell r="AM748" t="str">
            <v>200-CAM-BAL</v>
          </cell>
          <cell r="AO748">
            <v>0</v>
          </cell>
          <cell r="AQ748">
            <v>0</v>
          </cell>
          <cell r="AS748">
            <v>0</v>
          </cell>
          <cell r="AU748">
            <v>0</v>
          </cell>
          <cell r="AW748">
            <v>0</v>
          </cell>
        </row>
        <row r="749">
          <cell r="B749" t="str">
            <v>200-CAM-SEFFAF</v>
          </cell>
          <cell r="C749" t="str">
            <v>BATUR DİŞLİ ŞEFFAF CAM 20 cm</v>
          </cell>
          <cell r="D749" t="str">
            <v>THREADED CLEAR GLASS 20 cm</v>
          </cell>
          <cell r="E749" t="str">
            <v/>
          </cell>
          <cell r="F749" t="str">
            <v/>
          </cell>
          <cell r="G749" t="str">
            <v>AVİZE</v>
          </cell>
          <cell r="H749" t="str">
            <v>200A-ŞEFFAF</v>
          </cell>
          <cell r="I749" t="str">
            <v>İÇ</v>
          </cell>
          <cell r="J749" t="str">
            <v>AVİZE.SARK</v>
          </cell>
          <cell r="K749" t="str">
            <v>BATUR</v>
          </cell>
          <cell r="L749" t="str">
            <v/>
          </cell>
          <cell r="M749" t="str">
            <v/>
          </cell>
          <cell r="N749" t="str">
            <v/>
          </cell>
          <cell r="O749" t="str">
            <v>HEKA</v>
          </cell>
          <cell r="P749" t="str">
            <v>ADET</v>
          </cell>
          <cell r="R749" t="str">
            <v>CAM</v>
          </cell>
          <cell r="S749" t="str">
            <v>ŞEFFAF</v>
          </cell>
          <cell r="AF749">
            <v>0</v>
          </cell>
          <cell r="AG749" t="str">
            <v>ADET</v>
          </cell>
          <cell r="AH749">
            <v>15</v>
          </cell>
          <cell r="AI749" t="str">
            <v>CNY</v>
          </cell>
          <cell r="AJ749">
            <v>2070</v>
          </cell>
          <cell r="AK749" t="str">
            <v>TL</v>
          </cell>
          <cell r="AL749">
            <v>1</v>
          </cell>
          <cell r="AM749" t="str">
            <v>200-CAM-SEFFAF</v>
          </cell>
          <cell r="AO749">
            <v>0</v>
          </cell>
          <cell r="AQ749">
            <v>0</v>
          </cell>
          <cell r="AS749">
            <v>0</v>
          </cell>
          <cell r="AU749">
            <v>0</v>
          </cell>
          <cell r="AW749">
            <v>0</v>
          </cell>
        </row>
        <row r="750">
          <cell r="B750" t="str">
            <v>F1W5AA1JBRH-007</v>
          </cell>
          <cell r="C750" t="str">
            <v>NIAGARA TEKLİ AHŞAP &amp; BEYAZ APLİK</v>
          </cell>
          <cell r="D750" t="str">
            <v>NIAGARA SINGLE WOOD &amp; WHITE WALL LAMP</v>
          </cell>
          <cell r="E750" t="str">
            <v xml:space="preserve">AHŞAP METAL ANTİK MEŞE BEYAZ   </v>
          </cell>
          <cell r="F750" t="str">
            <v>9405.19.90.00.00</v>
          </cell>
          <cell r="G750" t="str">
            <v>APLİK</v>
          </cell>
          <cell r="H750" t="str">
            <v/>
          </cell>
          <cell r="I750" t="str">
            <v>İÇ</v>
          </cell>
          <cell r="J750" t="str">
            <v>APLİK</v>
          </cell>
          <cell r="K750" t="str">
            <v>NIAGARA</v>
          </cell>
          <cell r="L750" t="str">
            <v/>
          </cell>
          <cell r="M750" t="str">
            <v/>
          </cell>
          <cell r="N750" t="str">
            <v/>
          </cell>
          <cell r="O750" t="str">
            <v>ISHI</v>
          </cell>
          <cell r="P750" t="str">
            <v>ADET</v>
          </cell>
          <cell r="Q750" t="str">
            <v>GU10</v>
          </cell>
          <cell r="R750" t="str">
            <v>AHŞAP</v>
          </cell>
          <cell r="S750" t="str">
            <v>ANTİK MEŞE</v>
          </cell>
          <cell r="T750" t="str">
            <v>METAL</v>
          </cell>
          <cell r="U750" t="str">
            <v>BEYAZ</v>
          </cell>
          <cell r="AD750" t="str">
            <v>HAREKETLİ</v>
          </cell>
          <cell r="AE750" t="str">
            <v>01</v>
          </cell>
          <cell r="AF750">
            <v>29</v>
          </cell>
          <cell r="AG750" t="str">
            <v>ADET</v>
          </cell>
          <cell r="AH750">
            <v>100</v>
          </cell>
          <cell r="AI750" t="str">
            <v>TL</v>
          </cell>
          <cell r="AJ750">
            <v>1476</v>
          </cell>
          <cell r="AK750" t="str">
            <v>TL</v>
          </cell>
          <cell r="AL750">
            <v>1</v>
          </cell>
          <cell r="AM750" t="str">
            <v>8684127503617</v>
          </cell>
          <cell r="AO750">
            <v>0</v>
          </cell>
          <cell r="AQ750">
            <v>12.6</v>
          </cell>
          <cell r="AR750" t="str">
            <v>CM</v>
          </cell>
          <cell r="AS750">
            <v>7</v>
          </cell>
          <cell r="AT750" t="str">
            <v>CM</v>
          </cell>
          <cell r="AU750">
            <v>0</v>
          </cell>
          <cell r="AW750">
            <v>0</v>
          </cell>
        </row>
        <row r="751">
          <cell r="B751" t="str">
            <v>F1W5AA1JBRH-074</v>
          </cell>
          <cell r="C751" t="str">
            <v>NIAGARA ÜÇLÜ AHŞAP &amp; BEYAZ APLİK</v>
          </cell>
          <cell r="D751" t="str">
            <v>NIAGARA TRIPLE WOOD &amp; WHITE WALL LAMP</v>
          </cell>
          <cell r="E751" t="str">
            <v xml:space="preserve">AHŞAP METAL ANTİK MEŞE BEYAZ   </v>
          </cell>
          <cell r="F751" t="str">
            <v>9405.19.90.00.00</v>
          </cell>
          <cell r="G751" t="str">
            <v>APLİK</v>
          </cell>
          <cell r="H751" t="str">
            <v/>
          </cell>
          <cell r="I751" t="str">
            <v>İÇ</v>
          </cell>
          <cell r="J751" t="str">
            <v>APLİK</v>
          </cell>
          <cell r="K751" t="str">
            <v>NIAGARA</v>
          </cell>
          <cell r="L751" t="str">
            <v/>
          </cell>
          <cell r="M751" t="str">
            <v/>
          </cell>
          <cell r="N751" t="str">
            <v/>
          </cell>
          <cell r="O751" t="str">
            <v>ISHI</v>
          </cell>
          <cell r="P751" t="str">
            <v>ADET</v>
          </cell>
          <cell r="Q751" t="str">
            <v>GU10</v>
          </cell>
          <cell r="R751" t="str">
            <v>AHŞAP</v>
          </cell>
          <cell r="S751" t="str">
            <v>ANTİK MEŞE</v>
          </cell>
          <cell r="T751" t="str">
            <v>METAL</v>
          </cell>
          <cell r="U751" t="str">
            <v>BEYAZ</v>
          </cell>
          <cell r="AD751" t="str">
            <v>HAREKETLİ</v>
          </cell>
          <cell r="AE751" t="str">
            <v>03</v>
          </cell>
          <cell r="AF751">
            <v>8</v>
          </cell>
          <cell r="AG751" t="str">
            <v>ADET</v>
          </cell>
          <cell r="AH751">
            <v>280</v>
          </cell>
          <cell r="AI751" t="str">
            <v>TL</v>
          </cell>
          <cell r="AJ751">
            <v>3927</v>
          </cell>
          <cell r="AK751" t="str">
            <v>TL</v>
          </cell>
          <cell r="AL751">
            <v>1</v>
          </cell>
          <cell r="AM751" t="str">
            <v>8684127503631</v>
          </cell>
          <cell r="AO751">
            <v>0</v>
          </cell>
          <cell r="AQ751">
            <v>12.6</v>
          </cell>
          <cell r="AR751" t="str">
            <v>CM</v>
          </cell>
          <cell r="AS751">
            <v>74</v>
          </cell>
          <cell r="AT751" t="str">
            <v>CM</v>
          </cell>
          <cell r="AU751">
            <v>0</v>
          </cell>
          <cell r="AW751">
            <v>0</v>
          </cell>
        </row>
        <row r="752">
          <cell r="B752" t="str">
            <v>H1C2JM3ECT0-025</v>
          </cell>
          <cell r="C752" t="str">
            <v>BERDE PİRİNÇ MAT KROM SARKIT 25cm</v>
          </cell>
          <cell r="D752" t="str">
            <v>BERDE BRUSHED CHROME PENDANT 25cm</v>
          </cell>
          <cell r="E752" t="str">
            <v>METAL CAM  MAT KROM SOFT</v>
          </cell>
          <cell r="F752" t="str">
            <v/>
          </cell>
          <cell r="G752" t="str">
            <v>AVİZE</v>
          </cell>
          <cell r="H752" t="str">
            <v/>
          </cell>
          <cell r="I752" t="str">
            <v>İÇ</v>
          </cell>
          <cell r="J752" t="str">
            <v>AVİZE.SARK</v>
          </cell>
          <cell r="K752" t="str">
            <v>BERDE</v>
          </cell>
          <cell r="L752" t="str">
            <v/>
          </cell>
          <cell r="M752" t="str">
            <v/>
          </cell>
          <cell r="N752" t="str">
            <v/>
          </cell>
          <cell r="O752" t="str">
            <v>HEKA</v>
          </cell>
          <cell r="P752" t="str">
            <v>ADET</v>
          </cell>
          <cell r="Q752" t="str">
            <v>E27</v>
          </cell>
          <cell r="R752" t="str">
            <v>METAL</v>
          </cell>
          <cell r="S752" t="str">
            <v>MAT KROM</v>
          </cell>
          <cell r="T752" t="str">
            <v>CAM</v>
          </cell>
          <cell r="U752" t="str">
            <v>SOFT</v>
          </cell>
          <cell r="AD752" t="str">
            <v>N/A</v>
          </cell>
          <cell r="AE752" t="str">
            <v>01</v>
          </cell>
          <cell r="AF752">
            <v>6</v>
          </cell>
          <cell r="AG752" t="str">
            <v>ADET</v>
          </cell>
          <cell r="AH752">
            <v>400</v>
          </cell>
          <cell r="AI752" t="str">
            <v>TL</v>
          </cell>
          <cell r="AJ752">
            <v>3542</v>
          </cell>
          <cell r="AK752" t="str">
            <v>TL</v>
          </cell>
          <cell r="AL752">
            <v>1</v>
          </cell>
          <cell r="AM752" t="str">
            <v>8684127505468</v>
          </cell>
          <cell r="AO752">
            <v>0</v>
          </cell>
          <cell r="AQ752">
            <v>45</v>
          </cell>
          <cell r="AR752" t="str">
            <v>CM</v>
          </cell>
          <cell r="AS752">
            <v>25</v>
          </cell>
          <cell r="AT752" t="str">
            <v>CM</v>
          </cell>
          <cell r="AU752">
            <v>0</v>
          </cell>
          <cell r="AW752">
            <v>0</v>
          </cell>
        </row>
        <row r="753">
          <cell r="B753" t="str">
            <v>H1C2JRSECT0-030</v>
          </cell>
          <cell r="C753" t="str">
            <v>BERDE PİRİNÇ SİYAH SARKIT 30cm</v>
          </cell>
          <cell r="D753" t="str">
            <v>BERDE BRUSHED BLACK PENDANT 30cm</v>
          </cell>
          <cell r="E753" t="str">
            <v xml:space="preserve">METAL CAM  SİYAH SOFT   </v>
          </cell>
          <cell r="F753" t="str">
            <v/>
          </cell>
          <cell r="G753" t="str">
            <v>AVİZE</v>
          </cell>
          <cell r="H753" t="str">
            <v/>
          </cell>
          <cell r="I753" t="str">
            <v>İÇ</v>
          </cell>
          <cell r="J753" t="str">
            <v>AVİZE.SARK</v>
          </cell>
          <cell r="K753" t="str">
            <v>BERDE</v>
          </cell>
          <cell r="L753" t="str">
            <v/>
          </cell>
          <cell r="M753" t="str">
            <v/>
          </cell>
          <cell r="N753" t="str">
            <v/>
          </cell>
          <cell r="O753" t="str">
            <v>HEKA</v>
          </cell>
          <cell r="P753" t="str">
            <v>ADET</v>
          </cell>
          <cell r="Q753" t="str">
            <v>E27</v>
          </cell>
          <cell r="R753" t="str">
            <v>METAL</v>
          </cell>
          <cell r="S753" t="str">
            <v>SİYAH</v>
          </cell>
          <cell r="T753" t="str">
            <v>CAM</v>
          </cell>
          <cell r="U753" t="str">
            <v>SOFT</v>
          </cell>
          <cell r="AD753" t="str">
            <v>N/A</v>
          </cell>
          <cell r="AE753" t="str">
            <v>01</v>
          </cell>
          <cell r="AF753">
            <v>5</v>
          </cell>
          <cell r="AG753" t="str">
            <v>ADET</v>
          </cell>
          <cell r="AH753">
            <v>450</v>
          </cell>
          <cell r="AI753" t="str">
            <v>TL</v>
          </cell>
          <cell r="AJ753">
            <v>4189</v>
          </cell>
          <cell r="AK753" t="str">
            <v>TL</v>
          </cell>
          <cell r="AL753">
            <v>1</v>
          </cell>
          <cell r="AM753" t="str">
            <v>8684127505444</v>
          </cell>
          <cell r="AO753">
            <v>0</v>
          </cell>
          <cell r="AQ753">
            <v>55</v>
          </cell>
          <cell r="AR753" t="str">
            <v>CM</v>
          </cell>
          <cell r="AS753">
            <v>30</v>
          </cell>
          <cell r="AT753" t="str">
            <v>CM</v>
          </cell>
          <cell r="AU753">
            <v>0</v>
          </cell>
          <cell r="AW753">
            <v>0</v>
          </cell>
        </row>
        <row r="754">
          <cell r="B754" t="str">
            <v>H1C00000000-000</v>
          </cell>
          <cell r="C754" t="str">
            <v>ÖZEL TASARIM AVİZE</v>
          </cell>
          <cell r="D754" t="str">
            <v>CUSTOM DESIGN CHANDELIER</v>
          </cell>
          <cell r="E754" t="str">
            <v/>
          </cell>
          <cell r="F754" t="str">
            <v>9405.11.50.00.19</v>
          </cell>
          <cell r="G754" t="str">
            <v>AVİZE</v>
          </cell>
          <cell r="H754" t="str">
            <v/>
          </cell>
          <cell r="I754" t="str">
            <v>İÇ</v>
          </cell>
          <cell r="J754" t="str">
            <v>AVİZE</v>
          </cell>
          <cell r="K754" t="str">
            <v/>
          </cell>
          <cell r="L754" t="str">
            <v/>
          </cell>
          <cell r="M754" t="str">
            <v>ÖZEL TASAR</v>
          </cell>
          <cell r="N754" t="str">
            <v/>
          </cell>
          <cell r="O754" t="str">
            <v>HEKA</v>
          </cell>
          <cell r="P754" t="str">
            <v>ADET</v>
          </cell>
          <cell r="AF754">
            <v>3</v>
          </cell>
          <cell r="AG754" t="str">
            <v>ADET</v>
          </cell>
          <cell r="AL754">
            <v>0</v>
          </cell>
          <cell r="AM754" t="str">
            <v>H1C00000000-000</v>
          </cell>
          <cell r="AO754">
            <v>0</v>
          </cell>
          <cell r="AQ754">
            <v>0</v>
          </cell>
          <cell r="AS754">
            <v>0</v>
          </cell>
          <cell r="AU754">
            <v>0</v>
          </cell>
          <cell r="AW754">
            <v>0</v>
          </cell>
        </row>
        <row r="755">
          <cell r="B755" t="str">
            <v>H1T00000000-000</v>
          </cell>
          <cell r="C755" t="str">
            <v>ÖZEL TASARIM MASA LAMBASI</v>
          </cell>
          <cell r="D755" t="str">
            <v>CUSTOM DESIGN TABLE  LAMP</v>
          </cell>
          <cell r="E755" t="str">
            <v/>
          </cell>
          <cell r="F755" t="str">
            <v/>
          </cell>
          <cell r="G755" t="str">
            <v>MASA LAMBASI</v>
          </cell>
          <cell r="H755" t="str">
            <v/>
          </cell>
          <cell r="I755" t="str">
            <v>İÇ</v>
          </cell>
          <cell r="J755" t="str">
            <v>MASAABAJ</v>
          </cell>
          <cell r="K755" t="str">
            <v/>
          </cell>
          <cell r="L755" t="str">
            <v/>
          </cell>
          <cell r="M755" t="str">
            <v>ÖZEL TASAR</v>
          </cell>
          <cell r="N755" t="str">
            <v/>
          </cell>
          <cell r="O755" t="str">
            <v>HEKA</v>
          </cell>
          <cell r="P755" t="str">
            <v>ADET</v>
          </cell>
          <cell r="AF755">
            <v>0</v>
          </cell>
          <cell r="AG755" t="str">
            <v>ADET</v>
          </cell>
          <cell r="AL755">
            <v>0</v>
          </cell>
          <cell r="AM755" t="str">
            <v>H1T00000000-000</v>
          </cell>
          <cell r="AO755">
            <v>0</v>
          </cell>
          <cell r="AQ755">
            <v>0</v>
          </cell>
          <cell r="AS755">
            <v>0</v>
          </cell>
          <cell r="AU755">
            <v>0</v>
          </cell>
          <cell r="AW755">
            <v>0</v>
          </cell>
        </row>
        <row r="756">
          <cell r="B756" t="str">
            <v>H1C6JMEERFY-025</v>
          </cell>
          <cell r="C756" t="str">
            <v>VİYANA FÜME DALGA CAM SARKIT 25cm</v>
          </cell>
          <cell r="D756" t="str">
            <v>VIYANA SMOKY WAVE GLASS PENDANT 25cm</v>
          </cell>
          <cell r="E756" t="str">
            <v>METAL ESKİTME CAM  FÜME</v>
          </cell>
          <cell r="F756" t="str">
            <v>9405.11.90.00.00</v>
          </cell>
          <cell r="G756" t="str">
            <v>AVİZE</v>
          </cell>
          <cell r="H756" t="str">
            <v>T1A6231100-20</v>
          </cell>
          <cell r="I756" t="str">
            <v>İÇ</v>
          </cell>
          <cell r="J756" t="str">
            <v>AVİZE.SARK</v>
          </cell>
          <cell r="K756" t="str">
            <v>VİYANA</v>
          </cell>
          <cell r="L756" t="str">
            <v/>
          </cell>
          <cell r="M756" t="str">
            <v/>
          </cell>
          <cell r="N756" t="str">
            <v>ML12</v>
          </cell>
          <cell r="O756" t="str">
            <v>HEKA</v>
          </cell>
          <cell r="P756" t="str">
            <v>ADET</v>
          </cell>
          <cell r="Q756" t="str">
            <v>LED</v>
          </cell>
          <cell r="R756" t="str">
            <v>METAL</v>
          </cell>
          <cell r="S756" t="str">
            <v>ESKİTME</v>
          </cell>
          <cell r="T756" t="str">
            <v>CAM</v>
          </cell>
          <cell r="U756" t="str">
            <v>BAL</v>
          </cell>
          <cell r="AD756" t="str">
            <v>KÜRE</v>
          </cell>
          <cell r="AE756" t="str">
            <v>01</v>
          </cell>
          <cell r="AF756">
            <v>0</v>
          </cell>
          <cell r="AG756" t="str">
            <v>ADET</v>
          </cell>
          <cell r="AH756">
            <v>70</v>
          </cell>
          <cell r="AI756" t="str">
            <v>CNY</v>
          </cell>
          <cell r="AJ756">
            <v>4284</v>
          </cell>
          <cell r="AK756" t="str">
            <v>TL</v>
          </cell>
          <cell r="AL756">
            <v>1</v>
          </cell>
          <cell r="AM756" t="str">
            <v>8684127506441</v>
          </cell>
          <cell r="AO756">
            <v>0</v>
          </cell>
          <cell r="AQ756">
            <v>0</v>
          </cell>
          <cell r="AR756" t="str">
            <v>CM</v>
          </cell>
          <cell r="AS756">
            <v>0</v>
          </cell>
          <cell r="AT756" t="str">
            <v>CM</v>
          </cell>
          <cell r="AU756">
            <v>0</v>
          </cell>
          <cell r="AW756">
            <v>0</v>
          </cell>
        </row>
        <row r="757">
          <cell r="B757" t="str">
            <v>H1C6JMEERLF-020</v>
          </cell>
          <cell r="C757" t="str">
            <v>VİYANA BAL KUBBE CAM SARKIT 20cm</v>
          </cell>
          <cell r="D757" t="str">
            <v>VIYANA AMBER DOME GLASS PENDANT 20cm</v>
          </cell>
          <cell r="E757" t="str">
            <v>METAL ESKİTME CAM  BAL</v>
          </cell>
          <cell r="F757" t="str">
            <v>9405.11.90.00.00</v>
          </cell>
          <cell r="G757" t="str">
            <v>AVİZE</v>
          </cell>
          <cell r="H757" t="str">
            <v>T1A6231100-20</v>
          </cell>
          <cell r="I757" t="str">
            <v>İÇ</v>
          </cell>
          <cell r="J757" t="str">
            <v>AVİZE.SARK</v>
          </cell>
          <cell r="K757" t="str">
            <v>VİYANA</v>
          </cell>
          <cell r="L757" t="str">
            <v/>
          </cell>
          <cell r="M757" t="str">
            <v/>
          </cell>
          <cell r="N757" t="str">
            <v>ML15</v>
          </cell>
          <cell r="O757" t="str">
            <v>HEKA</v>
          </cell>
          <cell r="P757" t="str">
            <v>ADET</v>
          </cell>
          <cell r="Q757" t="str">
            <v>LED</v>
          </cell>
          <cell r="R757" t="str">
            <v>METAL</v>
          </cell>
          <cell r="S757" t="str">
            <v>ESKİTME</v>
          </cell>
          <cell r="T757" t="str">
            <v>CAM</v>
          </cell>
          <cell r="U757" t="str">
            <v>BAL</v>
          </cell>
          <cell r="AD757" t="str">
            <v>KUBBE</v>
          </cell>
          <cell r="AE757" t="str">
            <v>01</v>
          </cell>
          <cell r="AF757">
            <v>0</v>
          </cell>
          <cell r="AG757" t="str">
            <v>ADET</v>
          </cell>
          <cell r="AH757">
            <v>65</v>
          </cell>
          <cell r="AI757" t="str">
            <v>CNY</v>
          </cell>
          <cell r="AJ757">
            <v>4094</v>
          </cell>
          <cell r="AK757" t="str">
            <v>TL</v>
          </cell>
          <cell r="AL757">
            <v>1</v>
          </cell>
          <cell r="AM757" t="str">
            <v>8684127506465</v>
          </cell>
          <cell r="AO757">
            <v>0</v>
          </cell>
          <cell r="AQ757">
            <v>0</v>
          </cell>
          <cell r="AR757" t="str">
            <v>CM</v>
          </cell>
          <cell r="AS757">
            <v>0</v>
          </cell>
          <cell r="AT757" t="str">
            <v>CM</v>
          </cell>
          <cell r="AU757">
            <v>0</v>
          </cell>
          <cell r="AW757">
            <v>0</v>
          </cell>
        </row>
        <row r="758">
          <cell r="B758" t="str">
            <v>H1C6JMEERLF-035</v>
          </cell>
          <cell r="C758" t="str">
            <v>VİYANA BAL KUBBE CAM SARKIT 35cm</v>
          </cell>
          <cell r="D758" t="str">
            <v>VIYANA AMBER DOME GLASS PENDANT 35cm</v>
          </cell>
          <cell r="E758" t="str">
            <v>METAL ESKİTME CAM  BAL</v>
          </cell>
          <cell r="F758" t="str">
            <v>9405.11.90.00.00</v>
          </cell>
          <cell r="G758" t="str">
            <v>AVİZE</v>
          </cell>
          <cell r="H758" t="str">
            <v>T1A6231100-20</v>
          </cell>
          <cell r="I758" t="str">
            <v>İÇ</v>
          </cell>
          <cell r="J758" t="str">
            <v>AVİZE.SARK</v>
          </cell>
          <cell r="K758" t="str">
            <v>VİYANA</v>
          </cell>
          <cell r="L758" t="str">
            <v/>
          </cell>
          <cell r="M758" t="str">
            <v/>
          </cell>
          <cell r="N758" t="str">
            <v>ML19</v>
          </cell>
          <cell r="O758" t="str">
            <v>HEKA</v>
          </cell>
          <cell r="P758" t="str">
            <v>ADET</v>
          </cell>
          <cell r="Q758" t="str">
            <v>LED</v>
          </cell>
          <cell r="R758" t="str">
            <v>METAL</v>
          </cell>
          <cell r="S758" t="str">
            <v>ESKİTME</v>
          </cell>
          <cell r="T758" t="str">
            <v>CAM</v>
          </cell>
          <cell r="U758" t="str">
            <v>BAL</v>
          </cell>
          <cell r="AD758" t="str">
            <v>KÜRE</v>
          </cell>
          <cell r="AE758" t="str">
            <v>01</v>
          </cell>
          <cell r="AF758">
            <v>0</v>
          </cell>
          <cell r="AG758" t="str">
            <v>ADET</v>
          </cell>
          <cell r="AH758">
            <v>115</v>
          </cell>
          <cell r="AI758" t="str">
            <v>CNY</v>
          </cell>
          <cell r="AJ758">
            <v>5855</v>
          </cell>
          <cell r="AK758" t="str">
            <v>TL</v>
          </cell>
          <cell r="AL758">
            <v>1</v>
          </cell>
          <cell r="AM758" t="str">
            <v>8684127506489</v>
          </cell>
          <cell r="AO758">
            <v>0</v>
          </cell>
          <cell r="AQ758">
            <v>0</v>
          </cell>
          <cell r="AR758" t="str">
            <v>CM</v>
          </cell>
          <cell r="AS758">
            <v>0</v>
          </cell>
          <cell r="AT758" t="str">
            <v>CM</v>
          </cell>
          <cell r="AU758">
            <v>0</v>
          </cell>
          <cell r="AW758">
            <v>0</v>
          </cell>
        </row>
        <row r="759">
          <cell r="B759" t="str">
            <v>H1C6JMEECSB-020</v>
          </cell>
          <cell r="C759" t="str">
            <v>TOGO TEKLİ SİMİT SARKIT 20cm</v>
          </cell>
          <cell r="D759" t="str">
            <v>TOGO SINGLE BAGEL PENDANT 20cm</v>
          </cell>
          <cell r="E759" t="str">
            <v xml:space="preserve">METAL CAM  ESKİTME ŞEFFAF   </v>
          </cell>
          <cell r="F759" t="str">
            <v/>
          </cell>
          <cell r="G759" t="str">
            <v>AVİZE</v>
          </cell>
          <cell r="H759" t="str">
            <v/>
          </cell>
          <cell r="I759" t="str">
            <v>İÇ</v>
          </cell>
          <cell r="J759" t="str">
            <v>AVİZE.SARK</v>
          </cell>
          <cell r="K759" t="str">
            <v>TOGO</v>
          </cell>
          <cell r="L759" t="str">
            <v/>
          </cell>
          <cell r="M759" t="str">
            <v/>
          </cell>
          <cell r="N759" t="str">
            <v>HKA-123</v>
          </cell>
          <cell r="O759" t="str">
            <v>HEKA</v>
          </cell>
          <cell r="P759" t="str">
            <v>ADET</v>
          </cell>
          <cell r="Q759" t="str">
            <v>LED</v>
          </cell>
          <cell r="R759" t="str">
            <v>METAL</v>
          </cell>
          <cell r="S759" t="str">
            <v>ESKİTME</v>
          </cell>
          <cell r="T759" t="str">
            <v>CAM</v>
          </cell>
          <cell r="U759" t="str">
            <v>ŞEFFAF</v>
          </cell>
          <cell r="Y759" t="str">
            <v>6 WATT</v>
          </cell>
          <cell r="Z759" t="str">
            <v>3200 K</v>
          </cell>
          <cell r="AD759" t="str">
            <v>SİMİT</v>
          </cell>
          <cell r="AF759">
            <v>12</v>
          </cell>
          <cell r="AG759" t="str">
            <v>ADET</v>
          </cell>
          <cell r="AH759">
            <v>67</v>
          </cell>
          <cell r="AI759" t="str">
            <v>CNY</v>
          </cell>
          <cell r="AJ759">
            <v>3035</v>
          </cell>
          <cell r="AK759" t="str">
            <v>TL</v>
          </cell>
          <cell r="AL759">
            <v>1</v>
          </cell>
          <cell r="AM759" t="str">
            <v>8684127506694</v>
          </cell>
          <cell r="AO759">
            <v>0</v>
          </cell>
          <cell r="AQ759">
            <v>0</v>
          </cell>
          <cell r="AS759">
            <v>0</v>
          </cell>
          <cell r="AU759">
            <v>0</v>
          </cell>
          <cell r="AW759">
            <v>0</v>
          </cell>
        </row>
        <row r="760">
          <cell r="B760" t="str">
            <v>H1C6JMEECSD-100</v>
          </cell>
          <cell r="C760" t="str">
            <v>MERGEN 7 Lİ  ESKİTME YEMEK MASASI SARKIT</v>
          </cell>
          <cell r="D760" t="str">
            <v xml:space="preserve">MERGEN DINING TABLE BRUSHED BRASS SEPTET PENDANT </v>
          </cell>
          <cell r="E760" t="str">
            <v xml:space="preserve">METAL CAM  ESKİTME ŞEFFAF   </v>
          </cell>
          <cell r="F760" t="str">
            <v/>
          </cell>
          <cell r="G760" t="str">
            <v>AVİZE</v>
          </cell>
          <cell r="H760" t="str">
            <v/>
          </cell>
          <cell r="I760" t="str">
            <v>İÇ</v>
          </cell>
          <cell r="J760" t="str">
            <v>AVİZE.SARK</v>
          </cell>
          <cell r="K760" t="str">
            <v>MERGEN</v>
          </cell>
          <cell r="L760" t="str">
            <v/>
          </cell>
          <cell r="M760" t="str">
            <v/>
          </cell>
          <cell r="N760" t="str">
            <v>HKA-65</v>
          </cell>
          <cell r="O760" t="str">
            <v>HEKA</v>
          </cell>
          <cell r="P760" t="str">
            <v>ADET</v>
          </cell>
          <cell r="Q760" t="str">
            <v>LED</v>
          </cell>
          <cell r="R760" t="str">
            <v>METAL</v>
          </cell>
          <cell r="S760" t="str">
            <v>ESKİTME</v>
          </cell>
          <cell r="T760" t="str">
            <v>CAM</v>
          </cell>
          <cell r="U760" t="str">
            <v>ŞEFFAF</v>
          </cell>
          <cell r="Y760" t="str">
            <v>18 WATT</v>
          </cell>
          <cell r="Z760" t="str">
            <v>3500 K</v>
          </cell>
          <cell r="AD760" t="str">
            <v>DİKDÖRTGEN</v>
          </cell>
          <cell r="AE760" t="str">
            <v>08</v>
          </cell>
          <cell r="AF760">
            <v>12</v>
          </cell>
          <cell r="AG760" t="str">
            <v>ADET</v>
          </cell>
          <cell r="AH760">
            <v>364</v>
          </cell>
          <cell r="AI760" t="str">
            <v>CNY</v>
          </cell>
          <cell r="AJ760">
            <v>13430</v>
          </cell>
          <cell r="AK760" t="str">
            <v>TL</v>
          </cell>
          <cell r="AL760">
            <v>1</v>
          </cell>
          <cell r="AM760" t="str">
            <v>8684127506755</v>
          </cell>
          <cell r="AO760">
            <v>0</v>
          </cell>
          <cell r="AQ760">
            <v>0</v>
          </cell>
          <cell r="AS760">
            <v>0</v>
          </cell>
          <cell r="AU760">
            <v>0</v>
          </cell>
          <cell r="AW760">
            <v>0</v>
          </cell>
        </row>
        <row r="761">
          <cell r="B761" t="str">
            <v>H1C6JRSBCSY-030</v>
          </cell>
          <cell r="C761" t="str">
            <v>SEMRUK TEKLİ AKRİLİK KÜRE SARKIT 30cm</v>
          </cell>
          <cell r="D761" t="str">
            <v>SEMRUK SINGLE ACRYLIC SPHERE PENDANT 30cm</v>
          </cell>
          <cell r="E761" t="str">
            <v xml:space="preserve">METAL AKRİLİK SİYAH ŞEFFAF   </v>
          </cell>
          <cell r="F761" t="str">
            <v/>
          </cell>
          <cell r="G761" t="str">
            <v>AVİZE</v>
          </cell>
          <cell r="H761" t="str">
            <v/>
          </cell>
          <cell r="I761" t="str">
            <v>İÇ</v>
          </cell>
          <cell r="J761" t="str">
            <v>AVİZE.SARK</v>
          </cell>
          <cell r="K761" t="str">
            <v>SEMRUK</v>
          </cell>
          <cell r="L761" t="str">
            <v/>
          </cell>
          <cell r="M761" t="str">
            <v/>
          </cell>
          <cell r="N761" t="str">
            <v>HKA-24044</v>
          </cell>
          <cell r="O761" t="str">
            <v>HEKA</v>
          </cell>
          <cell r="P761" t="str">
            <v>ADET</v>
          </cell>
          <cell r="Q761" t="str">
            <v>LED</v>
          </cell>
          <cell r="R761" t="str">
            <v>METAL</v>
          </cell>
          <cell r="S761" t="str">
            <v>SİYAH</v>
          </cell>
          <cell r="T761" t="str">
            <v>AKRİLİK</v>
          </cell>
          <cell r="U761" t="str">
            <v>ŞEFFAF</v>
          </cell>
          <cell r="Z761" t="str">
            <v>3000 K</v>
          </cell>
          <cell r="AD761" t="str">
            <v>KÜRE</v>
          </cell>
          <cell r="AF761">
            <v>21</v>
          </cell>
          <cell r="AG761" t="str">
            <v>ADET</v>
          </cell>
          <cell r="AH761">
            <v>315</v>
          </cell>
          <cell r="AI761" t="str">
            <v>CNY</v>
          </cell>
          <cell r="AJ761">
            <v>22050</v>
          </cell>
          <cell r="AK761" t="str">
            <v>TL</v>
          </cell>
          <cell r="AL761">
            <v>1</v>
          </cell>
          <cell r="AM761" t="str">
            <v>8684127506779</v>
          </cell>
          <cell r="AO761">
            <v>0</v>
          </cell>
          <cell r="AQ761">
            <v>0</v>
          </cell>
          <cell r="AS761">
            <v>0</v>
          </cell>
          <cell r="AU761">
            <v>0</v>
          </cell>
          <cell r="AW761">
            <v>0</v>
          </cell>
        </row>
        <row r="762">
          <cell r="B762" t="str">
            <v>H1C6JMEWRBR-100</v>
          </cell>
          <cell r="C762" t="str">
            <v>ORKOS TEKLİ MERMER SARKIT 100cm</v>
          </cell>
          <cell r="D762" t="str">
            <v>ORKOS SINGLE MARBLE PENDANT 100cm</v>
          </cell>
          <cell r="E762" t="str">
            <v xml:space="preserve">METAL MERMER ESKİTME BEYAZ   </v>
          </cell>
          <cell r="F762" t="str">
            <v/>
          </cell>
          <cell r="G762" t="str">
            <v>AVİZE</v>
          </cell>
          <cell r="H762" t="str">
            <v/>
          </cell>
          <cell r="I762" t="str">
            <v>İÇ</v>
          </cell>
          <cell r="J762" t="str">
            <v>AVİZE.AVİZ</v>
          </cell>
          <cell r="K762" t="str">
            <v>ORKOS</v>
          </cell>
          <cell r="L762" t="str">
            <v/>
          </cell>
          <cell r="M762" t="str">
            <v/>
          </cell>
          <cell r="N762" t="str">
            <v>HKA-24101</v>
          </cell>
          <cell r="O762" t="str">
            <v>HEKA</v>
          </cell>
          <cell r="P762" t="str">
            <v>ADET</v>
          </cell>
          <cell r="Q762" t="str">
            <v>LED</v>
          </cell>
          <cell r="R762" t="str">
            <v>METAL</v>
          </cell>
          <cell r="S762" t="str">
            <v>ESKİTME</v>
          </cell>
          <cell r="T762" t="str">
            <v>MERMER</v>
          </cell>
          <cell r="U762" t="str">
            <v>BEYAZ</v>
          </cell>
          <cell r="AD762" t="str">
            <v>DAİRE</v>
          </cell>
          <cell r="AF762">
            <v>33</v>
          </cell>
          <cell r="AG762" t="str">
            <v>ADET</v>
          </cell>
          <cell r="AH762">
            <v>750</v>
          </cell>
          <cell r="AI762" t="str">
            <v>CNY</v>
          </cell>
          <cell r="AJ762">
            <v>55750</v>
          </cell>
          <cell r="AK762" t="str">
            <v>TL</v>
          </cell>
          <cell r="AL762">
            <v>1</v>
          </cell>
          <cell r="AM762" t="str">
            <v>8684127507479</v>
          </cell>
          <cell r="AO762">
            <v>0</v>
          </cell>
          <cell r="AQ762">
            <v>0</v>
          </cell>
          <cell r="AS762">
            <v>0</v>
          </cell>
          <cell r="AU762">
            <v>0</v>
          </cell>
          <cell r="AW762">
            <v>0</v>
          </cell>
        </row>
        <row r="763">
          <cell r="B763" t="str">
            <v>H1C1JMEECSU-020</v>
          </cell>
          <cell r="C763" t="str">
            <v>DARFUR CAM ESKİTME SARKIT 20cm</v>
          </cell>
          <cell r="D763" t="str">
            <v>DARFUR GLASS BRUSHED BRASS PENDANT 20cm</v>
          </cell>
          <cell r="E763" t="str">
            <v xml:space="preserve">METAL CAM  ESKİTME ŞEFFAF   </v>
          </cell>
          <cell r="F763" t="str">
            <v>9405.19.90.00.00</v>
          </cell>
          <cell r="G763" t="str">
            <v>AVİZE</v>
          </cell>
          <cell r="H763" t="str">
            <v>T1A1112400-20</v>
          </cell>
          <cell r="I763" t="str">
            <v>İÇ</v>
          </cell>
          <cell r="J763" t="str">
            <v>AVİZE.SARK</v>
          </cell>
          <cell r="K763" t="str">
            <v>DARFUR</v>
          </cell>
          <cell r="L763" t="str">
            <v/>
          </cell>
          <cell r="M763" t="str">
            <v/>
          </cell>
          <cell r="N763" t="str">
            <v>T-2</v>
          </cell>
          <cell r="O763" t="str">
            <v>HEKA</v>
          </cell>
          <cell r="P763" t="str">
            <v>ADET</v>
          </cell>
          <cell r="Q763" t="str">
            <v>E14</v>
          </cell>
          <cell r="R763" t="str">
            <v>METAL</v>
          </cell>
          <cell r="S763" t="str">
            <v>ESKİTME</v>
          </cell>
          <cell r="T763" t="str">
            <v>CAM</v>
          </cell>
          <cell r="U763" t="str">
            <v>ŞEFFAF</v>
          </cell>
          <cell r="AD763" t="str">
            <v>ÜÇGEN</v>
          </cell>
          <cell r="AE763" t="str">
            <v>02</v>
          </cell>
          <cell r="AF763">
            <v>1</v>
          </cell>
          <cell r="AG763" t="str">
            <v>ADET</v>
          </cell>
          <cell r="AH763">
            <v>170</v>
          </cell>
          <cell r="AI763" t="str">
            <v>TL</v>
          </cell>
          <cell r="AJ763">
            <v>2285</v>
          </cell>
          <cell r="AK763" t="str">
            <v>TL</v>
          </cell>
          <cell r="AL763">
            <v>1</v>
          </cell>
          <cell r="AM763" t="str">
            <v>8684127501873</v>
          </cell>
          <cell r="AO763">
            <v>0</v>
          </cell>
          <cell r="AQ763">
            <v>22</v>
          </cell>
          <cell r="AR763" t="str">
            <v>CM</v>
          </cell>
          <cell r="AS763">
            <v>20</v>
          </cell>
          <cell r="AT763" t="str">
            <v>CM</v>
          </cell>
          <cell r="AU763">
            <v>0</v>
          </cell>
          <cell r="AW763">
            <v>0</v>
          </cell>
        </row>
        <row r="764">
          <cell r="B764" t="str">
            <v>F1C2MRBJRB0-045</v>
          </cell>
          <cell r="C764" t="str">
            <v>STONE BEYAZ KAYA SARKIT 45cm</v>
          </cell>
          <cell r="D764" t="str">
            <v>STONE WHITE ROCK PENDANT 45cm</v>
          </cell>
          <cell r="E764" t="str">
            <v>POLİKARBON METAL BEYAZ BEYAZ</v>
          </cell>
          <cell r="F764" t="str">
            <v>9405.19.40.00.00</v>
          </cell>
          <cell r="G764" t="str">
            <v>AVİZE</v>
          </cell>
          <cell r="H764" t="str">
            <v>F1A2L21900-45</v>
          </cell>
          <cell r="I764" t="str">
            <v>İÇ</v>
          </cell>
          <cell r="J764" t="str">
            <v>AVİZE.AVİZ</v>
          </cell>
          <cell r="K764" t="str">
            <v>STONE</v>
          </cell>
          <cell r="L764" t="str">
            <v/>
          </cell>
          <cell r="M764" t="str">
            <v>ÜRTM:15GÜN</v>
          </cell>
          <cell r="N764" t="str">
            <v/>
          </cell>
          <cell r="O764" t="str">
            <v>HEKA</v>
          </cell>
          <cell r="P764" t="str">
            <v>ADET</v>
          </cell>
          <cell r="Q764" t="str">
            <v>E27</v>
          </cell>
          <cell r="R764" t="str">
            <v>POLİKARBON</v>
          </cell>
          <cell r="S764" t="str">
            <v>BEYAZ</v>
          </cell>
          <cell r="T764" t="str">
            <v>METAL</v>
          </cell>
          <cell r="U764" t="str">
            <v>BEYAZ</v>
          </cell>
          <cell r="AD764" t="str">
            <v>N/A</v>
          </cell>
          <cell r="AE764" t="str">
            <v>01</v>
          </cell>
          <cell r="AF764">
            <v>0</v>
          </cell>
          <cell r="AG764" t="str">
            <v>ADET</v>
          </cell>
          <cell r="AH764">
            <v>3000</v>
          </cell>
          <cell r="AI764" t="str">
            <v>TL</v>
          </cell>
          <cell r="AJ764">
            <v>12750</v>
          </cell>
          <cell r="AK764" t="str">
            <v>TL</v>
          </cell>
          <cell r="AL764">
            <v>1</v>
          </cell>
          <cell r="AM764" t="str">
            <v>8684127505345</v>
          </cell>
          <cell r="AO764">
            <v>0</v>
          </cell>
          <cell r="AQ764">
            <v>0</v>
          </cell>
          <cell r="AR764" t="str">
            <v>CM</v>
          </cell>
          <cell r="AS764">
            <v>45</v>
          </cell>
          <cell r="AT764" t="str">
            <v>CM</v>
          </cell>
          <cell r="AU764">
            <v>0</v>
          </cell>
          <cell r="AW764">
            <v>0</v>
          </cell>
        </row>
        <row r="765">
          <cell r="B765" t="str">
            <v>F1C2MRBJRB0-055</v>
          </cell>
          <cell r="C765" t="str">
            <v>STONE BEYAZ KAYA SARKIT 55cm</v>
          </cell>
          <cell r="D765" t="str">
            <v>STONE WHITE ROCK PENDANT 55cm</v>
          </cell>
          <cell r="E765" t="str">
            <v>POLİKARBON METAL BEYAZ BEYAZ</v>
          </cell>
          <cell r="F765" t="str">
            <v>9405.19.40.00.00</v>
          </cell>
          <cell r="G765" t="str">
            <v>AVİZE</v>
          </cell>
          <cell r="H765" t="str">
            <v>F1A2L21900-55</v>
          </cell>
          <cell r="I765" t="str">
            <v>İÇ</v>
          </cell>
          <cell r="J765" t="str">
            <v>AVİZE.AVİZ</v>
          </cell>
          <cell r="K765" t="str">
            <v>STONE</v>
          </cell>
          <cell r="L765" t="str">
            <v/>
          </cell>
          <cell r="M765" t="str">
            <v>ÜRTM:15GÜN</v>
          </cell>
          <cell r="N765" t="str">
            <v/>
          </cell>
          <cell r="O765" t="str">
            <v>HEKA</v>
          </cell>
          <cell r="P765" t="str">
            <v>ADET</v>
          </cell>
          <cell r="Q765" t="str">
            <v>E27</v>
          </cell>
          <cell r="R765" t="str">
            <v>POLİKARBON</v>
          </cell>
          <cell r="S765" t="str">
            <v>BEYAZ</v>
          </cell>
          <cell r="T765" t="str">
            <v>METAL</v>
          </cell>
          <cell r="U765" t="str">
            <v>BEYAZ</v>
          </cell>
          <cell r="AD765" t="str">
            <v>N/A</v>
          </cell>
          <cell r="AE765" t="str">
            <v>01</v>
          </cell>
          <cell r="AF765">
            <v>0</v>
          </cell>
          <cell r="AG765" t="str">
            <v>ADET</v>
          </cell>
          <cell r="AH765">
            <v>3400</v>
          </cell>
          <cell r="AI765" t="str">
            <v>TL</v>
          </cell>
          <cell r="AJ765">
            <v>13950</v>
          </cell>
          <cell r="AK765" t="str">
            <v>TL</v>
          </cell>
          <cell r="AL765">
            <v>1</v>
          </cell>
          <cell r="AM765" t="str">
            <v>8684127505352</v>
          </cell>
          <cell r="AO765">
            <v>0</v>
          </cell>
          <cell r="AQ765">
            <v>0</v>
          </cell>
          <cell r="AR765" t="str">
            <v>CM</v>
          </cell>
          <cell r="AS765">
            <v>55</v>
          </cell>
          <cell r="AT765" t="str">
            <v>CM</v>
          </cell>
          <cell r="AU765">
            <v>0</v>
          </cell>
          <cell r="AW765">
            <v>0</v>
          </cell>
        </row>
        <row r="766">
          <cell r="B766" t="str">
            <v>F1C2DRGJRSU-040</v>
          </cell>
          <cell r="C766" t="str">
            <v>WIRECON BETON GRİ ÜÇGEN TEL E27 SARKIT</v>
          </cell>
          <cell r="D766" t="str">
            <v>WIRECON CONCRETE GREY TRIANGLE WIRE E27 PENDANT</v>
          </cell>
          <cell r="E766" t="str">
            <v xml:space="preserve">BETON METAL GRİ SİYAH   </v>
          </cell>
          <cell r="F766" t="str">
            <v>9405.19.90.00.00</v>
          </cell>
          <cell r="G766" t="str">
            <v>AVİZE</v>
          </cell>
          <cell r="H766" t="str">
            <v/>
          </cell>
          <cell r="I766" t="str">
            <v>İÇ</v>
          </cell>
          <cell r="J766" t="str">
            <v>AVİZE.SARK</v>
          </cell>
          <cell r="K766" t="str">
            <v>WIRECON</v>
          </cell>
          <cell r="L766" t="str">
            <v>N/A</v>
          </cell>
          <cell r="M766" t="str">
            <v/>
          </cell>
          <cell r="N766" t="str">
            <v>1005-C</v>
          </cell>
          <cell r="O766" t="str">
            <v>ISHI</v>
          </cell>
          <cell r="P766" t="str">
            <v>ADET</v>
          </cell>
          <cell r="Q766" t="str">
            <v>E27</v>
          </cell>
          <cell r="R766" t="str">
            <v>BETON</v>
          </cell>
          <cell r="S766" t="str">
            <v>GRİ</v>
          </cell>
          <cell r="T766" t="str">
            <v>METAL</v>
          </cell>
          <cell r="U766" t="str">
            <v>SİYAH</v>
          </cell>
          <cell r="AD766" t="str">
            <v>ÜÇGEN</v>
          </cell>
          <cell r="AE766" t="str">
            <v>02</v>
          </cell>
          <cell r="AG766" t="str">
            <v>ADET</v>
          </cell>
          <cell r="AL766">
            <v>1</v>
          </cell>
          <cell r="AM766" t="str">
            <v>8684127510073</v>
          </cell>
          <cell r="AO766">
            <v>0</v>
          </cell>
          <cell r="AQ766">
            <v>6</v>
          </cell>
          <cell r="AR766" t="str">
            <v>CM</v>
          </cell>
          <cell r="AS766">
            <v>40</v>
          </cell>
          <cell r="AT766" t="str">
            <v>CM</v>
          </cell>
          <cell r="AU766">
            <v>0</v>
          </cell>
          <cell r="AW766">
            <v>0</v>
          </cell>
        </row>
        <row r="767">
          <cell r="B767" t="str">
            <v>CK3G3C3M1D5H1</v>
          </cell>
          <cell r="C767" t="str">
            <v>ERD-909 ŞEFFAF 110V 5W 3000K G9 LED AMPUL</v>
          </cell>
          <cell r="D767" t="str">
            <v>ERD-909 CLEAR 110V 5W 3000K G9 LED BULB</v>
          </cell>
          <cell r="E767" t="str">
            <v>CAM  METAL ŞEFFAF  COB LED DIMMLI KARMA</v>
          </cell>
          <cell r="F767" t="str">
            <v>9405.19.50.00.19</v>
          </cell>
          <cell r="G767" t="str">
            <v>AMPUL</v>
          </cell>
          <cell r="H767" t="str">
            <v/>
          </cell>
          <cell r="I767" t="str">
            <v>İÇ</v>
          </cell>
          <cell r="J767" t="str">
            <v>AMPUL</v>
          </cell>
          <cell r="K767" t="str">
            <v>ERD-909</v>
          </cell>
          <cell r="L767" t="str">
            <v/>
          </cell>
          <cell r="M767" t="str">
            <v/>
          </cell>
          <cell r="N767" t="str">
            <v>ERD-909</v>
          </cell>
          <cell r="O767" t="str">
            <v>HEKA</v>
          </cell>
          <cell r="P767" t="str">
            <v>ADET</v>
          </cell>
          <cell r="Q767" t="str">
            <v>G9</v>
          </cell>
          <cell r="R767" t="str">
            <v>CAM</v>
          </cell>
          <cell r="S767" t="str">
            <v>ŞEFFAF</v>
          </cell>
          <cell r="T767" t="str">
            <v>METAL</v>
          </cell>
          <cell r="V767" t="str">
            <v>G</v>
          </cell>
          <cell r="W767" t="str">
            <v>COB LED</v>
          </cell>
          <cell r="X767" t="str">
            <v>110V</v>
          </cell>
          <cell r="Y767" t="str">
            <v>5 WATT</v>
          </cell>
          <cell r="Z767" t="str">
            <v>3000 K</v>
          </cell>
          <cell r="AA767" t="str">
            <v>DIMMLI</v>
          </cell>
          <cell r="AB767" t="str">
            <v>301-400</v>
          </cell>
          <cell r="AC767" t="str">
            <v>KARMA</v>
          </cell>
          <cell r="AD767" t="str">
            <v>N/A</v>
          </cell>
          <cell r="AF767">
            <v>2</v>
          </cell>
          <cell r="AG767" t="str">
            <v>ADET</v>
          </cell>
          <cell r="AH767">
            <v>3.9</v>
          </cell>
          <cell r="AI767" t="str">
            <v>CNY</v>
          </cell>
          <cell r="AJ767">
            <v>2.5</v>
          </cell>
          <cell r="AK767" t="str">
            <v>USD</v>
          </cell>
          <cell r="AL767">
            <v>1</v>
          </cell>
          <cell r="AM767" t="str">
            <v>8684127503198</v>
          </cell>
          <cell r="AN767" t="str">
            <v>8684127505567</v>
          </cell>
          <cell r="AO767">
            <v>0</v>
          </cell>
          <cell r="AQ767">
            <v>1.3</v>
          </cell>
          <cell r="AR767" t="str">
            <v>CM</v>
          </cell>
          <cell r="AS767">
            <v>1.3</v>
          </cell>
          <cell r="AT767" t="str">
            <v>CM</v>
          </cell>
          <cell r="AU767">
            <v>0</v>
          </cell>
          <cell r="AW767">
            <v>0</v>
          </cell>
        </row>
        <row r="768">
          <cell r="B768" t="str">
            <v>F1W5AAJJEMH-074</v>
          </cell>
          <cell r="C768" t="str">
            <v>ANGEL ÜÇLÜ AHŞAP &amp; ESKİTME APLİK</v>
          </cell>
          <cell r="D768" t="str">
            <v>ANGEL TRIPLE WOOD &amp; BRASS WALL LAMP</v>
          </cell>
          <cell r="E768" t="str">
            <v xml:space="preserve">AHŞAP METAL JATOBA ESKİTME   </v>
          </cell>
          <cell r="F768" t="str">
            <v>9405.19.90.00.00</v>
          </cell>
          <cell r="G768" t="str">
            <v>APLİK</v>
          </cell>
          <cell r="H768" t="str">
            <v/>
          </cell>
          <cell r="I768" t="str">
            <v>İÇ</v>
          </cell>
          <cell r="J768" t="str">
            <v>APLİK</v>
          </cell>
          <cell r="K768" t="str">
            <v>ANGEL</v>
          </cell>
          <cell r="L768" t="str">
            <v/>
          </cell>
          <cell r="M768" t="str">
            <v/>
          </cell>
          <cell r="N768" t="str">
            <v/>
          </cell>
          <cell r="O768" t="str">
            <v>ISHI</v>
          </cell>
          <cell r="P768" t="str">
            <v>ADET</v>
          </cell>
          <cell r="Q768" t="str">
            <v>GU10</v>
          </cell>
          <cell r="R768" t="str">
            <v>AHŞAP</v>
          </cell>
          <cell r="S768" t="str">
            <v>JATOBA</v>
          </cell>
          <cell r="T768" t="str">
            <v>METAL</v>
          </cell>
          <cell r="U768" t="str">
            <v>ESKİTME</v>
          </cell>
          <cell r="AD768" t="str">
            <v>HAREKETLİ</v>
          </cell>
          <cell r="AE768" t="str">
            <v>03</v>
          </cell>
          <cell r="AF768">
            <v>19</v>
          </cell>
          <cell r="AG768" t="str">
            <v>ADET</v>
          </cell>
          <cell r="AH768">
            <v>280</v>
          </cell>
          <cell r="AI768" t="str">
            <v>TL</v>
          </cell>
          <cell r="AJ768">
            <v>3927</v>
          </cell>
          <cell r="AK768" t="str">
            <v>TL</v>
          </cell>
          <cell r="AL768">
            <v>1</v>
          </cell>
          <cell r="AM768" t="str">
            <v>8684127503310</v>
          </cell>
          <cell r="AO768">
            <v>0</v>
          </cell>
          <cell r="AQ768">
            <v>12.6</v>
          </cell>
          <cell r="AR768" t="str">
            <v>CM</v>
          </cell>
          <cell r="AS768">
            <v>74</v>
          </cell>
          <cell r="AT768" t="str">
            <v>CM</v>
          </cell>
          <cell r="AU768">
            <v>0</v>
          </cell>
          <cell r="AW768">
            <v>0</v>
          </cell>
        </row>
        <row r="769">
          <cell r="B769" t="str">
            <v>F1W5AAJJEMH-099</v>
          </cell>
          <cell r="C769" t="str">
            <v>ANGEL DÖRTLÜ AHŞAP &amp; ESKİTME APLİK</v>
          </cell>
          <cell r="D769" t="str">
            <v>ANGEL QUATERNARY WOOD &amp; BRASS WALL LAMP</v>
          </cell>
          <cell r="E769" t="str">
            <v xml:space="preserve">AHŞAP METAL JATOBA ESKİTME   </v>
          </cell>
          <cell r="F769" t="str">
            <v>9405.19.90.00.00</v>
          </cell>
          <cell r="G769" t="str">
            <v>APLİK</v>
          </cell>
          <cell r="H769" t="str">
            <v/>
          </cell>
          <cell r="I769" t="str">
            <v>İÇ</v>
          </cell>
          <cell r="J769" t="str">
            <v>APLİK</v>
          </cell>
          <cell r="K769" t="str">
            <v>ANGEL</v>
          </cell>
          <cell r="L769" t="str">
            <v/>
          </cell>
          <cell r="M769" t="str">
            <v/>
          </cell>
          <cell r="N769" t="str">
            <v/>
          </cell>
          <cell r="O769" t="str">
            <v>ISHI</v>
          </cell>
          <cell r="P769" t="str">
            <v>ADET</v>
          </cell>
          <cell r="Q769" t="str">
            <v>GU10</v>
          </cell>
          <cell r="R769" t="str">
            <v>AHŞAP</v>
          </cell>
          <cell r="S769" t="str">
            <v>JATOBA</v>
          </cell>
          <cell r="T769" t="str">
            <v>METAL</v>
          </cell>
          <cell r="U769" t="str">
            <v>ESKİTME</v>
          </cell>
          <cell r="AD769" t="str">
            <v>HAREKETLİ</v>
          </cell>
          <cell r="AE769" t="str">
            <v>04</v>
          </cell>
          <cell r="AF769">
            <v>19</v>
          </cell>
          <cell r="AG769" t="str">
            <v>ADET</v>
          </cell>
          <cell r="AH769">
            <v>370</v>
          </cell>
          <cell r="AI769" t="str">
            <v>TL</v>
          </cell>
          <cell r="AJ769">
            <v>5546</v>
          </cell>
          <cell r="AK769" t="str">
            <v>TL</v>
          </cell>
          <cell r="AL769">
            <v>1</v>
          </cell>
          <cell r="AM769" t="str">
            <v>8684127503327</v>
          </cell>
          <cell r="AO769">
            <v>0</v>
          </cell>
          <cell r="AQ769">
            <v>12.6</v>
          </cell>
          <cell r="AR769" t="str">
            <v>CM</v>
          </cell>
          <cell r="AS769">
            <v>99</v>
          </cell>
          <cell r="AT769" t="str">
            <v>CM</v>
          </cell>
          <cell r="AU769">
            <v>0</v>
          </cell>
          <cell r="AW769">
            <v>0</v>
          </cell>
        </row>
        <row r="770">
          <cell r="B770" t="str">
            <v>F1W5AAWJBRH-007</v>
          </cell>
          <cell r="C770" t="str">
            <v>VICTORIA TEKLİ AHŞAP &amp; BEYAZ APLİK</v>
          </cell>
          <cell r="D770" t="str">
            <v>VICTORIA SINGLE WOOD &amp; WHITE WALL LAMP</v>
          </cell>
          <cell r="E770" t="str">
            <v xml:space="preserve">AHŞAP METAL WENGE BEYAZ   </v>
          </cell>
          <cell r="F770" t="str">
            <v>9405.19.90.00.00</v>
          </cell>
          <cell r="G770" t="str">
            <v>APLİK</v>
          </cell>
          <cell r="H770" t="str">
            <v/>
          </cell>
          <cell r="I770" t="str">
            <v>İÇ</v>
          </cell>
          <cell r="J770" t="str">
            <v>APLİK</v>
          </cell>
          <cell r="K770" t="str">
            <v>VICTORIA</v>
          </cell>
          <cell r="L770" t="str">
            <v/>
          </cell>
          <cell r="M770" t="str">
            <v/>
          </cell>
          <cell r="N770" t="str">
            <v/>
          </cell>
          <cell r="O770" t="str">
            <v>ISHI</v>
          </cell>
          <cell r="P770" t="str">
            <v>ADET</v>
          </cell>
          <cell r="Q770" t="str">
            <v>GU10</v>
          </cell>
          <cell r="R770" t="str">
            <v>AHŞAP</v>
          </cell>
          <cell r="S770" t="str">
            <v>WENGE</v>
          </cell>
          <cell r="T770" t="str">
            <v>METAL</v>
          </cell>
          <cell r="U770" t="str">
            <v>BEYAZ</v>
          </cell>
          <cell r="AD770" t="str">
            <v>HAREKETLİ</v>
          </cell>
          <cell r="AE770" t="str">
            <v>01</v>
          </cell>
          <cell r="AF770">
            <v>30</v>
          </cell>
          <cell r="AG770" t="str">
            <v>ADET</v>
          </cell>
          <cell r="AH770">
            <v>100</v>
          </cell>
          <cell r="AI770" t="str">
            <v>TL</v>
          </cell>
          <cell r="AJ770">
            <v>1476</v>
          </cell>
          <cell r="AK770" t="str">
            <v>TL</v>
          </cell>
          <cell r="AL770">
            <v>1</v>
          </cell>
          <cell r="AM770" t="str">
            <v>8684127503495</v>
          </cell>
          <cell r="AO770">
            <v>0</v>
          </cell>
          <cell r="AQ770">
            <v>12.6</v>
          </cell>
          <cell r="AR770" t="str">
            <v>CM</v>
          </cell>
          <cell r="AS770">
            <v>7</v>
          </cell>
          <cell r="AT770" t="str">
            <v>CM</v>
          </cell>
          <cell r="AU770">
            <v>0</v>
          </cell>
          <cell r="AW770">
            <v>0</v>
          </cell>
        </row>
        <row r="771">
          <cell r="B771" t="str">
            <v>F1W5AAWJBRH-049</v>
          </cell>
          <cell r="C771" t="str">
            <v>VICTORIA İKİLİ AHŞAP &amp; BEYAZ APLİK</v>
          </cell>
          <cell r="D771" t="str">
            <v>VICTORIA DOUBLE WOOD &amp; WHITE WALL LAMP</v>
          </cell>
          <cell r="E771" t="str">
            <v xml:space="preserve">AHŞAP METAL WENGE BEYAZ   </v>
          </cell>
          <cell r="F771" t="str">
            <v>9405.19.90.00.00</v>
          </cell>
          <cell r="G771" t="str">
            <v>APLİK</v>
          </cell>
          <cell r="H771" t="str">
            <v/>
          </cell>
          <cell r="I771" t="str">
            <v>İÇ</v>
          </cell>
          <cell r="J771" t="str">
            <v>APLİK</v>
          </cell>
          <cell r="K771" t="str">
            <v>VICTORIA</v>
          </cell>
          <cell r="L771" t="str">
            <v/>
          </cell>
          <cell r="M771" t="str">
            <v/>
          </cell>
          <cell r="N771" t="str">
            <v/>
          </cell>
          <cell r="O771" t="str">
            <v>ISHI</v>
          </cell>
          <cell r="P771" t="str">
            <v>ADET</v>
          </cell>
          <cell r="Q771" t="str">
            <v>GU10</v>
          </cell>
          <cell r="R771" t="str">
            <v>AHŞAP</v>
          </cell>
          <cell r="S771" t="str">
            <v>WENGE</v>
          </cell>
          <cell r="T771" t="str">
            <v>METAL</v>
          </cell>
          <cell r="U771" t="str">
            <v>BEYAZ</v>
          </cell>
          <cell r="AD771" t="str">
            <v>HAREKETLİ</v>
          </cell>
          <cell r="AE771" t="str">
            <v>02</v>
          </cell>
          <cell r="AF771">
            <v>6</v>
          </cell>
          <cell r="AG771" t="str">
            <v>ADET</v>
          </cell>
          <cell r="AH771">
            <v>190</v>
          </cell>
          <cell r="AI771" t="str">
            <v>TL</v>
          </cell>
          <cell r="AJ771">
            <v>3047</v>
          </cell>
          <cell r="AK771" t="str">
            <v>TL</v>
          </cell>
          <cell r="AL771">
            <v>1</v>
          </cell>
          <cell r="AM771" t="str">
            <v>8684127503501</v>
          </cell>
          <cell r="AO771">
            <v>0</v>
          </cell>
          <cell r="AQ771">
            <v>12.6</v>
          </cell>
          <cell r="AR771" t="str">
            <v>CM</v>
          </cell>
          <cell r="AS771">
            <v>49</v>
          </cell>
          <cell r="AT771" t="str">
            <v>CM</v>
          </cell>
          <cell r="AU771">
            <v>0</v>
          </cell>
          <cell r="AW771">
            <v>0</v>
          </cell>
        </row>
        <row r="772">
          <cell r="B772" t="str">
            <v>F1W5AA1JBRH-099</v>
          </cell>
          <cell r="C772" t="str">
            <v>NIAGARA DÖRTLÜ AHŞAP &amp; BEYAZ APLİK</v>
          </cell>
          <cell r="D772" t="str">
            <v>NIAGARA QUATERNARY WOOD &amp; WHITE WALL LAMP</v>
          </cell>
          <cell r="E772" t="str">
            <v xml:space="preserve">AHŞAP METAL ANTİK MEŞE BEYAZ   </v>
          </cell>
          <cell r="F772" t="str">
            <v>9405.19.90.00.00</v>
          </cell>
          <cell r="G772" t="str">
            <v>APLİK</v>
          </cell>
          <cell r="H772" t="str">
            <v/>
          </cell>
          <cell r="I772" t="str">
            <v>İÇ</v>
          </cell>
          <cell r="J772" t="str">
            <v>APLİK</v>
          </cell>
          <cell r="K772" t="str">
            <v>NIAGARA</v>
          </cell>
          <cell r="L772" t="str">
            <v/>
          </cell>
          <cell r="M772" t="str">
            <v/>
          </cell>
          <cell r="N772" t="str">
            <v/>
          </cell>
          <cell r="O772" t="str">
            <v>ISHI</v>
          </cell>
          <cell r="P772" t="str">
            <v>ADET</v>
          </cell>
          <cell r="Q772" t="str">
            <v>GU10</v>
          </cell>
          <cell r="R772" t="str">
            <v>AHŞAP</v>
          </cell>
          <cell r="S772" t="str">
            <v>ANTİK MEŞE</v>
          </cell>
          <cell r="T772" t="str">
            <v>METAL</v>
          </cell>
          <cell r="U772" t="str">
            <v>BEYAZ</v>
          </cell>
          <cell r="AD772" t="str">
            <v>HAREKETLİ</v>
          </cell>
          <cell r="AE772" t="str">
            <v>04</v>
          </cell>
          <cell r="AF772">
            <v>8</v>
          </cell>
          <cell r="AG772" t="str">
            <v>ADET</v>
          </cell>
          <cell r="AH772">
            <v>370</v>
          </cell>
          <cell r="AI772" t="str">
            <v>TL</v>
          </cell>
          <cell r="AJ772">
            <v>5546</v>
          </cell>
          <cell r="AK772" t="str">
            <v>TL</v>
          </cell>
          <cell r="AL772">
            <v>1</v>
          </cell>
          <cell r="AM772" t="str">
            <v>8684127503648</v>
          </cell>
          <cell r="AO772">
            <v>0</v>
          </cell>
          <cell r="AQ772">
            <v>12.6</v>
          </cell>
          <cell r="AR772" t="str">
            <v>CM</v>
          </cell>
          <cell r="AS772">
            <v>99</v>
          </cell>
          <cell r="AT772" t="str">
            <v>CM</v>
          </cell>
          <cell r="AU772">
            <v>0</v>
          </cell>
          <cell r="AW772">
            <v>0</v>
          </cell>
        </row>
        <row r="773">
          <cell r="B773" t="str">
            <v>H1T3JMEERL0-052</v>
          </cell>
          <cell r="C773" t="str">
            <v>BENİN BAL CAM ESKİTME MASA LAMBASI</v>
          </cell>
          <cell r="D773" t="str">
            <v>BENİN AMBER GLASS BRUSHED BRASS TABLE LAMP</v>
          </cell>
          <cell r="E773" t="str">
            <v xml:space="preserve">METAL CAM  ESKİTME BAL   </v>
          </cell>
          <cell r="F773" t="str">
            <v/>
          </cell>
          <cell r="G773" t="str">
            <v>MASAABAJ</v>
          </cell>
          <cell r="H773" t="str">
            <v/>
          </cell>
          <cell r="I773" t="str">
            <v>İÇ</v>
          </cell>
          <cell r="J773" t="str">
            <v>MASAABAJ</v>
          </cell>
          <cell r="K773" t="str">
            <v>BENİN</v>
          </cell>
          <cell r="L773" t="str">
            <v/>
          </cell>
          <cell r="M773" t="str">
            <v>ÜRTM:15GÜN</v>
          </cell>
          <cell r="N773" t="str">
            <v/>
          </cell>
          <cell r="O773" t="str">
            <v>HEKA</v>
          </cell>
          <cell r="P773" t="str">
            <v>ADET</v>
          </cell>
          <cell r="Q773" t="str">
            <v>E14</v>
          </cell>
          <cell r="R773" t="str">
            <v>METAL</v>
          </cell>
          <cell r="S773" t="str">
            <v>ESKİTME</v>
          </cell>
          <cell r="T773" t="str">
            <v>CAM</v>
          </cell>
          <cell r="U773" t="str">
            <v>BAL</v>
          </cell>
          <cell r="AE773" t="str">
            <v>02</v>
          </cell>
          <cell r="AF773">
            <v>0</v>
          </cell>
          <cell r="AG773" t="str">
            <v>ADET</v>
          </cell>
          <cell r="AJ773">
            <v>2750</v>
          </cell>
          <cell r="AK773" t="str">
            <v>TL</v>
          </cell>
          <cell r="AL773">
            <v>1</v>
          </cell>
          <cell r="AM773" t="str">
            <v>8684127510110</v>
          </cell>
          <cell r="AO773">
            <v>0</v>
          </cell>
          <cell r="AQ773">
            <v>25</v>
          </cell>
          <cell r="AR773" t="str">
            <v>CM</v>
          </cell>
          <cell r="AS773">
            <v>52</v>
          </cell>
          <cell r="AT773" t="str">
            <v>CM</v>
          </cell>
          <cell r="AU773">
            <v>0</v>
          </cell>
          <cell r="AW773">
            <v>0</v>
          </cell>
        </row>
        <row r="774">
          <cell r="B774" t="str">
            <v>250-CAM-FUME</v>
          </cell>
          <cell r="C774" t="str">
            <v>BATUR DİŞLİ FÜME CAM 25 cm</v>
          </cell>
          <cell r="D774" t="str">
            <v>THREADED SMOKY GLASS 25 cm</v>
          </cell>
          <cell r="E774" t="str">
            <v/>
          </cell>
          <cell r="F774" t="str">
            <v/>
          </cell>
          <cell r="G774" t="str">
            <v>AVİZE</v>
          </cell>
          <cell r="H774" t="str">
            <v>250A-FÜME</v>
          </cell>
          <cell r="I774" t="str">
            <v>İÇ</v>
          </cell>
          <cell r="J774" t="str">
            <v>AVİZE.SARK</v>
          </cell>
          <cell r="K774" t="str">
            <v>BATUR</v>
          </cell>
          <cell r="L774" t="str">
            <v/>
          </cell>
          <cell r="M774" t="str">
            <v/>
          </cell>
          <cell r="N774" t="str">
            <v/>
          </cell>
          <cell r="O774" t="str">
            <v>HEKA</v>
          </cell>
          <cell r="P774" t="str">
            <v>ADET</v>
          </cell>
          <cell r="R774" t="str">
            <v>CAM</v>
          </cell>
          <cell r="S774" t="str">
            <v>FÜME</v>
          </cell>
          <cell r="AF774">
            <v>2</v>
          </cell>
          <cell r="AG774" t="str">
            <v>ADET</v>
          </cell>
          <cell r="AH774">
            <v>34</v>
          </cell>
          <cell r="AI774" t="str">
            <v>CNY</v>
          </cell>
          <cell r="AJ774">
            <v>2628</v>
          </cell>
          <cell r="AK774" t="str">
            <v>TL</v>
          </cell>
          <cell r="AL774">
            <v>1</v>
          </cell>
          <cell r="AM774" t="str">
            <v>250-CAM-FUME</v>
          </cell>
          <cell r="AO774">
            <v>0</v>
          </cell>
          <cell r="AQ774">
            <v>0</v>
          </cell>
          <cell r="AS774">
            <v>0</v>
          </cell>
          <cell r="AU774">
            <v>0</v>
          </cell>
          <cell r="AW774">
            <v>0</v>
          </cell>
        </row>
        <row r="775">
          <cell r="B775" t="str">
            <v>250-CAM-SEFFAF</v>
          </cell>
          <cell r="C775" t="str">
            <v>BATUR DİŞLİ ŞEFFAF CAM 25 cm</v>
          </cell>
          <cell r="D775" t="str">
            <v>THREADED CLEAR GLASS 25 cm</v>
          </cell>
          <cell r="E775" t="str">
            <v/>
          </cell>
          <cell r="F775" t="str">
            <v/>
          </cell>
          <cell r="G775" t="str">
            <v>AVİZE</v>
          </cell>
          <cell r="H775" t="str">
            <v>250A-ŞEFFAF</v>
          </cell>
          <cell r="I775" t="str">
            <v>İÇ</v>
          </cell>
          <cell r="J775" t="str">
            <v>AVİZE.SARK</v>
          </cell>
          <cell r="K775" t="str">
            <v>BATUR</v>
          </cell>
          <cell r="L775" t="str">
            <v/>
          </cell>
          <cell r="M775" t="str">
            <v/>
          </cell>
          <cell r="N775" t="str">
            <v/>
          </cell>
          <cell r="O775" t="str">
            <v>HEKA</v>
          </cell>
          <cell r="P775" t="str">
            <v>ADET</v>
          </cell>
          <cell r="R775" t="str">
            <v>CAM</v>
          </cell>
          <cell r="S775" t="str">
            <v>ŞEFFAF</v>
          </cell>
          <cell r="AF775">
            <v>2</v>
          </cell>
          <cell r="AG775" t="str">
            <v>ADET</v>
          </cell>
          <cell r="AH775">
            <v>31</v>
          </cell>
          <cell r="AI775" t="str">
            <v>CNY</v>
          </cell>
          <cell r="AJ775">
            <v>2628</v>
          </cell>
          <cell r="AK775" t="str">
            <v>TL</v>
          </cell>
          <cell r="AL775">
            <v>1</v>
          </cell>
          <cell r="AM775" t="str">
            <v>250-CAM-SEFFAF</v>
          </cell>
          <cell r="AO775">
            <v>0</v>
          </cell>
          <cell r="AQ775">
            <v>0</v>
          </cell>
          <cell r="AS775">
            <v>0</v>
          </cell>
          <cell r="AU775">
            <v>0</v>
          </cell>
          <cell r="AW775">
            <v>0</v>
          </cell>
        </row>
        <row r="776">
          <cell r="B776" t="str">
            <v>H1T6JMGECTR-025</v>
          </cell>
          <cell r="C776" t="str">
            <v>APPLE OPAL CAM MASA LAMBASI 25cm</v>
          </cell>
          <cell r="D776" t="str">
            <v>APPLE OPAL GLASS TABLE LAMP 25cm</v>
          </cell>
          <cell r="E776" t="str">
            <v xml:space="preserve">METAL CAM  GOLD SOFT   </v>
          </cell>
          <cell r="F776" t="str">
            <v>9405.21.90.00.00</v>
          </cell>
          <cell r="G776" t="str">
            <v>MASA LAMBASI</v>
          </cell>
          <cell r="H776" t="str">
            <v>T1M6112100-25</v>
          </cell>
          <cell r="I776" t="str">
            <v>İÇ</v>
          </cell>
          <cell r="J776" t="str">
            <v>MASAABAJ</v>
          </cell>
          <cell r="K776" t="str">
            <v>APPLE</v>
          </cell>
          <cell r="L776" t="str">
            <v/>
          </cell>
          <cell r="M776" t="str">
            <v>ÜRTM:15GÜN</v>
          </cell>
          <cell r="N776" t="str">
            <v>HK20067</v>
          </cell>
          <cell r="O776" t="str">
            <v>HEKA</v>
          </cell>
          <cell r="P776" t="str">
            <v>ADET</v>
          </cell>
          <cell r="Q776" t="str">
            <v>LED</v>
          </cell>
          <cell r="R776" t="str">
            <v>METAL</v>
          </cell>
          <cell r="S776" t="str">
            <v>GOLD</v>
          </cell>
          <cell r="T776" t="str">
            <v>CAM</v>
          </cell>
          <cell r="U776" t="str">
            <v>SOFT</v>
          </cell>
          <cell r="AD776" t="str">
            <v>DAİRE</v>
          </cell>
          <cell r="AF776">
            <v>1</v>
          </cell>
          <cell r="AG776" t="str">
            <v>ADET</v>
          </cell>
          <cell r="AH776">
            <v>500</v>
          </cell>
          <cell r="AI776" t="str">
            <v>TL</v>
          </cell>
          <cell r="AJ776">
            <v>10950</v>
          </cell>
          <cell r="AK776" t="str">
            <v>TL</v>
          </cell>
          <cell r="AL776">
            <v>1</v>
          </cell>
          <cell r="AM776" t="str">
            <v>8684127508537</v>
          </cell>
          <cell r="AO776">
            <v>0</v>
          </cell>
          <cell r="AQ776">
            <v>25</v>
          </cell>
          <cell r="AR776" t="str">
            <v>CM</v>
          </cell>
          <cell r="AS776">
            <v>25</v>
          </cell>
          <cell r="AT776" t="str">
            <v>CM</v>
          </cell>
          <cell r="AU776">
            <v>0</v>
          </cell>
          <cell r="AW776">
            <v>0</v>
          </cell>
        </row>
        <row r="777">
          <cell r="B777" t="str">
            <v>F1C2AAMDRBR-060</v>
          </cell>
          <cell r="C777" t="str">
            <v>PAPIRUS BÜYÜK MEŞE SARKIT</v>
          </cell>
          <cell r="D777" t="str">
            <v>PAPIRUS LARGE OAK PENDANT</v>
          </cell>
          <cell r="E777" t="str">
            <v xml:space="preserve">AHŞAP BETON MEŞE BEYAZ   </v>
          </cell>
          <cell r="F777" t="str">
            <v>9405.19.90.00.00</v>
          </cell>
          <cell r="G777" t="str">
            <v>AVİZE</v>
          </cell>
          <cell r="H777" t="str">
            <v>F1A2737500-60</v>
          </cell>
          <cell r="I777" t="str">
            <v>İÇ</v>
          </cell>
          <cell r="J777" t="str">
            <v>AVİZE.SARK</v>
          </cell>
          <cell r="K777" t="str">
            <v>PAPIRUS</v>
          </cell>
          <cell r="L777" t="str">
            <v/>
          </cell>
          <cell r="M777" t="str">
            <v>ÜRTM:15GÜN</v>
          </cell>
          <cell r="N777" t="str">
            <v>1019-ML-12</v>
          </cell>
          <cell r="O777" t="str">
            <v>ISHI</v>
          </cell>
          <cell r="P777" t="str">
            <v>ADET</v>
          </cell>
          <cell r="Q777" t="str">
            <v>E27</v>
          </cell>
          <cell r="R777" t="str">
            <v>AHŞAP</v>
          </cell>
          <cell r="S777" t="str">
            <v>MEŞE</v>
          </cell>
          <cell r="T777" t="str">
            <v>BETON</v>
          </cell>
          <cell r="U777" t="str">
            <v>BEYAZ</v>
          </cell>
          <cell r="AD777" t="str">
            <v>DAİRE</v>
          </cell>
          <cell r="AE777" t="str">
            <v>01</v>
          </cell>
          <cell r="AF777">
            <v>2</v>
          </cell>
          <cell r="AG777" t="str">
            <v>ADET</v>
          </cell>
          <cell r="AH777">
            <v>2449.5</v>
          </cell>
          <cell r="AI777" t="str">
            <v>TL</v>
          </cell>
          <cell r="AJ777">
            <v>11615</v>
          </cell>
          <cell r="AK777" t="str">
            <v>TL</v>
          </cell>
          <cell r="AL777">
            <v>0</v>
          </cell>
          <cell r="AM777" t="str">
            <v>8684127507561</v>
          </cell>
          <cell r="AO777">
            <v>0</v>
          </cell>
          <cell r="AQ777">
            <v>40</v>
          </cell>
          <cell r="AR777" t="str">
            <v>CM</v>
          </cell>
          <cell r="AS777">
            <v>60</v>
          </cell>
          <cell r="AT777" t="str">
            <v>CM</v>
          </cell>
          <cell r="AU777">
            <v>0</v>
          </cell>
          <cell r="AW777">
            <v>0</v>
          </cell>
        </row>
        <row r="778">
          <cell r="B778" t="str">
            <v>T1T6JMEERL0-063</v>
          </cell>
          <cell r="C778" t="str">
            <v>HOBART 3 LÜ BAL CAMLI ESKİTME MASA LAMBASI</v>
          </cell>
          <cell r="D778" t="str">
            <v>HOBART AMBER GLASS BRASS TABLE LAMP 3 BULB</v>
          </cell>
          <cell r="E778" t="str">
            <v>METAL CAM ESKİTME BAL</v>
          </cell>
          <cell r="F778" t="str">
            <v>9405.11.90.00.00</v>
          </cell>
          <cell r="G778" t="str">
            <v>MASA LAMBASI</v>
          </cell>
          <cell r="H778" t="str">
            <v>T1M6112300-03</v>
          </cell>
          <cell r="I778" t="str">
            <v>İÇ</v>
          </cell>
          <cell r="J778" t="str">
            <v>MASAABAJ</v>
          </cell>
          <cell r="K778" t="str">
            <v>HOBART</v>
          </cell>
          <cell r="L778" t="str">
            <v/>
          </cell>
          <cell r="M778" t="str">
            <v>ÜRTM:15GÜN</v>
          </cell>
          <cell r="N778" t="str">
            <v/>
          </cell>
          <cell r="O778" t="str">
            <v>HEKA</v>
          </cell>
          <cell r="P778" t="str">
            <v>ADET</v>
          </cell>
          <cell r="Q778" t="str">
            <v>LED</v>
          </cell>
          <cell r="R778" t="str">
            <v>METAL</v>
          </cell>
          <cell r="S778" t="str">
            <v>ESKİTME</v>
          </cell>
          <cell r="T778" t="str">
            <v>CAM</v>
          </cell>
          <cell r="U778" t="str">
            <v>BAL</v>
          </cell>
          <cell r="AD778" t="str">
            <v>N/A</v>
          </cell>
          <cell r="AE778" t="str">
            <v>04</v>
          </cell>
          <cell r="AF778">
            <v>0</v>
          </cell>
          <cell r="AG778" t="str">
            <v>ADET</v>
          </cell>
          <cell r="AJ778">
            <v>15500</v>
          </cell>
          <cell r="AK778" t="str">
            <v>TL</v>
          </cell>
          <cell r="AL778">
            <v>1</v>
          </cell>
          <cell r="AM778" t="str">
            <v>8684127505376</v>
          </cell>
          <cell r="AO778">
            <v>0</v>
          </cell>
          <cell r="AQ778">
            <v>19</v>
          </cell>
          <cell r="AR778" t="str">
            <v>CM</v>
          </cell>
          <cell r="AS778">
            <v>63</v>
          </cell>
          <cell r="AT778" t="str">
            <v>CM</v>
          </cell>
          <cell r="AU778">
            <v>0</v>
          </cell>
          <cell r="AW778">
            <v>0</v>
          </cell>
        </row>
        <row r="779">
          <cell r="B779" t="str">
            <v>T1F6JRSERF0-182</v>
          </cell>
          <cell r="C779" t="str">
            <v>HOBART 6 LI FÜME CAMLI SİYAH LAMBADER</v>
          </cell>
          <cell r="D779" t="str">
            <v>HOBART SMOKY GLASS BLACK FLOOR LAMP 6 BULB</v>
          </cell>
          <cell r="E779" t="str">
            <v>METAL CAM SİYAH FÜME</v>
          </cell>
          <cell r="F779" t="str">
            <v>9405.11.90.00.00</v>
          </cell>
          <cell r="G779" t="str">
            <v>LAMBADER</v>
          </cell>
          <cell r="H779" t="str">
            <v>T1L6142200-06</v>
          </cell>
          <cell r="I779" t="str">
            <v>İÇ</v>
          </cell>
          <cell r="J779" t="str">
            <v>LAMBADER</v>
          </cell>
          <cell r="K779" t="str">
            <v>HOBART</v>
          </cell>
          <cell r="L779" t="str">
            <v/>
          </cell>
          <cell r="M779" t="str">
            <v>ÜRTM:15GÜN</v>
          </cell>
          <cell r="N779" t="str">
            <v/>
          </cell>
          <cell r="O779" t="str">
            <v>HEKA</v>
          </cell>
          <cell r="P779" t="str">
            <v>ADET</v>
          </cell>
          <cell r="Q779" t="str">
            <v>LED</v>
          </cell>
          <cell r="R779" t="str">
            <v>METAL</v>
          </cell>
          <cell r="S779" t="str">
            <v>SİYAH</v>
          </cell>
          <cell r="T779" t="str">
            <v>CAM</v>
          </cell>
          <cell r="U779" t="str">
            <v>FÜME</v>
          </cell>
          <cell r="AD779" t="str">
            <v>N/A</v>
          </cell>
          <cell r="AE779" t="str">
            <v>07</v>
          </cell>
          <cell r="AF779">
            <v>0</v>
          </cell>
          <cell r="AG779" t="str">
            <v>ADET</v>
          </cell>
          <cell r="AJ779">
            <v>35500</v>
          </cell>
          <cell r="AK779" t="str">
            <v>TL</v>
          </cell>
          <cell r="AL779">
            <v>1</v>
          </cell>
          <cell r="AM779" t="str">
            <v>8684127509817</v>
          </cell>
          <cell r="AO779">
            <v>0</v>
          </cell>
          <cell r="AQ779">
            <v>32</v>
          </cell>
          <cell r="AR779" t="str">
            <v>CM</v>
          </cell>
          <cell r="AS779">
            <v>182</v>
          </cell>
          <cell r="AT779" t="str">
            <v>CM</v>
          </cell>
          <cell r="AU779">
            <v>0</v>
          </cell>
          <cell r="AW779">
            <v>0</v>
          </cell>
        </row>
        <row r="780">
          <cell r="B780" t="str">
            <v>H1W6JMEPRB0-042</v>
          </cell>
          <cell r="C780" t="str">
            <v>NİŞ LED APLİK</v>
          </cell>
          <cell r="D780" t="str">
            <v>NİŞ LED WALL LAMP</v>
          </cell>
          <cell r="E780" t="str">
            <v>METAL SİLİKON ESKİTME BEYAZ</v>
          </cell>
          <cell r="F780" t="str">
            <v>9405.19.90.00.00</v>
          </cell>
          <cell r="G780" t="str">
            <v>APLİK</v>
          </cell>
          <cell r="H780" t="str">
            <v>H1W6JGP20-042</v>
          </cell>
          <cell r="I780" t="str">
            <v>İÇ</v>
          </cell>
          <cell r="J780" t="str">
            <v>APLİK</v>
          </cell>
          <cell r="K780" t="str">
            <v>NİŞ</v>
          </cell>
          <cell r="L780" t="str">
            <v/>
          </cell>
          <cell r="M780" t="str">
            <v/>
          </cell>
          <cell r="N780" t="str">
            <v/>
          </cell>
          <cell r="O780" t="str">
            <v>HEKA</v>
          </cell>
          <cell r="P780" t="str">
            <v>ADET</v>
          </cell>
          <cell r="Q780" t="str">
            <v>LED</v>
          </cell>
          <cell r="R780" t="str">
            <v>METAL</v>
          </cell>
          <cell r="S780" t="str">
            <v>ESKİTME</v>
          </cell>
          <cell r="T780" t="str">
            <v>SİLİKON</v>
          </cell>
          <cell r="U780" t="str">
            <v>BEYAZ</v>
          </cell>
          <cell r="AD780" t="str">
            <v>N/A</v>
          </cell>
          <cell r="AE780" t="str">
            <v>01</v>
          </cell>
          <cell r="AF780">
            <v>0</v>
          </cell>
          <cell r="AG780" t="str">
            <v>ADET</v>
          </cell>
          <cell r="AH780">
            <v>450</v>
          </cell>
          <cell r="AI780" t="str">
            <v>TL</v>
          </cell>
          <cell r="AJ780">
            <v>1350</v>
          </cell>
          <cell r="AK780" t="str">
            <v>TL</v>
          </cell>
          <cell r="AL780">
            <v>1</v>
          </cell>
          <cell r="AM780" t="str">
            <v>8684127509893</v>
          </cell>
          <cell r="AO780">
            <v>0</v>
          </cell>
          <cell r="AQ780">
            <v>0</v>
          </cell>
          <cell r="AR780" t="str">
            <v>CM</v>
          </cell>
          <cell r="AS780">
            <v>0</v>
          </cell>
          <cell r="AT780" t="str">
            <v>CM</v>
          </cell>
          <cell r="AU780">
            <v>0</v>
          </cell>
          <cell r="AW780">
            <v>0</v>
          </cell>
        </row>
        <row r="781">
          <cell r="B781" t="str">
            <v>F1C5DRK000U-023</v>
          </cell>
          <cell r="C781" t="str">
            <v>CONE BETON KIRMIZI SARKIT</v>
          </cell>
          <cell r="D781" t="str">
            <v>CONE CONCRETE RED PENDANT</v>
          </cell>
          <cell r="E781" t="str">
            <v xml:space="preserve">BETON YOK KIRMIZI YOK   </v>
          </cell>
          <cell r="F781" t="str">
            <v>9405.19.90.00.00</v>
          </cell>
          <cell r="G781" t="str">
            <v>AVİZE</v>
          </cell>
          <cell r="H781" t="str">
            <v/>
          </cell>
          <cell r="I781" t="str">
            <v>İÇ</v>
          </cell>
          <cell r="J781" t="str">
            <v>AVİZE.SARK</v>
          </cell>
          <cell r="K781" t="str">
            <v>CONE</v>
          </cell>
          <cell r="L781" t="str">
            <v>Ç</v>
          </cell>
          <cell r="M781" t="str">
            <v>ÜRTM:15GÜN</v>
          </cell>
          <cell r="N781" t="str">
            <v>1001-RC</v>
          </cell>
          <cell r="O781" t="str">
            <v>ISHI</v>
          </cell>
          <cell r="P781" t="str">
            <v>ADET</v>
          </cell>
          <cell r="Q781" t="str">
            <v>GU10</v>
          </cell>
          <cell r="R781" t="str">
            <v>BETON</v>
          </cell>
          <cell r="S781" t="str">
            <v>KIRMIZI</v>
          </cell>
          <cell r="T781" t="str">
            <v>YOK</v>
          </cell>
          <cell r="U781" t="str">
            <v>YOK</v>
          </cell>
          <cell r="AD781" t="str">
            <v>ÜÇGEN</v>
          </cell>
          <cell r="AE781" t="str">
            <v>01</v>
          </cell>
          <cell r="AF781">
            <v>11</v>
          </cell>
          <cell r="AG781" t="str">
            <v>ADET</v>
          </cell>
          <cell r="AH781">
            <v>966</v>
          </cell>
          <cell r="AI781" t="str">
            <v>TL</v>
          </cell>
          <cell r="AJ781">
            <v>4927</v>
          </cell>
          <cell r="AK781" t="str">
            <v>TL</v>
          </cell>
          <cell r="AL781">
            <v>1</v>
          </cell>
          <cell r="AM781" t="str">
            <v>8684127509091</v>
          </cell>
          <cell r="AO781">
            <v>0</v>
          </cell>
          <cell r="AQ781">
            <v>16</v>
          </cell>
          <cell r="AR781" t="str">
            <v>CM</v>
          </cell>
          <cell r="AS781">
            <v>23</v>
          </cell>
          <cell r="AT781" t="str">
            <v>CM</v>
          </cell>
          <cell r="AU781">
            <v>0</v>
          </cell>
          <cell r="AW781">
            <v>0</v>
          </cell>
        </row>
        <row r="782">
          <cell r="B782" t="str">
            <v>F1C5DRK000A-015</v>
          </cell>
          <cell r="C782" t="str">
            <v>TOPPU BETON KIRMIZI AÇILI SARKIT</v>
          </cell>
          <cell r="D782" t="str">
            <v>TOPPU CONCRETE RED ANGLED PENDANT</v>
          </cell>
          <cell r="E782" t="str">
            <v xml:space="preserve">BETON YOK KIRMIZI YOK   </v>
          </cell>
          <cell r="F782" t="str">
            <v>9405.19.90.00.00</v>
          </cell>
          <cell r="G782" t="str">
            <v>AVİZE</v>
          </cell>
          <cell r="H782" t="str">
            <v/>
          </cell>
          <cell r="I782" t="str">
            <v>İÇ</v>
          </cell>
          <cell r="J782" t="str">
            <v>AVİZE.SARK</v>
          </cell>
          <cell r="K782" t="str">
            <v>TOPPU</v>
          </cell>
          <cell r="L782" t="str">
            <v/>
          </cell>
          <cell r="M782" t="str">
            <v>ÜRTM:15GÜN</v>
          </cell>
          <cell r="N782" t="str">
            <v>1002-RC-A</v>
          </cell>
          <cell r="O782" t="str">
            <v>ISHI</v>
          </cell>
          <cell r="P782" t="str">
            <v>ADET</v>
          </cell>
          <cell r="Q782" t="str">
            <v>GU10</v>
          </cell>
          <cell r="R782" t="str">
            <v>BETON</v>
          </cell>
          <cell r="S782" t="str">
            <v>KIRMIZI</v>
          </cell>
          <cell r="T782" t="str">
            <v>YOK</v>
          </cell>
          <cell r="U782" t="str">
            <v>YOK</v>
          </cell>
          <cell r="AD782" t="str">
            <v>AÇILI</v>
          </cell>
          <cell r="AE782" t="str">
            <v>01</v>
          </cell>
          <cell r="AF782">
            <v>1</v>
          </cell>
          <cell r="AG782" t="str">
            <v>ADET</v>
          </cell>
          <cell r="AH782">
            <v>1046.5</v>
          </cell>
          <cell r="AI782" t="str">
            <v>TL</v>
          </cell>
          <cell r="AJ782">
            <v>5426</v>
          </cell>
          <cell r="AK782" t="str">
            <v>TL</v>
          </cell>
          <cell r="AL782">
            <v>1</v>
          </cell>
          <cell r="AM782" t="str">
            <v>8684127509114</v>
          </cell>
          <cell r="AO782">
            <v>0</v>
          </cell>
          <cell r="AQ782">
            <v>15</v>
          </cell>
          <cell r="AR782" t="str">
            <v>CM</v>
          </cell>
          <cell r="AS782">
            <v>15</v>
          </cell>
          <cell r="AT782" t="str">
            <v>CM</v>
          </cell>
          <cell r="AU782">
            <v>0</v>
          </cell>
          <cell r="AW782">
            <v>0</v>
          </cell>
        </row>
        <row r="783">
          <cell r="B783" t="str">
            <v>H1W6JMEWRB0-050</v>
          </cell>
          <cell r="C783" t="str">
            <v>LİON MERMER ESKİTME APLİK 50cm</v>
          </cell>
          <cell r="D783" t="str">
            <v>LİON MARBLE BRUSHED BRASS WALL LAMP 50cm</v>
          </cell>
          <cell r="E783" t="str">
            <v xml:space="preserve">METAL MERMER ESKİTME BEYAZ   </v>
          </cell>
          <cell r="F783" t="str">
            <v>9405.11.90.00.00</v>
          </cell>
          <cell r="G783" t="str">
            <v>APLİK</v>
          </cell>
          <cell r="H783" t="str">
            <v/>
          </cell>
          <cell r="I783" t="str">
            <v>İÇ</v>
          </cell>
          <cell r="J783" t="str">
            <v>APLİK</v>
          </cell>
          <cell r="K783" t="str">
            <v>LİON</v>
          </cell>
          <cell r="L783" t="str">
            <v/>
          </cell>
          <cell r="M783" t="str">
            <v/>
          </cell>
          <cell r="N783" t="str">
            <v>2005-50-W</v>
          </cell>
          <cell r="O783" t="str">
            <v>HEKA</v>
          </cell>
          <cell r="P783" t="str">
            <v>ADET</v>
          </cell>
          <cell r="Q783" t="str">
            <v>LED</v>
          </cell>
          <cell r="R783" t="str">
            <v>METAL</v>
          </cell>
          <cell r="S783" t="str">
            <v>ESKİTME</v>
          </cell>
          <cell r="T783" t="str">
            <v>MERMER</v>
          </cell>
          <cell r="U783" t="str">
            <v>BEYAZ</v>
          </cell>
          <cell r="AD783" t="str">
            <v>N/A</v>
          </cell>
          <cell r="AE783" t="str">
            <v>01</v>
          </cell>
          <cell r="AF783">
            <v>1</v>
          </cell>
          <cell r="AG783" t="str">
            <v>ADET</v>
          </cell>
          <cell r="AJ783">
            <v>19320</v>
          </cell>
          <cell r="AK783" t="str">
            <v>TL</v>
          </cell>
          <cell r="AL783">
            <v>1</v>
          </cell>
          <cell r="AM783" t="str">
            <v>8684127504836</v>
          </cell>
          <cell r="AO783">
            <v>0</v>
          </cell>
          <cell r="AQ783">
            <v>0</v>
          </cell>
          <cell r="AR783" t="str">
            <v>CM</v>
          </cell>
          <cell r="AS783">
            <v>0</v>
          </cell>
          <cell r="AT783" t="str">
            <v>CM</v>
          </cell>
          <cell r="AU783">
            <v>0</v>
          </cell>
          <cell r="AW783">
            <v>0</v>
          </cell>
        </row>
        <row r="784">
          <cell r="B784" t="str">
            <v>T1C1JMKERFD-050</v>
          </cell>
          <cell r="C784" t="str">
            <v>MİNA ÜÇLÜ FÜME CAM KROM AVİZE</v>
          </cell>
          <cell r="D784" t="str">
            <v>MİNA TRIPLE SMOKY GLASS CHROME CHANDELIER</v>
          </cell>
          <cell r="E784" t="str">
            <v xml:space="preserve">METAL CAM  KROM FÜME   </v>
          </cell>
          <cell r="F784" t="str">
            <v/>
          </cell>
          <cell r="G784" t="str">
            <v>AVİZE</v>
          </cell>
          <cell r="H784" t="str">
            <v/>
          </cell>
          <cell r="I784" t="str">
            <v>İÇ</v>
          </cell>
          <cell r="J784" t="str">
            <v>AVİZE.AVİZ</v>
          </cell>
          <cell r="K784" t="str">
            <v>MİNA</v>
          </cell>
          <cell r="L784" t="str">
            <v/>
          </cell>
          <cell r="M784" t="str">
            <v/>
          </cell>
          <cell r="N784" t="str">
            <v>AD-103 - TYH-F</v>
          </cell>
          <cell r="O784" t="str">
            <v>HEKA</v>
          </cell>
          <cell r="P784" t="str">
            <v>ADET</v>
          </cell>
          <cell r="Q784" t="str">
            <v>E14</v>
          </cell>
          <cell r="R784" t="str">
            <v>METAL</v>
          </cell>
          <cell r="S784" t="str">
            <v>KROM</v>
          </cell>
          <cell r="T784" t="str">
            <v>CAM</v>
          </cell>
          <cell r="U784" t="str">
            <v>FÜME</v>
          </cell>
          <cell r="AD784" t="str">
            <v>DİKDÖRTGEN</v>
          </cell>
          <cell r="AE784" t="str">
            <v>03</v>
          </cell>
          <cell r="AF784">
            <v>24</v>
          </cell>
          <cell r="AG784" t="str">
            <v>ADET</v>
          </cell>
          <cell r="AJ784">
            <v>2410</v>
          </cell>
          <cell r="AK784" t="str">
            <v>TL</v>
          </cell>
          <cell r="AL784">
            <v>1</v>
          </cell>
          <cell r="AM784" t="str">
            <v>8684127504997</v>
          </cell>
          <cell r="AO784">
            <v>0</v>
          </cell>
          <cell r="AQ784">
            <v>0</v>
          </cell>
          <cell r="AR784" t="str">
            <v>CM</v>
          </cell>
          <cell r="AS784">
            <v>0</v>
          </cell>
          <cell r="AT784" t="str">
            <v>CM</v>
          </cell>
          <cell r="AU784">
            <v>0</v>
          </cell>
          <cell r="AW784">
            <v>0</v>
          </cell>
        </row>
        <row r="785">
          <cell r="B785" t="str">
            <v>T1C1JMKERLR-050</v>
          </cell>
          <cell r="C785" t="str">
            <v>MİNA 12 Lİ BAL CAM KROM SALON AVİZE</v>
          </cell>
          <cell r="D785" t="str">
            <v>MİNA AMBER GLASS CHROME LIVING ROOM CHANDELIER 12</v>
          </cell>
          <cell r="E785" t="str">
            <v xml:space="preserve">METAL CAM  KROM BAL   </v>
          </cell>
          <cell r="F785" t="str">
            <v/>
          </cell>
          <cell r="G785" t="str">
            <v>AVİZE</v>
          </cell>
          <cell r="H785" t="str">
            <v/>
          </cell>
          <cell r="I785" t="str">
            <v>İÇ</v>
          </cell>
          <cell r="J785" t="str">
            <v>AVİZE.AVİZ</v>
          </cell>
          <cell r="K785" t="str">
            <v>MİNA</v>
          </cell>
          <cell r="L785" t="str">
            <v/>
          </cell>
          <cell r="M785" t="str">
            <v/>
          </cell>
          <cell r="N785" t="str">
            <v>AD-104 - TYH-B</v>
          </cell>
          <cell r="O785" t="str">
            <v>HEKA</v>
          </cell>
          <cell r="P785" t="str">
            <v>ADET</v>
          </cell>
          <cell r="Q785" t="str">
            <v>E14</v>
          </cell>
          <cell r="R785" t="str">
            <v>METAL</v>
          </cell>
          <cell r="S785" t="str">
            <v>KROM</v>
          </cell>
          <cell r="T785" t="str">
            <v>CAM</v>
          </cell>
          <cell r="U785" t="str">
            <v>BAL</v>
          </cell>
          <cell r="AD785" t="str">
            <v>DAİRE</v>
          </cell>
          <cell r="AE785" t="str">
            <v>12</v>
          </cell>
          <cell r="AF785">
            <v>25</v>
          </cell>
          <cell r="AG785" t="str">
            <v>ADET</v>
          </cell>
          <cell r="AJ785">
            <v>6028</v>
          </cell>
          <cell r="AK785" t="str">
            <v>TL</v>
          </cell>
          <cell r="AL785">
            <v>1</v>
          </cell>
          <cell r="AM785" t="str">
            <v>8684127505017</v>
          </cell>
          <cell r="AO785">
            <v>0</v>
          </cell>
          <cell r="AQ785">
            <v>0</v>
          </cell>
          <cell r="AR785" t="str">
            <v>CM</v>
          </cell>
          <cell r="AS785">
            <v>0</v>
          </cell>
          <cell r="AT785" t="str">
            <v>CM</v>
          </cell>
          <cell r="AU785">
            <v>0</v>
          </cell>
          <cell r="AW785">
            <v>0</v>
          </cell>
        </row>
        <row r="786">
          <cell r="B786" t="str">
            <v>F1W5AAJJBRH-074</v>
          </cell>
          <cell r="C786" t="str">
            <v>ANGEL ÜÇLÜ AHŞAP &amp; BEYAZ APLİK</v>
          </cell>
          <cell r="D786" t="str">
            <v>ANGEL TRIPLE WOOD &amp; WHITE WALL LAMP</v>
          </cell>
          <cell r="E786" t="str">
            <v xml:space="preserve">AHŞAP METAL JATOBA BEYAZ   </v>
          </cell>
          <cell r="F786" t="str">
            <v>9405.19.90.00.00</v>
          </cell>
          <cell r="G786" t="str">
            <v>APLİK</v>
          </cell>
          <cell r="H786" t="str">
            <v/>
          </cell>
          <cell r="I786" t="str">
            <v>İÇ</v>
          </cell>
          <cell r="J786" t="str">
            <v>APLİK</v>
          </cell>
          <cell r="K786" t="str">
            <v>ANGEL</v>
          </cell>
          <cell r="L786" t="str">
            <v/>
          </cell>
          <cell r="M786" t="str">
            <v/>
          </cell>
          <cell r="N786" t="str">
            <v/>
          </cell>
          <cell r="O786" t="str">
            <v>ISHI</v>
          </cell>
          <cell r="P786" t="str">
            <v>ADET</v>
          </cell>
          <cell r="Q786" t="str">
            <v>GU10</v>
          </cell>
          <cell r="R786" t="str">
            <v>AHŞAP</v>
          </cell>
          <cell r="S786" t="str">
            <v>JATOBA</v>
          </cell>
          <cell r="T786" t="str">
            <v>METAL</v>
          </cell>
          <cell r="U786" t="str">
            <v>BEYAZ</v>
          </cell>
          <cell r="AD786" t="str">
            <v>HAREKETLİ</v>
          </cell>
          <cell r="AE786" t="str">
            <v>03</v>
          </cell>
          <cell r="AF786">
            <v>10</v>
          </cell>
          <cell r="AG786" t="str">
            <v>ADET</v>
          </cell>
          <cell r="AH786">
            <v>280</v>
          </cell>
          <cell r="AI786" t="str">
            <v>TL</v>
          </cell>
          <cell r="AJ786">
            <v>3927</v>
          </cell>
          <cell r="AK786" t="str">
            <v>TL</v>
          </cell>
          <cell r="AL786">
            <v>1</v>
          </cell>
          <cell r="AM786" t="str">
            <v>8684127503396</v>
          </cell>
          <cell r="AO786">
            <v>0</v>
          </cell>
          <cell r="AQ786">
            <v>12.6</v>
          </cell>
          <cell r="AR786" t="str">
            <v>CM</v>
          </cell>
          <cell r="AS786">
            <v>74</v>
          </cell>
          <cell r="AT786" t="str">
            <v>CM</v>
          </cell>
          <cell r="AU786">
            <v>0</v>
          </cell>
          <cell r="AW786">
            <v>0</v>
          </cell>
        </row>
        <row r="787">
          <cell r="B787" t="str">
            <v>F1W5AAWJEMH-007</v>
          </cell>
          <cell r="C787" t="str">
            <v>VICTORIA TEKLİ AHŞAP &amp; ESKİTME APLİK</v>
          </cell>
          <cell r="D787" t="str">
            <v>VICTORIA SINGLE WOOD &amp; BRASS WALL LAMP</v>
          </cell>
          <cell r="E787" t="str">
            <v xml:space="preserve">AHŞAP METAL WENGE ESKİTME   </v>
          </cell>
          <cell r="F787" t="str">
            <v>9405.19.90.00.00</v>
          </cell>
          <cell r="G787" t="str">
            <v>APLİK</v>
          </cell>
          <cell r="H787" t="str">
            <v/>
          </cell>
          <cell r="I787" t="str">
            <v>İÇ</v>
          </cell>
          <cell r="J787" t="str">
            <v>APLİK</v>
          </cell>
          <cell r="K787" t="str">
            <v>VICTORIA</v>
          </cell>
          <cell r="L787" t="str">
            <v/>
          </cell>
          <cell r="M787" t="str">
            <v/>
          </cell>
          <cell r="N787" t="str">
            <v/>
          </cell>
          <cell r="O787" t="str">
            <v>ISHI</v>
          </cell>
          <cell r="P787" t="str">
            <v>ADET</v>
          </cell>
          <cell r="Q787" t="str">
            <v>GU10</v>
          </cell>
          <cell r="R787" t="str">
            <v>AHŞAP</v>
          </cell>
          <cell r="S787" t="str">
            <v>WENGE</v>
          </cell>
          <cell r="T787" t="str">
            <v>METAL</v>
          </cell>
          <cell r="U787" t="str">
            <v>ESKİTME</v>
          </cell>
          <cell r="AD787" t="str">
            <v>HAREKETLİ</v>
          </cell>
          <cell r="AE787" t="str">
            <v>01</v>
          </cell>
          <cell r="AF787">
            <v>0</v>
          </cell>
          <cell r="AG787" t="str">
            <v>ADET</v>
          </cell>
          <cell r="AH787">
            <v>100</v>
          </cell>
          <cell r="AI787" t="str">
            <v>TL</v>
          </cell>
          <cell r="AJ787">
            <v>1476</v>
          </cell>
          <cell r="AK787" t="str">
            <v>TL</v>
          </cell>
          <cell r="AL787">
            <v>1</v>
          </cell>
          <cell r="AM787" t="str">
            <v>8684127503419</v>
          </cell>
          <cell r="AO787">
            <v>0</v>
          </cell>
          <cell r="AQ787">
            <v>12.6</v>
          </cell>
          <cell r="AR787" t="str">
            <v>CM</v>
          </cell>
          <cell r="AS787">
            <v>7</v>
          </cell>
          <cell r="AT787" t="str">
            <v>CM</v>
          </cell>
          <cell r="AU787">
            <v>0</v>
          </cell>
          <cell r="AW787">
            <v>0</v>
          </cell>
        </row>
        <row r="788">
          <cell r="B788" t="str">
            <v>F1W5AA1JEMH-099</v>
          </cell>
          <cell r="C788" t="str">
            <v>NIAGARA DÖRTLÜ AHŞAP &amp; ESKİTME APLİK</v>
          </cell>
          <cell r="D788" t="str">
            <v>NIAGARA QUATERNARY WOOD &amp; BRASS WALL LAMP</v>
          </cell>
          <cell r="E788" t="str">
            <v xml:space="preserve">AHŞAP METAL ANTİK MEŞE ESKİTME   </v>
          </cell>
          <cell r="F788" t="str">
            <v>9405.19.90.00.00</v>
          </cell>
          <cell r="G788" t="str">
            <v>APLİK</v>
          </cell>
          <cell r="H788" t="str">
            <v/>
          </cell>
          <cell r="I788" t="str">
            <v>İÇ</v>
          </cell>
          <cell r="J788" t="str">
            <v>APLİK</v>
          </cell>
          <cell r="K788" t="str">
            <v>NIAGARA</v>
          </cell>
          <cell r="L788" t="str">
            <v/>
          </cell>
          <cell r="M788" t="str">
            <v/>
          </cell>
          <cell r="N788" t="str">
            <v/>
          </cell>
          <cell r="O788" t="str">
            <v>ISHI</v>
          </cell>
          <cell r="P788" t="str">
            <v>ADET</v>
          </cell>
          <cell r="Q788" t="str">
            <v>GU10</v>
          </cell>
          <cell r="R788" t="str">
            <v>AHŞAP</v>
          </cell>
          <cell r="S788" t="str">
            <v>ANTİK MEŞE</v>
          </cell>
          <cell r="T788" t="str">
            <v>METAL</v>
          </cell>
          <cell r="U788" t="str">
            <v>ESKİTME</v>
          </cell>
          <cell r="AD788" t="str">
            <v>HAREKETLİ</v>
          </cell>
          <cell r="AE788" t="str">
            <v>04</v>
          </cell>
          <cell r="AF788">
            <v>23</v>
          </cell>
          <cell r="AG788" t="str">
            <v>ADET</v>
          </cell>
          <cell r="AH788">
            <v>370</v>
          </cell>
          <cell r="AI788" t="str">
            <v>TL</v>
          </cell>
          <cell r="AJ788">
            <v>5546</v>
          </cell>
          <cell r="AK788" t="str">
            <v>TL</v>
          </cell>
          <cell r="AL788">
            <v>1</v>
          </cell>
          <cell r="AM788" t="str">
            <v>8684127503563</v>
          </cell>
          <cell r="AO788">
            <v>0</v>
          </cell>
          <cell r="AQ788">
            <v>12.6</v>
          </cell>
          <cell r="AR788" t="str">
            <v>CM</v>
          </cell>
          <cell r="AS788">
            <v>99</v>
          </cell>
          <cell r="AT788" t="str">
            <v>CM</v>
          </cell>
          <cell r="AU788">
            <v>0</v>
          </cell>
          <cell r="AW788">
            <v>0</v>
          </cell>
        </row>
        <row r="789">
          <cell r="B789" t="str">
            <v>F1C5DRG000L-015</v>
          </cell>
          <cell r="C789" t="str">
            <v>TOPPU BETON GRİ SARKIT</v>
          </cell>
          <cell r="D789" t="str">
            <v>TOPPU CONCRETE GREY PENDANT</v>
          </cell>
          <cell r="E789" t="str">
            <v xml:space="preserve">BETON YOK GRİ YOK   </v>
          </cell>
          <cell r="F789" t="str">
            <v>9405.19.90.00.00</v>
          </cell>
          <cell r="G789" t="str">
            <v>AVİZE</v>
          </cell>
          <cell r="H789" t="str">
            <v>F1A514C200-15</v>
          </cell>
          <cell r="I789" t="str">
            <v>İÇ</v>
          </cell>
          <cell r="J789" t="str">
            <v>AVİZE.SARK</v>
          </cell>
          <cell r="K789" t="str">
            <v>TOPPU</v>
          </cell>
          <cell r="L789" t="str">
            <v/>
          </cell>
          <cell r="M789" t="str">
            <v>ÜRTM:15GÜN</v>
          </cell>
          <cell r="N789" t="str">
            <v>1002-GC</v>
          </cell>
          <cell r="O789" t="str">
            <v>ISHI</v>
          </cell>
          <cell r="P789" t="str">
            <v>ADET</v>
          </cell>
          <cell r="Q789" t="str">
            <v>GU10</v>
          </cell>
          <cell r="R789" t="str">
            <v>BETON</v>
          </cell>
          <cell r="S789" t="str">
            <v>GRİ</v>
          </cell>
          <cell r="T789" t="str">
            <v>YOK</v>
          </cell>
          <cell r="U789" t="str">
            <v>YOK</v>
          </cell>
          <cell r="AD789" t="str">
            <v>DÜZ</v>
          </cell>
          <cell r="AE789" t="str">
            <v>01</v>
          </cell>
          <cell r="AF789">
            <v>10</v>
          </cell>
          <cell r="AG789" t="str">
            <v>ADET</v>
          </cell>
          <cell r="AH789">
            <v>966</v>
          </cell>
          <cell r="AI789" t="str">
            <v>TL</v>
          </cell>
          <cell r="AJ789">
            <v>4927</v>
          </cell>
          <cell r="AK789" t="str">
            <v>TL</v>
          </cell>
          <cell r="AL789">
            <v>1</v>
          </cell>
          <cell r="AM789" t="str">
            <v>8684127508636</v>
          </cell>
          <cell r="AO789">
            <v>0</v>
          </cell>
          <cell r="AQ789">
            <v>15</v>
          </cell>
          <cell r="AR789" t="str">
            <v>CM</v>
          </cell>
          <cell r="AS789">
            <v>15</v>
          </cell>
          <cell r="AT789" t="str">
            <v>CM</v>
          </cell>
          <cell r="AU789">
            <v>0</v>
          </cell>
          <cell r="AW789">
            <v>0</v>
          </cell>
        </row>
        <row r="790">
          <cell r="B790" t="str">
            <v>F1T3DRGAAWL-038</v>
          </cell>
          <cell r="C790" t="str">
            <v>TOCHI LINK AHŞAP-BETON MASA LAMBASI</v>
          </cell>
          <cell r="D790" t="str">
            <v>TOCHI LINK WOOD-CONCRETE TABLE LAMP</v>
          </cell>
          <cell r="E790" t="str">
            <v xml:space="preserve">BETON AHŞAP GRİ WENGE   </v>
          </cell>
          <cell r="F790" t="str">
            <v>9405.29.90.00.00</v>
          </cell>
          <cell r="G790" t="str">
            <v>MASAABAJ</v>
          </cell>
          <cell r="H790" t="str">
            <v>F1M374C200-38</v>
          </cell>
          <cell r="I790" t="str">
            <v>İÇ</v>
          </cell>
          <cell r="J790" t="str">
            <v>MASAABAJ</v>
          </cell>
          <cell r="K790" t="str">
            <v>TOCHI</v>
          </cell>
          <cell r="L790" t="str">
            <v/>
          </cell>
          <cell r="M790" t="str">
            <v>ÜRTM:15GÜN</v>
          </cell>
          <cell r="N790" t="str">
            <v>1017</v>
          </cell>
          <cell r="O790" t="str">
            <v>ISHI</v>
          </cell>
          <cell r="P790" t="str">
            <v>ADET</v>
          </cell>
          <cell r="Q790" t="str">
            <v>G9</v>
          </cell>
          <cell r="R790" t="str">
            <v>BETON</v>
          </cell>
          <cell r="S790" t="str">
            <v>GRİ</v>
          </cell>
          <cell r="T790" t="str">
            <v>AHŞAP</v>
          </cell>
          <cell r="U790" t="str">
            <v>WENGE</v>
          </cell>
          <cell r="AD790" t="str">
            <v>DÜZ</v>
          </cell>
          <cell r="AE790" t="str">
            <v>01</v>
          </cell>
          <cell r="AF790">
            <v>3</v>
          </cell>
          <cell r="AG790" t="str">
            <v>ADET</v>
          </cell>
          <cell r="AH790">
            <v>1207.5</v>
          </cell>
          <cell r="AI790" t="str">
            <v>TL</v>
          </cell>
          <cell r="AJ790">
            <v>6295</v>
          </cell>
          <cell r="AK790" t="str">
            <v>TL</v>
          </cell>
          <cell r="AL790">
            <v>1</v>
          </cell>
          <cell r="AM790" t="str">
            <v>8684127508513</v>
          </cell>
          <cell r="AO790">
            <v>0</v>
          </cell>
          <cell r="AQ790">
            <v>38</v>
          </cell>
          <cell r="AR790" t="str">
            <v>CM</v>
          </cell>
          <cell r="AS790">
            <v>27</v>
          </cell>
          <cell r="AT790" t="str">
            <v>CM</v>
          </cell>
          <cell r="AU790">
            <v>0</v>
          </cell>
          <cell r="AW790">
            <v>0</v>
          </cell>
        </row>
        <row r="791">
          <cell r="B791" t="str">
            <v>H1W2JRS0000-047</v>
          </cell>
          <cell r="C791" t="str">
            <v>BRUBECK MAT SİYAH APLİK</v>
          </cell>
          <cell r="D791" t="str">
            <v>BRUBECK MATTE BLACK WALL LAMP</v>
          </cell>
          <cell r="E791" t="str">
            <v>METAL YOK SİYAH YOK</v>
          </cell>
          <cell r="F791" t="str">
            <v>9405.19.90.00.00</v>
          </cell>
          <cell r="G791" t="str">
            <v>APLİK</v>
          </cell>
          <cell r="H791" t="str">
            <v>H1W2140000-47</v>
          </cell>
          <cell r="I791" t="str">
            <v>İÇ</v>
          </cell>
          <cell r="J791" t="str">
            <v>APLİK</v>
          </cell>
          <cell r="K791" t="str">
            <v>BRUBECK</v>
          </cell>
          <cell r="L791" t="str">
            <v/>
          </cell>
          <cell r="M791" t="str">
            <v/>
          </cell>
          <cell r="N791" t="str">
            <v/>
          </cell>
          <cell r="O791" t="str">
            <v>HEKA</v>
          </cell>
          <cell r="P791" t="str">
            <v>ADET</v>
          </cell>
          <cell r="Q791" t="str">
            <v>E27</v>
          </cell>
          <cell r="R791" t="str">
            <v>METAL</v>
          </cell>
          <cell r="S791" t="str">
            <v>SİYAH</v>
          </cell>
          <cell r="T791" t="str">
            <v>YOK</v>
          </cell>
          <cell r="U791" t="str">
            <v>YOK</v>
          </cell>
          <cell r="AD791" t="str">
            <v>N/A</v>
          </cell>
          <cell r="AE791" t="str">
            <v>02</v>
          </cell>
          <cell r="AF791">
            <v>0</v>
          </cell>
          <cell r="AG791" t="str">
            <v>ADET</v>
          </cell>
          <cell r="AH791">
            <v>300</v>
          </cell>
          <cell r="AI791" t="str">
            <v>TL</v>
          </cell>
          <cell r="AJ791">
            <v>1600</v>
          </cell>
          <cell r="AK791" t="str">
            <v>TL</v>
          </cell>
          <cell r="AL791">
            <v>1</v>
          </cell>
          <cell r="AM791" t="str">
            <v>8684127509657</v>
          </cell>
          <cell r="AO791">
            <v>0</v>
          </cell>
          <cell r="AQ791">
            <v>12</v>
          </cell>
          <cell r="AR791" t="str">
            <v>CM</v>
          </cell>
          <cell r="AS791">
            <v>47</v>
          </cell>
          <cell r="AT791" t="str">
            <v>CM</v>
          </cell>
          <cell r="AU791">
            <v>0</v>
          </cell>
          <cell r="AW791">
            <v>0</v>
          </cell>
        </row>
        <row r="792">
          <cell r="B792" t="str">
            <v>H1W3JRBECT0-017</v>
          </cell>
          <cell r="C792" t="str">
            <v>OSAKA BEYAZ APLİK</v>
          </cell>
          <cell r="D792" t="str">
            <v>OSAKA WHITE WALL LAMP</v>
          </cell>
          <cell r="E792" t="str">
            <v>METAL CAM BEYAZ SOFT</v>
          </cell>
          <cell r="F792" t="str">
            <v>9405.19.90.00.00</v>
          </cell>
          <cell r="G792" t="str">
            <v>APLİK</v>
          </cell>
          <cell r="H792" t="str">
            <v>T1W3192100-20</v>
          </cell>
          <cell r="I792" t="str">
            <v>İÇ</v>
          </cell>
          <cell r="J792" t="str">
            <v>APLİK</v>
          </cell>
          <cell r="K792" t="str">
            <v>OSAKA</v>
          </cell>
          <cell r="L792" t="str">
            <v/>
          </cell>
          <cell r="M792" t="str">
            <v/>
          </cell>
          <cell r="N792" t="str">
            <v>10083-WC</v>
          </cell>
          <cell r="O792" t="str">
            <v>HEKA</v>
          </cell>
          <cell r="P792" t="str">
            <v>ADET</v>
          </cell>
          <cell r="Q792" t="str">
            <v>G9</v>
          </cell>
          <cell r="R792" t="str">
            <v>METAL</v>
          </cell>
          <cell r="S792" t="str">
            <v>BEYAZ</v>
          </cell>
          <cell r="T792" t="str">
            <v>CAM</v>
          </cell>
          <cell r="U792" t="str">
            <v>SOFT</v>
          </cell>
          <cell r="AD792" t="str">
            <v>N/A</v>
          </cell>
          <cell r="AE792" t="str">
            <v>02</v>
          </cell>
          <cell r="AF792">
            <v>6</v>
          </cell>
          <cell r="AG792" t="str">
            <v>ADET</v>
          </cell>
          <cell r="AH792">
            <v>60</v>
          </cell>
          <cell r="AI792" t="str">
            <v>CNY</v>
          </cell>
          <cell r="AJ792">
            <v>2499</v>
          </cell>
          <cell r="AK792" t="str">
            <v>TL</v>
          </cell>
          <cell r="AL792">
            <v>1</v>
          </cell>
          <cell r="AM792" t="str">
            <v>8684127502849</v>
          </cell>
          <cell r="AO792">
            <v>0</v>
          </cell>
          <cell r="AQ792">
            <v>17</v>
          </cell>
          <cell r="AR792" t="str">
            <v>CM</v>
          </cell>
          <cell r="AS792">
            <v>12</v>
          </cell>
          <cell r="AT792" t="str">
            <v>CM</v>
          </cell>
          <cell r="AU792">
            <v>0</v>
          </cell>
          <cell r="AW792">
            <v>0</v>
          </cell>
        </row>
        <row r="793">
          <cell r="B793" t="str">
            <v>H1C6JMEBCSR-028</v>
          </cell>
          <cell r="C793" t="str">
            <v>HAKONE ALTIN SARKIT 28cm</v>
          </cell>
          <cell r="D793" t="str">
            <v>HAKONE GOLD PENDANT 28cm</v>
          </cell>
          <cell r="E793" t="str">
            <v xml:space="preserve">METAL AKRİLİK ESKİTME ŞEFFAF   </v>
          </cell>
          <cell r="F793" t="str">
            <v>9405.11.90.00.00</v>
          </cell>
          <cell r="G793" t="str">
            <v>AVİZE</v>
          </cell>
          <cell r="H793" t="str">
            <v>T1A6126200-28</v>
          </cell>
          <cell r="I793" t="str">
            <v>İÇ</v>
          </cell>
          <cell r="J793" t="str">
            <v>AVİZE.SARK</v>
          </cell>
          <cell r="K793" t="str">
            <v>HAKONE</v>
          </cell>
          <cell r="L793" t="str">
            <v/>
          </cell>
          <cell r="M793" t="str">
            <v/>
          </cell>
          <cell r="N793" t="str">
            <v>7002-G</v>
          </cell>
          <cell r="O793" t="str">
            <v>HEKA</v>
          </cell>
          <cell r="P793" t="str">
            <v>ADET</v>
          </cell>
          <cell r="Q793" t="str">
            <v>LED</v>
          </cell>
          <cell r="R793" t="str">
            <v>METAL</v>
          </cell>
          <cell r="S793" t="str">
            <v>ESKİTME</v>
          </cell>
          <cell r="T793" t="str">
            <v>AKRİLİK</v>
          </cell>
          <cell r="U793" t="str">
            <v>ŞEFFAF</v>
          </cell>
          <cell r="AD793" t="str">
            <v>DAİRE</v>
          </cell>
          <cell r="AF793">
            <v>7</v>
          </cell>
          <cell r="AG793" t="str">
            <v>ADET</v>
          </cell>
          <cell r="AH793">
            <v>68</v>
          </cell>
          <cell r="AI793" t="str">
            <v>CNY</v>
          </cell>
          <cell r="AJ793">
            <v>3428</v>
          </cell>
          <cell r="AK793" t="str">
            <v>TL</v>
          </cell>
          <cell r="AL793">
            <v>1</v>
          </cell>
          <cell r="AM793" t="str">
            <v>8684127502047</v>
          </cell>
          <cell r="AO793">
            <v>0</v>
          </cell>
          <cell r="AQ793">
            <v>28</v>
          </cell>
          <cell r="AR793" t="str">
            <v>CM</v>
          </cell>
          <cell r="AS793">
            <v>28</v>
          </cell>
          <cell r="AT793" t="str">
            <v>CM</v>
          </cell>
          <cell r="AU793">
            <v>0</v>
          </cell>
          <cell r="AW793">
            <v>0</v>
          </cell>
        </row>
        <row r="794">
          <cell r="B794" t="str">
            <v>H1C6JMEWRBR-025</v>
          </cell>
          <cell r="C794" t="str">
            <v>DELHİ LED MERMER SARKIT 25cm</v>
          </cell>
          <cell r="D794" t="str">
            <v>DELHİ LED MARBLE PENDANT 25cm</v>
          </cell>
          <cell r="E794" t="str">
            <v xml:space="preserve">METAL MERMER ESKİTME BEYAZ   </v>
          </cell>
          <cell r="F794" t="str">
            <v>9405.11.90.00.00</v>
          </cell>
          <cell r="G794" t="str">
            <v>AVİZE</v>
          </cell>
          <cell r="H794" t="str">
            <v>T1A6311100-25</v>
          </cell>
          <cell r="I794" t="str">
            <v>İÇ</v>
          </cell>
          <cell r="J794" t="str">
            <v>AVİZE.SARK</v>
          </cell>
          <cell r="K794" t="str">
            <v>DELHİ</v>
          </cell>
          <cell r="L794" t="str">
            <v/>
          </cell>
          <cell r="M794" t="str">
            <v/>
          </cell>
          <cell r="N794" t="str">
            <v>HKA-24022</v>
          </cell>
          <cell r="O794" t="str">
            <v>HEKA</v>
          </cell>
          <cell r="P794" t="str">
            <v>ADET</v>
          </cell>
          <cell r="Q794" t="str">
            <v>LED</v>
          </cell>
          <cell r="R794" t="str">
            <v>METAL</v>
          </cell>
          <cell r="S794" t="str">
            <v>ESKİTME</v>
          </cell>
          <cell r="T794" t="str">
            <v>MERMER</v>
          </cell>
          <cell r="U794" t="str">
            <v>BEYAZ</v>
          </cell>
          <cell r="AD794" t="str">
            <v>DAİRE</v>
          </cell>
          <cell r="AF794">
            <v>11</v>
          </cell>
          <cell r="AG794" t="str">
            <v>ADET</v>
          </cell>
          <cell r="AH794">
            <v>130</v>
          </cell>
          <cell r="AI794" t="str">
            <v>CNY</v>
          </cell>
          <cell r="AJ794">
            <v>9750</v>
          </cell>
          <cell r="AK794" t="str">
            <v>TL</v>
          </cell>
          <cell r="AL794">
            <v>1</v>
          </cell>
          <cell r="AM794" t="str">
            <v>8684127501903</v>
          </cell>
          <cell r="AO794">
            <v>0</v>
          </cell>
          <cell r="AQ794">
            <v>22</v>
          </cell>
          <cell r="AR794" t="str">
            <v>CM</v>
          </cell>
          <cell r="AS794">
            <v>25</v>
          </cell>
          <cell r="AT794" t="str">
            <v>CM</v>
          </cell>
          <cell r="AU794">
            <v>0</v>
          </cell>
          <cell r="AW794">
            <v>0</v>
          </cell>
        </row>
        <row r="795">
          <cell r="B795" t="str">
            <v>H1C6JMKLCTR-018</v>
          </cell>
          <cell r="C795" t="str">
            <v>LAVAL LED KROM SARKIT 18cm</v>
          </cell>
          <cell r="D795" t="str">
            <v>LAVAL LED CHROME PENDANT 18cm</v>
          </cell>
          <cell r="E795" t="str">
            <v xml:space="preserve">METAL PLEKSİ KROM SOFT   </v>
          </cell>
          <cell r="F795" t="str">
            <v>9405.11.90.00.00</v>
          </cell>
          <cell r="G795" t="str">
            <v>AVİZE</v>
          </cell>
          <cell r="H795" t="str">
            <v>T1A6138100-18</v>
          </cell>
          <cell r="I795" t="str">
            <v>İÇ</v>
          </cell>
          <cell r="J795" t="str">
            <v>AVİZE.SARK</v>
          </cell>
          <cell r="K795" t="str">
            <v>LAVAL</v>
          </cell>
          <cell r="L795" t="str">
            <v/>
          </cell>
          <cell r="M795" t="str">
            <v/>
          </cell>
          <cell r="N795" t="str">
            <v>9991-CH-18</v>
          </cell>
          <cell r="O795" t="str">
            <v>HEKA</v>
          </cell>
          <cell r="P795" t="str">
            <v>ADET</v>
          </cell>
          <cell r="Q795" t="str">
            <v>LED</v>
          </cell>
          <cell r="R795" t="str">
            <v>METAL</v>
          </cell>
          <cell r="S795" t="str">
            <v>KROM</v>
          </cell>
          <cell r="T795" t="str">
            <v>PLEKSİ</v>
          </cell>
          <cell r="U795" t="str">
            <v>SOFT</v>
          </cell>
          <cell r="AD795" t="str">
            <v>DAİRE</v>
          </cell>
          <cell r="AE795" t="str">
            <v>01</v>
          </cell>
          <cell r="AF795">
            <v>0</v>
          </cell>
          <cell r="AG795" t="str">
            <v>ADET</v>
          </cell>
          <cell r="AH795">
            <v>100</v>
          </cell>
          <cell r="AI795" t="str">
            <v>CNY</v>
          </cell>
          <cell r="AJ795">
            <v>1480</v>
          </cell>
          <cell r="AK795" t="str">
            <v>TL</v>
          </cell>
          <cell r="AL795">
            <v>1</v>
          </cell>
          <cell r="AM795" t="str">
            <v>8684127502337</v>
          </cell>
          <cell r="AO795">
            <v>0</v>
          </cell>
          <cell r="AQ795">
            <v>27.5</v>
          </cell>
          <cell r="AR795" t="str">
            <v>CM</v>
          </cell>
          <cell r="AS795">
            <v>18</v>
          </cell>
          <cell r="AT795" t="str">
            <v>CM</v>
          </cell>
          <cell r="AU795">
            <v>0</v>
          </cell>
          <cell r="AW795">
            <v>0</v>
          </cell>
        </row>
        <row r="796">
          <cell r="B796" t="str">
            <v>F1C2HRBLCSR-060</v>
          </cell>
          <cell r="C796" t="str">
            <v>CLOUDY SARKIT ORTA BOY</v>
          </cell>
          <cell r="D796" t="str">
            <v>CLOUDY PENDANT MEDIUM</v>
          </cell>
          <cell r="E796" t="str">
            <v>KUMAŞ PLEKSİ BEYAZ ŞEFFAF</v>
          </cell>
          <cell r="F796" t="str">
            <v>9405.19.90.00.00</v>
          </cell>
          <cell r="G796" t="str">
            <v>AVİZE</v>
          </cell>
          <cell r="H796" t="str">
            <v>F1A2948400-02</v>
          </cell>
          <cell r="I796" t="str">
            <v>İÇ</v>
          </cell>
          <cell r="J796" t="str">
            <v>AVİZE.AVİZ</v>
          </cell>
          <cell r="K796" t="str">
            <v>CLOUDY</v>
          </cell>
          <cell r="L796" t="str">
            <v/>
          </cell>
          <cell r="M796" t="str">
            <v/>
          </cell>
          <cell r="N796" t="str">
            <v/>
          </cell>
          <cell r="O796" t="str">
            <v>ISHI</v>
          </cell>
          <cell r="P796" t="str">
            <v>ADET</v>
          </cell>
          <cell r="Q796" t="str">
            <v>E27</v>
          </cell>
          <cell r="R796" t="str">
            <v>KUMAŞ</v>
          </cell>
          <cell r="S796" t="str">
            <v>BEYAZ</v>
          </cell>
          <cell r="T796" t="str">
            <v>PLEKSİ</v>
          </cell>
          <cell r="U796" t="str">
            <v>ŞEFFAF</v>
          </cell>
          <cell r="AD796" t="str">
            <v>DAİRE</v>
          </cell>
          <cell r="AE796" t="str">
            <v>02</v>
          </cell>
          <cell r="AF796">
            <v>0</v>
          </cell>
          <cell r="AG796" t="str">
            <v>ADET</v>
          </cell>
          <cell r="AH796">
            <v>1437.5</v>
          </cell>
          <cell r="AI796" t="str">
            <v>TL</v>
          </cell>
          <cell r="AJ796">
            <v>3500</v>
          </cell>
          <cell r="AK796" t="str">
            <v>TL</v>
          </cell>
          <cell r="AL796">
            <v>1</v>
          </cell>
          <cell r="AM796" t="str">
            <v>8684127509671</v>
          </cell>
          <cell r="AO796">
            <v>0</v>
          </cell>
          <cell r="AQ796">
            <v>45</v>
          </cell>
          <cell r="AR796" t="str">
            <v>CM</v>
          </cell>
          <cell r="AS796">
            <v>60</v>
          </cell>
          <cell r="AT796" t="str">
            <v>CM</v>
          </cell>
          <cell r="AU796">
            <v>0</v>
          </cell>
          <cell r="AW796">
            <v>0</v>
          </cell>
        </row>
        <row r="797">
          <cell r="B797" t="str">
            <v>H1C6JMEWRBR-062</v>
          </cell>
          <cell r="C797" t="str">
            <v>RABAT ÜÇLÜ MERMER ESKİTME PLAFONYER</v>
          </cell>
          <cell r="D797" t="str">
            <v>RABAT TRIPLE MARBLE BRUSHED BRASS PLAFONYER</v>
          </cell>
          <cell r="E797" t="str">
            <v xml:space="preserve">METAL MERMER ESKİTME BEYAZ   </v>
          </cell>
          <cell r="F797" t="str">
            <v>9405.11.90.00.00</v>
          </cell>
          <cell r="G797" t="str">
            <v>AVİZE</v>
          </cell>
          <cell r="H797" t="str">
            <v>T1P6113100-03</v>
          </cell>
          <cell r="I797" t="str">
            <v>İÇ</v>
          </cell>
          <cell r="J797" t="str">
            <v>AVİZE.PLF</v>
          </cell>
          <cell r="K797" t="str">
            <v>RABAT</v>
          </cell>
          <cell r="L797" t="str">
            <v>Y</v>
          </cell>
          <cell r="M797" t="str">
            <v/>
          </cell>
          <cell r="N797" t="str">
            <v>HKA-24082</v>
          </cell>
          <cell r="O797" t="str">
            <v>HEKA</v>
          </cell>
          <cell r="P797" t="str">
            <v>ADET</v>
          </cell>
          <cell r="Q797" t="str">
            <v>LED</v>
          </cell>
          <cell r="R797" t="str">
            <v>METAL</v>
          </cell>
          <cell r="S797" t="str">
            <v>ESKİTME</v>
          </cell>
          <cell r="T797" t="str">
            <v>MERMER</v>
          </cell>
          <cell r="U797" t="str">
            <v>BEYAZ</v>
          </cell>
          <cell r="AD797" t="str">
            <v>DAİRE</v>
          </cell>
          <cell r="AF797">
            <v>12</v>
          </cell>
          <cell r="AG797" t="str">
            <v>ADET</v>
          </cell>
          <cell r="AH797">
            <v>530</v>
          </cell>
          <cell r="AI797" t="str">
            <v>CNY</v>
          </cell>
          <cell r="AJ797">
            <v>44750</v>
          </cell>
          <cell r="AK797" t="str">
            <v>TL</v>
          </cell>
          <cell r="AL797">
            <v>1</v>
          </cell>
          <cell r="AM797" t="str">
            <v>8684127502672</v>
          </cell>
          <cell r="AO797">
            <v>0</v>
          </cell>
          <cell r="AQ797">
            <v>10</v>
          </cell>
          <cell r="AR797" t="str">
            <v>CM</v>
          </cell>
          <cell r="AS797">
            <v>50</v>
          </cell>
          <cell r="AT797" t="str">
            <v>CM</v>
          </cell>
          <cell r="AU797">
            <v>0</v>
          </cell>
          <cell r="AW797">
            <v>0</v>
          </cell>
        </row>
        <row r="798">
          <cell r="B798" t="str">
            <v>H1F6JMGECTR-030</v>
          </cell>
          <cell r="C798" t="str">
            <v>APPLE OPAL CAM LAMBADER 30cm</v>
          </cell>
          <cell r="D798" t="str">
            <v>APPLE OPAL GLASS FLOOR LAMP 30cm</v>
          </cell>
          <cell r="E798" t="str">
            <v xml:space="preserve">METAL CAM  GOLD SOFT   </v>
          </cell>
          <cell r="F798" t="str">
            <v>9405.21.90.00.00</v>
          </cell>
          <cell r="G798" t="str">
            <v>LAMBADER</v>
          </cell>
          <cell r="H798" t="str">
            <v>T1L6112100-30</v>
          </cell>
          <cell r="I798" t="str">
            <v>İÇ</v>
          </cell>
          <cell r="J798" t="str">
            <v>LAMBADER</v>
          </cell>
          <cell r="K798" t="str">
            <v>APPLE</v>
          </cell>
          <cell r="L798" t="str">
            <v/>
          </cell>
          <cell r="M798" t="str">
            <v>ÜRTM:15GÜN</v>
          </cell>
          <cell r="N798" t="str">
            <v>HK20068</v>
          </cell>
          <cell r="O798" t="str">
            <v>HEKA</v>
          </cell>
          <cell r="P798" t="str">
            <v>ADET</v>
          </cell>
          <cell r="Q798" t="str">
            <v>LED</v>
          </cell>
          <cell r="R798" t="str">
            <v>METAL</v>
          </cell>
          <cell r="S798" t="str">
            <v>GOLD</v>
          </cell>
          <cell r="T798" t="str">
            <v>CAM</v>
          </cell>
          <cell r="U798" t="str">
            <v>SOFT</v>
          </cell>
          <cell r="AD798" t="str">
            <v>DAİRE</v>
          </cell>
          <cell r="AF798">
            <v>2</v>
          </cell>
          <cell r="AG798" t="str">
            <v>ADET</v>
          </cell>
          <cell r="AH798">
            <v>1000</v>
          </cell>
          <cell r="AI798" t="str">
            <v>TL</v>
          </cell>
          <cell r="AJ798">
            <v>13750</v>
          </cell>
          <cell r="AK798" t="str">
            <v>TL</v>
          </cell>
          <cell r="AL798">
            <v>2</v>
          </cell>
          <cell r="AM798" t="str">
            <v>8684127508575</v>
          </cell>
          <cell r="AO798">
            <v>0</v>
          </cell>
          <cell r="AQ798">
            <v>32</v>
          </cell>
          <cell r="AR798" t="str">
            <v>CM</v>
          </cell>
          <cell r="AS798">
            <v>32</v>
          </cell>
          <cell r="AT798" t="str">
            <v>CM</v>
          </cell>
          <cell r="AU798">
            <v>0</v>
          </cell>
          <cell r="AW798">
            <v>0</v>
          </cell>
        </row>
        <row r="799">
          <cell r="B799" t="str">
            <v>F1C2AAMDRBR-048</v>
          </cell>
          <cell r="C799" t="str">
            <v>PAPIRUS ORTA BOY MEŞE SARKIT</v>
          </cell>
          <cell r="D799" t="str">
            <v>PAPIRUS MEDIUM SIZE OAK PENDANT</v>
          </cell>
          <cell r="E799" t="str">
            <v xml:space="preserve">AHŞAP BETON MEŞE BEYAZ   </v>
          </cell>
          <cell r="F799" t="str">
            <v>9405.19.90.00.00</v>
          </cell>
          <cell r="G799" t="str">
            <v>AVİZE</v>
          </cell>
          <cell r="H799" t="str">
            <v>F1A2737600-48</v>
          </cell>
          <cell r="I799" t="str">
            <v>İÇ</v>
          </cell>
          <cell r="J799" t="str">
            <v>AVİZE.SARK</v>
          </cell>
          <cell r="K799" t="str">
            <v>PAPIRUS</v>
          </cell>
          <cell r="L799" t="str">
            <v/>
          </cell>
          <cell r="M799" t="str">
            <v>ÜRTM:15GÜN</v>
          </cell>
          <cell r="N799" t="str">
            <v>1019-MM</v>
          </cell>
          <cell r="O799" t="str">
            <v>ISHI</v>
          </cell>
          <cell r="P799" t="str">
            <v>ADET</v>
          </cell>
          <cell r="Q799" t="str">
            <v>E27</v>
          </cell>
          <cell r="R799" t="str">
            <v>AHŞAP</v>
          </cell>
          <cell r="S799" t="str">
            <v>MEŞE</v>
          </cell>
          <cell r="T799" t="str">
            <v>BETON</v>
          </cell>
          <cell r="U799" t="str">
            <v>BEYAZ</v>
          </cell>
          <cell r="AD799" t="str">
            <v>DAİRE</v>
          </cell>
          <cell r="AE799" t="str">
            <v>02</v>
          </cell>
          <cell r="AF799">
            <v>4</v>
          </cell>
          <cell r="AG799" t="str">
            <v>ADET</v>
          </cell>
          <cell r="AH799">
            <v>2449.5</v>
          </cell>
          <cell r="AI799" t="str">
            <v>TL</v>
          </cell>
          <cell r="AJ799">
            <v>8482</v>
          </cell>
          <cell r="AK799" t="str">
            <v>TL</v>
          </cell>
          <cell r="AL799">
            <v>0</v>
          </cell>
          <cell r="AM799" t="str">
            <v>8684127502627</v>
          </cell>
          <cell r="AO799">
            <v>0</v>
          </cell>
          <cell r="AQ799">
            <v>36</v>
          </cell>
          <cell r="AR799" t="str">
            <v>CM</v>
          </cell>
          <cell r="AS799">
            <v>48</v>
          </cell>
          <cell r="AT799" t="str">
            <v>CM</v>
          </cell>
          <cell r="AU799">
            <v>0</v>
          </cell>
          <cell r="AW799">
            <v>0</v>
          </cell>
        </row>
        <row r="800">
          <cell r="B800" t="str">
            <v>H1W1JMG0000-086</v>
          </cell>
          <cell r="C800" t="str">
            <v>PASSAU GOLD APLİK</v>
          </cell>
          <cell r="D800" t="str">
            <v>PASSAU GOLD WALL LAMP</v>
          </cell>
          <cell r="E800" t="str">
            <v>METAL YOK GOLD YOK</v>
          </cell>
          <cell r="F800" t="str">
            <v>9405.19.90.00.00</v>
          </cell>
          <cell r="G800" t="str">
            <v>APLİK</v>
          </cell>
          <cell r="H800" t="str">
            <v>H1W1JI000-086</v>
          </cell>
          <cell r="I800" t="str">
            <v>İÇ</v>
          </cell>
          <cell r="J800" t="str">
            <v>APLİK</v>
          </cell>
          <cell r="K800" t="str">
            <v>PASSAU</v>
          </cell>
          <cell r="L800" t="str">
            <v/>
          </cell>
          <cell r="M800" t="str">
            <v/>
          </cell>
          <cell r="N800" t="str">
            <v/>
          </cell>
          <cell r="O800" t="str">
            <v>HEKA</v>
          </cell>
          <cell r="P800" t="str">
            <v>ADET</v>
          </cell>
          <cell r="Q800" t="str">
            <v>E14</v>
          </cell>
          <cell r="R800" t="str">
            <v>METAL</v>
          </cell>
          <cell r="S800" t="str">
            <v>GOLD</v>
          </cell>
          <cell r="T800" t="str">
            <v>YOK</v>
          </cell>
          <cell r="U800" t="str">
            <v>YOK</v>
          </cell>
          <cell r="AD800" t="str">
            <v>N/A</v>
          </cell>
          <cell r="AE800" t="str">
            <v>03</v>
          </cell>
          <cell r="AF800">
            <v>0</v>
          </cell>
          <cell r="AG800" t="str">
            <v>ADET</v>
          </cell>
          <cell r="AH800">
            <v>1750</v>
          </cell>
          <cell r="AI800" t="str">
            <v>TL</v>
          </cell>
          <cell r="AJ800">
            <v>4000</v>
          </cell>
          <cell r="AK800" t="str">
            <v>TL</v>
          </cell>
          <cell r="AL800">
            <v>1</v>
          </cell>
          <cell r="AM800" t="str">
            <v>8684127509923</v>
          </cell>
          <cell r="AO800">
            <v>0</v>
          </cell>
          <cell r="AQ800">
            <v>0</v>
          </cell>
          <cell r="AR800" t="str">
            <v>CM</v>
          </cell>
          <cell r="AS800">
            <v>0</v>
          </cell>
          <cell r="AT800" t="str">
            <v>CM</v>
          </cell>
          <cell r="AU800">
            <v>0</v>
          </cell>
          <cell r="AW800">
            <v>0</v>
          </cell>
        </row>
        <row r="801">
          <cell r="B801" t="str">
            <v>F1C2DRGJRSR-040</v>
          </cell>
          <cell r="C801" t="str">
            <v>WIRECON BETON GRİ DAİRE TEL E27 SARKIT</v>
          </cell>
          <cell r="D801" t="str">
            <v>WIRECON CONCRETE GREY CIRCLE WIRE E27 PENDANT</v>
          </cell>
          <cell r="E801" t="str">
            <v xml:space="preserve">BETON METAL GRİ SİYAH   </v>
          </cell>
          <cell r="F801" t="str">
            <v>9405.19.90.00.00</v>
          </cell>
          <cell r="G801" t="str">
            <v>AVİZE</v>
          </cell>
          <cell r="H801" t="str">
            <v/>
          </cell>
          <cell r="I801" t="str">
            <v>İÇ</v>
          </cell>
          <cell r="J801" t="str">
            <v>AVİZE.SARK</v>
          </cell>
          <cell r="K801" t="str">
            <v>WIRECON</v>
          </cell>
          <cell r="L801" t="str">
            <v>N/A</v>
          </cell>
          <cell r="M801" t="str">
            <v/>
          </cell>
          <cell r="N801" t="str">
            <v>1005-T</v>
          </cell>
          <cell r="O801" t="str">
            <v>ISHI</v>
          </cell>
          <cell r="P801" t="str">
            <v>ADET</v>
          </cell>
          <cell r="Q801" t="str">
            <v>E27</v>
          </cell>
          <cell r="R801" t="str">
            <v>BETON</v>
          </cell>
          <cell r="S801" t="str">
            <v>GRİ</v>
          </cell>
          <cell r="T801" t="str">
            <v>METAL</v>
          </cell>
          <cell r="U801" t="str">
            <v>SİYAH</v>
          </cell>
          <cell r="AD801" t="str">
            <v>DAİRE</v>
          </cell>
          <cell r="AE801" t="str">
            <v>02</v>
          </cell>
          <cell r="AG801" t="str">
            <v>ADET</v>
          </cell>
          <cell r="AL801">
            <v>1</v>
          </cell>
          <cell r="AM801" t="str">
            <v>8684127510059</v>
          </cell>
          <cell r="AO801">
            <v>0</v>
          </cell>
          <cell r="AQ801">
            <v>6</v>
          </cell>
          <cell r="AR801" t="str">
            <v>CM</v>
          </cell>
          <cell r="AS801">
            <v>40</v>
          </cell>
          <cell r="AT801" t="str">
            <v>CM</v>
          </cell>
          <cell r="AU801">
            <v>0</v>
          </cell>
          <cell r="AW801">
            <v>0</v>
          </cell>
        </row>
        <row r="802">
          <cell r="B802" t="str">
            <v>H1W2JMEJRS0-030</v>
          </cell>
          <cell r="C802" t="str">
            <v>NARA SİYAH APLİK</v>
          </cell>
          <cell r="D802" t="str">
            <v>NARA BLACK WALL LAMP</v>
          </cell>
          <cell r="E802" t="str">
            <v>METAL METAL ESKİTME SİYAH</v>
          </cell>
          <cell r="F802" t="str">
            <v>9405.19.90.00.00</v>
          </cell>
          <cell r="G802" t="str">
            <v>APLİK</v>
          </cell>
          <cell r="H802" t="str">
            <v>T1W2111400-22</v>
          </cell>
          <cell r="I802" t="str">
            <v>İÇ</v>
          </cell>
          <cell r="J802" t="str">
            <v>APLİK</v>
          </cell>
          <cell r="K802" t="str">
            <v>NARA</v>
          </cell>
          <cell r="L802" t="str">
            <v/>
          </cell>
          <cell r="M802" t="str">
            <v>30.01.2026</v>
          </cell>
          <cell r="N802" t="str">
            <v>2011</v>
          </cell>
          <cell r="O802" t="str">
            <v>HEKA</v>
          </cell>
          <cell r="P802" t="str">
            <v>ADET</v>
          </cell>
          <cell r="Q802" t="str">
            <v>E27</v>
          </cell>
          <cell r="R802" t="str">
            <v>METAL</v>
          </cell>
          <cell r="S802" t="str">
            <v>ESKİTME</v>
          </cell>
          <cell r="T802" t="str">
            <v>METAL</v>
          </cell>
          <cell r="U802" t="str">
            <v>SİYAH</v>
          </cell>
          <cell r="AD802" t="str">
            <v>N/A</v>
          </cell>
          <cell r="AE802" t="str">
            <v>01</v>
          </cell>
          <cell r="AF802">
            <v>2</v>
          </cell>
          <cell r="AG802" t="str">
            <v>ADET</v>
          </cell>
          <cell r="AH802">
            <v>48</v>
          </cell>
          <cell r="AI802" t="str">
            <v>CNY</v>
          </cell>
          <cell r="AJ802">
            <v>2550</v>
          </cell>
          <cell r="AK802" t="str">
            <v>TL</v>
          </cell>
          <cell r="AL802">
            <v>1</v>
          </cell>
          <cell r="AM802" t="str">
            <v>8684127502832</v>
          </cell>
          <cell r="AO802">
            <v>0</v>
          </cell>
          <cell r="AQ802">
            <v>25</v>
          </cell>
          <cell r="AR802" t="str">
            <v>CM</v>
          </cell>
          <cell r="AS802">
            <v>25</v>
          </cell>
          <cell r="AT802" t="str">
            <v>CM</v>
          </cell>
          <cell r="AU802">
            <v>0</v>
          </cell>
          <cell r="AW802">
            <v>0</v>
          </cell>
        </row>
        <row r="803">
          <cell r="B803" t="str">
            <v>H1C6JMEECSR-038</v>
          </cell>
          <cell r="C803" t="str">
            <v>KAMAKURA ESKİTME SARKIT 38cm</v>
          </cell>
          <cell r="D803" t="str">
            <v>KAMAKURA BRUSHED BRASS PENDANT 38cm</v>
          </cell>
          <cell r="E803" t="str">
            <v xml:space="preserve">METAL CAM  ESKİTME ŞEFFAF   </v>
          </cell>
          <cell r="F803" t="str">
            <v>9405.11.90.00.00</v>
          </cell>
          <cell r="G803" t="str">
            <v>AVİZE</v>
          </cell>
          <cell r="H803" t="str">
            <v>T1A6116200-38</v>
          </cell>
          <cell r="I803" t="str">
            <v>İÇ</v>
          </cell>
          <cell r="J803" t="str">
            <v>AVİZE.SARK</v>
          </cell>
          <cell r="K803" t="str">
            <v>KAMAKURA</v>
          </cell>
          <cell r="L803" t="str">
            <v/>
          </cell>
          <cell r="M803" t="str">
            <v/>
          </cell>
          <cell r="N803" t="str">
            <v>HKA-24120</v>
          </cell>
          <cell r="O803" t="str">
            <v>HEKA</v>
          </cell>
          <cell r="P803" t="str">
            <v>ADET</v>
          </cell>
          <cell r="Q803" t="str">
            <v>LED</v>
          </cell>
          <cell r="R803" t="str">
            <v>METAL</v>
          </cell>
          <cell r="S803" t="str">
            <v>ESKİTME</v>
          </cell>
          <cell r="T803" t="str">
            <v>CAM</v>
          </cell>
          <cell r="U803" t="str">
            <v>ŞEFFAF</v>
          </cell>
          <cell r="AD803" t="str">
            <v>DAİRE</v>
          </cell>
          <cell r="AE803" t="str">
            <v>01</v>
          </cell>
          <cell r="AF803">
            <v>1</v>
          </cell>
          <cell r="AG803" t="str">
            <v>ADET</v>
          </cell>
          <cell r="AH803">
            <v>178</v>
          </cell>
          <cell r="AI803" t="str">
            <v>CNY</v>
          </cell>
          <cell r="AJ803">
            <v>8925</v>
          </cell>
          <cell r="AK803" t="str">
            <v>TL</v>
          </cell>
          <cell r="AL803">
            <v>1</v>
          </cell>
          <cell r="AM803" t="str">
            <v>8684127502108</v>
          </cell>
          <cell r="AO803">
            <v>0</v>
          </cell>
          <cell r="AQ803">
            <v>30</v>
          </cell>
          <cell r="AR803" t="str">
            <v>CM</v>
          </cell>
          <cell r="AS803">
            <v>38</v>
          </cell>
          <cell r="AT803" t="str">
            <v>CM</v>
          </cell>
          <cell r="AU803">
            <v>0</v>
          </cell>
          <cell r="AW803">
            <v>0</v>
          </cell>
        </row>
        <row r="804">
          <cell r="B804" t="str">
            <v>H1C6JMEWRB0-025</v>
          </cell>
          <cell r="C804" t="str">
            <v>MUMBAİ MERMER ESKİTME SARKIT 25cm</v>
          </cell>
          <cell r="D804" t="str">
            <v>MUMBAİ MARBLE BRUSHED BRASS PENDANT 25cm</v>
          </cell>
          <cell r="E804" t="str">
            <v xml:space="preserve">METAL MERMER ESKİTME BEYAZ   </v>
          </cell>
          <cell r="F804" t="str">
            <v>9405.11.90.00.00</v>
          </cell>
          <cell r="G804" t="str">
            <v>AVİZE</v>
          </cell>
          <cell r="H804" t="str">
            <v>T1A6311100-26</v>
          </cell>
          <cell r="I804" t="str">
            <v>İÇ</v>
          </cell>
          <cell r="J804" t="str">
            <v>AVİZE.SARK</v>
          </cell>
          <cell r="K804" t="str">
            <v>MUMBAİ</v>
          </cell>
          <cell r="L804" t="str">
            <v/>
          </cell>
          <cell r="M804" t="str">
            <v/>
          </cell>
          <cell r="N804" t="str">
            <v>3002-WC</v>
          </cell>
          <cell r="O804" t="str">
            <v>HEKA</v>
          </cell>
          <cell r="P804" t="str">
            <v>ADET</v>
          </cell>
          <cell r="Q804" t="str">
            <v>LED</v>
          </cell>
          <cell r="R804" t="str">
            <v>METAL</v>
          </cell>
          <cell r="S804" t="str">
            <v>ESKİTME</v>
          </cell>
          <cell r="T804" t="str">
            <v>MERMER</v>
          </cell>
          <cell r="U804" t="str">
            <v>BEYAZ</v>
          </cell>
          <cell r="AD804" t="str">
            <v>N/A</v>
          </cell>
          <cell r="AE804" t="str">
            <v>01</v>
          </cell>
          <cell r="AF804">
            <v>0</v>
          </cell>
          <cell r="AG804" t="str">
            <v>ADET</v>
          </cell>
          <cell r="AH804">
            <v>288</v>
          </cell>
          <cell r="AI804" t="str">
            <v>CNY</v>
          </cell>
          <cell r="AJ804">
            <v>12091</v>
          </cell>
          <cell r="AK804" t="str">
            <v>TL</v>
          </cell>
          <cell r="AL804">
            <v>1</v>
          </cell>
          <cell r="AM804" t="str">
            <v>8684127504423</v>
          </cell>
          <cell r="AO804">
            <v>0</v>
          </cell>
          <cell r="AQ804">
            <v>25</v>
          </cell>
          <cell r="AR804" t="str">
            <v>CM</v>
          </cell>
          <cell r="AS804">
            <v>25</v>
          </cell>
          <cell r="AT804" t="str">
            <v>CM</v>
          </cell>
          <cell r="AU804">
            <v>0</v>
          </cell>
          <cell r="AW804">
            <v>0</v>
          </cell>
        </row>
        <row r="805">
          <cell r="B805" t="str">
            <v>H1C6JMEPRB0-016</v>
          </cell>
          <cell r="C805" t="str">
            <v>DURBAN LED HORTUM ESKİTME SARKIT 16mm</v>
          </cell>
          <cell r="D805" t="str">
            <v>DURBAN LED HOSE BRUSHED BRASS PENDANT 16mm</v>
          </cell>
          <cell r="E805" t="str">
            <v xml:space="preserve">METAL SİLİKON ESKİTME BEYAZ   </v>
          </cell>
          <cell r="F805" t="str">
            <v>9405.11.90.00.00</v>
          </cell>
          <cell r="G805" t="str">
            <v>AVİZE</v>
          </cell>
          <cell r="H805" t="str">
            <v>T1A611S100-05</v>
          </cell>
          <cell r="I805" t="str">
            <v>İÇ</v>
          </cell>
          <cell r="J805" t="str">
            <v>AVİZE.SARK</v>
          </cell>
          <cell r="K805" t="str">
            <v>DURBAN</v>
          </cell>
          <cell r="L805" t="str">
            <v/>
          </cell>
          <cell r="M805" t="str">
            <v/>
          </cell>
          <cell r="N805" t="str">
            <v>HK20075</v>
          </cell>
          <cell r="O805" t="str">
            <v>HEKA</v>
          </cell>
          <cell r="P805" t="str">
            <v>ADET</v>
          </cell>
          <cell r="Q805" t="str">
            <v>LED</v>
          </cell>
          <cell r="R805" t="str">
            <v>METAL</v>
          </cell>
          <cell r="S805" t="str">
            <v>ESKİTME</v>
          </cell>
          <cell r="T805" t="str">
            <v>SİLİKON</v>
          </cell>
          <cell r="U805" t="str">
            <v>BEYAZ</v>
          </cell>
          <cell r="AD805" t="str">
            <v>N/A</v>
          </cell>
          <cell r="AE805" t="str">
            <v>01</v>
          </cell>
          <cell r="AF805">
            <v>23</v>
          </cell>
          <cell r="AG805" t="str">
            <v>ADET</v>
          </cell>
          <cell r="AH805">
            <v>60</v>
          </cell>
          <cell r="AI805" t="str">
            <v>CNY</v>
          </cell>
          <cell r="AJ805">
            <v>915</v>
          </cell>
          <cell r="AK805" t="str">
            <v>TL</v>
          </cell>
          <cell r="AL805">
            <v>1</v>
          </cell>
          <cell r="AM805" t="str">
            <v>8684127505697</v>
          </cell>
          <cell r="AO805">
            <v>0</v>
          </cell>
          <cell r="AQ805">
            <v>1.6</v>
          </cell>
          <cell r="AR805" t="str">
            <v>CM</v>
          </cell>
          <cell r="AS805">
            <v>1.6</v>
          </cell>
          <cell r="AT805" t="str">
            <v>CM</v>
          </cell>
          <cell r="AU805">
            <v>0</v>
          </cell>
          <cell r="AW805">
            <v>0</v>
          </cell>
        </row>
        <row r="806">
          <cell r="B806" t="str">
            <v>H1W1JMGHRR0-050</v>
          </cell>
          <cell r="C806" t="str">
            <v>KAZAH ABAJUR ALTIN APLİK</v>
          </cell>
          <cell r="D806" t="str">
            <v>KAZAH LAMPSHADE GOLD LAMP</v>
          </cell>
          <cell r="E806" t="str">
            <v>METAL KUMAŞ GOLD KREM</v>
          </cell>
          <cell r="F806" t="str">
            <v>9405.19.90.00.00</v>
          </cell>
          <cell r="G806" t="str">
            <v>APLİK</v>
          </cell>
          <cell r="H806" t="str">
            <v>H1W1129200-50</v>
          </cell>
          <cell r="I806" t="str">
            <v>İÇ</v>
          </cell>
          <cell r="J806" t="str">
            <v>APLİK</v>
          </cell>
          <cell r="K806" t="str">
            <v>KAZAH</v>
          </cell>
          <cell r="L806" t="str">
            <v/>
          </cell>
          <cell r="M806" t="str">
            <v/>
          </cell>
          <cell r="N806" t="str">
            <v>MRT-01G</v>
          </cell>
          <cell r="O806" t="str">
            <v>HEKA</v>
          </cell>
          <cell r="P806" t="str">
            <v>ADET</v>
          </cell>
          <cell r="Q806" t="str">
            <v>E14</v>
          </cell>
          <cell r="R806" t="str">
            <v>METAL</v>
          </cell>
          <cell r="S806" t="str">
            <v>GOLD</v>
          </cell>
          <cell r="T806" t="str">
            <v>KUMAŞ</v>
          </cell>
          <cell r="U806" t="str">
            <v>KREM</v>
          </cell>
          <cell r="AD806" t="str">
            <v>N/A</v>
          </cell>
          <cell r="AE806" t="str">
            <v>02</v>
          </cell>
          <cell r="AF806">
            <v>0</v>
          </cell>
          <cell r="AG806" t="str">
            <v>ADET</v>
          </cell>
          <cell r="AH806">
            <v>60</v>
          </cell>
          <cell r="AI806" t="str">
            <v>TL</v>
          </cell>
          <cell r="AJ806">
            <v>395</v>
          </cell>
          <cell r="AK806" t="str">
            <v>TL</v>
          </cell>
          <cell r="AL806">
            <v>1</v>
          </cell>
          <cell r="AM806" t="str">
            <v>8684127509862</v>
          </cell>
          <cell r="AO806">
            <v>0</v>
          </cell>
          <cell r="AQ806">
            <v>21</v>
          </cell>
          <cell r="AR806" t="str">
            <v>CM</v>
          </cell>
          <cell r="AS806">
            <v>50</v>
          </cell>
          <cell r="AT806" t="str">
            <v>CM</v>
          </cell>
          <cell r="AU806">
            <v>0</v>
          </cell>
          <cell r="AW806">
            <v>0</v>
          </cell>
        </row>
        <row r="807">
          <cell r="B807" t="str">
            <v>T1W6211100-04</v>
          </cell>
          <cell r="C807" t="str">
            <v>URARTU 4 KÜRE CAMLI APLİK</v>
          </cell>
          <cell r="D807" t="str">
            <v>URARTU 4 GLASS GLOBE WALL LAMP</v>
          </cell>
          <cell r="E807" t="str">
            <v xml:space="preserve">METAL CAM  ESKİTME SOFT   </v>
          </cell>
          <cell r="F807" t="str">
            <v/>
          </cell>
          <cell r="G807" t="str">
            <v>APLİK</v>
          </cell>
          <cell r="H807" t="str">
            <v>T1W6211100-04</v>
          </cell>
          <cell r="I807" t="str">
            <v>İÇ</v>
          </cell>
          <cell r="J807" t="str">
            <v>APLİK</v>
          </cell>
          <cell r="K807" t="str">
            <v>URARTU</v>
          </cell>
          <cell r="L807" t="str">
            <v/>
          </cell>
          <cell r="M807" t="str">
            <v/>
          </cell>
          <cell r="N807" t="str">
            <v>JM8010-W-A-4</v>
          </cell>
          <cell r="O807" t="str">
            <v>HEKA</v>
          </cell>
          <cell r="P807" t="str">
            <v>ADET</v>
          </cell>
          <cell r="Q807" t="str">
            <v>LED</v>
          </cell>
          <cell r="R807" t="str">
            <v>METAL</v>
          </cell>
          <cell r="S807" t="str">
            <v>ESKİTME</v>
          </cell>
          <cell r="T807" t="str">
            <v>CAM</v>
          </cell>
          <cell r="U807" t="str">
            <v>SOFT</v>
          </cell>
          <cell r="AD807" t="str">
            <v>KÜRE</v>
          </cell>
          <cell r="AF807">
            <v>0</v>
          </cell>
          <cell r="AG807" t="str">
            <v>ADET</v>
          </cell>
          <cell r="AH807">
            <v>105</v>
          </cell>
          <cell r="AI807" t="str">
            <v>CNY</v>
          </cell>
          <cell r="AJ807">
            <v>3330</v>
          </cell>
          <cell r="AK807" t="str">
            <v>TL</v>
          </cell>
          <cell r="AL807">
            <v>0</v>
          </cell>
          <cell r="AO807">
            <v>0</v>
          </cell>
          <cell r="AQ807">
            <v>0</v>
          </cell>
          <cell r="AS807">
            <v>0</v>
          </cell>
          <cell r="AU807">
            <v>0</v>
          </cell>
          <cell r="AW807">
            <v>0</v>
          </cell>
        </row>
        <row r="808">
          <cell r="B808" t="str">
            <v>H1F6JMEWRBR-185</v>
          </cell>
          <cell r="C808" t="str">
            <v>KAMPALA MERMER LAMBADER</v>
          </cell>
          <cell r="D808" t="str">
            <v>KAMPALA MARBLE FLOOR LAMP</v>
          </cell>
          <cell r="E808" t="str">
            <v xml:space="preserve">METAL MERMER ESKİTME BEYAZ   </v>
          </cell>
          <cell r="F808" t="str">
            <v>9405.21.90.00.00</v>
          </cell>
          <cell r="G808" t="str">
            <v>LAMBADER</v>
          </cell>
          <cell r="H808" t="str">
            <v>H1L6113100-04</v>
          </cell>
          <cell r="I808" t="str">
            <v>İÇ</v>
          </cell>
          <cell r="J808" t="str">
            <v>LAMBADER</v>
          </cell>
          <cell r="K808" t="str">
            <v>KAMPALA</v>
          </cell>
          <cell r="L808" t="str">
            <v/>
          </cell>
          <cell r="M808" t="str">
            <v>ÜRTM:15GÜN</v>
          </cell>
          <cell r="N808" t="str">
            <v>XQL-B8908-L</v>
          </cell>
          <cell r="O808" t="str">
            <v>HEKA</v>
          </cell>
          <cell r="P808" t="str">
            <v>ADET</v>
          </cell>
          <cell r="Q808" t="str">
            <v>LED</v>
          </cell>
          <cell r="R808" t="str">
            <v>METAL</v>
          </cell>
          <cell r="S808" t="str">
            <v>ESKİTME</v>
          </cell>
          <cell r="T808" t="str">
            <v>MERMER</v>
          </cell>
          <cell r="U808" t="str">
            <v>BEYAZ</v>
          </cell>
          <cell r="AD808" t="str">
            <v>DAİRE</v>
          </cell>
          <cell r="AF808">
            <v>0</v>
          </cell>
          <cell r="AG808" t="str">
            <v>ADET</v>
          </cell>
          <cell r="AH808">
            <v>5000</v>
          </cell>
          <cell r="AI808" t="str">
            <v>TL</v>
          </cell>
          <cell r="AJ808">
            <v>49725</v>
          </cell>
          <cell r="AK808" t="str">
            <v>TL</v>
          </cell>
          <cell r="AL808">
            <v>1</v>
          </cell>
          <cell r="AM808" t="str">
            <v>8684127505185</v>
          </cell>
          <cell r="AO808">
            <v>0</v>
          </cell>
          <cell r="AQ808">
            <v>50</v>
          </cell>
          <cell r="AR808" t="str">
            <v>CM</v>
          </cell>
          <cell r="AS808">
            <v>50</v>
          </cell>
          <cell r="AT808" t="str">
            <v>CM</v>
          </cell>
          <cell r="AU808">
            <v>0</v>
          </cell>
          <cell r="AW808">
            <v>0</v>
          </cell>
        </row>
        <row r="809">
          <cell r="B809" t="str">
            <v>H1T6JMEWRBR-065</v>
          </cell>
          <cell r="C809" t="str">
            <v>KAMPALA MERMER MASA LAMBASI</v>
          </cell>
          <cell r="D809" t="str">
            <v>KAMPALA MARBLE TABLE LAMP</v>
          </cell>
          <cell r="E809" t="str">
            <v xml:space="preserve">METAL MERMER ESKİTME BEYAZ   </v>
          </cell>
          <cell r="F809" t="str">
            <v>9405.21.90.00.00</v>
          </cell>
          <cell r="G809" t="str">
            <v>MASA LAMBASI</v>
          </cell>
          <cell r="H809" t="str">
            <v>H1M6113100-02</v>
          </cell>
          <cell r="I809" t="str">
            <v>İÇ</v>
          </cell>
          <cell r="J809" t="str">
            <v>MASAABAJ</v>
          </cell>
          <cell r="K809" t="str">
            <v>KAMPALA</v>
          </cell>
          <cell r="L809" t="str">
            <v/>
          </cell>
          <cell r="M809" t="str">
            <v>ÜRTM:15GÜN</v>
          </cell>
          <cell r="N809" t="str">
            <v>XQL-B8908-T</v>
          </cell>
          <cell r="O809" t="str">
            <v>HEKA</v>
          </cell>
          <cell r="P809" t="str">
            <v>ADET</v>
          </cell>
          <cell r="Q809" t="str">
            <v>LED</v>
          </cell>
          <cell r="R809" t="str">
            <v>METAL</v>
          </cell>
          <cell r="S809" t="str">
            <v>ESKİTME</v>
          </cell>
          <cell r="T809" t="str">
            <v>MERMER</v>
          </cell>
          <cell r="U809" t="str">
            <v>BEYAZ</v>
          </cell>
          <cell r="AD809" t="str">
            <v>DAİRE</v>
          </cell>
          <cell r="AF809">
            <v>0</v>
          </cell>
          <cell r="AG809" t="str">
            <v>ADET</v>
          </cell>
          <cell r="AH809">
            <v>1250</v>
          </cell>
          <cell r="AI809" t="str">
            <v>TL</v>
          </cell>
          <cell r="AJ809">
            <v>20995</v>
          </cell>
          <cell r="AK809" t="str">
            <v>TL</v>
          </cell>
          <cell r="AL809">
            <v>1</v>
          </cell>
          <cell r="AM809" t="str">
            <v>8684127505161</v>
          </cell>
          <cell r="AO809">
            <v>0</v>
          </cell>
          <cell r="AQ809">
            <v>30</v>
          </cell>
          <cell r="AR809" t="str">
            <v>CM</v>
          </cell>
          <cell r="AS809">
            <v>30</v>
          </cell>
          <cell r="AT809" t="str">
            <v>CM</v>
          </cell>
          <cell r="AU809">
            <v>0</v>
          </cell>
          <cell r="AW809">
            <v>0</v>
          </cell>
        </row>
        <row r="810">
          <cell r="B810" t="str">
            <v>H1F3JMKERF0-182</v>
          </cell>
          <cell r="C810" t="str">
            <v>BENİN FÜME CAM KROM LAMBADER</v>
          </cell>
          <cell r="D810" t="str">
            <v>BENİN SMOKY GLASS CHROME FLOOR LAMP</v>
          </cell>
          <cell r="E810" t="str">
            <v xml:space="preserve">METAL CAM  KROM FÜME   </v>
          </cell>
          <cell r="F810" t="str">
            <v>9405.29.90.00.00</v>
          </cell>
          <cell r="G810" t="str">
            <v>LAMBADER</v>
          </cell>
          <cell r="H810" t="str">
            <v>T1L1132200-25</v>
          </cell>
          <cell r="I810" t="str">
            <v>İÇ</v>
          </cell>
          <cell r="J810" t="str">
            <v>LAMBADER</v>
          </cell>
          <cell r="K810" t="str">
            <v>BENİN</v>
          </cell>
          <cell r="L810" t="str">
            <v/>
          </cell>
          <cell r="M810" t="str">
            <v>ÜRTM:15GÜN</v>
          </cell>
          <cell r="N810" t="str">
            <v>HK20069</v>
          </cell>
          <cell r="O810" t="str">
            <v>HEKA</v>
          </cell>
          <cell r="P810" t="str">
            <v>ADET</v>
          </cell>
          <cell r="Q810" t="str">
            <v>E14</v>
          </cell>
          <cell r="R810" t="str">
            <v>METAL</v>
          </cell>
          <cell r="S810" t="str">
            <v>KROM</v>
          </cell>
          <cell r="T810" t="str">
            <v>CAM</v>
          </cell>
          <cell r="U810" t="str">
            <v>FÜME</v>
          </cell>
          <cell r="AD810" t="str">
            <v>N/A</v>
          </cell>
          <cell r="AE810" t="str">
            <v>02</v>
          </cell>
          <cell r="AF810">
            <v>0</v>
          </cell>
          <cell r="AG810" t="str">
            <v>ADET</v>
          </cell>
          <cell r="AJ810">
            <v>3750</v>
          </cell>
          <cell r="AK810" t="str">
            <v>TL</v>
          </cell>
          <cell r="AL810">
            <v>1</v>
          </cell>
          <cell r="AM810" t="str">
            <v>8684127503037</v>
          </cell>
          <cell r="AO810">
            <v>0</v>
          </cell>
          <cell r="AQ810">
            <v>182</v>
          </cell>
          <cell r="AR810" t="str">
            <v>CM</v>
          </cell>
          <cell r="AS810">
            <v>25</v>
          </cell>
          <cell r="AT810" t="str">
            <v>CM</v>
          </cell>
          <cell r="AU810">
            <v>0</v>
          </cell>
          <cell r="AW810">
            <v>0</v>
          </cell>
        </row>
        <row r="811">
          <cell r="B811" t="str">
            <v>H1C6JMKECTR-025</v>
          </cell>
          <cell r="C811" t="str">
            <v>MARŞAL LED KROM SARKIT 25cm</v>
          </cell>
          <cell r="D811" t="str">
            <v>MARŞAL LED CHROME PENDANT 25cm</v>
          </cell>
          <cell r="E811" t="str">
            <v xml:space="preserve">METAL CAM  KROM SOFT   </v>
          </cell>
          <cell r="F811" t="str">
            <v>9405.11.90.00.00</v>
          </cell>
          <cell r="G811" t="str">
            <v>AVİZE</v>
          </cell>
          <cell r="H811" t="str">
            <v>T1A6211300-25</v>
          </cell>
          <cell r="I811" t="str">
            <v>İÇ</v>
          </cell>
          <cell r="J811" t="str">
            <v>AVİZE.SARK</v>
          </cell>
          <cell r="K811" t="str">
            <v>MARŞAL</v>
          </cell>
          <cell r="L811" t="str">
            <v/>
          </cell>
          <cell r="M811" t="str">
            <v/>
          </cell>
          <cell r="N811" t="str">
            <v>HKA-24001</v>
          </cell>
          <cell r="O811" t="str">
            <v>HEKA</v>
          </cell>
          <cell r="P811" t="str">
            <v>ADET</v>
          </cell>
          <cell r="Q811" t="str">
            <v>LED</v>
          </cell>
          <cell r="R811" t="str">
            <v>METAL</v>
          </cell>
          <cell r="S811" t="str">
            <v>KROM</v>
          </cell>
          <cell r="T811" t="str">
            <v>CAM</v>
          </cell>
          <cell r="U811" t="str">
            <v>SOFT</v>
          </cell>
          <cell r="AD811" t="str">
            <v>DAİRE</v>
          </cell>
          <cell r="AE811" t="str">
            <v>01</v>
          </cell>
          <cell r="AF811">
            <v>78</v>
          </cell>
          <cell r="AG811" t="str">
            <v>ADET</v>
          </cell>
          <cell r="AH811">
            <v>29</v>
          </cell>
          <cell r="AI811" t="str">
            <v>CNY</v>
          </cell>
          <cell r="AJ811">
            <v>1893</v>
          </cell>
          <cell r="AK811" t="str">
            <v>TL</v>
          </cell>
          <cell r="AL811">
            <v>1</v>
          </cell>
          <cell r="AM811" t="str">
            <v>8684127502559</v>
          </cell>
          <cell r="AO811">
            <v>0</v>
          </cell>
          <cell r="AQ811">
            <v>12</v>
          </cell>
          <cell r="AR811" t="str">
            <v>CM</v>
          </cell>
          <cell r="AS811">
            <v>24</v>
          </cell>
          <cell r="AT811" t="str">
            <v>CM</v>
          </cell>
          <cell r="AU811">
            <v>0</v>
          </cell>
          <cell r="AW811">
            <v>0</v>
          </cell>
        </row>
        <row r="812">
          <cell r="B812" t="str">
            <v>F1C5DRG000A-015</v>
          </cell>
          <cell r="C812" t="str">
            <v>TOPPU BETON GRİ AÇILI SARKIT</v>
          </cell>
          <cell r="D812" t="str">
            <v>TOPPU CONCRETE GREY ANGLED PENDANT</v>
          </cell>
          <cell r="E812" t="str">
            <v xml:space="preserve">BETON YOK GRİ YOK   </v>
          </cell>
          <cell r="F812" t="str">
            <v>9405.19.90.00.00</v>
          </cell>
          <cell r="G812" t="str">
            <v>AVİZE</v>
          </cell>
          <cell r="H812" t="str">
            <v>F1A510C20A-15</v>
          </cell>
          <cell r="I812" t="str">
            <v>İÇ</v>
          </cell>
          <cell r="J812" t="str">
            <v>AVİZE.SARK</v>
          </cell>
          <cell r="K812" t="str">
            <v>TOPPU</v>
          </cell>
          <cell r="L812" t="str">
            <v/>
          </cell>
          <cell r="M812" t="str">
            <v>ÜRTM:15GÜN</v>
          </cell>
          <cell r="N812" t="str">
            <v>1002-GC-A</v>
          </cell>
          <cell r="O812" t="str">
            <v>ISHI</v>
          </cell>
          <cell r="P812" t="str">
            <v>ADET</v>
          </cell>
          <cell r="Q812" t="str">
            <v>GU10</v>
          </cell>
          <cell r="R812" t="str">
            <v>BETON</v>
          </cell>
          <cell r="S812" t="str">
            <v>GRİ</v>
          </cell>
          <cell r="T812" t="str">
            <v>YOK</v>
          </cell>
          <cell r="U812" t="str">
            <v>YOK</v>
          </cell>
          <cell r="AD812" t="str">
            <v>AÇILI</v>
          </cell>
          <cell r="AE812" t="str">
            <v>01</v>
          </cell>
          <cell r="AF812">
            <v>1</v>
          </cell>
          <cell r="AG812" t="str">
            <v>ADET</v>
          </cell>
          <cell r="AH812">
            <v>1046.5</v>
          </cell>
          <cell r="AI812" t="str">
            <v>TL</v>
          </cell>
          <cell r="AJ812">
            <v>5426</v>
          </cell>
          <cell r="AK812" t="str">
            <v>TL</v>
          </cell>
          <cell r="AL812">
            <v>1</v>
          </cell>
          <cell r="AM812" t="str">
            <v>8684127508629</v>
          </cell>
          <cell r="AO812">
            <v>0</v>
          </cell>
          <cell r="AQ812">
            <v>15</v>
          </cell>
          <cell r="AR812" t="str">
            <v>CM</v>
          </cell>
          <cell r="AS812">
            <v>15</v>
          </cell>
          <cell r="AT812" t="str">
            <v>CM</v>
          </cell>
          <cell r="AU812">
            <v>0</v>
          </cell>
          <cell r="AW812">
            <v>0</v>
          </cell>
        </row>
        <row r="813">
          <cell r="B813" t="str">
            <v>F1C5DRV000A-015</v>
          </cell>
          <cell r="C813" t="str">
            <v>TOPPU BETON KAHVERENGİ AÇILI SARKIT</v>
          </cell>
          <cell r="D813" t="str">
            <v>TOPPU CONCRETE BROWN ANGLED PENDANT</v>
          </cell>
          <cell r="E813" t="str">
            <v xml:space="preserve">BETON YOK KAHVERENGİ YOK   </v>
          </cell>
          <cell r="F813" t="str">
            <v>9405.19.90.00.00</v>
          </cell>
          <cell r="G813" t="str">
            <v>AVİZE</v>
          </cell>
          <cell r="H813" t="str">
            <v>F1A510C30A-15</v>
          </cell>
          <cell r="I813" t="str">
            <v>İÇ</v>
          </cell>
          <cell r="J813" t="str">
            <v>AVİZE.SARK</v>
          </cell>
          <cell r="K813" t="str">
            <v>TOPPU</v>
          </cell>
          <cell r="L813" t="str">
            <v/>
          </cell>
          <cell r="M813" t="str">
            <v>ÜRTM:15GÜN</v>
          </cell>
          <cell r="N813" t="str">
            <v>1002-BRC-A</v>
          </cell>
          <cell r="O813" t="str">
            <v>ISHI</v>
          </cell>
          <cell r="P813" t="str">
            <v>ADET</v>
          </cell>
          <cell r="Q813" t="str">
            <v>GU10</v>
          </cell>
          <cell r="R813" t="str">
            <v>BETON</v>
          </cell>
          <cell r="S813" t="str">
            <v>KAHVERENGİ</v>
          </cell>
          <cell r="T813" t="str">
            <v>YOK</v>
          </cell>
          <cell r="U813" t="str">
            <v>YOK</v>
          </cell>
          <cell r="AD813" t="str">
            <v>AÇILI</v>
          </cell>
          <cell r="AE813" t="str">
            <v>01</v>
          </cell>
          <cell r="AF813">
            <v>9</v>
          </cell>
          <cell r="AG813" t="str">
            <v>ADET</v>
          </cell>
          <cell r="AH813">
            <v>1046.5</v>
          </cell>
          <cell r="AI813" t="str">
            <v>TL</v>
          </cell>
          <cell r="AJ813">
            <v>5426</v>
          </cell>
          <cell r="AK813" t="str">
            <v>TL</v>
          </cell>
          <cell r="AL813">
            <v>1</v>
          </cell>
          <cell r="AM813" t="str">
            <v>8684127508643</v>
          </cell>
          <cell r="AO813">
            <v>0</v>
          </cell>
          <cell r="AQ813">
            <v>15</v>
          </cell>
          <cell r="AR813" t="str">
            <v>CM</v>
          </cell>
          <cell r="AS813">
            <v>15</v>
          </cell>
          <cell r="AT813" t="str">
            <v>CM</v>
          </cell>
          <cell r="AU813">
            <v>0</v>
          </cell>
          <cell r="AW813">
            <v>0</v>
          </cell>
        </row>
        <row r="814">
          <cell r="B814" t="str">
            <v>H1W3JMRECT0-043</v>
          </cell>
          <cell r="C814" t="str">
            <v>YOROS İKİ CAMLI KOYU ESKİTME APLİK</v>
          </cell>
          <cell r="D814" t="str">
            <v>YOROS 2 GLASS RAW BRASS WALL LAMP</v>
          </cell>
          <cell r="E814" t="str">
            <v>METAL CAM KOYU ESKİTME SOFT</v>
          </cell>
          <cell r="F814" t="str">
            <v>9405.19.90.00.00</v>
          </cell>
          <cell r="G814" t="str">
            <v>APLİK</v>
          </cell>
          <cell r="H814" t="str">
            <v>H1W31K2100-02</v>
          </cell>
          <cell r="I814" t="str">
            <v>İÇ</v>
          </cell>
          <cell r="J814" t="str">
            <v>APLİK</v>
          </cell>
          <cell r="K814" t="str">
            <v>YOROS</v>
          </cell>
          <cell r="L814" t="str">
            <v/>
          </cell>
          <cell r="M814" t="str">
            <v/>
          </cell>
          <cell r="N814" t="str">
            <v/>
          </cell>
          <cell r="O814" t="str">
            <v>HEKA</v>
          </cell>
          <cell r="P814" t="str">
            <v>ADET</v>
          </cell>
          <cell r="Q814" t="str">
            <v>G9</v>
          </cell>
          <cell r="R814" t="str">
            <v>METAL</v>
          </cell>
          <cell r="S814" t="str">
            <v>KOYU ESKİTME</v>
          </cell>
          <cell r="T814" t="str">
            <v>CAM</v>
          </cell>
          <cell r="U814" t="str">
            <v>SOFT</v>
          </cell>
          <cell r="AD814" t="str">
            <v>N/A</v>
          </cell>
          <cell r="AE814" t="str">
            <v>03</v>
          </cell>
          <cell r="AF814">
            <v>3</v>
          </cell>
          <cell r="AG814" t="str">
            <v>ADET</v>
          </cell>
          <cell r="AH814">
            <v>150</v>
          </cell>
          <cell r="AI814" t="str">
            <v>TL</v>
          </cell>
          <cell r="AJ814">
            <v>4250</v>
          </cell>
          <cell r="AK814" t="str">
            <v>TL</v>
          </cell>
          <cell r="AL814">
            <v>1</v>
          </cell>
          <cell r="AM814" t="str">
            <v>8684127509510</v>
          </cell>
          <cell r="AO814">
            <v>0</v>
          </cell>
          <cell r="AQ814">
            <v>17</v>
          </cell>
          <cell r="AR814" t="str">
            <v>CM</v>
          </cell>
          <cell r="AS814">
            <v>43</v>
          </cell>
          <cell r="AT814" t="str">
            <v>CM</v>
          </cell>
          <cell r="AU814">
            <v>0</v>
          </cell>
          <cell r="AW814">
            <v>0</v>
          </cell>
        </row>
        <row r="815">
          <cell r="B815" t="str">
            <v>T1F6JMEERL0-182</v>
          </cell>
          <cell r="C815" t="str">
            <v>HOBART 6 LI BAL CAMLI ESKİTME LAMBADER</v>
          </cell>
          <cell r="D815" t="str">
            <v>HOBART AMBER GLASS BRASS FLOOR LAMP 6 BULB</v>
          </cell>
          <cell r="E815" t="str">
            <v>METAL CAM ESKİTME BAL</v>
          </cell>
          <cell r="F815" t="str">
            <v>9405.11.90.00.00</v>
          </cell>
          <cell r="G815" t="str">
            <v>LAMBADER</v>
          </cell>
          <cell r="H815" t="str">
            <v>T1L6112300-06</v>
          </cell>
          <cell r="I815" t="str">
            <v>İÇ</v>
          </cell>
          <cell r="J815" t="str">
            <v>LAMBADER</v>
          </cell>
          <cell r="K815" t="str">
            <v>HOBART</v>
          </cell>
          <cell r="L815" t="str">
            <v/>
          </cell>
          <cell r="M815" t="str">
            <v>ÜRTM:15GÜN</v>
          </cell>
          <cell r="N815" t="str">
            <v/>
          </cell>
          <cell r="O815" t="str">
            <v>HEKA</v>
          </cell>
          <cell r="P815" t="str">
            <v>ADET</v>
          </cell>
          <cell r="Q815" t="str">
            <v>LED</v>
          </cell>
          <cell r="R815" t="str">
            <v>METAL</v>
          </cell>
          <cell r="S815" t="str">
            <v>ESKİTME</v>
          </cell>
          <cell r="T815" t="str">
            <v>CAM</v>
          </cell>
          <cell r="U815" t="str">
            <v>BAL</v>
          </cell>
          <cell r="AD815" t="str">
            <v>N/A</v>
          </cell>
          <cell r="AE815" t="str">
            <v>07</v>
          </cell>
          <cell r="AF815">
            <v>0</v>
          </cell>
          <cell r="AG815" t="str">
            <v>ADET</v>
          </cell>
          <cell r="AJ815">
            <v>35500</v>
          </cell>
          <cell r="AK815" t="str">
            <v>TL</v>
          </cell>
          <cell r="AL815">
            <v>1</v>
          </cell>
          <cell r="AM815" t="str">
            <v>8684127509800</v>
          </cell>
          <cell r="AO815">
            <v>0</v>
          </cell>
          <cell r="AQ815">
            <v>32</v>
          </cell>
          <cell r="AR815" t="str">
            <v>CM</v>
          </cell>
          <cell r="AS815">
            <v>182</v>
          </cell>
          <cell r="AT815" t="str">
            <v>CM</v>
          </cell>
          <cell r="AU815">
            <v>0</v>
          </cell>
          <cell r="AW815">
            <v>0</v>
          </cell>
        </row>
        <row r="816">
          <cell r="B816" t="str">
            <v>H1C6JMKECTR-035</v>
          </cell>
          <cell r="C816" t="str">
            <v>MARŞAL LED KROM SARKIT 35cm</v>
          </cell>
          <cell r="D816" t="str">
            <v>MARŞAL LED CHROME PENDANT 35cm</v>
          </cell>
          <cell r="E816" t="str">
            <v>METAL CAM KROM SOFT</v>
          </cell>
          <cell r="F816" t="str">
            <v>9405.19.90.00.00</v>
          </cell>
          <cell r="G816" t="str">
            <v>AVİZE</v>
          </cell>
          <cell r="H816" t="str">
            <v>T1A6211300-35</v>
          </cell>
          <cell r="I816" t="str">
            <v>İÇ</v>
          </cell>
          <cell r="J816" t="str">
            <v>AVİZE.SARK</v>
          </cell>
          <cell r="K816" t="str">
            <v>MARŞAL</v>
          </cell>
          <cell r="L816" t="str">
            <v/>
          </cell>
          <cell r="M816" t="str">
            <v/>
          </cell>
          <cell r="N816" t="str">
            <v>HKA-24002</v>
          </cell>
          <cell r="O816" t="str">
            <v>HEKA</v>
          </cell>
          <cell r="P816" t="str">
            <v>ADET</v>
          </cell>
          <cell r="Q816" t="str">
            <v>LED</v>
          </cell>
          <cell r="R816" t="str">
            <v>METAL</v>
          </cell>
          <cell r="S816" t="str">
            <v>KROM</v>
          </cell>
          <cell r="T816" t="str">
            <v>CAM</v>
          </cell>
          <cell r="U816" t="str">
            <v>SOFT</v>
          </cell>
          <cell r="AD816" t="str">
            <v>DAİRE</v>
          </cell>
          <cell r="AE816" t="str">
            <v>01</v>
          </cell>
          <cell r="AF816">
            <v>122</v>
          </cell>
          <cell r="AG816" t="str">
            <v>ADET</v>
          </cell>
          <cell r="AH816">
            <v>55</v>
          </cell>
          <cell r="AI816" t="str">
            <v>CNY</v>
          </cell>
          <cell r="AJ816">
            <v>2845</v>
          </cell>
          <cell r="AK816" t="str">
            <v>TL</v>
          </cell>
          <cell r="AL816">
            <v>1</v>
          </cell>
          <cell r="AM816" t="str">
            <v>8684127503129</v>
          </cell>
          <cell r="AO816">
            <v>0</v>
          </cell>
          <cell r="AQ816">
            <v>0</v>
          </cell>
          <cell r="AR816" t="str">
            <v>CM</v>
          </cell>
          <cell r="AS816">
            <v>35</v>
          </cell>
          <cell r="AT816" t="str">
            <v>CM</v>
          </cell>
          <cell r="AU816">
            <v>0</v>
          </cell>
          <cell r="AW816">
            <v>0</v>
          </cell>
        </row>
        <row r="817">
          <cell r="B817" t="str">
            <v>H1W1JRU0000-086</v>
          </cell>
          <cell r="C817" t="str">
            <v>PASSAU GÜMÜŞ APLİK</v>
          </cell>
          <cell r="D817" t="str">
            <v>PASSAU SILVER GOLD LAMP</v>
          </cell>
          <cell r="E817" t="str">
            <v>METAL YOK GÜMÜŞ YOK</v>
          </cell>
          <cell r="F817" t="str">
            <v>9405.19.90.00.00</v>
          </cell>
          <cell r="G817" t="str">
            <v>APLİK</v>
          </cell>
          <cell r="H817" t="str">
            <v>H1W1JM000-086</v>
          </cell>
          <cell r="I817" t="str">
            <v>İÇ</v>
          </cell>
          <cell r="J817" t="str">
            <v>APLİK</v>
          </cell>
          <cell r="K817" t="str">
            <v>PASSAU</v>
          </cell>
          <cell r="L817" t="str">
            <v/>
          </cell>
          <cell r="M817" t="str">
            <v/>
          </cell>
          <cell r="N817" t="str">
            <v/>
          </cell>
          <cell r="O817" t="str">
            <v>HEKA</v>
          </cell>
          <cell r="P817" t="str">
            <v>ADET</v>
          </cell>
          <cell r="Q817" t="str">
            <v>E14</v>
          </cell>
          <cell r="R817" t="str">
            <v>METAL</v>
          </cell>
          <cell r="S817" t="str">
            <v>GÜMÜŞ</v>
          </cell>
          <cell r="T817" t="str">
            <v>YOK</v>
          </cell>
          <cell r="U817" t="str">
            <v>YOK</v>
          </cell>
          <cell r="AD817" t="str">
            <v>N/A</v>
          </cell>
          <cell r="AE817" t="str">
            <v>03</v>
          </cell>
          <cell r="AF817">
            <v>0</v>
          </cell>
          <cell r="AG817" t="str">
            <v>ADET</v>
          </cell>
          <cell r="AH817">
            <v>1750</v>
          </cell>
          <cell r="AI817" t="str">
            <v>TL</v>
          </cell>
          <cell r="AJ817">
            <v>4000</v>
          </cell>
          <cell r="AK817" t="str">
            <v>TL</v>
          </cell>
          <cell r="AL817">
            <v>1</v>
          </cell>
          <cell r="AM817" t="str">
            <v>8684127509930</v>
          </cell>
          <cell r="AO817">
            <v>0</v>
          </cell>
          <cell r="AQ817">
            <v>0</v>
          </cell>
          <cell r="AR817" t="str">
            <v>CM</v>
          </cell>
          <cell r="AS817">
            <v>0</v>
          </cell>
          <cell r="AT817" t="str">
            <v>CM</v>
          </cell>
          <cell r="AU817">
            <v>0</v>
          </cell>
          <cell r="AW817">
            <v>0</v>
          </cell>
        </row>
        <row r="818">
          <cell r="B818" t="str">
            <v>H1W6JMEPRB0-048</v>
          </cell>
          <cell r="C818" t="str">
            <v>LİNZ LED APLİK</v>
          </cell>
          <cell r="D818" t="str">
            <v>LİNZ LED WALL LAMP</v>
          </cell>
          <cell r="E818" t="str">
            <v>METAL SİLİKON ESKİTME BEYAZ</v>
          </cell>
          <cell r="F818" t="str">
            <v>9405.11.90.00.00</v>
          </cell>
          <cell r="G818" t="str">
            <v>APLİK</v>
          </cell>
          <cell r="H818" t="str">
            <v>H1W6JGP20-048</v>
          </cell>
          <cell r="I818" t="str">
            <v>İÇ</v>
          </cell>
          <cell r="J818" t="str">
            <v>APLİK</v>
          </cell>
          <cell r="K818" t="str">
            <v>LİNZ</v>
          </cell>
          <cell r="L818" t="str">
            <v/>
          </cell>
          <cell r="M818" t="str">
            <v/>
          </cell>
          <cell r="N818" t="str">
            <v/>
          </cell>
          <cell r="O818" t="str">
            <v>HEKA</v>
          </cell>
          <cell r="P818" t="str">
            <v>ADET</v>
          </cell>
          <cell r="Q818" t="str">
            <v>LED</v>
          </cell>
          <cell r="R818" t="str">
            <v>METAL</v>
          </cell>
          <cell r="S818" t="str">
            <v>ESKİTME</v>
          </cell>
          <cell r="T818" t="str">
            <v>SİLİKON</v>
          </cell>
          <cell r="U818" t="str">
            <v>BEYAZ</v>
          </cell>
          <cell r="AD818" t="str">
            <v>N/A</v>
          </cell>
          <cell r="AE818" t="str">
            <v>01</v>
          </cell>
          <cell r="AF818">
            <v>0</v>
          </cell>
          <cell r="AG818" t="str">
            <v>ADET</v>
          </cell>
          <cell r="AH818">
            <v>450</v>
          </cell>
          <cell r="AI818" t="str">
            <v>TL</v>
          </cell>
          <cell r="AJ818">
            <v>1350</v>
          </cell>
          <cell r="AK818" t="str">
            <v>TL</v>
          </cell>
          <cell r="AL818">
            <v>1</v>
          </cell>
          <cell r="AM818" t="str">
            <v>8684127509824</v>
          </cell>
          <cell r="AO818">
            <v>0</v>
          </cell>
          <cell r="AQ818">
            <v>0</v>
          </cell>
          <cell r="AR818" t="str">
            <v>CM</v>
          </cell>
          <cell r="AS818">
            <v>0</v>
          </cell>
          <cell r="AT818" t="str">
            <v>CM</v>
          </cell>
          <cell r="AU818">
            <v>0</v>
          </cell>
          <cell r="AW818">
            <v>0</v>
          </cell>
        </row>
        <row r="819">
          <cell r="B819" t="str">
            <v>F1C2DRK000L-019</v>
          </cell>
          <cell r="C819" t="str">
            <v>POT BETON KIRMIZI SARKIT</v>
          </cell>
          <cell r="D819" t="str">
            <v>POT CONCRETE RED PENDANT</v>
          </cell>
          <cell r="E819" t="str">
            <v xml:space="preserve">BETON YOK KIRMIZI YOK   </v>
          </cell>
          <cell r="F819" t="str">
            <v>9405.19.90.00.00</v>
          </cell>
          <cell r="G819" t="str">
            <v>AVİZE</v>
          </cell>
          <cell r="H819" t="str">
            <v/>
          </cell>
          <cell r="I819" t="str">
            <v>İÇ</v>
          </cell>
          <cell r="J819" t="str">
            <v>AVİZE.SARK</v>
          </cell>
          <cell r="K819" t="str">
            <v>POT</v>
          </cell>
          <cell r="L819" t="str">
            <v/>
          </cell>
          <cell r="M819" t="str">
            <v>ÜRTM:15GÜN</v>
          </cell>
          <cell r="N819" t="str">
            <v>1003-RC</v>
          </cell>
          <cell r="O819" t="str">
            <v>ISHI</v>
          </cell>
          <cell r="P819" t="str">
            <v>ADET</v>
          </cell>
          <cell r="Q819" t="str">
            <v>E27</v>
          </cell>
          <cell r="R819" t="str">
            <v>BETON</v>
          </cell>
          <cell r="S819" t="str">
            <v>KIRMIZI</v>
          </cell>
          <cell r="T819" t="str">
            <v>YOK</v>
          </cell>
          <cell r="U819" t="str">
            <v>YOK</v>
          </cell>
          <cell r="AD819" t="str">
            <v>DÜZ</v>
          </cell>
          <cell r="AE819" t="str">
            <v>01</v>
          </cell>
          <cell r="AF819">
            <v>1</v>
          </cell>
          <cell r="AG819" t="str">
            <v>ADET</v>
          </cell>
          <cell r="AH819">
            <v>966</v>
          </cell>
          <cell r="AI819" t="str">
            <v>TL</v>
          </cell>
          <cell r="AJ819">
            <v>4926</v>
          </cell>
          <cell r="AK819" t="str">
            <v>TL</v>
          </cell>
          <cell r="AL819">
            <v>1</v>
          </cell>
          <cell r="AM819" t="str">
            <v>8684127509107</v>
          </cell>
          <cell r="AO819">
            <v>0</v>
          </cell>
          <cell r="AQ819">
            <v>21</v>
          </cell>
          <cell r="AR819" t="str">
            <v>CM</v>
          </cell>
          <cell r="AS819">
            <v>19</v>
          </cell>
          <cell r="AT819" t="str">
            <v>CM</v>
          </cell>
          <cell r="AU819">
            <v>0</v>
          </cell>
          <cell r="AW819">
            <v>0</v>
          </cell>
        </row>
        <row r="820">
          <cell r="B820" t="str">
            <v>F1C5DRK000L-015</v>
          </cell>
          <cell r="C820" t="str">
            <v>TOPPU BETON KIRMIZI SARKIT</v>
          </cell>
          <cell r="D820" t="str">
            <v>TOPPU CONCRETE REDPENDANT</v>
          </cell>
          <cell r="E820" t="str">
            <v xml:space="preserve">BETON YOK KIRMIZI YOK   </v>
          </cell>
          <cell r="F820" t="str">
            <v>9405.19.90.00.00</v>
          </cell>
          <cell r="G820" t="str">
            <v>AVİZE</v>
          </cell>
          <cell r="H820" t="str">
            <v/>
          </cell>
          <cell r="I820" t="str">
            <v>İÇ</v>
          </cell>
          <cell r="J820" t="str">
            <v>AVİZE.SARK</v>
          </cell>
          <cell r="K820" t="str">
            <v>TOPPU</v>
          </cell>
          <cell r="L820" t="str">
            <v/>
          </cell>
          <cell r="M820" t="str">
            <v>ÜRTM:15GÜN</v>
          </cell>
          <cell r="N820" t="str">
            <v>1002-RC</v>
          </cell>
          <cell r="O820" t="str">
            <v>ISHI</v>
          </cell>
          <cell r="P820" t="str">
            <v>ADET</v>
          </cell>
          <cell r="Q820" t="str">
            <v>GU10</v>
          </cell>
          <cell r="R820" t="str">
            <v>BETON</v>
          </cell>
          <cell r="S820" t="str">
            <v>KIRMIZI</v>
          </cell>
          <cell r="T820" t="str">
            <v>YOK</v>
          </cell>
          <cell r="U820" t="str">
            <v>YOK</v>
          </cell>
          <cell r="AD820" t="str">
            <v>DÜZ</v>
          </cell>
          <cell r="AE820" t="str">
            <v>01</v>
          </cell>
          <cell r="AF820">
            <v>8</v>
          </cell>
          <cell r="AG820" t="str">
            <v>ADET</v>
          </cell>
          <cell r="AH820">
            <v>966</v>
          </cell>
          <cell r="AI820" t="str">
            <v>TL</v>
          </cell>
          <cell r="AJ820">
            <v>4927</v>
          </cell>
          <cell r="AK820" t="str">
            <v>TL</v>
          </cell>
          <cell r="AL820">
            <v>1</v>
          </cell>
          <cell r="AM820" t="str">
            <v>8684127509121</v>
          </cell>
          <cell r="AO820">
            <v>0</v>
          </cell>
          <cell r="AQ820">
            <v>15</v>
          </cell>
          <cell r="AR820" t="str">
            <v>CM</v>
          </cell>
          <cell r="AS820">
            <v>15</v>
          </cell>
          <cell r="AT820" t="str">
            <v>CM</v>
          </cell>
          <cell r="AU820">
            <v>0</v>
          </cell>
          <cell r="AW820">
            <v>0</v>
          </cell>
        </row>
        <row r="821">
          <cell r="B821" t="str">
            <v>T1C1JMKERFR-050</v>
          </cell>
          <cell r="C821" t="str">
            <v>MİNA 12 Lİ FÜME CAM KROM SALON AVİZE</v>
          </cell>
          <cell r="D821" t="str">
            <v>MİNA SMOKY GLASS CHROME LIVING ROOM CHANDELIER 12</v>
          </cell>
          <cell r="E821" t="str">
            <v xml:space="preserve">METAL CAM  KROM FÜME   </v>
          </cell>
          <cell r="F821" t="str">
            <v/>
          </cell>
          <cell r="G821" t="str">
            <v>AVİZE</v>
          </cell>
          <cell r="H821" t="str">
            <v/>
          </cell>
          <cell r="I821" t="str">
            <v>İÇ</v>
          </cell>
          <cell r="J821" t="str">
            <v>AVİZE.AVİZ</v>
          </cell>
          <cell r="K821" t="str">
            <v>MİNA</v>
          </cell>
          <cell r="L821" t="str">
            <v/>
          </cell>
          <cell r="M821" t="str">
            <v/>
          </cell>
          <cell r="N821" t="str">
            <v>AD-104 - TYH-F</v>
          </cell>
          <cell r="O821" t="str">
            <v>HEKA</v>
          </cell>
          <cell r="P821" t="str">
            <v>ADET</v>
          </cell>
          <cell r="Q821" t="str">
            <v>E14</v>
          </cell>
          <cell r="R821" t="str">
            <v>METAL</v>
          </cell>
          <cell r="S821" t="str">
            <v>KROM</v>
          </cell>
          <cell r="T821" t="str">
            <v>CAM</v>
          </cell>
          <cell r="U821" t="str">
            <v>FÜME</v>
          </cell>
          <cell r="AD821" t="str">
            <v>DAİRE</v>
          </cell>
          <cell r="AE821" t="str">
            <v>12</v>
          </cell>
          <cell r="AF821">
            <v>19</v>
          </cell>
          <cell r="AG821" t="str">
            <v>ADET</v>
          </cell>
          <cell r="AJ821">
            <v>6028</v>
          </cell>
          <cell r="AK821" t="str">
            <v>TL</v>
          </cell>
          <cell r="AL821">
            <v>1</v>
          </cell>
          <cell r="AM821" t="str">
            <v>8684127505000</v>
          </cell>
          <cell r="AO821">
            <v>0</v>
          </cell>
          <cell r="AQ821">
            <v>0</v>
          </cell>
          <cell r="AR821" t="str">
            <v>CM</v>
          </cell>
          <cell r="AS821">
            <v>0</v>
          </cell>
          <cell r="AT821" t="str">
            <v>CM</v>
          </cell>
          <cell r="AU821">
            <v>0</v>
          </cell>
          <cell r="AW821">
            <v>0</v>
          </cell>
        </row>
        <row r="822">
          <cell r="B822" t="str">
            <v>T1C1JMKERLD-100</v>
          </cell>
          <cell r="C822" t="str">
            <v>MİNA 10 LU BAL CAM KROM YEMEK MASASI AVİZE</v>
          </cell>
          <cell r="D822" t="str">
            <v>MİNA AMBER GLASS CHROME DINING TABLE CHANDELIER 10</v>
          </cell>
          <cell r="E822" t="str">
            <v xml:space="preserve">METAL CAM  KROM BAL   </v>
          </cell>
          <cell r="F822" t="str">
            <v/>
          </cell>
          <cell r="G822" t="str">
            <v>AVİZE</v>
          </cell>
          <cell r="H822" t="str">
            <v/>
          </cell>
          <cell r="I822" t="str">
            <v>İÇ</v>
          </cell>
          <cell r="J822" t="str">
            <v>AVİZE.AVİZ</v>
          </cell>
          <cell r="K822" t="str">
            <v>MİNA</v>
          </cell>
          <cell r="L822" t="str">
            <v>N/A</v>
          </cell>
          <cell r="M822" t="str">
            <v/>
          </cell>
          <cell r="N822" t="str">
            <v>AD-105 - TYH-B</v>
          </cell>
          <cell r="O822" t="str">
            <v>HEKA</v>
          </cell>
          <cell r="P822" t="str">
            <v>ADET</v>
          </cell>
          <cell r="Q822" t="str">
            <v>E14</v>
          </cell>
          <cell r="R822" t="str">
            <v>METAL</v>
          </cell>
          <cell r="S822" t="str">
            <v>KROM</v>
          </cell>
          <cell r="T822" t="str">
            <v>CAM</v>
          </cell>
          <cell r="U822" t="str">
            <v>BAL</v>
          </cell>
          <cell r="AD822" t="str">
            <v>DİKDÖRTGEN</v>
          </cell>
          <cell r="AE822" t="str">
            <v>10</v>
          </cell>
          <cell r="AG822" t="str">
            <v>ADET</v>
          </cell>
          <cell r="AJ822">
            <v>2600</v>
          </cell>
          <cell r="AK822" t="str">
            <v>TL</v>
          </cell>
          <cell r="AL822">
            <v>1</v>
          </cell>
          <cell r="AM822" t="str">
            <v>8684127505024</v>
          </cell>
          <cell r="AO822">
            <v>0</v>
          </cell>
          <cell r="AQ822">
            <v>0</v>
          </cell>
          <cell r="AR822" t="str">
            <v>CM</v>
          </cell>
          <cell r="AS822">
            <v>0</v>
          </cell>
          <cell r="AT822" t="str">
            <v>CM</v>
          </cell>
          <cell r="AU822">
            <v>0</v>
          </cell>
          <cell r="AW822">
            <v>0</v>
          </cell>
        </row>
        <row r="823">
          <cell r="B823" t="str">
            <v>F1W5AAJJBRH-099</v>
          </cell>
          <cell r="C823" t="str">
            <v>ANGEL DÖRTLÜ AHŞAP &amp; BEYAZ APLİK</v>
          </cell>
          <cell r="D823" t="str">
            <v>ANGEL QUATERNARY WOOD &amp; WHITE WALL LAMP</v>
          </cell>
          <cell r="E823" t="str">
            <v xml:space="preserve">AHŞAP METAL JATOBA BEYAZ   </v>
          </cell>
          <cell r="F823" t="str">
            <v>9405.19.90.00.00</v>
          </cell>
          <cell r="G823" t="str">
            <v>APLİK</v>
          </cell>
          <cell r="H823" t="str">
            <v/>
          </cell>
          <cell r="I823" t="str">
            <v>İÇ</v>
          </cell>
          <cell r="J823" t="str">
            <v>APLİK</v>
          </cell>
          <cell r="K823" t="str">
            <v>ANGEL</v>
          </cell>
          <cell r="L823" t="str">
            <v/>
          </cell>
          <cell r="M823" t="str">
            <v/>
          </cell>
          <cell r="N823" t="str">
            <v/>
          </cell>
          <cell r="O823" t="str">
            <v>ISHI</v>
          </cell>
          <cell r="P823" t="str">
            <v>ADET</v>
          </cell>
          <cell r="Q823" t="str">
            <v>GU10</v>
          </cell>
          <cell r="R823" t="str">
            <v>AHŞAP</v>
          </cell>
          <cell r="S823" t="str">
            <v>JATOBA</v>
          </cell>
          <cell r="T823" t="str">
            <v>METAL</v>
          </cell>
          <cell r="U823" t="str">
            <v>BEYAZ</v>
          </cell>
          <cell r="AD823" t="str">
            <v>HAREKETLİ</v>
          </cell>
          <cell r="AE823" t="str">
            <v>04</v>
          </cell>
          <cell r="AF823">
            <v>10</v>
          </cell>
          <cell r="AG823" t="str">
            <v>ADET</v>
          </cell>
          <cell r="AH823">
            <v>370</v>
          </cell>
          <cell r="AI823" t="str">
            <v>TL</v>
          </cell>
          <cell r="AJ823">
            <v>5546</v>
          </cell>
          <cell r="AK823" t="str">
            <v>TL</v>
          </cell>
          <cell r="AL823">
            <v>1</v>
          </cell>
          <cell r="AM823" t="str">
            <v>8684127503402</v>
          </cell>
          <cell r="AO823">
            <v>0</v>
          </cell>
          <cell r="AQ823">
            <v>12.6</v>
          </cell>
          <cell r="AR823" t="str">
            <v>CM</v>
          </cell>
          <cell r="AS823">
            <v>99</v>
          </cell>
          <cell r="AT823" t="str">
            <v>CM</v>
          </cell>
          <cell r="AU823">
            <v>0</v>
          </cell>
          <cell r="AW823">
            <v>0</v>
          </cell>
        </row>
        <row r="824">
          <cell r="B824" t="str">
            <v>F1W5AAWJEMH-049</v>
          </cell>
          <cell r="C824" t="str">
            <v>VICTORIA İKİLİ AHŞAP &amp; ESKİTME APLİK</v>
          </cell>
          <cell r="D824" t="str">
            <v>VICTORIA DOUBLE WOOD &amp; BRASS WALL LAMP</v>
          </cell>
          <cell r="E824" t="str">
            <v xml:space="preserve">AHŞAP METAL WENGE ESKİTME   </v>
          </cell>
          <cell r="F824" t="str">
            <v>9405.19.90.00.00</v>
          </cell>
          <cell r="G824" t="str">
            <v>APLİK</v>
          </cell>
          <cell r="H824" t="str">
            <v/>
          </cell>
          <cell r="I824" t="str">
            <v>İÇ</v>
          </cell>
          <cell r="J824" t="str">
            <v>APLİK</v>
          </cell>
          <cell r="K824" t="str">
            <v>VICTORIA</v>
          </cell>
          <cell r="L824" t="str">
            <v/>
          </cell>
          <cell r="M824" t="str">
            <v/>
          </cell>
          <cell r="N824" t="str">
            <v/>
          </cell>
          <cell r="O824" t="str">
            <v>ISHI</v>
          </cell>
          <cell r="P824" t="str">
            <v>ADET</v>
          </cell>
          <cell r="Q824" t="str">
            <v>GU10</v>
          </cell>
          <cell r="R824" t="str">
            <v>AHŞAP</v>
          </cell>
          <cell r="S824" t="str">
            <v>WENGE</v>
          </cell>
          <cell r="T824" t="str">
            <v>METAL</v>
          </cell>
          <cell r="U824" t="str">
            <v>ESKİTME</v>
          </cell>
          <cell r="AD824" t="str">
            <v>HAREKETLİ</v>
          </cell>
          <cell r="AE824" t="str">
            <v>02</v>
          </cell>
          <cell r="AF824">
            <v>0</v>
          </cell>
          <cell r="AG824" t="str">
            <v>ADET</v>
          </cell>
          <cell r="AH824">
            <v>190</v>
          </cell>
          <cell r="AI824" t="str">
            <v>TL</v>
          </cell>
          <cell r="AJ824">
            <v>3047</v>
          </cell>
          <cell r="AK824" t="str">
            <v>TL</v>
          </cell>
          <cell r="AL824">
            <v>1</v>
          </cell>
          <cell r="AM824" t="str">
            <v>8684127503426</v>
          </cell>
          <cell r="AO824">
            <v>0</v>
          </cell>
          <cell r="AQ824">
            <v>12.6</v>
          </cell>
          <cell r="AR824" t="str">
            <v>CM</v>
          </cell>
          <cell r="AS824">
            <v>49</v>
          </cell>
          <cell r="AT824" t="str">
            <v>CM</v>
          </cell>
          <cell r="AU824">
            <v>0</v>
          </cell>
          <cell r="AW824">
            <v>0</v>
          </cell>
        </row>
        <row r="825">
          <cell r="B825" t="str">
            <v>F1W5AA1JSRH-007</v>
          </cell>
          <cell r="C825" t="str">
            <v>NIAGARA TEKLİ AHŞAP &amp; SİYAH APLİK</v>
          </cell>
          <cell r="D825" t="str">
            <v>NIAGARA SINGLE WOOD &amp; BLACK WALL LAMP</v>
          </cell>
          <cell r="E825" t="str">
            <v xml:space="preserve">AHŞAP METAL ANTİK MEŞE SİYAH   </v>
          </cell>
          <cell r="F825" t="str">
            <v>9405.19.90.00.00</v>
          </cell>
          <cell r="G825" t="str">
            <v>APLİK</v>
          </cell>
          <cell r="H825" t="str">
            <v/>
          </cell>
          <cell r="I825" t="str">
            <v>İÇ</v>
          </cell>
          <cell r="J825" t="str">
            <v>APLİK</v>
          </cell>
          <cell r="K825" t="str">
            <v>NIAGARA</v>
          </cell>
          <cell r="L825" t="str">
            <v/>
          </cell>
          <cell r="M825" t="str">
            <v/>
          </cell>
          <cell r="N825" t="str">
            <v/>
          </cell>
          <cell r="O825" t="str">
            <v>ISHI</v>
          </cell>
          <cell r="P825" t="str">
            <v>ADET</v>
          </cell>
          <cell r="Q825" t="str">
            <v>GU10</v>
          </cell>
          <cell r="R825" t="str">
            <v>AHŞAP</v>
          </cell>
          <cell r="S825" t="str">
            <v>ANTİK MEŞE</v>
          </cell>
          <cell r="T825" t="str">
            <v>METAL</v>
          </cell>
          <cell r="U825" t="str">
            <v>SİYAH</v>
          </cell>
          <cell r="AD825" t="str">
            <v>HAREKETLİ</v>
          </cell>
          <cell r="AE825" t="str">
            <v>01</v>
          </cell>
          <cell r="AF825">
            <v>15</v>
          </cell>
          <cell r="AG825" t="str">
            <v>ADET</v>
          </cell>
          <cell r="AH825">
            <v>100</v>
          </cell>
          <cell r="AI825" t="str">
            <v>TL</v>
          </cell>
          <cell r="AJ825">
            <v>1476</v>
          </cell>
          <cell r="AK825" t="str">
            <v>TL</v>
          </cell>
          <cell r="AL825">
            <v>1</v>
          </cell>
          <cell r="AM825" t="str">
            <v>8684127503570</v>
          </cell>
          <cell r="AO825">
            <v>0</v>
          </cell>
          <cell r="AQ825">
            <v>12.6</v>
          </cell>
          <cell r="AR825" t="str">
            <v>CM</v>
          </cell>
          <cell r="AS825">
            <v>7</v>
          </cell>
          <cell r="AT825" t="str">
            <v>CM</v>
          </cell>
          <cell r="AU825">
            <v>0</v>
          </cell>
          <cell r="AW825">
            <v>0</v>
          </cell>
        </row>
        <row r="826">
          <cell r="B826" t="str">
            <v>F1W5AA1JSRH-074</v>
          </cell>
          <cell r="C826" t="str">
            <v>NIAGARA ÜÇLÜ AHŞAP &amp; SİYAH APLİK</v>
          </cell>
          <cell r="D826" t="str">
            <v>NIAGARA TRIPLE WOOD &amp; BLACK WALL LAMP</v>
          </cell>
          <cell r="E826" t="str">
            <v xml:space="preserve">AHŞAP METAL ANTİK MEŞE SİYAH   </v>
          </cell>
          <cell r="F826" t="str">
            <v>9405.19.90.00.00</v>
          </cell>
          <cell r="G826" t="str">
            <v>APLİK</v>
          </cell>
          <cell r="H826" t="str">
            <v/>
          </cell>
          <cell r="I826" t="str">
            <v>İÇ</v>
          </cell>
          <cell r="J826" t="str">
            <v>APLİK</v>
          </cell>
          <cell r="K826" t="str">
            <v>NIAGARA</v>
          </cell>
          <cell r="L826" t="str">
            <v/>
          </cell>
          <cell r="M826" t="str">
            <v/>
          </cell>
          <cell r="N826" t="str">
            <v/>
          </cell>
          <cell r="O826" t="str">
            <v>ISHI</v>
          </cell>
          <cell r="P826" t="str">
            <v>ADET</v>
          </cell>
          <cell r="Q826" t="str">
            <v>GU10</v>
          </cell>
          <cell r="R826" t="str">
            <v>AHŞAP</v>
          </cell>
          <cell r="S826" t="str">
            <v>ANTİK MEŞE</v>
          </cell>
          <cell r="T826" t="str">
            <v>METAL</v>
          </cell>
          <cell r="U826" t="str">
            <v>SİYAH</v>
          </cell>
          <cell r="AD826" t="str">
            <v>HAREKETLİ</v>
          </cell>
          <cell r="AE826" t="str">
            <v>03</v>
          </cell>
          <cell r="AF826">
            <v>20</v>
          </cell>
          <cell r="AG826" t="str">
            <v>ADET</v>
          </cell>
          <cell r="AH826">
            <v>280</v>
          </cell>
          <cell r="AI826" t="str">
            <v>TL</v>
          </cell>
          <cell r="AJ826">
            <v>3927</v>
          </cell>
          <cell r="AK826" t="str">
            <v>TL</v>
          </cell>
          <cell r="AL826">
            <v>1</v>
          </cell>
          <cell r="AM826" t="str">
            <v>8684127503594</v>
          </cell>
          <cell r="AO826">
            <v>0</v>
          </cell>
          <cell r="AQ826">
            <v>12.6</v>
          </cell>
          <cell r="AR826" t="str">
            <v>CM</v>
          </cell>
          <cell r="AS826">
            <v>74</v>
          </cell>
          <cell r="AT826" t="str">
            <v>CM</v>
          </cell>
          <cell r="AU826">
            <v>0</v>
          </cell>
          <cell r="AW826">
            <v>0</v>
          </cell>
        </row>
        <row r="827">
          <cell r="B827" t="str">
            <v>150-CAM-BAL</v>
          </cell>
          <cell r="C827" t="str">
            <v>BATUR DİŞLİ BAL CAM 15 cm</v>
          </cell>
          <cell r="D827" t="str">
            <v>THREADED AMBER GLASS 15 cm</v>
          </cell>
          <cell r="E827" t="str">
            <v/>
          </cell>
          <cell r="F827" t="str">
            <v/>
          </cell>
          <cell r="G827" t="str">
            <v>AVİZE</v>
          </cell>
          <cell r="H827" t="str">
            <v>150A-BAL</v>
          </cell>
          <cell r="I827" t="str">
            <v>İÇ</v>
          </cell>
          <cell r="J827" t="str">
            <v>AVİZE.SARK</v>
          </cell>
          <cell r="K827" t="str">
            <v>BATUR</v>
          </cell>
          <cell r="L827" t="str">
            <v/>
          </cell>
          <cell r="M827" t="str">
            <v/>
          </cell>
          <cell r="N827" t="str">
            <v/>
          </cell>
          <cell r="O827" t="str">
            <v>HEKA</v>
          </cell>
          <cell r="P827" t="str">
            <v>ADET</v>
          </cell>
          <cell r="R827" t="str">
            <v>CAM</v>
          </cell>
          <cell r="S827" t="str">
            <v>BAL</v>
          </cell>
          <cell r="AF827">
            <v>22</v>
          </cell>
          <cell r="AG827" t="str">
            <v>ADET</v>
          </cell>
          <cell r="AH827">
            <v>9</v>
          </cell>
          <cell r="AI827" t="str">
            <v>CNY</v>
          </cell>
          <cell r="AJ827">
            <v>1412</v>
          </cell>
          <cell r="AK827" t="str">
            <v>TL</v>
          </cell>
          <cell r="AL827">
            <v>1</v>
          </cell>
          <cell r="AM827" t="str">
            <v>150-CAM-BAL</v>
          </cell>
          <cell r="AO827">
            <v>0</v>
          </cell>
          <cell r="AQ827">
            <v>0</v>
          </cell>
          <cell r="AS827">
            <v>0</v>
          </cell>
          <cell r="AU827">
            <v>0</v>
          </cell>
          <cell r="AW827">
            <v>0</v>
          </cell>
        </row>
        <row r="828">
          <cell r="B828" t="str">
            <v>H1C6JMEWRBB-025</v>
          </cell>
          <cell r="C828" t="str">
            <v>GAMBA LED MERMER BEYAZ SARKIT 25cm</v>
          </cell>
          <cell r="D828" t="str">
            <v>GAMBA LED MARBLE WHITE PENDANT 25cm</v>
          </cell>
          <cell r="E828" t="str">
            <v xml:space="preserve">METAL MERMER ESKİTME BEYAZ   </v>
          </cell>
          <cell r="F828" t="str">
            <v>9405.11.90.00.00</v>
          </cell>
          <cell r="G828" t="str">
            <v>AVİZE</v>
          </cell>
          <cell r="H828" t="str">
            <v>T1A611310D-25</v>
          </cell>
          <cell r="I828" t="str">
            <v>İÇ</v>
          </cell>
          <cell r="J828" t="str">
            <v>AVİZE.SARK</v>
          </cell>
          <cell r="K828" t="str">
            <v>GAMBA</v>
          </cell>
          <cell r="L828" t="str">
            <v/>
          </cell>
          <cell r="M828" t="str">
            <v/>
          </cell>
          <cell r="N828" t="str">
            <v>HKA-24080</v>
          </cell>
          <cell r="O828" t="str">
            <v>HEKA</v>
          </cell>
          <cell r="P828" t="str">
            <v>ADET</v>
          </cell>
          <cell r="Q828" t="str">
            <v>LED</v>
          </cell>
          <cell r="R828" t="str">
            <v>METAL</v>
          </cell>
          <cell r="S828" t="str">
            <v>ESKİTME</v>
          </cell>
          <cell r="T828" t="str">
            <v>MERMER</v>
          </cell>
          <cell r="U828" t="str">
            <v>BEYAZ</v>
          </cell>
          <cell r="AD828" t="str">
            <v>SİMİT</v>
          </cell>
          <cell r="AF828">
            <v>11</v>
          </cell>
          <cell r="AG828" t="str">
            <v>ADET</v>
          </cell>
          <cell r="AH828">
            <v>190</v>
          </cell>
          <cell r="AI828" t="str">
            <v>CNY</v>
          </cell>
          <cell r="AJ828">
            <v>14800</v>
          </cell>
          <cell r="AK828" t="str">
            <v>TL</v>
          </cell>
          <cell r="AL828">
            <v>1</v>
          </cell>
          <cell r="AM828" t="str">
            <v>8684127506229</v>
          </cell>
          <cell r="AO828">
            <v>0</v>
          </cell>
          <cell r="AQ828">
            <v>15</v>
          </cell>
          <cell r="AR828" t="str">
            <v>CM</v>
          </cell>
          <cell r="AS828">
            <v>25</v>
          </cell>
          <cell r="AT828" t="str">
            <v>CM</v>
          </cell>
          <cell r="AU828">
            <v>0</v>
          </cell>
          <cell r="AW828">
            <v>0</v>
          </cell>
        </row>
        <row r="829">
          <cell r="B829" t="str">
            <v>H1F3JMEERL0-182</v>
          </cell>
          <cell r="C829" t="str">
            <v>BENİN BAL CAM ESKİTME LAMBADER</v>
          </cell>
          <cell r="D829" t="str">
            <v>BENİN AMBER GLASS BRUSHED BRASS FLOOR LAMP</v>
          </cell>
          <cell r="E829" t="str">
            <v xml:space="preserve">METAL CAM  ESKİTME BAL   </v>
          </cell>
          <cell r="F829" t="str">
            <v>9405.29.90.00.00</v>
          </cell>
          <cell r="G829" t="str">
            <v>LAMBADER</v>
          </cell>
          <cell r="H829" t="str">
            <v>T1L1112300-25</v>
          </cell>
          <cell r="I829" t="str">
            <v>İÇ</v>
          </cell>
          <cell r="J829" t="str">
            <v>LAMBADER</v>
          </cell>
          <cell r="K829" t="str">
            <v>BENİN</v>
          </cell>
          <cell r="L829" t="str">
            <v/>
          </cell>
          <cell r="M829" t="str">
            <v>ÜRTM:15GÜN</v>
          </cell>
          <cell r="N829" t="str">
            <v>HK20071</v>
          </cell>
          <cell r="O829" t="str">
            <v>HEKA</v>
          </cell>
          <cell r="P829" t="str">
            <v>ADET</v>
          </cell>
          <cell r="Q829" t="str">
            <v>E14</v>
          </cell>
          <cell r="R829" t="str">
            <v>METAL</v>
          </cell>
          <cell r="S829" t="str">
            <v>ESKİTME</v>
          </cell>
          <cell r="T829" t="str">
            <v>CAM</v>
          </cell>
          <cell r="U829" t="str">
            <v>BAL</v>
          </cell>
          <cell r="AD829" t="str">
            <v>N/A</v>
          </cell>
          <cell r="AE829" t="str">
            <v>02</v>
          </cell>
          <cell r="AF829">
            <v>0</v>
          </cell>
          <cell r="AG829" t="str">
            <v>ADET</v>
          </cell>
          <cell r="AJ829">
            <v>3750</v>
          </cell>
          <cell r="AK829" t="str">
            <v>TL</v>
          </cell>
          <cell r="AL829">
            <v>1</v>
          </cell>
          <cell r="AM829" t="str">
            <v>8684127508582</v>
          </cell>
          <cell r="AO829">
            <v>0</v>
          </cell>
          <cell r="AQ829">
            <v>32</v>
          </cell>
          <cell r="AR829" t="str">
            <v>CM</v>
          </cell>
          <cell r="AS829">
            <v>32</v>
          </cell>
          <cell r="AT829" t="str">
            <v>CM</v>
          </cell>
          <cell r="AU829">
            <v>0</v>
          </cell>
          <cell r="AW829">
            <v>0</v>
          </cell>
        </row>
        <row r="830">
          <cell r="B830" t="str">
            <v>F1C5DRB000A-015</v>
          </cell>
          <cell r="C830" t="str">
            <v>TOPPU BETON BEYAZ AÇILI SARKIT</v>
          </cell>
          <cell r="D830" t="str">
            <v>TOPPU CONCRETE WHITE ANGLED PENDANT</v>
          </cell>
          <cell r="E830" t="str">
            <v xml:space="preserve">BETON YOK BEYAZ YOK   </v>
          </cell>
          <cell r="F830" t="str">
            <v>9405.19.90.00.00</v>
          </cell>
          <cell r="G830" t="str">
            <v>AVİZE</v>
          </cell>
          <cell r="H830" t="str">
            <v>F1A510C10A-15</v>
          </cell>
          <cell r="I830" t="str">
            <v>İÇ</v>
          </cell>
          <cell r="J830" t="str">
            <v>AVİZE.SARK</v>
          </cell>
          <cell r="K830" t="str">
            <v>TOPPU</v>
          </cell>
          <cell r="L830" t="str">
            <v/>
          </cell>
          <cell r="M830" t="str">
            <v>ÜRTM:15GÜN</v>
          </cell>
          <cell r="N830" t="str">
            <v>1002-WC-A</v>
          </cell>
          <cell r="O830" t="str">
            <v>ISHI</v>
          </cell>
          <cell r="P830" t="str">
            <v>ADET</v>
          </cell>
          <cell r="Q830" t="str">
            <v>GU10</v>
          </cell>
          <cell r="R830" t="str">
            <v>BETON</v>
          </cell>
          <cell r="S830" t="str">
            <v>BEYAZ</v>
          </cell>
          <cell r="T830" t="str">
            <v>YOK</v>
          </cell>
          <cell r="U830" t="str">
            <v>YOK</v>
          </cell>
          <cell r="AD830" t="str">
            <v>AÇILI</v>
          </cell>
          <cell r="AE830" t="str">
            <v>01</v>
          </cell>
          <cell r="AF830">
            <v>1</v>
          </cell>
          <cell r="AG830" t="str">
            <v>ADET</v>
          </cell>
          <cell r="AH830">
            <v>1046.5</v>
          </cell>
          <cell r="AI830" t="str">
            <v>TL</v>
          </cell>
          <cell r="AJ830">
            <v>5426</v>
          </cell>
          <cell r="AK830" t="str">
            <v>TL</v>
          </cell>
          <cell r="AL830">
            <v>1</v>
          </cell>
          <cell r="AM830" t="str">
            <v>8684127508605</v>
          </cell>
          <cell r="AO830">
            <v>0</v>
          </cell>
          <cell r="AQ830">
            <v>15</v>
          </cell>
          <cell r="AR830" t="str">
            <v>CM</v>
          </cell>
          <cell r="AS830">
            <v>15</v>
          </cell>
          <cell r="AT830" t="str">
            <v>CM</v>
          </cell>
          <cell r="AU830">
            <v>0</v>
          </cell>
          <cell r="AW830">
            <v>0</v>
          </cell>
        </row>
        <row r="831">
          <cell r="B831" t="str">
            <v>F1C2MRGJRS0-045</v>
          </cell>
          <cell r="C831" t="str">
            <v>STONE GRİ KAYA SARKIT 45cm</v>
          </cell>
          <cell r="D831" t="str">
            <v>STONE GREY ROCK PENDANT 45cm</v>
          </cell>
          <cell r="E831" t="str">
            <v>POLİKARBON METAL GRİ SİYAH</v>
          </cell>
          <cell r="F831" t="str">
            <v>9405.19.40.00.00</v>
          </cell>
          <cell r="G831" t="str">
            <v>AVİZE</v>
          </cell>
          <cell r="H831" t="str">
            <v>F1A2L11400-45</v>
          </cell>
          <cell r="I831" t="str">
            <v>İÇ</v>
          </cell>
          <cell r="J831" t="str">
            <v>AVİZE.AVİZ</v>
          </cell>
          <cell r="K831" t="str">
            <v>STONE</v>
          </cell>
          <cell r="L831" t="str">
            <v/>
          </cell>
          <cell r="M831" t="str">
            <v>ÜRTM:15GÜN</v>
          </cell>
          <cell r="N831" t="str">
            <v/>
          </cell>
          <cell r="O831" t="str">
            <v>HEKA</v>
          </cell>
          <cell r="P831" t="str">
            <v>ADET</v>
          </cell>
          <cell r="Q831" t="str">
            <v>E27</v>
          </cell>
          <cell r="R831" t="str">
            <v>POLİKARBON</v>
          </cell>
          <cell r="S831" t="str">
            <v>GRİ</v>
          </cell>
          <cell r="T831" t="str">
            <v>METAL</v>
          </cell>
          <cell r="U831" t="str">
            <v>SİYAH</v>
          </cell>
          <cell r="AD831" t="str">
            <v>N/A</v>
          </cell>
          <cell r="AE831" t="str">
            <v>01</v>
          </cell>
          <cell r="AF831">
            <v>0</v>
          </cell>
          <cell r="AG831" t="str">
            <v>ADET</v>
          </cell>
          <cell r="AH831">
            <v>3000</v>
          </cell>
          <cell r="AI831" t="str">
            <v>TL</v>
          </cell>
          <cell r="AJ831">
            <v>12750</v>
          </cell>
          <cell r="AK831" t="str">
            <v>TL</v>
          </cell>
          <cell r="AL831">
            <v>1</v>
          </cell>
          <cell r="AM831" t="str">
            <v>8684127504959</v>
          </cell>
          <cell r="AO831">
            <v>0</v>
          </cell>
          <cell r="AQ831">
            <v>0</v>
          </cell>
          <cell r="AR831" t="str">
            <v>CM</v>
          </cell>
          <cell r="AS831">
            <v>45</v>
          </cell>
          <cell r="AT831" t="str">
            <v>CM</v>
          </cell>
          <cell r="AU831">
            <v>0</v>
          </cell>
          <cell r="AW831">
            <v>0</v>
          </cell>
        </row>
        <row r="832">
          <cell r="B832" t="str">
            <v>F1C5DRBAAW0-030</v>
          </cell>
          <cell r="C832" t="str">
            <v>BONO WENGE AHSAP-BETON GU10 BEYAZ SARKIT</v>
          </cell>
          <cell r="D832" t="str">
            <v>BONO WENGE WOOD-CONCRETE GU10 WHITE PENDANT</v>
          </cell>
          <cell r="E832" t="str">
            <v xml:space="preserve">BETON AHŞAP BEYAZ WENGE   </v>
          </cell>
          <cell r="F832" t="str">
            <v>9405.19.90.00.00</v>
          </cell>
          <cell r="G832" t="str">
            <v>AVİZE</v>
          </cell>
          <cell r="H832" t="str">
            <v/>
          </cell>
          <cell r="I832" t="str">
            <v>İÇ</v>
          </cell>
          <cell r="J832" t="str">
            <v>AVİZE.SARK</v>
          </cell>
          <cell r="K832" t="str">
            <v>BONO</v>
          </cell>
          <cell r="L832" t="str">
            <v/>
          </cell>
          <cell r="M832" t="str">
            <v>ÜRTM:15GÜN</v>
          </cell>
          <cell r="N832" t="str">
            <v>1006-WC</v>
          </cell>
          <cell r="O832" t="str">
            <v>ISHI</v>
          </cell>
          <cell r="P832" t="str">
            <v>ADET</v>
          </cell>
          <cell r="Q832" t="str">
            <v>GU10</v>
          </cell>
          <cell r="R832" t="str">
            <v>BETON</v>
          </cell>
          <cell r="S832" t="str">
            <v>BEYAZ</v>
          </cell>
          <cell r="T832" t="str">
            <v>AHŞAP</v>
          </cell>
          <cell r="U832" t="str">
            <v>WENGE</v>
          </cell>
          <cell r="AD832" t="str">
            <v>N/A</v>
          </cell>
          <cell r="AE832" t="str">
            <v>01</v>
          </cell>
          <cell r="AF832">
            <v>1</v>
          </cell>
          <cell r="AG832" t="str">
            <v>ADET</v>
          </cell>
          <cell r="AH832">
            <v>966</v>
          </cell>
          <cell r="AI832" t="str">
            <v>TL</v>
          </cell>
          <cell r="AJ832">
            <v>4927</v>
          </cell>
          <cell r="AK832" t="str">
            <v>TL</v>
          </cell>
          <cell r="AL832">
            <v>1</v>
          </cell>
          <cell r="AM832" t="str">
            <v>8684127510035</v>
          </cell>
          <cell r="AO832">
            <v>0</v>
          </cell>
          <cell r="AQ832">
            <v>14</v>
          </cell>
          <cell r="AR832" t="str">
            <v>CM</v>
          </cell>
          <cell r="AS832">
            <v>30</v>
          </cell>
          <cell r="AT832" t="str">
            <v>CM</v>
          </cell>
          <cell r="AU832">
            <v>0</v>
          </cell>
          <cell r="AW832">
            <v>0</v>
          </cell>
        </row>
        <row r="833">
          <cell r="B833" t="str">
            <v>T1C1JMKERLD-050</v>
          </cell>
          <cell r="C833" t="str">
            <v>MİNA ÜÇLÜ BAL CAM KROM AVİZE</v>
          </cell>
          <cell r="D833" t="str">
            <v>MİNA TRIPLE AMBER GLASS CHROME CHANDELIER</v>
          </cell>
          <cell r="E833" t="str">
            <v xml:space="preserve">METAL CAM  KROM BAL   </v>
          </cell>
          <cell r="F833" t="str">
            <v/>
          </cell>
          <cell r="G833" t="str">
            <v>AVİZE</v>
          </cell>
          <cell r="H833" t="str">
            <v/>
          </cell>
          <cell r="I833" t="str">
            <v>İÇ</v>
          </cell>
          <cell r="J833" t="str">
            <v>AVİZE.AVİZ</v>
          </cell>
          <cell r="K833" t="str">
            <v>MİNA</v>
          </cell>
          <cell r="L833" t="str">
            <v/>
          </cell>
          <cell r="M833" t="str">
            <v/>
          </cell>
          <cell r="N833" t="str">
            <v>AD-103 - TYH-B</v>
          </cell>
          <cell r="O833" t="str">
            <v>HEKA</v>
          </cell>
          <cell r="P833" t="str">
            <v>ADET</v>
          </cell>
          <cell r="Q833" t="str">
            <v>E14</v>
          </cell>
          <cell r="R833" t="str">
            <v>METAL</v>
          </cell>
          <cell r="S833" t="str">
            <v>KROM</v>
          </cell>
          <cell r="T833" t="str">
            <v>CAM</v>
          </cell>
          <cell r="U833" t="str">
            <v>BAL</v>
          </cell>
          <cell r="AD833" t="str">
            <v>DİKDÖRTGEN</v>
          </cell>
          <cell r="AE833" t="str">
            <v>03</v>
          </cell>
          <cell r="AF833">
            <v>26</v>
          </cell>
          <cell r="AG833" t="str">
            <v>ADET</v>
          </cell>
          <cell r="AJ833">
            <v>2410</v>
          </cell>
          <cell r="AK833" t="str">
            <v>TL</v>
          </cell>
          <cell r="AL833">
            <v>1</v>
          </cell>
          <cell r="AM833" t="str">
            <v>8684127504980</v>
          </cell>
          <cell r="AO833">
            <v>0</v>
          </cell>
          <cell r="AQ833">
            <v>0</v>
          </cell>
          <cell r="AR833" t="str">
            <v>CM</v>
          </cell>
          <cell r="AS833">
            <v>0</v>
          </cell>
          <cell r="AT833" t="str">
            <v>CM</v>
          </cell>
          <cell r="AU833">
            <v>0</v>
          </cell>
          <cell r="AW833">
            <v>0</v>
          </cell>
        </row>
        <row r="834">
          <cell r="B834" t="str">
            <v>T1W1JMKERL0-019</v>
          </cell>
          <cell r="C834" t="str">
            <v>MİNA BAL CAM KROM APLİK</v>
          </cell>
          <cell r="D834" t="str">
            <v>MİNA AMBER GLASS CHROME WALL LAMP</v>
          </cell>
          <cell r="E834" t="str">
            <v xml:space="preserve">METAL CAM  KROM BAL   </v>
          </cell>
          <cell r="F834" t="str">
            <v/>
          </cell>
          <cell r="G834" t="str">
            <v>APLİK</v>
          </cell>
          <cell r="H834" t="str">
            <v/>
          </cell>
          <cell r="I834" t="str">
            <v>İÇ</v>
          </cell>
          <cell r="J834" t="str">
            <v>APLİK</v>
          </cell>
          <cell r="K834" t="str">
            <v>MİNA</v>
          </cell>
          <cell r="L834" t="str">
            <v/>
          </cell>
          <cell r="M834" t="str">
            <v/>
          </cell>
          <cell r="N834" t="str">
            <v>AD-106 - TYH-B</v>
          </cell>
          <cell r="O834" t="str">
            <v>HEKA</v>
          </cell>
          <cell r="P834" t="str">
            <v>ADET</v>
          </cell>
          <cell r="Q834" t="str">
            <v>G4</v>
          </cell>
          <cell r="R834" t="str">
            <v>METAL</v>
          </cell>
          <cell r="S834" t="str">
            <v>KROM</v>
          </cell>
          <cell r="T834" t="str">
            <v>CAM</v>
          </cell>
          <cell r="U834" t="str">
            <v>BAL</v>
          </cell>
          <cell r="AD834" t="str">
            <v>N/A</v>
          </cell>
          <cell r="AE834" t="str">
            <v>01</v>
          </cell>
          <cell r="AF834">
            <v>14</v>
          </cell>
          <cell r="AG834" t="str">
            <v>ADET</v>
          </cell>
          <cell r="AJ834">
            <v>1785</v>
          </cell>
          <cell r="AK834" t="str">
            <v>TL</v>
          </cell>
          <cell r="AL834">
            <v>1</v>
          </cell>
          <cell r="AM834" t="str">
            <v>8684127505055</v>
          </cell>
          <cell r="AO834">
            <v>0</v>
          </cell>
          <cell r="AQ834">
            <v>0</v>
          </cell>
          <cell r="AR834" t="str">
            <v>CM</v>
          </cell>
          <cell r="AS834">
            <v>0</v>
          </cell>
          <cell r="AT834" t="str">
            <v>CM</v>
          </cell>
          <cell r="AU834">
            <v>0</v>
          </cell>
          <cell r="AW834">
            <v>0</v>
          </cell>
        </row>
        <row r="835">
          <cell r="B835" t="str">
            <v>F1W5AAJJSRH-074</v>
          </cell>
          <cell r="C835" t="str">
            <v>ANGEL ÜÇLÜ AHŞAP &amp; SİYAH APLİK</v>
          </cell>
          <cell r="D835" t="str">
            <v>ANGEL TRIPLE WOOD &amp; BLACK WALL LAMP</v>
          </cell>
          <cell r="E835" t="str">
            <v xml:space="preserve">AHŞAP METAL JATOBA SİYAH   </v>
          </cell>
          <cell r="F835" t="str">
            <v>9405.19.90.00.00</v>
          </cell>
          <cell r="G835" t="str">
            <v>APLİK</v>
          </cell>
          <cell r="H835" t="str">
            <v/>
          </cell>
          <cell r="I835" t="str">
            <v>İÇ</v>
          </cell>
          <cell r="J835" t="str">
            <v>APLİK</v>
          </cell>
          <cell r="K835" t="str">
            <v>ANGEL</v>
          </cell>
          <cell r="L835" t="str">
            <v/>
          </cell>
          <cell r="M835" t="str">
            <v/>
          </cell>
          <cell r="N835" t="str">
            <v/>
          </cell>
          <cell r="O835" t="str">
            <v>ISHI</v>
          </cell>
          <cell r="P835" t="str">
            <v>ADET</v>
          </cell>
          <cell r="Q835" t="str">
            <v>GU10</v>
          </cell>
          <cell r="R835" t="str">
            <v>AHŞAP</v>
          </cell>
          <cell r="S835" t="str">
            <v>JATOBA</v>
          </cell>
          <cell r="T835" t="str">
            <v>METAL</v>
          </cell>
          <cell r="U835" t="str">
            <v>SİYAH</v>
          </cell>
          <cell r="AD835" t="str">
            <v>HAREKETLİ</v>
          </cell>
          <cell r="AE835" t="str">
            <v>03</v>
          </cell>
          <cell r="AF835">
            <v>8</v>
          </cell>
          <cell r="AG835" t="str">
            <v>ADET</v>
          </cell>
          <cell r="AH835">
            <v>280</v>
          </cell>
          <cell r="AI835" t="str">
            <v>TL</v>
          </cell>
          <cell r="AJ835">
            <v>3927</v>
          </cell>
          <cell r="AK835" t="str">
            <v>TL</v>
          </cell>
          <cell r="AL835">
            <v>1</v>
          </cell>
          <cell r="AM835" t="str">
            <v>8684127503358</v>
          </cell>
          <cell r="AO835">
            <v>0</v>
          </cell>
          <cell r="AQ835">
            <v>12.6</v>
          </cell>
          <cell r="AR835" t="str">
            <v>CM</v>
          </cell>
          <cell r="AS835">
            <v>74</v>
          </cell>
          <cell r="AT835" t="str">
            <v>CM</v>
          </cell>
          <cell r="AU835">
            <v>0</v>
          </cell>
          <cell r="AW835">
            <v>0</v>
          </cell>
        </row>
        <row r="836">
          <cell r="B836" t="str">
            <v>F1W5AAWJSRH-049</v>
          </cell>
          <cell r="C836" t="str">
            <v>VICTORIA İKİLİ AHŞAP &amp; SİYAH APLİK</v>
          </cell>
          <cell r="D836" t="str">
            <v>VICTORIA DOUBLE WOOD &amp; BLACK WALL LAMP</v>
          </cell>
          <cell r="E836" t="str">
            <v xml:space="preserve">AHŞAP METAL WENGE SİYAH   </v>
          </cell>
          <cell r="F836" t="str">
            <v>9405.19.90.00.00</v>
          </cell>
          <cell r="G836" t="str">
            <v>APLİK</v>
          </cell>
          <cell r="H836" t="str">
            <v/>
          </cell>
          <cell r="I836" t="str">
            <v>İÇ</v>
          </cell>
          <cell r="J836" t="str">
            <v>APLİK</v>
          </cell>
          <cell r="K836" t="str">
            <v>VICTORIA</v>
          </cell>
          <cell r="L836" t="str">
            <v/>
          </cell>
          <cell r="M836" t="str">
            <v/>
          </cell>
          <cell r="N836" t="str">
            <v/>
          </cell>
          <cell r="O836" t="str">
            <v>ISHI</v>
          </cell>
          <cell r="P836" t="str">
            <v>ADET</v>
          </cell>
          <cell r="Q836" t="str">
            <v>GU10</v>
          </cell>
          <cell r="R836" t="str">
            <v>AHŞAP</v>
          </cell>
          <cell r="S836" t="str">
            <v>WENGE</v>
          </cell>
          <cell r="T836" t="str">
            <v>METAL</v>
          </cell>
          <cell r="U836" t="str">
            <v>SİYAH</v>
          </cell>
          <cell r="AD836" t="str">
            <v>HAREKETLİ</v>
          </cell>
          <cell r="AE836" t="str">
            <v>02</v>
          </cell>
          <cell r="AF836">
            <v>10</v>
          </cell>
          <cell r="AG836" t="str">
            <v>ADET</v>
          </cell>
          <cell r="AH836">
            <v>190</v>
          </cell>
          <cell r="AI836" t="str">
            <v>TL</v>
          </cell>
          <cell r="AJ836">
            <v>3047</v>
          </cell>
          <cell r="AK836" t="str">
            <v>TL</v>
          </cell>
          <cell r="AL836">
            <v>1</v>
          </cell>
          <cell r="AM836" t="str">
            <v>8684127503464</v>
          </cell>
          <cell r="AO836">
            <v>0</v>
          </cell>
          <cell r="AQ836">
            <v>12.6</v>
          </cell>
          <cell r="AR836" t="str">
            <v>CM</v>
          </cell>
          <cell r="AS836">
            <v>49</v>
          </cell>
          <cell r="AT836" t="str">
            <v>CM</v>
          </cell>
          <cell r="AU836">
            <v>0</v>
          </cell>
          <cell r="AW836">
            <v>0</v>
          </cell>
        </row>
        <row r="837">
          <cell r="B837" t="str">
            <v>F1W5AA1JEMH-007</v>
          </cell>
          <cell r="C837" t="str">
            <v>NIAGARA TEKLİ AHŞAP &amp; ESKİTME APLİK</v>
          </cell>
          <cell r="D837" t="str">
            <v>NIAGARA SINGLE WOOD &amp; BRASS WALL LAMP</v>
          </cell>
          <cell r="E837" t="str">
            <v xml:space="preserve">AHŞAP METAL ANTİK MEŞE ESKİTME   </v>
          </cell>
          <cell r="F837" t="str">
            <v>9405.19.90.00.00</v>
          </cell>
          <cell r="G837" t="str">
            <v>APLİK</v>
          </cell>
          <cell r="H837" t="str">
            <v/>
          </cell>
          <cell r="I837" t="str">
            <v>İÇ</v>
          </cell>
          <cell r="J837" t="str">
            <v>APLİK</v>
          </cell>
          <cell r="K837" t="str">
            <v>NIAGARA</v>
          </cell>
          <cell r="L837" t="str">
            <v/>
          </cell>
          <cell r="M837" t="str">
            <v/>
          </cell>
          <cell r="N837" t="str">
            <v/>
          </cell>
          <cell r="O837" t="str">
            <v>ISHI</v>
          </cell>
          <cell r="P837" t="str">
            <v>ADET</v>
          </cell>
          <cell r="Q837" t="str">
            <v>GU10</v>
          </cell>
          <cell r="R837" t="str">
            <v>AHŞAP</v>
          </cell>
          <cell r="S837" t="str">
            <v>ANTİK MEŞE</v>
          </cell>
          <cell r="T837" t="str">
            <v>METAL</v>
          </cell>
          <cell r="U837" t="str">
            <v>ESKİTME</v>
          </cell>
          <cell r="AD837" t="str">
            <v>HAREKETLİ</v>
          </cell>
          <cell r="AE837" t="str">
            <v>01</v>
          </cell>
          <cell r="AF837">
            <v>48</v>
          </cell>
          <cell r="AG837" t="str">
            <v>ADET</v>
          </cell>
          <cell r="AH837">
            <v>100</v>
          </cell>
          <cell r="AI837" t="str">
            <v>TL</v>
          </cell>
          <cell r="AJ837">
            <v>1476</v>
          </cell>
          <cell r="AK837" t="str">
            <v>TL</v>
          </cell>
          <cell r="AL837">
            <v>1</v>
          </cell>
          <cell r="AM837" t="str">
            <v>8684127503532</v>
          </cell>
          <cell r="AO837">
            <v>0</v>
          </cell>
          <cell r="AQ837">
            <v>12.6</v>
          </cell>
          <cell r="AR837" t="str">
            <v>CM</v>
          </cell>
          <cell r="AS837">
            <v>7</v>
          </cell>
          <cell r="AT837" t="str">
            <v>CM</v>
          </cell>
          <cell r="AU837">
            <v>0</v>
          </cell>
          <cell r="AW837">
            <v>0</v>
          </cell>
        </row>
        <row r="838">
          <cell r="B838" t="str">
            <v>F1W5AA1JSRH-099</v>
          </cell>
          <cell r="C838" t="str">
            <v>NIAGARA DÖRTLÜ AHŞAP &amp; SİYAH APLİK</v>
          </cell>
          <cell r="D838" t="str">
            <v>NIAGARA QUATERNARY WOOD &amp; BLACK WALL LAMP</v>
          </cell>
          <cell r="E838" t="str">
            <v xml:space="preserve">AHŞAP METAL ANTİK MEŞE SİYAH   </v>
          </cell>
          <cell r="F838" t="str">
            <v>9405.19.90.00.00</v>
          </cell>
          <cell r="G838" t="str">
            <v>APLİK</v>
          </cell>
          <cell r="H838" t="str">
            <v/>
          </cell>
          <cell r="I838" t="str">
            <v>İÇ</v>
          </cell>
          <cell r="J838" t="str">
            <v>APLİK</v>
          </cell>
          <cell r="K838" t="str">
            <v>NIAGARA</v>
          </cell>
          <cell r="L838" t="str">
            <v/>
          </cell>
          <cell r="M838" t="str">
            <v/>
          </cell>
          <cell r="N838" t="str">
            <v/>
          </cell>
          <cell r="O838" t="str">
            <v>ISHI</v>
          </cell>
          <cell r="P838" t="str">
            <v>ADET</v>
          </cell>
          <cell r="Q838" t="str">
            <v>GU10</v>
          </cell>
          <cell r="R838" t="str">
            <v>AHŞAP</v>
          </cell>
          <cell r="S838" t="str">
            <v>ANTİK MEŞE</v>
          </cell>
          <cell r="T838" t="str">
            <v>METAL</v>
          </cell>
          <cell r="U838" t="str">
            <v>SİYAH</v>
          </cell>
          <cell r="AD838" t="str">
            <v>HAREKETLİ</v>
          </cell>
          <cell r="AE838" t="str">
            <v>04</v>
          </cell>
          <cell r="AF838">
            <v>11</v>
          </cell>
          <cell r="AG838" t="str">
            <v>ADET</v>
          </cell>
          <cell r="AH838">
            <v>370</v>
          </cell>
          <cell r="AI838" t="str">
            <v>TL</v>
          </cell>
          <cell r="AJ838">
            <v>5546</v>
          </cell>
          <cell r="AK838" t="str">
            <v>TL</v>
          </cell>
          <cell r="AL838">
            <v>1</v>
          </cell>
          <cell r="AM838" t="str">
            <v>8684127503600</v>
          </cell>
          <cell r="AO838">
            <v>0</v>
          </cell>
          <cell r="AQ838">
            <v>12.6</v>
          </cell>
          <cell r="AR838" t="str">
            <v>CM</v>
          </cell>
          <cell r="AS838">
            <v>99</v>
          </cell>
          <cell r="AT838" t="str">
            <v>CM</v>
          </cell>
          <cell r="AU838">
            <v>0</v>
          </cell>
          <cell r="AW838">
            <v>0</v>
          </cell>
        </row>
        <row r="839">
          <cell r="B839" t="str">
            <v>H1C2JM3ECT0-030</v>
          </cell>
          <cell r="C839" t="str">
            <v>BERDE PİRİNÇ MAT KROM SARKIT 30cm</v>
          </cell>
          <cell r="D839" t="str">
            <v>BERDE BRUSHED CHROME PENDANT 30cm</v>
          </cell>
          <cell r="E839" t="str">
            <v xml:space="preserve">METAL CAM  MAT KROM SOFT   </v>
          </cell>
          <cell r="F839" t="str">
            <v/>
          </cell>
          <cell r="G839" t="str">
            <v>AVİZE</v>
          </cell>
          <cell r="H839" t="str">
            <v/>
          </cell>
          <cell r="I839" t="str">
            <v>İÇ</v>
          </cell>
          <cell r="J839" t="str">
            <v>AVİZE.SARK</v>
          </cell>
          <cell r="K839" t="str">
            <v>BERDE</v>
          </cell>
          <cell r="L839" t="str">
            <v/>
          </cell>
          <cell r="M839" t="str">
            <v/>
          </cell>
          <cell r="N839" t="str">
            <v/>
          </cell>
          <cell r="O839" t="str">
            <v>HEKA</v>
          </cell>
          <cell r="P839" t="str">
            <v>ADET</v>
          </cell>
          <cell r="Q839" t="str">
            <v>E27</v>
          </cell>
          <cell r="R839" t="str">
            <v>METAL</v>
          </cell>
          <cell r="S839" t="str">
            <v>MAT KROM</v>
          </cell>
          <cell r="T839" t="str">
            <v>CAM</v>
          </cell>
          <cell r="U839" t="str">
            <v>SOFT</v>
          </cell>
          <cell r="AD839" t="str">
            <v>N/A</v>
          </cell>
          <cell r="AE839" t="str">
            <v>01</v>
          </cell>
          <cell r="AF839">
            <v>4</v>
          </cell>
          <cell r="AG839" t="str">
            <v>ADET</v>
          </cell>
          <cell r="AH839">
            <v>450</v>
          </cell>
          <cell r="AI839" t="str">
            <v>TL</v>
          </cell>
          <cell r="AJ839">
            <v>4189</v>
          </cell>
          <cell r="AK839" t="str">
            <v>TL</v>
          </cell>
          <cell r="AL839">
            <v>1</v>
          </cell>
          <cell r="AM839" t="str">
            <v>8684127505451</v>
          </cell>
          <cell r="AO839">
            <v>0</v>
          </cell>
          <cell r="AQ839">
            <v>55</v>
          </cell>
          <cell r="AR839" t="str">
            <v>CM</v>
          </cell>
          <cell r="AS839">
            <v>30</v>
          </cell>
          <cell r="AT839" t="str">
            <v>CM</v>
          </cell>
          <cell r="AU839">
            <v>0</v>
          </cell>
          <cell r="AW839">
            <v>0</v>
          </cell>
        </row>
        <row r="840">
          <cell r="B840" t="str">
            <v>200-CAM-FUME</v>
          </cell>
          <cell r="C840" t="str">
            <v>BATUR DİŞLİ FÜME CAM 20 cm</v>
          </cell>
          <cell r="D840" t="str">
            <v>THREADED SMOKY GLASS 20 cm</v>
          </cell>
          <cell r="E840" t="str">
            <v/>
          </cell>
          <cell r="F840" t="str">
            <v/>
          </cell>
          <cell r="G840" t="str">
            <v>AVİZE</v>
          </cell>
          <cell r="H840" t="str">
            <v>200A-FÜME</v>
          </cell>
          <cell r="I840" t="str">
            <v>İÇ</v>
          </cell>
          <cell r="J840" t="str">
            <v>AVİZE.SARK</v>
          </cell>
          <cell r="K840" t="str">
            <v>BATUR</v>
          </cell>
          <cell r="L840" t="str">
            <v/>
          </cell>
          <cell r="M840" t="str">
            <v/>
          </cell>
          <cell r="N840" t="str">
            <v/>
          </cell>
          <cell r="O840" t="str">
            <v>HEKA</v>
          </cell>
          <cell r="P840" t="str">
            <v>ADET</v>
          </cell>
          <cell r="R840" t="str">
            <v>CAM</v>
          </cell>
          <cell r="S840" t="str">
            <v>FÜME</v>
          </cell>
          <cell r="AF840">
            <v>0</v>
          </cell>
          <cell r="AG840" t="str">
            <v>ADET</v>
          </cell>
          <cell r="AH840">
            <v>18</v>
          </cell>
          <cell r="AI840" t="str">
            <v>CNY</v>
          </cell>
          <cell r="AJ840">
            <v>2070</v>
          </cell>
          <cell r="AK840" t="str">
            <v>TL</v>
          </cell>
          <cell r="AL840">
            <v>1</v>
          </cell>
          <cell r="AM840" t="str">
            <v>200-CAM-FUME</v>
          </cell>
          <cell r="AO840">
            <v>0</v>
          </cell>
          <cell r="AQ840">
            <v>0</v>
          </cell>
          <cell r="AS840">
            <v>0</v>
          </cell>
          <cell r="AU840">
            <v>0</v>
          </cell>
          <cell r="AW840">
            <v>0</v>
          </cell>
        </row>
        <row r="841">
          <cell r="B841" t="str">
            <v>F1W5AA1JSRH-049</v>
          </cell>
          <cell r="C841" t="str">
            <v>NIAGARA İKİLİ AHŞAP &amp; SİYAH APLİK</v>
          </cell>
          <cell r="D841" t="str">
            <v>NIAGARA DOUBLE WOOD &amp; BLACK WALL LAMP</v>
          </cell>
          <cell r="E841" t="str">
            <v xml:space="preserve">AHŞAP METAL ANTİK MEŞE SİYAH   </v>
          </cell>
          <cell r="F841" t="str">
            <v>9405.19.90.00.00</v>
          </cell>
          <cell r="G841" t="str">
            <v>APLİK</v>
          </cell>
          <cell r="H841" t="str">
            <v/>
          </cell>
          <cell r="I841" t="str">
            <v>İÇ</v>
          </cell>
          <cell r="J841" t="str">
            <v>APLİK</v>
          </cell>
          <cell r="K841" t="str">
            <v>NIAGARA</v>
          </cell>
          <cell r="L841" t="str">
            <v/>
          </cell>
          <cell r="M841" t="str">
            <v/>
          </cell>
          <cell r="N841" t="str">
            <v/>
          </cell>
          <cell r="O841" t="str">
            <v>ISHI</v>
          </cell>
          <cell r="P841" t="str">
            <v>ADET</v>
          </cell>
          <cell r="Q841" t="str">
            <v>GU10</v>
          </cell>
          <cell r="R841" t="str">
            <v>AHŞAP</v>
          </cell>
          <cell r="S841" t="str">
            <v>ANTİK MEŞE</v>
          </cell>
          <cell r="T841" t="str">
            <v>METAL</v>
          </cell>
          <cell r="U841" t="str">
            <v>SİYAH</v>
          </cell>
          <cell r="AD841" t="str">
            <v>HAREKETLİ</v>
          </cell>
          <cell r="AE841" t="str">
            <v>02</v>
          </cell>
          <cell r="AF841">
            <v>13</v>
          </cell>
          <cell r="AG841" t="str">
            <v>ADET</v>
          </cell>
          <cell r="AH841">
            <v>190</v>
          </cell>
          <cell r="AI841" t="str">
            <v>TL</v>
          </cell>
          <cell r="AJ841">
            <v>3047</v>
          </cell>
          <cell r="AK841" t="str">
            <v>TL</v>
          </cell>
          <cell r="AL841">
            <v>1</v>
          </cell>
          <cell r="AM841" t="str">
            <v>8684127503587</v>
          </cell>
          <cell r="AO841">
            <v>0</v>
          </cell>
          <cell r="AQ841">
            <v>12.6</v>
          </cell>
          <cell r="AR841" t="str">
            <v>CM</v>
          </cell>
          <cell r="AS841">
            <v>49</v>
          </cell>
          <cell r="AT841" t="str">
            <v>CM</v>
          </cell>
          <cell r="AU841">
            <v>0</v>
          </cell>
          <cell r="AW841">
            <v>0</v>
          </cell>
        </row>
        <row r="842">
          <cell r="B842" t="str">
            <v>H1C1JRSJMK0-105</v>
          </cell>
          <cell r="C842" t="str">
            <v>FİONA SİYAH-KROM YEMEK MASASI AVİZESİ 17 Lİ</v>
          </cell>
          <cell r="D842" t="str">
            <v>FİONA BLACK-CHROME DINNING TABLE CHANDELIER 17 BULB</v>
          </cell>
          <cell r="E842" t="str">
            <v xml:space="preserve">METAL METAL SİYAH KROM   </v>
          </cell>
          <cell r="F842" t="str">
            <v/>
          </cell>
          <cell r="G842" t="str">
            <v>AVİZE</v>
          </cell>
          <cell r="H842" t="str">
            <v/>
          </cell>
          <cell r="I842" t="str">
            <v>İÇ</v>
          </cell>
          <cell r="J842" t="str">
            <v>AVİZE.AVİZ</v>
          </cell>
          <cell r="K842" t="str">
            <v>FİONA</v>
          </cell>
          <cell r="L842" t="str">
            <v/>
          </cell>
          <cell r="M842" t="str">
            <v/>
          </cell>
          <cell r="N842" t="str">
            <v/>
          </cell>
          <cell r="O842" t="str">
            <v>HEKA</v>
          </cell>
          <cell r="P842" t="str">
            <v>ADET</v>
          </cell>
          <cell r="Q842" t="str">
            <v>E14</v>
          </cell>
          <cell r="R842" t="str">
            <v>METAL</v>
          </cell>
          <cell r="S842" t="str">
            <v>SİYAH</v>
          </cell>
          <cell r="T842" t="str">
            <v>METAL</v>
          </cell>
          <cell r="U842" t="str">
            <v>KROM</v>
          </cell>
          <cell r="AD842" t="str">
            <v>N/A</v>
          </cell>
          <cell r="AE842" t="str">
            <v>17</v>
          </cell>
          <cell r="AF842">
            <v>1</v>
          </cell>
          <cell r="AG842" t="str">
            <v>ADET</v>
          </cell>
          <cell r="AH842">
            <v>1500</v>
          </cell>
          <cell r="AI842" t="str">
            <v>TL</v>
          </cell>
          <cell r="AJ842">
            <v>10950</v>
          </cell>
          <cell r="AK842" t="str">
            <v>TL</v>
          </cell>
          <cell r="AL842">
            <v>1</v>
          </cell>
          <cell r="AM842" t="str">
            <v>8684127508414</v>
          </cell>
          <cell r="AO842">
            <v>0</v>
          </cell>
          <cell r="AQ842">
            <v>45</v>
          </cell>
          <cell r="AR842" t="str">
            <v>CM</v>
          </cell>
          <cell r="AS842">
            <v>45</v>
          </cell>
          <cell r="AT842" t="str">
            <v>CM</v>
          </cell>
          <cell r="AU842">
            <v>0</v>
          </cell>
          <cell r="AW842">
            <v>0</v>
          </cell>
        </row>
        <row r="843">
          <cell r="B843" t="str">
            <v>150-CAM-FUME</v>
          </cell>
          <cell r="C843" t="str">
            <v>BATUR DİŞLİ FÜME CAM 15 cm</v>
          </cell>
          <cell r="D843" t="str">
            <v>THREADED SMOKY GLASS 15 cm</v>
          </cell>
          <cell r="E843" t="str">
            <v/>
          </cell>
          <cell r="F843" t="str">
            <v/>
          </cell>
          <cell r="G843" t="str">
            <v>AVİZE</v>
          </cell>
          <cell r="H843" t="str">
            <v>150A-FÜME</v>
          </cell>
          <cell r="I843" t="str">
            <v>İÇ</v>
          </cell>
          <cell r="J843" t="str">
            <v>AVİZE.SARK</v>
          </cell>
          <cell r="K843" t="str">
            <v>BATUR</v>
          </cell>
          <cell r="L843" t="str">
            <v/>
          </cell>
          <cell r="M843" t="str">
            <v/>
          </cell>
          <cell r="N843" t="str">
            <v/>
          </cell>
          <cell r="O843" t="str">
            <v>HEKA</v>
          </cell>
          <cell r="P843" t="str">
            <v>ADET</v>
          </cell>
          <cell r="R843" t="str">
            <v>CAM</v>
          </cell>
          <cell r="S843" t="str">
            <v>FÜME</v>
          </cell>
          <cell r="AF843">
            <v>24</v>
          </cell>
          <cell r="AG843" t="str">
            <v>ADET</v>
          </cell>
          <cell r="AH843">
            <v>9</v>
          </cell>
          <cell r="AI843" t="str">
            <v>CNY</v>
          </cell>
          <cell r="AJ843">
            <v>1412</v>
          </cell>
          <cell r="AK843" t="str">
            <v>TL</v>
          </cell>
          <cell r="AL843">
            <v>1</v>
          </cell>
          <cell r="AM843" t="str">
            <v>150-CAM-FUME</v>
          </cell>
          <cell r="AO843">
            <v>0</v>
          </cell>
          <cell r="AQ843">
            <v>0</v>
          </cell>
          <cell r="AS843">
            <v>0</v>
          </cell>
          <cell r="AU843">
            <v>0</v>
          </cell>
          <cell r="AW843">
            <v>0</v>
          </cell>
        </row>
        <row r="844">
          <cell r="B844" t="str">
            <v>H1F00000000-000</v>
          </cell>
          <cell r="C844" t="str">
            <v>ÖZEL TASARIM LAMBADER</v>
          </cell>
          <cell r="D844" t="str">
            <v>CUSTOM DESIGN FLOOR  LAMP</v>
          </cell>
          <cell r="E844" t="str">
            <v/>
          </cell>
          <cell r="F844" t="str">
            <v>940542390000</v>
          </cell>
          <cell r="G844" t="str">
            <v>LAMBADER</v>
          </cell>
          <cell r="H844" t="str">
            <v/>
          </cell>
          <cell r="I844" t="str">
            <v>İÇ</v>
          </cell>
          <cell r="J844" t="str">
            <v>LAMBADER</v>
          </cell>
          <cell r="K844" t="str">
            <v/>
          </cell>
          <cell r="L844" t="str">
            <v/>
          </cell>
          <cell r="M844" t="str">
            <v>ÖZEL TASAR</v>
          </cell>
          <cell r="N844" t="str">
            <v/>
          </cell>
          <cell r="O844" t="str">
            <v>HEKA</v>
          </cell>
          <cell r="P844" t="str">
            <v>ADET</v>
          </cell>
          <cell r="AF844">
            <v>36</v>
          </cell>
          <cell r="AG844" t="str">
            <v>ADET</v>
          </cell>
          <cell r="AL844">
            <v>0</v>
          </cell>
          <cell r="AM844" t="str">
            <v>H1F00000000-000</v>
          </cell>
          <cell r="AO844">
            <v>0</v>
          </cell>
          <cell r="AQ844">
            <v>0</v>
          </cell>
          <cell r="AS844">
            <v>0</v>
          </cell>
          <cell r="AU844">
            <v>0</v>
          </cell>
          <cell r="AW844">
            <v>0</v>
          </cell>
        </row>
        <row r="845">
          <cell r="B845" t="str">
            <v>H1L00000000-000</v>
          </cell>
          <cell r="C845" t="str">
            <v>ÖZEL TASARIM ABAJUR</v>
          </cell>
          <cell r="D845" t="str">
            <v>CUSTOM DESIGN LAMPSHADE</v>
          </cell>
          <cell r="E845" t="str">
            <v/>
          </cell>
          <cell r="F845" t="str">
            <v/>
          </cell>
          <cell r="G845" t="str">
            <v>MASAABAJ</v>
          </cell>
          <cell r="H845" t="str">
            <v/>
          </cell>
          <cell r="I845" t="str">
            <v>İÇ</v>
          </cell>
          <cell r="J845" t="str">
            <v>MASAABAJ</v>
          </cell>
          <cell r="K845" t="str">
            <v/>
          </cell>
          <cell r="L845" t="str">
            <v/>
          </cell>
          <cell r="M845" t="str">
            <v>ÖZEL TASAR</v>
          </cell>
          <cell r="N845" t="str">
            <v/>
          </cell>
          <cell r="O845" t="str">
            <v>HEKA</v>
          </cell>
          <cell r="P845" t="str">
            <v>ADET</v>
          </cell>
          <cell r="AF845">
            <v>25</v>
          </cell>
          <cell r="AG845" t="str">
            <v>ADET</v>
          </cell>
          <cell r="AL845">
            <v>0</v>
          </cell>
          <cell r="AM845" t="str">
            <v>H1L00000000-000</v>
          </cell>
          <cell r="AO845">
            <v>0</v>
          </cell>
          <cell r="AQ845">
            <v>0</v>
          </cell>
          <cell r="AS845">
            <v>0</v>
          </cell>
          <cell r="AU845">
            <v>0</v>
          </cell>
          <cell r="AW845">
            <v>0</v>
          </cell>
        </row>
        <row r="846">
          <cell r="B846" t="str">
            <v>H1C6JMEERFF-020</v>
          </cell>
          <cell r="C846" t="str">
            <v>VİYANA FÜME KUBBE CAM SARKIT 20cm</v>
          </cell>
          <cell r="D846" t="str">
            <v>VIYANA SMOKY DOME GLASS PENDANT 20cm</v>
          </cell>
          <cell r="E846" t="str">
            <v>METAL ESKİTME CAM  FÜME</v>
          </cell>
          <cell r="F846" t="str">
            <v>9405.11.90.00.00</v>
          </cell>
          <cell r="G846" t="str">
            <v>AVİZE</v>
          </cell>
          <cell r="H846" t="str">
            <v>T1A6231100-20</v>
          </cell>
          <cell r="I846" t="str">
            <v>İÇ</v>
          </cell>
          <cell r="J846" t="str">
            <v>AVİZE.SARK</v>
          </cell>
          <cell r="K846" t="str">
            <v>VİYANA</v>
          </cell>
          <cell r="L846" t="str">
            <v/>
          </cell>
          <cell r="M846" t="str">
            <v/>
          </cell>
          <cell r="N846" t="str">
            <v>ML16</v>
          </cell>
          <cell r="O846" t="str">
            <v>HEKA</v>
          </cell>
          <cell r="P846" t="str">
            <v>ADET</v>
          </cell>
          <cell r="Q846" t="str">
            <v>LED</v>
          </cell>
          <cell r="R846" t="str">
            <v>METAL</v>
          </cell>
          <cell r="S846" t="str">
            <v>ESKİTME</v>
          </cell>
          <cell r="T846" t="str">
            <v>CAM</v>
          </cell>
          <cell r="U846" t="str">
            <v>FÜME</v>
          </cell>
          <cell r="AD846" t="str">
            <v>KUBBE</v>
          </cell>
          <cell r="AE846" t="str">
            <v>01</v>
          </cell>
          <cell r="AF846">
            <v>0</v>
          </cell>
          <cell r="AG846" t="str">
            <v>ADET</v>
          </cell>
          <cell r="AH846">
            <v>65</v>
          </cell>
          <cell r="AI846" t="str">
            <v>CNY</v>
          </cell>
          <cell r="AJ846">
            <v>4094</v>
          </cell>
          <cell r="AK846" t="str">
            <v>TL</v>
          </cell>
          <cell r="AL846">
            <v>1</v>
          </cell>
          <cell r="AM846" t="str">
            <v>8684127506496</v>
          </cell>
          <cell r="AO846">
            <v>0</v>
          </cell>
          <cell r="AQ846">
            <v>0</v>
          </cell>
          <cell r="AR846" t="str">
            <v>CM</v>
          </cell>
          <cell r="AS846">
            <v>0</v>
          </cell>
          <cell r="AT846" t="str">
            <v>CM</v>
          </cell>
          <cell r="AU846">
            <v>0</v>
          </cell>
          <cell r="AW846">
            <v>0</v>
          </cell>
        </row>
        <row r="847">
          <cell r="B847" t="str">
            <v>H1C6JMEERFF-035</v>
          </cell>
          <cell r="C847" t="str">
            <v>VİYANA FÜME KUBBE CAM SARKIT 35cm</v>
          </cell>
          <cell r="D847" t="str">
            <v>VIYANA SMOKY DOME GLASS PENDANT 35cm</v>
          </cell>
          <cell r="E847" t="str">
            <v>METAL ESKİTME CAM  BAL</v>
          </cell>
          <cell r="F847" t="str">
            <v>9405.11.90.00.00</v>
          </cell>
          <cell r="G847" t="str">
            <v>AVİZE</v>
          </cell>
          <cell r="H847" t="str">
            <v>T1A6231100-20</v>
          </cell>
          <cell r="I847" t="str">
            <v>İÇ</v>
          </cell>
          <cell r="J847" t="str">
            <v>AVİZE.SARK</v>
          </cell>
          <cell r="K847" t="str">
            <v>VİYANA</v>
          </cell>
          <cell r="L847" t="str">
            <v/>
          </cell>
          <cell r="M847" t="str">
            <v/>
          </cell>
          <cell r="N847" t="str">
            <v>ML20</v>
          </cell>
          <cell r="O847" t="str">
            <v>HEKA</v>
          </cell>
          <cell r="P847" t="str">
            <v>ADET</v>
          </cell>
          <cell r="Q847" t="str">
            <v>LED</v>
          </cell>
          <cell r="R847" t="str">
            <v>METAL</v>
          </cell>
          <cell r="S847" t="str">
            <v>ESKİTME</v>
          </cell>
          <cell r="T847" t="str">
            <v>CAM</v>
          </cell>
          <cell r="U847" t="str">
            <v>FÜME</v>
          </cell>
          <cell r="AD847" t="str">
            <v>KÜRE</v>
          </cell>
          <cell r="AE847" t="str">
            <v>01</v>
          </cell>
          <cell r="AF847">
            <v>0</v>
          </cell>
          <cell r="AG847" t="str">
            <v>ADET</v>
          </cell>
          <cell r="AH847">
            <v>115</v>
          </cell>
          <cell r="AI847" t="str">
            <v>CNY</v>
          </cell>
          <cell r="AJ847">
            <v>5855</v>
          </cell>
          <cell r="AK847" t="str">
            <v>TL</v>
          </cell>
          <cell r="AL847">
            <v>1</v>
          </cell>
          <cell r="AM847" t="str">
            <v>8684127506519</v>
          </cell>
          <cell r="AO847">
            <v>0</v>
          </cell>
          <cell r="AQ847">
            <v>0</v>
          </cell>
          <cell r="AR847" t="str">
            <v>CM</v>
          </cell>
          <cell r="AS847">
            <v>0</v>
          </cell>
          <cell r="AT847" t="str">
            <v>CM</v>
          </cell>
          <cell r="AU847">
            <v>0</v>
          </cell>
          <cell r="AW847">
            <v>0</v>
          </cell>
        </row>
        <row r="848">
          <cell r="B848" t="str">
            <v>H1C6JMEECSD-014</v>
          </cell>
          <cell r="C848" t="str">
            <v>TOGO TEKLİ KARE SARKIT 14cm</v>
          </cell>
          <cell r="D848" t="str">
            <v>TOGO SINGLE SQUARE PENDANT 14cm</v>
          </cell>
          <cell r="E848" t="str">
            <v xml:space="preserve">METAL CAM  ESKİTME ŞEFFAF   </v>
          </cell>
          <cell r="F848" t="str">
            <v/>
          </cell>
          <cell r="G848" t="str">
            <v>AVİZE</v>
          </cell>
          <cell r="H848" t="str">
            <v/>
          </cell>
          <cell r="I848" t="str">
            <v>İÇ</v>
          </cell>
          <cell r="J848" t="str">
            <v>AVİZE.SARK</v>
          </cell>
          <cell r="K848" t="str">
            <v>TOGO</v>
          </cell>
          <cell r="L848" t="str">
            <v/>
          </cell>
          <cell r="M848" t="str">
            <v/>
          </cell>
          <cell r="N848" t="str">
            <v>HKA-125</v>
          </cell>
          <cell r="O848" t="str">
            <v>HEKA</v>
          </cell>
          <cell r="P848" t="str">
            <v>ADET</v>
          </cell>
          <cell r="Q848" t="str">
            <v>LED</v>
          </cell>
          <cell r="R848" t="str">
            <v>METAL</v>
          </cell>
          <cell r="S848" t="str">
            <v>ESKİTME</v>
          </cell>
          <cell r="T848" t="str">
            <v>CAM</v>
          </cell>
          <cell r="U848" t="str">
            <v>ŞEFFAF</v>
          </cell>
          <cell r="Y848" t="str">
            <v>6 WATT</v>
          </cell>
          <cell r="Z848" t="str">
            <v>3200 K</v>
          </cell>
          <cell r="AD848" t="str">
            <v>DİKDÖRTGEN</v>
          </cell>
          <cell r="AF848">
            <v>0</v>
          </cell>
          <cell r="AG848" t="str">
            <v>ADET</v>
          </cell>
          <cell r="AH848">
            <v>53</v>
          </cell>
          <cell r="AI848" t="str">
            <v>CNY</v>
          </cell>
          <cell r="AJ848">
            <v>2357</v>
          </cell>
          <cell r="AK848" t="str">
            <v>TL</v>
          </cell>
          <cell r="AL848">
            <v>1</v>
          </cell>
          <cell r="AM848" t="str">
            <v>8684127506663</v>
          </cell>
          <cell r="AO848">
            <v>0</v>
          </cell>
          <cell r="AQ848">
            <v>0</v>
          </cell>
          <cell r="AS848">
            <v>0</v>
          </cell>
          <cell r="AU848">
            <v>0</v>
          </cell>
          <cell r="AW848">
            <v>0</v>
          </cell>
        </row>
        <row r="849">
          <cell r="B849" t="str">
            <v>H1C6JMEECSB-015</v>
          </cell>
          <cell r="C849" t="str">
            <v>TOGO TEKLİ SİMİT SARKIT 15cm</v>
          </cell>
          <cell r="D849" t="str">
            <v>TOGO SINGLE BAGEL PENDANT 15cm</v>
          </cell>
          <cell r="E849" t="str">
            <v xml:space="preserve">METAL CAM  ESKİTME ŞEFFAF   </v>
          </cell>
          <cell r="F849" t="str">
            <v/>
          </cell>
          <cell r="G849" t="str">
            <v>AVİZE</v>
          </cell>
          <cell r="H849" t="str">
            <v/>
          </cell>
          <cell r="I849" t="str">
            <v>İÇ</v>
          </cell>
          <cell r="J849" t="str">
            <v>AVİZE.SARK</v>
          </cell>
          <cell r="K849" t="str">
            <v>TOGO</v>
          </cell>
          <cell r="L849" t="str">
            <v/>
          </cell>
          <cell r="M849" t="str">
            <v/>
          </cell>
          <cell r="N849" t="str">
            <v>HKA-122</v>
          </cell>
          <cell r="O849" t="str">
            <v>HEKA</v>
          </cell>
          <cell r="P849" t="str">
            <v>ADET</v>
          </cell>
          <cell r="Q849" t="str">
            <v>LED</v>
          </cell>
          <cell r="R849" t="str">
            <v>METAL</v>
          </cell>
          <cell r="S849" t="str">
            <v>ESKİTME</v>
          </cell>
          <cell r="T849" t="str">
            <v>CAM</v>
          </cell>
          <cell r="U849" t="str">
            <v>ŞEFFAF</v>
          </cell>
          <cell r="Y849" t="str">
            <v>6 WATT</v>
          </cell>
          <cell r="Z849" t="str">
            <v>3200 K</v>
          </cell>
          <cell r="AD849" t="str">
            <v>SİMİT</v>
          </cell>
          <cell r="AF849">
            <v>13</v>
          </cell>
          <cell r="AG849" t="str">
            <v>ADET</v>
          </cell>
          <cell r="AH849">
            <v>53</v>
          </cell>
          <cell r="AI849" t="str">
            <v>CNY</v>
          </cell>
          <cell r="AJ849">
            <v>2357</v>
          </cell>
          <cell r="AK849" t="str">
            <v>TL</v>
          </cell>
          <cell r="AL849">
            <v>1</v>
          </cell>
          <cell r="AM849" t="str">
            <v>8684127506687</v>
          </cell>
          <cell r="AO849">
            <v>0</v>
          </cell>
          <cell r="AQ849">
            <v>0</v>
          </cell>
          <cell r="AS849">
            <v>0</v>
          </cell>
          <cell r="AU849">
            <v>0</v>
          </cell>
          <cell r="AW849">
            <v>0</v>
          </cell>
        </row>
        <row r="850">
          <cell r="B850" t="str">
            <v>H1C6JRSBCSY-060</v>
          </cell>
          <cell r="C850" t="str">
            <v>SEMRUK TEKLİ AKRİLİK KÜRE SARKIT 60cm</v>
          </cell>
          <cell r="D850" t="str">
            <v>SEMRUK SINGLE ACRYLIC SPHERE PENDANT 60cm</v>
          </cell>
          <cell r="E850" t="str">
            <v xml:space="preserve">METAL AKRİLİK SİYAH ŞEFFAF   </v>
          </cell>
          <cell r="F850" t="str">
            <v/>
          </cell>
          <cell r="G850" t="str">
            <v>AVİZE</v>
          </cell>
          <cell r="H850" t="str">
            <v/>
          </cell>
          <cell r="I850" t="str">
            <v>İÇ</v>
          </cell>
          <cell r="J850" t="str">
            <v>AVİZE.SARK</v>
          </cell>
          <cell r="K850" t="str">
            <v>SEMRUK</v>
          </cell>
          <cell r="L850" t="str">
            <v/>
          </cell>
          <cell r="M850" t="str">
            <v/>
          </cell>
          <cell r="N850" t="str">
            <v>HKA-24047</v>
          </cell>
          <cell r="O850" t="str">
            <v>HEKA</v>
          </cell>
          <cell r="P850" t="str">
            <v>ADET</v>
          </cell>
          <cell r="Q850" t="str">
            <v>LED</v>
          </cell>
          <cell r="R850" t="str">
            <v>METAL</v>
          </cell>
          <cell r="S850" t="str">
            <v>SİYAH</v>
          </cell>
          <cell r="T850" t="str">
            <v>AKRİLİK</v>
          </cell>
          <cell r="U850" t="str">
            <v>ŞEFFAF</v>
          </cell>
          <cell r="Z850" t="str">
            <v>3000 K</v>
          </cell>
          <cell r="AD850" t="str">
            <v>KÜRE</v>
          </cell>
          <cell r="AF850">
            <v>10</v>
          </cell>
          <cell r="AG850" t="str">
            <v>ADET</v>
          </cell>
          <cell r="AH850">
            <v>575</v>
          </cell>
          <cell r="AI850" t="str">
            <v>CNY</v>
          </cell>
          <cell r="AJ850">
            <v>39750</v>
          </cell>
          <cell r="AK850" t="str">
            <v>TL</v>
          </cell>
          <cell r="AL850">
            <v>1</v>
          </cell>
          <cell r="AM850" t="str">
            <v>8684127506809</v>
          </cell>
          <cell r="AO850">
            <v>0</v>
          </cell>
          <cell r="AQ850">
            <v>0</v>
          </cell>
          <cell r="AS850">
            <v>0</v>
          </cell>
          <cell r="AU850">
            <v>0</v>
          </cell>
          <cell r="AW850">
            <v>0</v>
          </cell>
        </row>
        <row r="851">
          <cell r="B851" t="str">
            <v>H1C6JMEWRBM-035</v>
          </cell>
          <cell r="C851" t="str">
            <v>UMAY DÖRTLÜ ÇİFT MERMERLİ SALON SARKIT AVİZE</v>
          </cell>
          <cell r="D851" t="str">
            <v>UMAY FOUR DOUBLE MARBLE LIVING ROOM PENDANT CHANDELIER</v>
          </cell>
          <cell r="E851" t="str">
            <v xml:space="preserve">METAL MERMER ESKİTME BEYAZ   </v>
          </cell>
          <cell r="F851" t="str">
            <v/>
          </cell>
          <cell r="G851" t="str">
            <v>AVİZE</v>
          </cell>
          <cell r="H851" t="str">
            <v/>
          </cell>
          <cell r="I851" t="str">
            <v>İÇ</v>
          </cell>
          <cell r="J851" t="str">
            <v>AVİZE.SARK</v>
          </cell>
          <cell r="K851" t="str">
            <v>UMAY</v>
          </cell>
          <cell r="L851" t="str">
            <v/>
          </cell>
          <cell r="M851" t="str">
            <v/>
          </cell>
          <cell r="N851" t="str">
            <v>HKA-83</v>
          </cell>
          <cell r="O851" t="str">
            <v>HEKA</v>
          </cell>
          <cell r="P851" t="str">
            <v>ADET</v>
          </cell>
          <cell r="Q851" t="str">
            <v>LED</v>
          </cell>
          <cell r="R851" t="str">
            <v>METAL</v>
          </cell>
          <cell r="S851" t="str">
            <v>ESKİTME</v>
          </cell>
          <cell r="T851" t="str">
            <v>MERMER</v>
          </cell>
          <cell r="U851" t="str">
            <v>BEYAZ</v>
          </cell>
          <cell r="Z851" t="str">
            <v>3000 K</v>
          </cell>
          <cell r="AD851" t="str">
            <v>ÇİFT AYDINLATMA</v>
          </cell>
          <cell r="AE851" t="str">
            <v>06</v>
          </cell>
          <cell r="AF851">
            <v>0</v>
          </cell>
          <cell r="AG851" t="str">
            <v>ADET</v>
          </cell>
          <cell r="AH851">
            <v>480</v>
          </cell>
          <cell r="AI851" t="str">
            <v>CNY</v>
          </cell>
          <cell r="AJ851">
            <v>20060</v>
          </cell>
          <cell r="AK851" t="str">
            <v>TL</v>
          </cell>
          <cell r="AL851">
            <v>1</v>
          </cell>
          <cell r="AM851" t="str">
            <v>8684127506823</v>
          </cell>
          <cell r="AO851">
            <v>0</v>
          </cell>
          <cell r="AQ851">
            <v>0</v>
          </cell>
          <cell r="AS851">
            <v>0</v>
          </cell>
          <cell r="AU851">
            <v>0</v>
          </cell>
          <cell r="AW851">
            <v>0</v>
          </cell>
        </row>
        <row r="852">
          <cell r="B852" t="str">
            <v>H1C6JMEWRBD-120</v>
          </cell>
          <cell r="C852" t="str">
            <v>PARİS YEMEK MASASI MERMER SARKIT AVİZE 120cm</v>
          </cell>
          <cell r="D852" t="str">
            <v>PARIS DINING TABLE MARBLE PENDANT CHANDELIER 120cm</v>
          </cell>
          <cell r="E852" t="str">
            <v xml:space="preserve">METAL MERMER ESKİTME BEYAZ   </v>
          </cell>
          <cell r="F852" t="str">
            <v/>
          </cell>
          <cell r="G852" t="str">
            <v>AVİZE</v>
          </cell>
          <cell r="H852" t="str">
            <v/>
          </cell>
          <cell r="I852" t="str">
            <v>İÇ</v>
          </cell>
          <cell r="J852" t="str">
            <v>AVİZE.AVİZ</v>
          </cell>
          <cell r="K852" t="str">
            <v>PARİS</v>
          </cell>
          <cell r="L852" t="str">
            <v/>
          </cell>
          <cell r="M852" t="str">
            <v/>
          </cell>
          <cell r="N852" t="str">
            <v>HKA-38</v>
          </cell>
          <cell r="O852" t="str">
            <v>HEKA</v>
          </cell>
          <cell r="P852" t="str">
            <v>ADET</v>
          </cell>
          <cell r="Q852" t="str">
            <v>LED</v>
          </cell>
          <cell r="R852" t="str">
            <v>METAL</v>
          </cell>
          <cell r="S852" t="str">
            <v>ESKİTME</v>
          </cell>
          <cell r="T852" t="str">
            <v>MERMER</v>
          </cell>
          <cell r="U852" t="str">
            <v>BEYAZ</v>
          </cell>
          <cell r="AD852" t="str">
            <v>DİKDÖRTGEN</v>
          </cell>
          <cell r="AE852" t="str">
            <v>02</v>
          </cell>
          <cell r="AF852">
            <v>1</v>
          </cell>
          <cell r="AG852" t="str">
            <v>ADET</v>
          </cell>
          <cell r="AH852">
            <v>750</v>
          </cell>
          <cell r="AI852" t="str">
            <v>CNY</v>
          </cell>
          <cell r="AJ852">
            <v>37485</v>
          </cell>
          <cell r="AK852" t="str">
            <v>TL</v>
          </cell>
          <cell r="AL852">
            <v>1</v>
          </cell>
          <cell r="AM852" t="str">
            <v>8684127507448</v>
          </cell>
          <cell r="AO852">
            <v>0</v>
          </cell>
          <cell r="AQ852">
            <v>0</v>
          </cell>
          <cell r="AS852">
            <v>0</v>
          </cell>
          <cell r="AU852">
            <v>0</v>
          </cell>
          <cell r="AW852">
            <v>0</v>
          </cell>
        </row>
        <row r="853">
          <cell r="B853" t="str">
            <v>H1C6JMEWRBR-081</v>
          </cell>
          <cell r="C853" t="str">
            <v>PARİS SALON MERMER SARKIT AVİZE 80cm</v>
          </cell>
          <cell r="D853" t="str">
            <v>PARIS LIVING ROOM MARBLE PENDANT CHANDELIER 80cm</v>
          </cell>
          <cell r="E853" t="str">
            <v xml:space="preserve">METAL MERMER ESKİTME BEYAZ   </v>
          </cell>
          <cell r="F853" t="str">
            <v/>
          </cell>
          <cell r="G853" t="str">
            <v>AVİZE</v>
          </cell>
          <cell r="H853" t="str">
            <v/>
          </cell>
          <cell r="I853" t="str">
            <v>İÇ</v>
          </cell>
          <cell r="J853" t="str">
            <v>AVİZE.AVİZ</v>
          </cell>
          <cell r="K853" t="str">
            <v>PARİS</v>
          </cell>
          <cell r="L853" t="str">
            <v/>
          </cell>
          <cell r="M853" t="str">
            <v/>
          </cell>
          <cell r="N853" t="str">
            <v>HKA-37</v>
          </cell>
          <cell r="O853" t="str">
            <v>HEKA</v>
          </cell>
          <cell r="P853" t="str">
            <v>ADET</v>
          </cell>
          <cell r="Q853" t="str">
            <v>LED</v>
          </cell>
          <cell r="R853" t="str">
            <v>METAL</v>
          </cell>
          <cell r="S853" t="str">
            <v>ESKİTME</v>
          </cell>
          <cell r="T853" t="str">
            <v>MERMER</v>
          </cell>
          <cell r="U853" t="str">
            <v>BEYAZ</v>
          </cell>
          <cell r="AD853" t="str">
            <v>DAİRE</v>
          </cell>
          <cell r="AE853" t="str">
            <v>02</v>
          </cell>
          <cell r="AF853">
            <v>1</v>
          </cell>
          <cell r="AG853" t="str">
            <v>ADET</v>
          </cell>
          <cell r="AH853">
            <v>650</v>
          </cell>
          <cell r="AI853" t="str">
            <v>CNY</v>
          </cell>
          <cell r="AJ853">
            <v>32416</v>
          </cell>
          <cell r="AK853" t="str">
            <v>TL</v>
          </cell>
          <cell r="AL853">
            <v>1</v>
          </cell>
          <cell r="AM853" t="str">
            <v>8684127507462</v>
          </cell>
          <cell r="AO853">
            <v>0</v>
          </cell>
          <cell r="AQ853">
            <v>0</v>
          </cell>
          <cell r="AS853">
            <v>0</v>
          </cell>
          <cell r="AU853">
            <v>0</v>
          </cell>
          <cell r="AW853">
            <v>0</v>
          </cell>
        </row>
        <row r="854">
          <cell r="B854" t="str">
            <v>T1C2ERFJRS0-037</v>
          </cell>
          <cell r="C854" t="str">
            <v>VEGA TEKLİ FÜME CAM AVİZE</v>
          </cell>
          <cell r="D854" t="str">
            <v>VEGA SINGLE SMOKY GLASS CHANDELIER</v>
          </cell>
          <cell r="E854" t="str">
            <v>CAM METAL FÜME SİYAH</v>
          </cell>
          <cell r="F854" t="str">
            <v>9405.19.50.00.19</v>
          </cell>
          <cell r="G854" t="str">
            <v>AVİZE</v>
          </cell>
          <cell r="H854" t="str">
            <v>MH-02</v>
          </cell>
          <cell r="I854" t="str">
            <v>İÇ</v>
          </cell>
          <cell r="J854" t="str">
            <v>AVİZE.SARK</v>
          </cell>
          <cell r="K854" t="str">
            <v>VEGA</v>
          </cell>
          <cell r="L854" t="str">
            <v/>
          </cell>
          <cell r="M854" t="str">
            <v/>
          </cell>
          <cell r="N854" t="str">
            <v>MH-02</v>
          </cell>
          <cell r="O854" t="str">
            <v>TOPLAMA</v>
          </cell>
          <cell r="P854" t="str">
            <v>ADET</v>
          </cell>
          <cell r="Q854" t="str">
            <v>E27</v>
          </cell>
          <cell r="R854" t="str">
            <v>CAM</v>
          </cell>
          <cell r="S854" t="str">
            <v>FÜME</v>
          </cell>
          <cell r="T854" t="str">
            <v>METAL</v>
          </cell>
          <cell r="U854" t="str">
            <v>SİYAH</v>
          </cell>
          <cell r="AE854" t="str">
            <v>02</v>
          </cell>
          <cell r="AF854">
            <v>0</v>
          </cell>
          <cell r="AG854" t="str">
            <v>ADET</v>
          </cell>
          <cell r="AH854">
            <v>93</v>
          </cell>
          <cell r="AI854" t="str">
            <v>CNY</v>
          </cell>
          <cell r="AJ854">
            <v>3214</v>
          </cell>
          <cell r="AK854" t="str">
            <v>TL</v>
          </cell>
          <cell r="AL854">
            <v>1</v>
          </cell>
          <cell r="AM854" t="str">
            <v>8684127504638</v>
          </cell>
          <cell r="AO854">
            <v>0</v>
          </cell>
          <cell r="AQ854">
            <v>0</v>
          </cell>
          <cell r="AS854">
            <v>0</v>
          </cell>
          <cell r="AU854">
            <v>0</v>
          </cell>
          <cell r="AW854">
            <v>0</v>
          </cell>
        </row>
        <row r="855">
          <cell r="B855" t="str">
            <v>YHT00000000-000</v>
          </cell>
          <cell r="C855" t="str">
            <v>TEPSİ</v>
          </cell>
          <cell r="D855" t="str">
            <v/>
          </cell>
          <cell r="E855" t="str">
            <v/>
          </cell>
          <cell r="F855" t="str">
            <v/>
          </cell>
          <cell r="G855" t="str">
            <v>ZPARCA</v>
          </cell>
          <cell r="H855" t="str">
            <v/>
          </cell>
          <cell r="I855" t="str">
            <v>İÇ</v>
          </cell>
          <cell r="J855" t="str">
            <v>ZPARCA</v>
          </cell>
          <cell r="K855" t="str">
            <v/>
          </cell>
          <cell r="L855" t="str">
            <v/>
          </cell>
          <cell r="M855" t="str">
            <v>15.01.2024</v>
          </cell>
          <cell r="N855" t="str">
            <v/>
          </cell>
          <cell r="O855" t="str">
            <v>HEKA</v>
          </cell>
          <cell r="P855" t="str">
            <v>ADET</v>
          </cell>
          <cell r="AF855">
            <v>-13</v>
          </cell>
          <cell r="AG855" t="str">
            <v>ADET</v>
          </cell>
          <cell r="AL855">
            <v>0</v>
          </cell>
          <cell r="AM855" t="str">
            <v>YHT00000001</v>
          </cell>
          <cell r="AO855">
            <v>0</v>
          </cell>
          <cell r="AQ855">
            <v>0</v>
          </cell>
          <cell r="AS855">
            <v>0</v>
          </cell>
          <cell r="AU855">
            <v>0</v>
          </cell>
          <cell r="AW855">
            <v>0</v>
          </cell>
        </row>
        <row r="856">
          <cell r="B856" t="str">
            <v>H1C6JMEERFP-020</v>
          </cell>
          <cell r="C856" t="str">
            <v>VİYANA FÜME GÖKTAŞI CAM SARKIT 20cm</v>
          </cell>
          <cell r="D856" t="str">
            <v>VIYANA SMOKY METEORITE GLASS PENDANT 20cm</v>
          </cell>
          <cell r="E856" t="str">
            <v>METAL ESKİTME CAM  FÜME</v>
          </cell>
          <cell r="F856" t="str">
            <v>9405.11.90.00.00</v>
          </cell>
          <cell r="G856" t="str">
            <v>AVİZE</v>
          </cell>
          <cell r="H856" t="str">
            <v>T1A6231100-20</v>
          </cell>
          <cell r="I856" t="str">
            <v>İÇ</v>
          </cell>
          <cell r="J856" t="str">
            <v>AVİZE.SARK</v>
          </cell>
          <cell r="K856" t="str">
            <v>VİYANA</v>
          </cell>
          <cell r="L856" t="str">
            <v/>
          </cell>
          <cell r="M856" t="str">
            <v/>
          </cell>
          <cell r="N856" t="str">
            <v>HKA-24156</v>
          </cell>
          <cell r="O856" t="str">
            <v>HEKA</v>
          </cell>
          <cell r="P856" t="str">
            <v>ADET</v>
          </cell>
          <cell r="Q856" t="str">
            <v>LED</v>
          </cell>
          <cell r="R856" t="str">
            <v>METAL</v>
          </cell>
          <cell r="S856" t="str">
            <v>ESKİTME</v>
          </cell>
          <cell r="T856" t="str">
            <v>CAM</v>
          </cell>
          <cell r="U856" t="str">
            <v>FÜME</v>
          </cell>
          <cell r="AD856" t="str">
            <v>POLİGONAL</v>
          </cell>
          <cell r="AE856" t="str">
            <v>01</v>
          </cell>
          <cell r="AF856">
            <v>150</v>
          </cell>
          <cell r="AG856" t="str">
            <v>ADET</v>
          </cell>
          <cell r="AH856">
            <v>51</v>
          </cell>
          <cell r="AI856" t="str">
            <v>CNY</v>
          </cell>
          <cell r="AJ856">
            <v>3713</v>
          </cell>
          <cell r="AK856" t="str">
            <v>TL</v>
          </cell>
          <cell r="AL856">
            <v>1</v>
          </cell>
          <cell r="AM856" t="str">
            <v>8684127506540</v>
          </cell>
          <cell r="AO856">
            <v>0</v>
          </cell>
          <cell r="AQ856">
            <v>0</v>
          </cell>
          <cell r="AR856" t="str">
            <v>CM</v>
          </cell>
          <cell r="AS856">
            <v>0</v>
          </cell>
          <cell r="AT856" t="str">
            <v>CM</v>
          </cell>
          <cell r="AU856">
            <v>0</v>
          </cell>
          <cell r="AW856">
            <v>0</v>
          </cell>
        </row>
        <row r="857">
          <cell r="B857" t="str">
            <v>H1C6JMEERFP-030</v>
          </cell>
          <cell r="C857" t="str">
            <v>VİYANA FÜME GÖKTAŞI CAM SARKIT 30cm</v>
          </cell>
          <cell r="D857" t="str">
            <v>VIYANA SMOKY METEORITE GLASS PENDANT 30cm</v>
          </cell>
          <cell r="E857" t="str">
            <v>METAL ESKİTME CAM  FÜME</v>
          </cell>
          <cell r="F857" t="str">
            <v>9405.11.90.00.00</v>
          </cell>
          <cell r="G857" t="str">
            <v>AVİZE</v>
          </cell>
          <cell r="H857" t="str">
            <v>T1A6231100-20</v>
          </cell>
          <cell r="I857" t="str">
            <v>İÇ</v>
          </cell>
          <cell r="J857" t="str">
            <v>AVİZE.SARK</v>
          </cell>
          <cell r="K857" t="str">
            <v>VİYANA</v>
          </cell>
          <cell r="L857" t="str">
            <v/>
          </cell>
          <cell r="M857" t="str">
            <v/>
          </cell>
          <cell r="N857" t="str">
            <v>HKA-24158</v>
          </cell>
          <cell r="O857" t="str">
            <v>HEKA</v>
          </cell>
          <cell r="P857" t="str">
            <v>ADET</v>
          </cell>
          <cell r="Q857" t="str">
            <v>PERİ LED</v>
          </cell>
          <cell r="R857" t="str">
            <v>METAL</v>
          </cell>
          <cell r="S857" t="str">
            <v>ESKİTME</v>
          </cell>
          <cell r="T857" t="str">
            <v>CAM</v>
          </cell>
          <cell r="U857" t="str">
            <v>FÜME</v>
          </cell>
          <cell r="AD857" t="str">
            <v>POLİGONAL</v>
          </cell>
          <cell r="AF857">
            <v>49</v>
          </cell>
          <cell r="AG857" t="str">
            <v>ADET</v>
          </cell>
          <cell r="AH857">
            <v>72.25</v>
          </cell>
          <cell r="AI857" t="str">
            <v>CNY</v>
          </cell>
          <cell r="AJ857">
            <v>4641</v>
          </cell>
          <cell r="AK857" t="str">
            <v>TL</v>
          </cell>
          <cell r="AL857">
            <v>1</v>
          </cell>
          <cell r="AM857" t="str">
            <v>8684127506557</v>
          </cell>
          <cell r="AO857">
            <v>0</v>
          </cell>
          <cell r="AQ857">
            <v>0</v>
          </cell>
          <cell r="AR857" t="str">
            <v>CM</v>
          </cell>
          <cell r="AS857">
            <v>0</v>
          </cell>
          <cell r="AT857" t="str">
            <v>CM</v>
          </cell>
          <cell r="AU857">
            <v>0</v>
          </cell>
          <cell r="AW857">
            <v>0</v>
          </cell>
        </row>
        <row r="858">
          <cell r="B858" t="str">
            <v>H1C6WRBJMKR-030</v>
          </cell>
          <cell r="C858" t="str">
            <v>ASPENDOS TEKLİ MERMER KROM SARKIT 30cm</v>
          </cell>
          <cell r="D858" t="str">
            <v>ASPENDOS SINGLE MARBLE CHROME PENDANT 30cm</v>
          </cell>
          <cell r="E858" t="str">
            <v>MERMER BEYAZ METAL KROM</v>
          </cell>
          <cell r="F858" t="str">
            <v>9405.11.90.00.00</v>
          </cell>
          <cell r="G858" t="str">
            <v>AVİZE</v>
          </cell>
          <cell r="H858" t="str">
            <v>H1A6314300-30</v>
          </cell>
          <cell r="I858" t="str">
            <v>İÇ</v>
          </cell>
          <cell r="J858" t="str">
            <v>AVİZE.SARK</v>
          </cell>
          <cell r="K858" t="str">
            <v>ASPENDOS</v>
          </cell>
          <cell r="L858" t="str">
            <v/>
          </cell>
          <cell r="M858" t="str">
            <v/>
          </cell>
          <cell r="N858" t="str">
            <v>MD1082071-30-P-CR</v>
          </cell>
          <cell r="O858" t="str">
            <v>HEKA</v>
          </cell>
          <cell r="P858" t="str">
            <v>ADET</v>
          </cell>
          <cell r="Q858" t="str">
            <v>LED</v>
          </cell>
          <cell r="R858" t="str">
            <v>MERMER</v>
          </cell>
          <cell r="S858" t="str">
            <v>BEYAZ</v>
          </cell>
          <cell r="T858" t="str">
            <v>METAL</v>
          </cell>
          <cell r="U858" t="str">
            <v>KROM</v>
          </cell>
          <cell r="AD858" t="str">
            <v>DAİRE</v>
          </cell>
          <cell r="AE858" t="str">
            <v>01</v>
          </cell>
          <cell r="AF858">
            <v>0</v>
          </cell>
          <cell r="AG858" t="str">
            <v>ADET</v>
          </cell>
          <cell r="AH858">
            <v>135</v>
          </cell>
          <cell r="AI858" t="str">
            <v>CNY</v>
          </cell>
          <cell r="AJ858">
            <v>7752</v>
          </cell>
          <cell r="AK858" t="str">
            <v>TL</v>
          </cell>
          <cell r="AL858">
            <v>1</v>
          </cell>
          <cell r="AM858" t="str">
            <v>8684127510219</v>
          </cell>
          <cell r="AO858">
            <v>0</v>
          </cell>
          <cell r="AQ858">
            <v>150</v>
          </cell>
          <cell r="AR858" t="str">
            <v>CM</v>
          </cell>
          <cell r="AS858">
            <v>30</v>
          </cell>
          <cell r="AT858" t="str">
            <v>CM</v>
          </cell>
          <cell r="AU858">
            <v>0</v>
          </cell>
          <cell r="AW858">
            <v>0</v>
          </cell>
        </row>
        <row r="859">
          <cell r="B859" t="str">
            <v>H1W1JRSJRSR-050</v>
          </cell>
          <cell r="C859" t="str">
            <v>OLİMPOS KİRPİ SİYAH APLİK 50cm</v>
          </cell>
          <cell r="D859" t="str">
            <v>OLIMPOS HEDGEHOG BLACK WALL LAMP 50cm</v>
          </cell>
          <cell r="E859" t="str">
            <v>METAL SİYAH METAL SİYAH</v>
          </cell>
          <cell r="F859" t="str">
            <v>9405.19.90.00.00</v>
          </cell>
          <cell r="G859" t="str">
            <v>APLİK</v>
          </cell>
          <cell r="H859" t="str">
            <v>H1W1110000-50</v>
          </cell>
          <cell r="I859" t="str">
            <v>İÇ</v>
          </cell>
          <cell r="J859" t="str">
            <v>APLİK</v>
          </cell>
          <cell r="K859" t="str">
            <v>OLİMPOS</v>
          </cell>
          <cell r="L859" t="str">
            <v/>
          </cell>
          <cell r="M859" t="str">
            <v/>
          </cell>
          <cell r="N859" t="str">
            <v/>
          </cell>
          <cell r="O859" t="str">
            <v>HEKA</v>
          </cell>
          <cell r="P859" t="str">
            <v>ADET</v>
          </cell>
          <cell r="Q859" t="str">
            <v>E14</v>
          </cell>
          <cell r="R859" t="str">
            <v>METAL</v>
          </cell>
          <cell r="S859" t="str">
            <v>SİYAH</v>
          </cell>
          <cell r="T859" t="str">
            <v>METAL</v>
          </cell>
          <cell r="U859" t="str">
            <v>SİYAH</v>
          </cell>
          <cell r="AD859" t="str">
            <v>DAİRE</v>
          </cell>
          <cell r="AE859" t="str">
            <v>04</v>
          </cell>
          <cell r="AG859" t="str">
            <v>ADET</v>
          </cell>
          <cell r="AH859">
            <v>1200</v>
          </cell>
          <cell r="AI859" t="str">
            <v>TL</v>
          </cell>
          <cell r="AJ859">
            <v>4750</v>
          </cell>
          <cell r="AK859" t="str">
            <v>TL</v>
          </cell>
          <cell r="AL859">
            <v>1</v>
          </cell>
          <cell r="AM859" t="str">
            <v>8684127510233</v>
          </cell>
          <cell r="AO859">
            <v>0</v>
          </cell>
          <cell r="AQ859">
            <v>25</v>
          </cell>
          <cell r="AR859" t="str">
            <v>CM</v>
          </cell>
          <cell r="AS859">
            <v>50</v>
          </cell>
          <cell r="AT859" t="str">
            <v>CM</v>
          </cell>
          <cell r="AU859">
            <v>0</v>
          </cell>
          <cell r="AW859">
            <v>0</v>
          </cell>
        </row>
        <row r="860">
          <cell r="B860" t="str">
            <v>H1C6JMEWRBM-055</v>
          </cell>
          <cell r="C860" t="str">
            <v>AYIZIT 7 Lİ MERMER SALON SARKIT AVİZE</v>
          </cell>
          <cell r="D860" t="str">
            <v>AYIZIT SEPTET MARBLE LIVING ROOM PENDANT CHANDELIER</v>
          </cell>
          <cell r="E860" t="str">
            <v xml:space="preserve">METAL MERMER ESKİTME BEYAZ   </v>
          </cell>
          <cell r="F860" t="str">
            <v/>
          </cell>
          <cell r="G860" t="str">
            <v>AVİZE</v>
          </cell>
          <cell r="H860" t="str">
            <v/>
          </cell>
          <cell r="I860" t="str">
            <v>İÇ</v>
          </cell>
          <cell r="J860" t="str">
            <v>AVİZE.SARK</v>
          </cell>
          <cell r="K860" t="str">
            <v>AYIZIT</v>
          </cell>
          <cell r="L860" t="str">
            <v/>
          </cell>
          <cell r="M860" t="str">
            <v/>
          </cell>
          <cell r="N860" t="str">
            <v>HKA-85</v>
          </cell>
          <cell r="O860" t="str">
            <v>HEKA</v>
          </cell>
          <cell r="P860" t="str">
            <v>ADET</v>
          </cell>
          <cell r="Q860" t="str">
            <v>LED</v>
          </cell>
          <cell r="R860" t="str">
            <v>METAL</v>
          </cell>
          <cell r="S860" t="str">
            <v>ESKİTME</v>
          </cell>
          <cell r="T860" t="str">
            <v>MERMER</v>
          </cell>
          <cell r="U860" t="str">
            <v>BEYAZ</v>
          </cell>
          <cell r="Z860" t="str">
            <v>3000 K</v>
          </cell>
          <cell r="AD860" t="str">
            <v>ÇİFT AYDINLATMA</v>
          </cell>
          <cell r="AE860" t="str">
            <v>11</v>
          </cell>
          <cell r="AF860">
            <v>0</v>
          </cell>
          <cell r="AG860" t="str">
            <v>ADET</v>
          </cell>
          <cell r="AH860">
            <v>1099</v>
          </cell>
          <cell r="AI860" t="str">
            <v>CNY</v>
          </cell>
          <cell r="AJ860">
            <v>51000</v>
          </cell>
          <cell r="AK860" t="str">
            <v>TL</v>
          </cell>
          <cell r="AL860">
            <v>1</v>
          </cell>
          <cell r="AM860" t="str">
            <v>8684127506847</v>
          </cell>
          <cell r="AO860">
            <v>0</v>
          </cell>
          <cell r="AQ860">
            <v>0</v>
          </cell>
          <cell r="AS860">
            <v>0</v>
          </cell>
          <cell r="AU860">
            <v>0</v>
          </cell>
          <cell r="AW860">
            <v>0</v>
          </cell>
        </row>
        <row r="861">
          <cell r="B861" t="str">
            <v>H1C6JMEWRBM-056</v>
          </cell>
          <cell r="C861" t="str">
            <v>KUBEY 7 Lİ MERMER SALON SARKIT AVİZE</v>
          </cell>
          <cell r="D861" t="str">
            <v>KUBEY SEPTET MARBLE LIVING ROOM PENDANT CHANDELIER</v>
          </cell>
          <cell r="E861" t="str">
            <v xml:space="preserve">METAL MERMER ESKİTME BEYAZ   </v>
          </cell>
          <cell r="F861" t="str">
            <v/>
          </cell>
          <cell r="G861" t="str">
            <v>AVİZE</v>
          </cell>
          <cell r="H861" t="str">
            <v/>
          </cell>
          <cell r="I861" t="str">
            <v>İÇ</v>
          </cell>
          <cell r="J861" t="str">
            <v>AVİZE.SARK</v>
          </cell>
          <cell r="K861" t="str">
            <v>KUBEY</v>
          </cell>
          <cell r="L861" t="str">
            <v/>
          </cell>
          <cell r="M861" t="str">
            <v/>
          </cell>
          <cell r="N861" t="str">
            <v>HKA-87</v>
          </cell>
          <cell r="O861" t="str">
            <v>HEKA</v>
          </cell>
          <cell r="P861" t="str">
            <v>ADET</v>
          </cell>
          <cell r="Q861" t="str">
            <v>LED</v>
          </cell>
          <cell r="R861" t="str">
            <v>METAL</v>
          </cell>
          <cell r="S861" t="str">
            <v>ESKİTME</v>
          </cell>
          <cell r="T861" t="str">
            <v>MERMER</v>
          </cell>
          <cell r="U861" t="str">
            <v>BEYAZ</v>
          </cell>
          <cell r="Z861" t="str">
            <v>3000 K</v>
          </cell>
          <cell r="AD861" t="str">
            <v>ÇİFT AYDINLATMA</v>
          </cell>
          <cell r="AE861" t="str">
            <v>11</v>
          </cell>
          <cell r="AF861">
            <v>0</v>
          </cell>
          <cell r="AG861" t="str">
            <v>ADET</v>
          </cell>
          <cell r="AH861">
            <v>1160</v>
          </cell>
          <cell r="AI861" t="str">
            <v>CNY</v>
          </cell>
          <cell r="AJ861">
            <v>54400</v>
          </cell>
          <cell r="AK861" t="str">
            <v>TL</v>
          </cell>
          <cell r="AL861">
            <v>1</v>
          </cell>
          <cell r="AM861" t="str">
            <v>8684127506861</v>
          </cell>
          <cell r="AO861">
            <v>0</v>
          </cell>
          <cell r="AQ861">
            <v>0</v>
          </cell>
          <cell r="AS861">
            <v>0</v>
          </cell>
          <cell r="AU861">
            <v>0</v>
          </cell>
          <cell r="AW861">
            <v>0</v>
          </cell>
        </row>
        <row r="862">
          <cell r="B862" t="str">
            <v>H1T6JMELCTJ-022</v>
          </cell>
          <cell r="C862" t="str">
            <v>PORCINO ESKİTME MASA LAMBASI</v>
          </cell>
          <cell r="D862" t="str">
            <v>PORCINO BRUSHED BRASS TABLE LAMP</v>
          </cell>
          <cell r="E862" t="str">
            <v xml:space="preserve">METAL PLEKSİ ESKİTME SOFT   </v>
          </cell>
          <cell r="F862" t="str">
            <v/>
          </cell>
          <cell r="G862" t="str">
            <v>MASA LAMBASI</v>
          </cell>
          <cell r="H862" t="str">
            <v/>
          </cell>
          <cell r="I862" t="str">
            <v>İÇ</v>
          </cell>
          <cell r="J862" t="str">
            <v>MASAABAJ</v>
          </cell>
          <cell r="K862" t="str">
            <v>PORCINO</v>
          </cell>
          <cell r="L862" t="str">
            <v/>
          </cell>
          <cell r="M862" t="str">
            <v>30.09.2023</v>
          </cell>
          <cell r="N862" t="str">
            <v>5668665-BR</v>
          </cell>
          <cell r="O862" t="str">
            <v>LAMBAM</v>
          </cell>
          <cell r="P862" t="str">
            <v>ADET</v>
          </cell>
          <cell r="Q862" t="str">
            <v>LED</v>
          </cell>
          <cell r="R862" t="str">
            <v>METAL</v>
          </cell>
          <cell r="S862" t="str">
            <v>ESKİTME</v>
          </cell>
          <cell r="T862" t="str">
            <v>PLEKSİ</v>
          </cell>
          <cell r="U862" t="str">
            <v>SOFT</v>
          </cell>
          <cell r="AD862" t="str">
            <v>ŞARJLI</v>
          </cell>
          <cell r="AE862" t="str">
            <v>02</v>
          </cell>
          <cell r="AF862">
            <v>0</v>
          </cell>
          <cell r="AG862" t="str">
            <v>ADET</v>
          </cell>
          <cell r="AH862">
            <v>21</v>
          </cell>
          <cell r="AI862" t="str">
            <v>CNY</v>
          </cell>
          <cell r="AJ862">
            <v>1088</v>
          </cell>
          <cell r="AK862" t="str">
            <v>TL</v>
          </cell>
          <cell r="AL862">
            <v>1</v>
          </cell>
          <cell r="AM862" t="str">
            <v>8684127508087</v>
          </cell>
          <cell r="AO862">
            <v>0</v>
          </cell>
          <cell r="AQ862">
            <v>0</v>
          </cell>
          <cell r="AS862">
            <v>0</v>
          </cell>
          <cell r="AU862">
            <v>0</v>
          </cell>
          <cell r="AW862">
            <v>0</v>
          </cell>
        </row>
        <row r="863">
          <cell r="B863" t="str">
            <v>H1T6JMKLCTJ-022</v>
          </cell>
          <cell r="C863" t="str">
            <v>PORCINO MAT KROM MASA LAMBASI</v>
          </cell>
          <cell r="D863" t="str">
            <v>PORCINO BRUSHED CHROME TABLE LAMP</v>
          </cell>
          <cell r="E863" t="str">
            <v xml:space="preserve">METAL PLEKSİ KROM SOFT   </v>
          </cell>
          <cell r="F863" t="str">
            <v/>
          </cell>
          <cell r="G863" t="str">
            <v>MASA LAMBASI</v>
          </cell>
          <cell r="H863" t="str">
            <v/>
          </cell>
          <cell r="I863" t="str">
            <v>İÇ</v>
          </cell>
          <cell r="J863" t="str">
            <v>MASAABAJ</v>
          </cell>
          <cell r="K863" t="str">
            <v>PORCINO</v>
          </cell>
          <cell r="L863" t="str">
            <v/>
          </cell>
          <cell r="M863" t="str">
            <v>30.09.2023</v>
          </cell>
          <cell r="N863" t="str">
            <v>5668665-CR</v>
          </cell>
          <cell r="O863" t="str">
            <v>LAMBAM</v>
          </cell>
          <cell r="P863" t="str">
            <v>ADET</v>
          </cell>
          <cell r="Q863" t="str">
            <v>LED</v>
          </cell>
          <cell r="R863" t="str">
            <v>METAL</v>
          </cell>
          <cell r="S863" t="str">
            <v>GOLD</v>
          </cell>
          <cell r="T863" t="str">
            <v>PLEKSİ</v>
          </cell>
          <cell r="U863" t="str">
            <v>SOFT</v>
          </cell>
          <cell r="AD863" t="str">
            <v>ŞARJLI</v>
          </cell>
          <cell r="AE863" t="str">
            <v>02</v>
          </cell>
          <cell r="AF863">
            <v>1</v>
          </cell>
          <cell r="AG863" t="str">
            <v>ADET</v>
          </cell>
          <cell r="AH863">
            <v>21</v>
          </cell>
          <cell r="AI863" t="str">
            <v>CNY</v>
          </cell>
          <cell r="AJ863">
            <v>1088</v>
          </cell>
          <cell r="AK863" t="str">
            <v>TL</v>
          </cell>
          <cell r="AL863">
            <v>1</v>
          </cell>
          <cell r="AM863" t="str">
            <v>8684127508100</v>
          </cell>
          <cell r="AO863">
            <v>0</v>
          </cell>
          <cell r="AQ863">
            <v>0</v>
          </cell>
          <cell r="AS863">
            <v>0</v>
          </cell>
          <cell r="AU863">
            <v>0</v>
          </cell>
          <cell r="AW863">
            <v>0</v>
          </cell>
        </row>
        <row r="864">
          <cell r="B864" t="str">
            <v>H1W6BCOJMEC-025</v>
          </cell>
          <cell r="C864" t="str">
            <v>VESTA İKİLİ ESKİTME LED APLİK</v>
          </cell>
          <cell r="D864" t="str">
            <v>VESTA DOUBLE TINTED LED SCONCE</v>
          </cell>
          <cell r="E864" t="str">
            <v xml:space="preserve">CAM  METAL SOFT ESKİTME  </v>
          </cell>
          <cell r="F864" t="str">
            <v/>
          </cell>
          <cell r="G864" t="str">
            <v>APLİK</v>
          </cell>
          <cell r="H864" t="str">
            <v/>
          </cell>
          <cell r="I864" t="str">
            <v>İÇ</v>
          </cell>
          <cell r="J864" t="str">
            <v>APLİK</v>
          </cell>
          <cell r="K864" t="str">
            <v>VESTA</v>
          </cell>
          <cell r="L864" t="str">
            <v>Ç</v>
          </cell>
          <cell r="M864" t="str">
            <v/>
          </cell>
          <cell r="N864" t="str">
            <v>HKA-23007</v>
          </cell>
          <cell r="O864" t="str">
            <v>HEKA</v>
          </cell>
          <cell r="P864" t="str">
            <v>ADET</v>
          </cell>
          <cell r="Q864" t="str">
            <v>LED</v>
          </cell>
          <cell r="R864" t="str">
            <v>AKRİLİK</v>
          </cell>
          <cell r="S864" t="str">
            <v>OPAL</v>
          </cell>
          <cell r="T864" t="str">
            <v>METAL</v>
          </cell>
          <cell r="U864" t="str">
            <v>ESKİTME</v>
          </cell>
          <cell r="AD864" t="str">
            <v>SİLİNDİR</v>
          </cell>
          <cell r="AF864">
            <v>70</v>
          </cell>
          <cell r="AG864" t="str">
            <v>ADET</v>
          </cell>
          <cell r="AH864">
            <v>30</v>
          </cell>
          <cell r="AI864" t="str">
            <v>CNY</v>
          </cell>
          <cell r="AJ864">
            <v>2750</v>
          </cell>
          <cell r="AK864" t="str">
            <v>TL</v>
          </cell>
          <cell r="AL864">
            <v>1</v>
          </cell>
          <cell r="AM864" t="str">
            <v>8684127518925</v>
          </cell>
          <cell r="AO864">
            <v>0</v>
          </cell>
          <cell r="AQ864">
            <v>0</v>
          </cell>
          <cell r="AS864">
            <v>0</v>
          </cell>
          <cell r="AU864">
            <v>0</v>
          </cell>
          <cell r="AW864">
            <v>0</v>
          </cell>
        </row>
        <row r="865">
          <cell r="B865" t="str">
            <v>H1C3ECSJMEY-045</v>
          </cell>
          <cell r="C865" t="str">
            <v>ASPAR 9 AKRİLİK ESKİTME SALON AVİZE</v>
          </cell>
          <cell r="D865" t="str">
            <v>ASPAR 9 ACRYLIC LIVING ROOM BRUSHED BRASS CHANDELIER</v>
          </cell>
          <cell r="E865" t="str">
            <v xml:space="preserve">AKRİLİK  METAL ŞEFFAF ESKİTME   </v>
          </cell>
          <cell r="F865" t="str">
            <v/>
          </cell>
          <cell r="G865" t="str">
            <v>AVİZE</v>
          </cell>
          <cell r="H865" t="str">
            <v/>
          </cell>
          <cell r="I865" t="str">
            <v>İÇ</v>
          </cell>
          <cell r="J865" t="str">
            <v>AVİZE.AVİZ</v>
          </cell>
          <cell r="K865" t="str">
            <v>ASPAR</v>
          </cell>
          <cell r="L865" t="str">
            <v/>
          </cell>
          <cell r="M865" t="str">
            <v/>
          </cell>
          <cell r="N865" t="str">
            <v>HKA-79</v>
          </cell>
          <cell r="O865" t="str">
            <v>HEKA</v>
          </cell>
          <cell r="P865" t="str">
            <v>ADET</v>
          </cell>
          <cell r="Q865" t="str">
            <v>G9</v>
          </cell>
          <cell r="R865" t="str">
            <v>AKRİLİK</v>
          </cell>
          <cell r="S865" t="str">
            <v>ŞEFFAF</v>
          </cell>
          <cell r="T865" t="str">
            <v>METAL</v>
          </cell>
          <cell r="U865" t="str">
            <v>ESKİTME</v>
          </cell>
          <cell r="AD865" t="str">
            <v>KÜRE</v>
          </cell>
          <cell r="AE865" t="str">
            <v>9</v>
          </cell>
          <cell r="AF865">
            <v>7</v>
          </cell>
          <cell r="AG865" t="str">
            <v>ADET</v>
          </cell>
          <cell r="AH865">
            <v>630</v>
          </cell>
          <cell r="AI865" t="str">
            <v>CNY</v>
          </cell>
          <cell r="AJ865">
            <v>31535</v>
          </cell>
          <cell r="AK865" t="str">
            <v>TL</v>
          </cell>
          <cell r="AL865">
            <v>1</v>
          </cell>
          <cell r="AM865" t="str">
            <v>8684127507813</v>
          </cell>
          <cell r="AO865">
            <v>0</v>
          </cell>
          <cell r="AQ865">
            <v>0</v>
          </cell>
          <cell r="AS865">
            <v>0</v>
          </cell>
          <cell r="AU865">
            <v>0</v>
          </cell>
          <cell r="AW865">
            <v>0</v>
          </cell>
        </row>
        <row r="866">
          <cell r="B866" t="str">
            <v>H1C6JMEWRBB-060</v>
          </cell>
          <cell r="C866" t="str">
            <v>ILICA TEKLİ MERMER SARKIT AVİZE 80cm</v>
          </cell>
          <cell r="D866" t="str">
            <v>ILICA SINGLE PLATINUM PENDANT 80cm</v>
          </cell>
          <cell r="E866" t="str">
            <v xml:space="preserve">METAL MERMER ESKİTME BEYAZ   </v>
          </cell>
          <cell r="F866" t="str">
            <v/>
          </cell>
          <cell r="G866" t="str">
            <v>AVİZE</v>
          </cell>
          <cell r="H866" t="str">
            <v/>
          </cell>
          <cell r="I866" t="str">
            <v>İÇ</v>
          </cell>
          <cell r="J866" t="str">
            <v>AVİZE.AVİZ</v>
          </cell>
          <cell r="K866" t="str">
            <v>ILICA</v>
          </cell>
          <cell r="L866" t="str">
            <v/>
          </cell>
          <cell r="M866" t="str">
            <v/>
          </cell>
          <cell r="N866" t="str">
            <v>HKA-42</v>
          </cell>
          <cell r="O866" t="str">
            <v>HEKA</v>
          </cell>
          <cell r="P866" t="str">
            <v>ADET</v>
          </cell>
          <cell r="Q866" t="str">
            <v>LED</v>
          </cell>
          <cell r="R866" t="str">
            <v>METAL</v>
          </cell>
          <cell r="S866" t="str">
            <v>ESKİTME</v>
          </cell>
          <cell r="T866" t="str">
            <v>MERMER</v>
          </cell>
          <cell r="U866" t="str">
            <v>ESKİTME</v>
          </cell>
          <cell r="AD866" t="str">
            <v>SİMİT</v>
          </cell>
          <cell r="AE866" t="str">
            <v>02</v>
          </cell>
          <cell r="AF866">
            <v>0</v>
          </cell>
          <cell r="AG866" t="str">
            <v>ADET</v>
          </cell>
          <cell r="AH866">
            <v>2300</v>
          </cell>
          <cell r="AI866" t="str">
            <v>CNY</v>
          </cell>
          <cell r="AJ866">
            <v>90950</v>
          </cell>
          <cell r="AK866" t="str">
            <v>TL</v>
          </cell>
          <cell r="AL866">
            <v>1</v>
          </cell>
          <cell r="AM866" t="str">
            <v>8684127508025</v>
          </cell>
          <cell r="AO866">
            <v>0</v>
          </cell>
          <cell r="AQ866">
            <v>0</v>
          </cell>
          <cell r="AS866">
            <v>0</v>
          </cell>
          <cell r="AU866">
            <v>0</v>
          </cell>
          <cell r="AW866">
            <v>0</v>
          </cell>
        </row>
        <row r="867">
          <cell r="B867" t="str">
            <v>CA2E1C3M2E9R0</v>
          </cell>
          <cell r="C867" t="str">
            <v>ERD-261 A60 220V 6W 3 RENK E27 LED AMPUL</v>
          </cell>
          <cell r="D867" t="str">
            <v>ERD-261 A60 220V 6W 3 COLOR E14 LED BULB</v>
          </cell>
          <cell r="E867" t="str">
            <v>CAM  METAL ŞEFFAF  FLAMENT DIMMSIZ A60</v>
          </cell>
          <cell r="F867" t="str">
            <v>9405.19.50.00.19</v>
          </cell>
          <cell r="G867" t="str">
            <v>AMPUL</v>
          </cell>
          <cell r="H867" t="str">
            <v/>
          </cell>
          <cell r="I867" t="str">
            <v>İÇ</v>
          </cell>
          <cell r="J867" t="str">
            <v>AMPUL</v>
          </cell>
          <cell r="K867" t="str">
            <v>ERD-261</v>
          </cell>
          <cell r="L867" t="str">
            <v/>
          </cell>
          <cell r="M867" t="str">
            <v/>
          </cell>
          <cell r="N867" t="str">
            <v>ERD-261</v>
          </cell>
          <cell r="O867" t="str">
            <v>HEKA</v>
          </cell>
          <cell r="P867" t="str">
            <v>ADET</v>
          </cell>
          <cell r="Q867" t="str">
            <v>E27</v>
          </cell>
          <cell r="R867" t="str">
            <v>CAM</v>
          </cell>
          <cell r="S867" t="str">
            <v>ŞEFFAF</v>
          </cell>
          <cell r="T867" t="str">
            <v>METAL</v>
          </cell>
          <cell r="V867" t="str">
            <v>E</v>
          </cell>
          <cell r="W867" t="str">
            <v>FLAMENT</v>
          </cell>
          <cell r="X867" t="str">
            <v>220V</v>
          </cell>
          <cell r="Y867" t="str">
            <v>6 WATT</v>
          </cell>
          <cell r="AA867" t="str">
            <v>DIMMSIZ</v>
          </cell>
          <cell r="AB867" t="str">
            <v>701-800</v>
          </cell>
          <cell r="AC867" t="str">
            <v>A60</v>
          </cell>
          <cell r="AD867" t="str">
            <v>N/A</v>
          </cell>
          <cell r="AF867">
            <v>76</v>
          </cell>
          <cell r="AG867" t="str">
            <v>ADET</v>
          </cell>
          <cell r="AH867">
            <v>1</v>
          </cell>
          <cell r="AI867" t="str">
            <v>USD</v>
          </cell>
          <cell r="AJ867">
            <v>4.9000000000000004</v>
          </cell>
          <cell r="AK867" t="str">
            <v>USD</v>
          </cell>
          <cell r="AL867">
            <v>1</v>
          </cell>
          <cell r="AM867" t="str">
            <v>8684127504386</v>
          </cell>
          <cell r="AN867" t="str">
            <v>8684127510318</v>
          </cell>
          <cell r="AO867">
            <v>0</v>
          </cell>
          <cell r="AQ867">
            <v>6</v>
          </cell>
          <cell r="AR867" t="str">
            <v>CM</v>
          </cell>
          <cell r="AS867">
            <v>6</v>
          </cell>
          <cell r="AT867" t="str">
            <v>CM</v>
          </cell>
          <cell r="AU867">
            <v>0</v>
          </cell>
          <cell r="AW867">
            <v>0</v>
          </cell>
        </row>
        <row r="868">
          <cell r="B868" t="str">
            <v>T1C1JMKERFD-100</v>
          </cell>
          <cell r="C868" t="str">
            <v>MİNA 10 LU FÜME CAM KROM YEMEK MASASI AVİZE</v>
          </cell>
          <cell r="D868" t="str">
            <v>MİNA SMOKY GLASS CHROME DINING TABLE CHANDELIER 10</v>
          </cell>
          <cell r="E868" t="str">
            <v xml:space="preserve">METAL CAM  KROM FÜME   </v>
          </cell>
          <cell r="F868" t="str">
            <v/>
          </cell>
          <cell r="G868" t="str">
            <v>AVİZE</v>
          </cell>
          <cell r="H868" t="str">
            <v/>
          </cell>
          <cell r="I868" t="str">
            <v>İÇ</v>
          </cell>
          <cell r="J868" t="str">
            <v>AVİZE.AVİZ</v>
          </cell>
          <cell r="K868" t="str">
            <v>MİNA</v>
          </cell>
          <cell r="L868" t="str">
            <v/>
          </cell>
          <cell r="M868" t="str">
            <v/>
          </cell>
          <cell r="N868" t="str">
            <v>AD-105 - TYH-F</v>
          </cell>
          <cell r="O868" t="str">
            <v>HEKA</v>
          </cell>
          <cell r="P868" t="str">
            <v>ADET</v>
          </cell>
          <cell r="Q868" t="str">
            <v>E14</v>
          </cell>
          <cell r="R868" t="str">
            <v>METAL</v>
          </cell>
          <cell r="S868" t="str">
            <v>KROM</v>
          </cell>
          <cell r="T868" t="str">
            <v>CAM</v>
          </cell>
          <cell r="U868" t="str">
            <v>FÜME</v>
          </cell>
          <cell r="AD868" t="str">
            <v>DİKDÖRTGEN</v>
          </cell>
          <cell r="AE868" t="str">
            <v>10</v>
          </cell>
          <cell r="AF868">
            <v>0</v>
          </cell>
          <cell r="AG868" t="str">
            <v>ADET</v>
          </cell>
          <cell r="AJ868">
            <v>6188</v>
          </cell>
          <cell r="AK868" t="str">
            <v>TL</v>
          </cell>
          <cell r="AL868">
            <v>1</v>
          </cell>
          <cell r="AM868" t="str">
            <v>8684127505031</v>
          </cell>
          <cell r="AO868">
            <v>0</v>
          </cell>
          <cell r="AQ868">
            <v>0</v>
          </cell>
          <cell r="AR868" t="str">
            <v>CM</v>
          </cell>
          <cell r="AS868">
            <v>0</v>
          </cell>
          <cell r="AT868" t="str">
            <v>CM</v>
          </cell>
          <cell r="AU868">
            <v>0</v>
          </cell>
          <cell r="AW868">
            <v>0</v>
          </cell>
        </row>
        <row r="869">
          <cell r="B869" t="str">
            <v>F1W5AAJJEMH-049</v>
          </cell>
          <cell r="C869" t="str">
            <v>ANGEL İKİLİ AHŞAP &amp; ESKİTME APLİK</v>
          </cell>
          <cell r="D869" t="str">
            <v>ANGEL DOUBLE WOOD &amp; BRASS WALL LAMP</v>
          </cell>
          <cell r="E869" t="str">
            <v xml:space="preserve">AHŞAP METAL JATOBA ESKİTME   </v>
          </cell>
          <cell r="F869" t="str">
            <v>9405.19.90.00.00</v>
          </cell>
          <cell r="G869" t="str">
            <v>APLİK</v>
          </cell>
          <cell r="H869" t="str">
            <v/>
          </cell>
          <cell r="I869" t="str">
            <v>İÇ</v>
          </cell>
          <cell r="J869" t="str">
            <v>APLİK</v>
          </cell>
          <cell r="K869" t="str">
            <v>ANGEL</v>
          </cell>
          <cell r="L869" t="str">
            <v/>
          </cell>
          <cell r="M869" t="str">
            <v/>
          </cell>
          <cell r="N869" t="str">
            <v/>
          </cell>
          <cell r="O869" t="str">
            <v>ISHI</v>
          </cell>
          <cell r="P869" t="str">
            <v>ADET</v>
          </cell>
          <cell r="Q869" t="str">
            <v>GU10</v>
          </cell>
          <cell r="R869" t="str">
            <v>AHŞAP</v>
          </cell>
          <cell r="S869" t="str">
            <v>JATOBA</v>
          </cell>
          <cell r="T869" t="str">
            <v>METAL</v>
          </cell>
          <cell r="U869" t="str">
            <v>ESKİTME</v>
          </cell>
          <cell r="AD869" t="str">
            <v>HAREKETLİ</v>
          </cell>
          <cell r="AE869" t="str">
            <v>02</v>
          </cell>
          <cell r="AF869">
            <v>12</v>
          </cell>
          <cell r="AG869" t="str">
            <v>ADET</v>
          </cell>
          <cell r="AH869">
            <v>190</v>
          </cell>
          <cell r="AI869" t="str">
            <v>TL</v>
          </cell>
          <cell r="AJ869">
            <v>3047</v>
          </cell>
          <cell r="AK869" t="str">
            <v>TL</v>
          </cell>
          <cell r="AL869">
            <v>1</v>
          </cell>
          <cell r="AM869" t="str">
            <v>8684127503303</v>
          </cell>
          <cell r="AO869">
            <v>0</v>
          </cell>
          <cell r="AQ869">
            <v>12.6</v>
          </cell>
          <cell r="AR869" t="str">
            <v>CM</v>
          </cell>
          <cell r="AS869">
            <v>49</v>
          </cell>
          <cell r="AT869" t="str">
            <v>CM</v>
          </cell>
          <cell r="AU869">
            <v>0</v>
          </cell>
          <cell r="AW869">
            <v>0</v>
          </cell>
        </row>
        <row r="870">
          <cell r="B870" t="str">
            <v>F1W5AAJJBRH-007</v>
          </cell>
          <cell r="C870" t="str">
            <v>ANGEL TEKLİ AHŞAP &amp; BEYAZ APLİK</v>
          </cell>
          <cell r="D870" t="str">
            <v>ANGEL SINGLE WOOD &amp; WHITE WALL LAMP</v>
          </cell>
          <cell r="E870" t="str">
            <v xml:space="preserve">AHŞAP METAL JATOBA BEYAZ   </v>
          </cell>
          <cell r="F870" t="str">
            <v>9405.19.90.00.00</v>
          </cell>
          <cell r="G870" t="str">
            <v>APLİK</v>
          </cell>
          <cell r="H870" t="str">
            <v/>
          </cell>
          <cell r="I870" t="str">
            <v>İÇ</v>
          </cell>
          <cell r="J870" t="str">
            <v>APLİK</v>
          </cell>
          <cell r="K870" t="str">
            <v>ANGEL</v>
          </cell>
          <cell r="L870" t="str">
            <v/>
          </cell>
          <cell r="M870" t="str">
            <v/>
          </cell>
          <cell r="N870" t="str">
            <v/>
          </cell>
          <cell r="O870" t="str">
            <v>ISHI</v>
          </cell>
          <cell r="P870" t="str">
            <v>ADET</v>
          </cell>
          <cell r="Q870" t="str">
            <v>GU10</v>
          </cell>
          <cell r="R870" t="str">
            <v>AHŞAP</v>
          </cell>
          <cell r="S870" t="str">
            <v>JATOBA</v>
          </cell>
          <cell r="T870" t="str">
            <v>METAL</v>
          </cell>
          <cell r="U870" t="str">
            <v>BEYAZ</v>
          </cell>
          <cell r="AD870" t="str">
            <v>HAREKETLİ</v>
          </cell>
          <cell r="AE870" t="str">
            <v>01</v>
          </cell>
          <cell r="AF870">
            <v>30</v>
          </cell>
          <cell r="AG870" t="str">
            <v>ADET</v>
          </cell>
          <cell r="AH870">
            <v>100</v>
          </cell>
          <cell r="AI870" t="str">
            <v>TL</v>
          </cell>
          <cell r="AJ870">
            <v>1476</v>
          </cell>
          <cell r="AK870" t="str">
            <v>TL</v>
          </cell>
          <cell r="AL870">
            <v>1</v>
          </cell>
          <cell r="AM870" t="str">
            <v>8684127503372</v>
          </cell>
          <cell r="AO870">
            <v>0</v>
          </cell>
          <cell r="AQ870">
            <v>12.6</v>
          </cell>
          <cell r="AR870" t="str">
            <v>CM</v>
          </cell>
          <cell r="AS870">
            <v>7</v>
          </cell>
          <cell r="AT870" t="str">
            <v>CM</v>
          </cell>
          <cell r="AU870">
            <v>0</v>
          </cell>
          <cell r="AW870">
            <v>0</v>
          </cell>
        </row>
        <row r="871">
          <cell r="B871" t="str">
            <v>F1W5AAWJEMH-099</v>
          </cell>
          <cell r="C871" t="str">
            <v>VICTORIA DÖRTLÜ AHŞAP &amp; ESKİTME APLİK</v>
          </cell>
          <cell r="D871" t="str">
            <v>VICTORIA QUATERNARY WOOD &amp; BRASS WALL LAMP</v>
          </cell>
          <cell r="E871" t="str">
            <v xml:space="preserve">AHŞAP METAL WENGE ESKİTME   </v>
          </cell>
          <cell r="F871" t="str">
            <v>9405.19.90.00.00</v>
          </cell>
          <cell r="G871" t="str">
            <v>APLİK</v>
          </cell>
          <cell r="H871" t="str">
            <v/>
          </cell>
          <cell r="I871" t="str">
            <v>İÇ</v>
          </cell>
          <cell r="J871" t="str">
            <v>APLİK</v>
          </cell>
          <cell r="K871" t="str">
            <v>VICTORIA</v>
          </cell>
          <cell r="L871" t="str">
            <v/>
          </cell>
          <cell r="M871" t="str">
            <v/>
          </cell>
          <cell r="N871" t="str">
            <v/>
          </cell>
          <cell r="O871" t="str">
            <v>ISHI</v>
          </cell>
          <cell r="P871" t="str">
            <v>ADET</v>
          </cell>
          <cell r="Q871" t="str">
            <v>GU10</v>
          </cell>
          <cell r="R871" t="str">
            <v>AHŞAP</v>
          </cell>
          <cell r="S871" t="str">
            <v>WENGE</v>
          </cell>
          <cell r="T871" t="str">
            <v>METAL</v>
          </cell>
          <cell r="U871" t="str">
            <v>ESKİTME</v>
          </cell>
          <cell r="AD871" t="str">
            <v>HAREKETLİ</v>
          </cell>
          <cell r="AE871" t="str">
            <v>04</v>
          </cell>
          <cell r="AF871">
            <v>17</v>
          </cell>
          <cell r="AG871" t="str">
            <v>ADET</v>
          </cell>
          <cell r="AH871">
            <v>370</v>
          </cell>
          <cell r="AI871" t="str">
            <v>TL</v>
          </cell>
          <cell r="AJ871">
            <v>5546</v>
          </cell>
          <cell r="AK871" t="str">
            <v>TL</v>
          </cell>
          <cell r="AL871">
            <v>1</v>
          </cell>
          <cell r="AM871" t="str">
            <v>8684127503440</v>
          </cell>
          <cell r="AO871">
            <v>0</v>
          </cell>
          <cell r="AQ871">
            <v>12.6</v>
          </cell>
          <cell r="AR871" t="str">
            <v>CM</v>
          </cell>
          <cell r="AS871">
            <v>99</v>
          </cell>
          <cell r="AT871" t="str">
            <v>CM</v>
          </cell>
          <cell r="AU871">
            <v>0</v>
          </cell>
          <cell r="AW871">
            <v>0</v>
          </cell>
        </row>
        <row r="872">
          <cell r="B872" t="str">
            <v>F1W5AAWJBRH-074</v>
          </cell>
          <cell r="C872" t="str">
            <v>VICTORIA ÜÇLÜ AHŞAP &amp; BEYAZ APLİK</v>
          </cell>
          <cell r="D872" t="str">
            <v>VICTORIA TRIPLE WOOD &amp; WHITE WALL LAMP</v>
          </cell>
          <cell r="E872" t="str">
            <v xml:space="preserve">AHŞAP METAL WENGE BEYAZ   </v>
          </cell>
          <cell r="F872" t="str">
            <v>9405.19.90.00.00</v>
          </cell>
          <cell r="G872" t="str">
            <v>APLİK</v>
          </cell>
          <cell r="H872" t="str">
            <v/>
          </cell>
          <cell r="I872" t="str">
            <v>İÇ</v>
          </cell>
          <cell r="J872" t="str">
            <v>APLİK</v>
          </cell>
          <cell r="K872" t="str">
            <v>VICTORIA</v>
          </cell>
          <cell r="L872" t="str">
            <v/>
          </cell>
          <cell r="M872" t="str">
            <v/>
          </cell>
          <cell r="N872" t="str">
            <v/>
          </cell>
          <cell r="O872" t="str">
            <v>ISHI</v>
          </cell>
          <cell r="P872" t="str">
            <v>ADET</v>
          </cell>
          <cell r="Q872" t="str">
            <v>GU10</v>
          </cell>
          <cell r="R872" t="str">
            <v>AHŞAP</v>
          </cell>
          <cell r="S872" t="str">
            <v>WENGE</v>
          </cell>
          <cell r="T872" t="str">
            <v>METAL</v>
          </cell>
          <cell r="U872" t="str">
            <v>BEYAZ</v>
          </cell>
          <cell r="AD872" t="str">
            <v>HAREKETLİ</v>
          </cell>
          <cell r="AE872" t="str">
            <v>03</v>
          </cell>
          <cell r="AF872">
            <v>7</v>
          </cell>
          <cell r="AG872" t="str">
            <v>ADET</v>
          </cell>
          <cell r="AH872">
            <v>280</v>
          </cell>
          <cell r="AI872" t="str">
            <v>TL</v>
          </cell>
          <cell r="AJ872">
            <v>3927</v>
          </cell>
          <cell r="AK872" t="str">
            <v>TL</v>
          </cell>
          <cell r="AL872">
            <v>1</v>
          </cell>
          <cell r="AM872" t="str">
            <v>8684127503518</v>
          </cell>
          <cell r="AO872">
            <v>0</v>
          </cell>
          <cell r="AQ872">
            <v>12.6</v>
          </cell>
          <cell r="AR872" t="str">
            <v>CM</v>
          </cell>
          <cell r="AS872">
            <v>74</v>
          </cell>
          <cell r="AT872" t="str">
            <v>CM</v>
          </cell>
          <cell r="AU872">
            <v>0</v>
          </cell>
          <cell r="AW872">
            <v>0</v>
          </cell>
        </row>
        <row r="873">
          <cell r="B873" t="str">
            <v>F1W5AA1JEMH-074</v>
          </cell>
          <cell r="C873" t="str">
            <v>NIAGARA ÜÇLÜ AHŞAP &amp; ESKİTME APLİK</v>
          </cell>
          <cell r="D873" t="str">
            <v>NIAGARA TRIPLE WOOD &amp; BRASS WALL LAMP</v>
          </cell>
          <cell r="E873" t="str">
            <v xml:space="preserve">AHŞAP METAL ANTİK MEŞE ESKİTME   </v>
          </cell>
          <cell r="F873" t="str">
            <v>9405.19.90.00.00</v>
          </cell>
          <cell r="G873" t="str">
            <v>APLİK</v>
          </cell>
          <cell r="H873" t="str">
            <v/>
          </cell>
          <cell r="I873" t="str">
            <v>İÇ</v>
          </cell>
          <cell r="J873" t="str">
            <v>APLİK</v>
          </cell>
          <cell r="K873" t="str">
            <v>NIAGARA</v>
          </cell>
          <cell r="L873" t="str">
            <v/>
          </cell>
          <cell r="M873" t="str">
            <v/>
          </cell>
          <cell r="N873" t="str">
            <v/>
          </cell>
          <cell r="O873" t="str">
            <v>ISHI</v>
          </cell>
          <cell r="P873" t="str">
            <v>ADET</v>
          </cell>
          <cell r="Q873" t="str">
            <v>GU10</v>
          </cell>
          <cell r="R873" t="str">
            <v>AHŞAP</v>
          </cell>
          <cell r="S873" t="str">
            <v>ANTİK MEŞE</v>
          </cell>
          <cell r="T873" t="str">
            <v>METAL</v>
          </cell>
          <cell r="U873" t="str">
            <v>ESKİTME</v>
          </cell>
          <cell r="AD873" t="str">
            <v>HAREKETLİ</v>
          </cell>
          <cell r="AE873" t="str">
            <v>03</v>
          </cell>
          <cell r="AF873">
            <v>12</v>
          </cell>
          <cell r="AG873" t="str">
            <v>ADET</v>
          </cell>
          <cell r="AH873">
            <v>280</v>
          </cell>
          <cell r="AI873" t="str">
            <v>TL</v>
          </cell>
          <cell r="AJ873">
            <v>3927</v>
          </cell>
          <cell r="AK873" t="str">
            <v>TL</v>
          </cell>
          <cell r="AL873">
            <v>1</v>
          </cell>
          <cell r="AM873" t="str">
            <v>8684127503556</v>
          </cell>
          <cell r="AO873">
            <v>0</v>
          </cell>
          <cell r="AQ873">
            <v>12.6</v>
          </cell>
          <cell r="AR873" t="str">
            <v>CM</v>
          </cell>
          <cell r="AS873">
            <v>74</v>
          </cell>
          <cell r="AT873" t="str">
            <v>CM</v>
          </cell>
          <cell r="AU873">
            <v>0</v>
          </cell>
          <cell r="AW873">
            <v>0</v>
          </cell>
        </row>
        <row r="874">
          <cell r="B874" t="str">
            <v>F1W5AA1JBRH-049</v>
          </cell>
          <cell r="C874" t="str">
            <v>NIAGARA İKİLİ AHŞAP &amp; BEYAZ APLİK</v>
          </cell>
          <cell r="D874" t="str">
            <v>NIAGARA DOUBLE WOOD &amp; WHITE WALL LAMP</v>
          </cell>
          <cell r="E874" t="str">
            <v xml:space="preserve">AHŞAP METAL ANTİK MEŞE BEYAZ   </v>
          </cell>
          <cell r="F874" t="str">
            <v>9405.19.90.00.00</v>
          </cell>
          <cell r="G874" t="str">
            <v>APLİK</v>
          </cell>
          <cell r="H874" t="str">
            <v/>
          </cell>
          <cell r="I874" t="str">
            <v>İÇ</v>
          </cell>
          <cell r="J874" t="str">
            <v>APLİK</v>
          </cell>
          <cell r="K874" t="str">
            <v>NIAGARA</v>
          </cell>
          <cell r="L874" t="str">
            <v/>
          </cell>
          <cell r="M874" t="str">
            <v/>
          </cell>
          <cell r="N874" t="str">
            <v/>
          </cell>
          <cell r="O874" t="str">
            <v>ISHI</v>
          </cell>
          <cell r="P874" t="str">
            <v>ADET</v>
          </cell>
          <cell r="Q874" t="str">
            <v>GU10</v>
          </cell>
          <cell r="R874" t="str">
            <v>AHŞAP</v>
          </cell>
          <cell r="S874" t="str">
            <v>ANTİK MEŞE</v>
          </cell>
          <cell r="T874" t="str">
            <v>METAL</v>
          </cell>
          <cell r="U874" t="str">
            <v>BEYAZ</v>
          </cell>
          <cell r="AD874" t="str">
            <v>HAREKETLİ</v>
          </cell>
          <cell r="AE874" t="str">
            <v>02</v>
          </cell>
          <cell r="AF874">
            <v>10</v>
          </cell>
          <cell r="AG874" t="str">
            <v>ADET</v>
          </cell>
          <cell r="AH874">
            <v>190</v>
          </cell>
          <cell r="AI874" t="str">
            <v>TL</v>
          </cell>
          <cell r="AJ874">
            <v>3047</v>
          </cell>
          <cell r="AK874" t="str">
            <v>TL</v>
          </cell>
          <cell r="AL874">
            <v>1</v>
          </cell>
          <cell r="AM874" t="str">
            <v>8684127503624</v>
          </cell>
          <cell r="AO874">
            <v>0</v>
          </cell>
          <cell r="AQ874">
            <v>12.6</v>
          </cell>
          <cell r="AR874" t="str">
            <v>CM</v>
          </cell>
          <cell r="AS874">
            <v>49</v>
          </cell>
          <cell r="AT874" t="str">
            <v>CM</v>
          </cell>
          <cell r="AU874">
            <v>0</v>
          </cell>
          <cell r="AW874">
            <v>0</v>
          </cell>
        </row>
        <row r="875">
          <cell r="B875" t="str">
            <v>H1C2JRSECT0-025</v>
          </cell>
          <cell r="C875" t="str">
            <v>BERDE PİRİNÇ SİYAH SARKIT 25cm</v>
          </cell>
          <cell r="D875" t="str">
            <v>BERDE BLACK PENDANT 25cm</v>
          </cell>
          <cell r="E875" t="str">
            <v xml:space="preserve">METAL CAM  SİYAH SOFT   </v>
          </cell>
          <cell r="F875" t="str">
            <v/>
          </cell>
          <cell r="G875" t="str">
            <v>AVİZE</v>
          </cell>
          <cell r="H875" t="str">
            <v/>
          </cell>
          <cell r="I875" t="str">
            <v>İÇ</v>
          </cell>
          <cell r="J875" t="str">
            <v>AVİZE.SARK</v>
          </cell>
          <cell r="K875" t="str">
            <v>BERDE</v>
          </cell>
          <cell r="L875" t="str">
            <v/>
          </cell>
          <cell r="M875" t="str">
            <v/>
          </cell>
          <cell r="N875" t="str">
            <v/>
          </cell>
          <cell r="O875" t="str">
            <v>HEKA</v>
          </cell>
          <cell r="P875" t="str">
            <v>ADET</v>
          </cell>
          <cell r="Q875" t="str">
            <v>E27</v>
          </cell>
          <cell r="R875" t="str">
            <v>METAL</v>
          </cell>
          <cell r="S875" t="str">
            <v>SİYAH</v>
          </cell>
          <cell r="T875" t="str">
            <v>CAM</v>
          </cell>
          <cell r="U875" t="str">
            <v>SOFT</v>
          </cell>
          <cell r="AD875" t="str">
            <v>N/A</v>
          </cell>
          <cell r="AE875" t="str">
            <v>01</v>
          </cell>
          <cell r="AF875">
            <v>2</v>
          </cell>
          <cell r="AG875" t="str">
            <v>ADET</v>
          </cell>
          <cell r="AH875">
            <v>400</v>
          </cell>
          <cell r="AI875" t="str">
            <v>TL</v>
          </cell>
          <cell r="AJ875">
            <v>3542</v>
          </cell>
          <cell r="AK875" t="str">
            <v>TL</v>
          </cell>
          <cell r="AL875">
            <v>1</v>
          </cell>
          <cell r="AM875" t="str">
            <v>8684127505475</v>
          </cell>
          <cell r="AO875">
            <v>0</v>
          </cell>
          <cell r="AQ875">
            <v>45</v>
          </cell>
          <cell r="AR875" t="str">
            <v>CM</v>
          </cell>
          <cell r="AS875">
            <v>25</v>
          </cell>
          <cell r="AT875" t="str">
            <v>CM</v>
          </cell>
          <cell r="AU875">
            <v>0</v>
          </cell>
          <cell r="AW875">
            <v>0</v>
          </cell>
        </row>
        <row r="876">
          <cell r="B876" t="str">
            <v>150-CAM-SEFFAF</v>
          </cell>
          <cell r="C876" t="str">
            <v>BATUR DİŞLİ ŞEFFAF CAM 15 cm</v>
          </cell>
          <cell r="D876" t="str">
            <v>THREADED CLEAR GLASS 15 cm</v>
          </cell>
          <cell r="E876" t="str">
            <v/>
          </cell>
          <cell r="F876" t="str">
            <v/>
          </cell>
          <cell r="G876" t="str">
            <v>AVİZE</v>
          </cell>
          <cell r="H876" t="str">
            <v>150A-ŞEFFAF</v>
          </cell>
          <cell r="I876" t="str">
            <v>İÇ</v>
          </cell>
          <cell r="J876" t="str">
            <v>AVİZE.SARK</v>
          </cell>
          <cell r="K876" t="str">
            <v>BATUR</v>
          </cell>
          <cell r="L876" t="str">
            <v/>
          </cell>
          <cell r="M876" t="str">
            <v/>
          </cell>
          <cell r="N876" t="str">
            <v/>
          </cell>
          <cell r="O876" t="str">
            <v>HEKA</v>
          </cell>
          <cell r="P876" t="str">
            <v>ADET</v>
          </cell>
          <cell r="R876" t="str">
            <v>CAM</v>
          </cell>
          <cell r="S876" t="str">
            <v>ŞEFFAF</v>
          </cell>
          <cell r="AF876">
            <v>13</v>
          </cell>
          <cell r="AG876" t="str">
            <v>ADET</v>
          </cell>
          <cell r="AH876">
            <v>7.5</v>
          </cell>
          <cell r="AI876" t="str">
            <v>CNY</v>
          </cell>
          <cell r="AJ876">
            <v>1412</v>
          </cell>
          <cell r="AK876" t="str">
            <v>TL</v>
          </cell>
          <cell r="AL876">
            <v>1</v>
          </cell>
          <cell r="AM876" t="str">
            <v>150-CAM-SEFFAF</v>
          </cell>
          <cell r="AO876">
            <v>0</v>
          </cell>
          <cell r="AQ876">
            <v>0</v>
          </cell>
          <cell r="AS876">
            <v>0</v>
          </cell>
          <cell r="AU876">
            <v>0</v>
          </cell>
          <cell r="AW876">
            <v>0</v>
          </cell>
        </row>
        <row r="877">
          <cell r="B877" t="str">
            <v>250-CAM-BAL</v>
          </cell>
          <cell r="C877" t="str">
            <v>BATUR DİŞLİ BAL CAM 25 cm</v>
          </cell>
          <cell r="D877" t="str">
            <v>THREADED AMBER GLASS 25 cm</v>
          </cell>
          <cell r="E877" t="str">
            <v/>
          </cell>
          <cell r="F877" t="str">
            <v/>
          </cell>
          <cell r="G877" t="str">
            <v>AVİZE</v>
          </cell>
          <cell r="H877" t="str">
            <v>250A-BAL</v>
          </cell>
          <cell r="I877" t="str">
            <v>İÇ</v>
          </cell>
          <cell r="J877" t="str">
            <v>AVİZE.SARK</v>
          </cell>
          <cell r="K877" t="str">
            <v>BATUR</v>
          </cell>
          <cell r="L877" t="str">
            <v/>
          </cell>
          <cell r="M877" t="str">
            <v/>
          </cell>
          <cell r="N877" t="str">
            <v/>
          </cell>
          <cell r="O877" t="str">
            <v>HEKA</v>
          </cell>
          <cell r="P877" t="str">
            <v>ADET</v>
          </cell>
          <cell r="R877" t="str">
            <v>CAM</v>
          </cell>
          <cell r="S877" t="str">
            <v>BAL</v>
          </cell>
          <cell r="AF877">
            <v>49</v>
          </cell>
          <cell r="AG877" t="str">
            <v>ADET</v>
          </cell>
          <cell r="AH877">
            <v>34</v>
          </cell>
          <cell r="AI877" t="str">
            <v>CNY</v>
          </cell>
          <cell r="AJ877">
            <v>2628</v>
          </cell>
          <cell r="AK877" t="str">
            <v>TL</v>
          </cell>
          <cell r="AL877">
            <v>1</v>
          </cell>
          <cell r="AM877" t="str">
            <v>250-CAM-BAL</v>
          </cell>
          <cell r="AO877">
            <v>0</v>
          </cell>
          <cell r="AQ877">
            <v>0</v>
          </cell>
          <cell r="AS877">
            <v>0</v>
          </cell>
          <cell r="AU877">
            <v>0</v>
          </cell>
          <cell r="AW877">
            <v>0</v>
          </cell>
        </row>
        <row r="878">
          <cell r="B878" t="str">
            <v>0903-0001</v>
          </cell>
          <cell r="C878" t="str">
            <v>RAL ÖZEL 62CM ÜRETİM</v>
          </cell>
          <cell r="D878" t="str">
            <v/>
          </cell>
          <cell r="E878" t="str">
            <v/>
          </cell>
          <cell r="F878" t="str">
            <v/>
          </cell>
          <cell r="G878" t="str">
            <v/>
          </cell>
          <cell r="H878" t="str">
            <v/>
          </cell>
          <cell r="I878" t="str">
            <v>İÇ</v>
          </cell>
          <cell r="J878" t="str">
            <v/>
          </cell>
          <cell r="K878" t="str">
            <v/>
          </cell>
          <cell r="L878" t="str">
            <v/>
          </cell>
          <cell r="M878" t="str">
            <v/>
          </cell>
          <cell r="N878" t="str">
            <v/>
          </cell>
          <cell r="P878" t="str">
            <v>ADET</v>
          </cell>
          <cell r="AF878">
            <v>0</v>
          </cell>
          <cell r="AG878" t="str">
            <v>ADET</v>
          </cell>
          <cell r="AJ878">
            <v>0</v>
          </cell>
          <cell r="AK878" t="str">
            <v>TL</v>
          </cell>
          <cell r="AL878">
            <v>0</v>
          </cell>
          <cell r="AO878">
            <v>0</v>
          </cell>
          <cell r="AQ878">
            <v>0</v>
          </cell>
          <cell r="AS878">
            <v>0</v>
          </cell>
          <cell r="AU878">
            <v>0</v>
          </cell>
          <cell r="AW878">
            <v>0</v>
          </cell>
        </row>
        <row r="879">
          <cell r="B879" t="str">
            <v>T1C6JMEBCSD-100</v>
          </cell>
          <cell r="C879" t="str">
            <v>SOFYA 5 Lİ AKRİLİK SARKIT 100*10cm (1*49 - 4*28)</v>
          </cell>
          <cell r="D879" t="str">
            <v>SOFYA ACRYLIC 5 PENDANT 100*10cm (1*49 - 4*28)</v>
          </cell>
          <cell r="E879" t="str">
            <v xml:space="preserve">METAL AKRİLİK ESKİTME ŞEFFAF   </v>
          </cell>
          <cell r="F879" t="str">
            <v/>
          </cell>
          <cell r="G879" t="str">
            <v>AVİZE</v>
          </cell>
          <cell r="H879" t="str">
            <v/>
          </cell>
          <cell r="I879" t="str">
            <v>İÇ</v>
          </cell>
          <cell r="J879" t="str">
            <v>AVİZE.SARK</v>
          </cell>
          <cell r="K879" t="str">
            <v>SOFYA</v>
          </cell>
          <cell r="L879" t="str">
            <v/>
          </cell>
          <cell r="M879" t="str">
            <v/>
          </cell>
          <cell r="N879" t="str">
            <v/>
          </cell>
          <cell r="O879" t="str">
            <v>HEKA</v>
          </cell>
          <cell r="P879" t="str">
            <v>ADET</v>
          </cell>
          <cell r="Q879" t="str">
            <v>LED</v>
          </cell>
          <cell r="R879" t="str">
            <v>METAL</v>
          </cell>
          <cell r="S879" t="str">
            <v>ESKİTME</v>
          </cell>
          <cell r="T879" t="str">
            <v>AKRİLİK</v>
          </cell>
          <cell r="U879" t="str">
            <v>ŞEFFAF</v>
          </cell>
          <cell r="AD879" t="str">
            <v>DİKDÖRTGEN</v>
          </cell>
          <cell r="AF879">
            <v>0</v>
          </cell>
          <cell r="AG879" t="str">
            <v>ADET</v>
          </cell>
          <cell r="AJ879">
            <v>8986</v>
          </cell>
          <cell r="AK879" t="str">
            <v>TL</v>
          </cell>
          <cell r="AL879">
            <v>1</v>
          </cell>
          <cell r="AM879" t="str">
            <v>8684127505932</v>
          </cell>
          <cell r="AO879">
            <v>0</v>
          </cell>
          <cell r="AQ879">
            <v>0</v>
          </cell>
          <cell r="AS879">
            <v>0</v>
          </cell>
          <cell r="AU879">
            <v>0</v>
          </cell>
          <cell r="AW879">
            <v>0</v>
          </cell>
        </row>
        <row r="880">
          <cell r="B880" t="str">
            <v>H1C6JMEWRBU-090</v>
          </cell>
          <cell r="C880" t="str">
            <v>ORKOS BEŞLİ MERMER SARKIT 90cm</v>
          </cell>
          <cell r="D880" t="str">
            <v>ORKOS QUINTET MARBLE PENDANT 90cm</v>
          </cell>
          <cell r="E880" t="str">
            <v xml:space="preserve">METAL MERMER ESKİTME BEYAZ   </v>
          </cell>
          <cell r="F880" t="str">
            <v/>
          </cell>
          <cell r="G880" t="str">
            <v>AVİZE</v>
          </cell>
          <cell r="H880" t="str">
            <v/>
          </cell>
          <cell r="I880" t="str">
            <v>İÇ</v>
          </cell>
          <cell r="J880" t="str">
            <v>AVİZE.AVİZ</v>
          </cell>
          <cell r="K880" t="str">
            <v>ORKOS</v>
          </cell>
          <cell r="L880" t="str">
            <v/>
          </cell>
          <cell r="M880" t="str">
            <v/>
          </cell>
          <cell r="N880" t="str">
            <v>HKA-24152</v>
          </cell>
          <cell r="O880" t="str">
            <v>HEKA</v>
          </cell>
          <cell r="P880" t="str">
            <v>ADET</v>
          </cell>
          <cell r="Q880" t="str">
            <v>LED</v>
          </cell>
          <cell r="R880" t="str">
            <v>METAL</v>
          </cell>
          <cell r="S880" t="str">
            <v>ESKİTME</v>
          </cell>
          <cell r="T880" t="str">
            <v>MERMER</v>
          </cell>
          <cell r="U880" t="str">
            <v>BEYAZ</v>
          </cell>
          <cell r="AD880" t="str">
            <v>ÜÇGEN</v>
          </cell>
          <cell r="AE880" t="str">
            <v>02</v>
          </cell>
          <cell r="AF880">
            <v>0</v>
          </cell>
          <cell r="AG880" t="str">
            <v>ADET</v>
          </cell>
          <cell r="AH880">
            <v>1160</v>
          </cell>
          <cell r="AI880" t="str">
            <v>CNY</v>
          </cell>
          <cell r="AJ880">
            <v>94750</v>
          </cell>
          <cell r="AK880" t="str">
            <v>TL</v>
          </cell>
          <cell r="AL880">
            <v>1</v>
          </cell>
          <cell r="AM880" t="str">
            <v>8684127507493</v>
          </cell>
          <cell r="AO880">
            <v>0</v>
          </cell>
          <cell r="AQ880">
            <v>0</v>
          </cell>
          <cell r="AS880">
            <v>0</v>
          </cell>
          <cell r="AU880">
            <v>0</v>
          </cell>
          <cell r="AW880">
            <v>0</v>
          </cell>
        </row>
        <row r="881">
          <cell r="B881" t="str">
            <v>H1C2WRBJMEY-035</v>
          </cell>
          <cell r="C881" t="str">
            <v>ATLAS TEKLİ  MERMER SARKIT 35cm</v>
          </cell>
          <cell r="D881" t="str">
            <v>ATLAS SINGLE MARBLE PENDANT 35cm</v>
          </cell>
          <cell r="E881" t="str">
            <v xml:space="preserve">MERMER METAL BEYAZ ESKİTME     </v>
          </cell>
          <cell r="F881" t="str">
            <v/>
          </cell>
          <cell r="G881" t="str">
            <v>AVİZE</v>
          </cell>
          <cell r="H881" t="str">
            <v/>
          </cell>
          <cell r="I881" t="str">
            <v>İÇ</v>
          </cell>
          <cell r="J881" t="str">
            <v>AVİZE.AVİZ</v>
          </cell>
          <cell r="K881" t="str">
            <v>ATLAS</v>
          </cell>
          <cell r="L881" t="str">
            <v/>
          </cell>
          <cell r="M881" t="str">
            <v/>
          </cell>
          <cell r="N881" t="str">
            <v>HKA-52</v>
          </cell>
          <cell r="O881" t="str">
            <v>HEKA</v>
          </cell>
          <cell r="P881" t="str">
            <v>ADET</v>
          </cell>
          <cell r="Q881" t="str">
            <v>E27</v>
          </cell>
          <cell r="R881" t="str">
            <v>MERMER</v>
          </cell>
          <cell r="S881" t="str">
            <v>BEYAZ</v>
          </cell>
          <cell r="T881" t="str">
            <v>METAL</v>
          </cell>
          <cell r="U881" t="str">
            <v>ESKİTME</v>
          </cell>
          <cell r="AD881" t="str">
            <v>KÜRE</v>
          </cell>
          <cell r="AE881" t="str">
            <v>02</v>
          </cell>
          <cell r="AF881">
            <v>0</v>
          </cell>
          <cell r="AG881" t="str">
            <v>ADET</v>
          </cell>
          <cell r="AH881">
            <v>590</v>
          </cell>
          <cell r="AI881" t="str">
            <v>CNY</v>
          </cell>
          <cell r="AJ881">
            <v>29489</v>
          </cell>
          <cell r="AK881" t="str">
            <v>TL</v>
          </cell>
          <cell r="AL881">
            <v>1</v>
          </cell>
          <cell r="AM881" t="str">
            <v>8684127507691</v>
          </cell>
          <cell r="AO881">
            <v>0</v>
          </cell>
          <cell r="AQ881">
            <v>0</v>
          </cell>
          <cell r="AS881">
            <v>0</v>
          </cell>
          <cell r="AU881">
            <v>0</v>
          </cell>
          <cell r="AW881">
            <v>0</v>
          </cell>
        </row>
        <row r="882">
          <cell r="B882" t="str">
            <v>H1C6JRSJMP0-010</v>
          </cell>
          <cell r="C882" t="str">
            <v>AYBAR TEKLİ PLATİN SARKIT 10cm</v>
          </cell>
          <cell r="D882" t="str">
            <v>AYBAR SINGLE PLATINUM PENDANT 10cm</v>
          </cell>
          <cell r="E882" t="str">
            <v xml:space="preserve">METAL METAL SİYAH PLATİN   </v>
          </cell>
          <cell r="F882" t="str">
            <v/>
          </cell>
          <cell r="G882" t="str">
            <v>AVİZE</v>
          </cell>
          <cell r="H882" t="str">
            <v/>
          </cell>
          <cell r="I882" t="str">
            <v>İÇ</v>
          </cell>
          <cell r="J882" t="str">
            <v>AVİZE.SARK</v>
          </cell>
          <cell r="K882" t="str">
            <v>AYBAR</v>
          </cell>
          <cell r="L882" t="str">
            <v/>
          </cell>
          <cell r="M882" t="str">
            <v/>
          </cell>
          <cell r="N882" t="str">
            <v>HC19-1D-P</v>
          </cell>
          <cell r="O882" t="str">
            <v>HEKA</v>
          </cell>
          <cell r="P882" t="str">
            <v>ADET</v>
          </cell>
          <cell r="Q882" t="str">
            <v>LED</v>
          </cell>
          <cell r="R882" t="str">
            <v>METAL</v>
          </cell>
          <cell r="S882" t="str">
            <v>SİYAH</v>
          </cell>
          <cell r="T882" t="str">
            <v>METAL</v>
          </cell>
          <cell r="U882" t="str">
            <v>PLATİN</v>
          </cell>
          <cell r="AD882" t="str">
            <v>N/A</v>
          </cell>
          <cell r="AE882" t="str">
            <v>02</v>
          </cell>
          <cell r="AF882">
            <v>1</v>
          </cell>
          <cell r="AG882" t="str">
            <v>ADET</v>
          </cell>
          <cell r="AH882">
            <v>63</v>
          </cell>
          <cell r="AI882" t="str">
            <v>CNY</v>
          </cell>
          <cell r="AJ882">
            <v>3213</v>
          </cell>
          <cell r="AK882" t="str">
            <v>TL</v>
          </cell>
          <cell r="AL882">
            <v>1</v>
          </cell>
          <cell r="AM882" t="str">
            <v>8684127507844</v>
          </cell>
          <cell r="AO882">
            <v>0</v>
          </cell>
          <cell r="AQ882">
            <v>0</v>
          </cell>
          <cell r="AS882">
            <v>0</v>
          </cell>
          <cell r="AU882">
            <v>0</v>
          </cell>
          <cell r="AW882">
            <v>0</v>
          </cell>
        </row>
        <row r="883">
          <cell r="B883" t="str">
            <v>H1C6JRSJMG0-010</v>
          </cell>
          <cell r="C883" t="str">
            <v>AYBAR TEKLİ ALTIN SARKIT 10cm</v>
          </cell>
          <cell r="D883" t="str">
            <v>AYBAR SINGLE GOLD PENDANT 10cm</v>
          </cell>
          <cell r="E883" t="str">
            <v xml:space="preserve">METAL METAL SİYAH GOLD   </v>
          </cell>
          <cell r="F883" t="str">
            <v/>
          </cell>
          <cell r="G883" t="str">
            <v>AVİZE</v>
          </cell>
          <cell r="H883" t="str">
            <v/>
          </cell>
          <cell r="I883" t="str">
            <v>İÇ</v>
          </cell>
          <cell r="J883" t="str">
            <v>AVİZE.SARK</v>
          </cell>
          <cell r="K883" t="str">
            <v>AYBAR</v>
          </cell>
          <cell r="L883" t="str">
            <v>Ç</v>
          </cell>
          <cell r="M883" t="str">
            <v/>
          </cell>
          <cell r="N883" t="str">
            <v>HC19-1D-G</v>
          </cell>
          <cell r="O883" t="str">
            <v>HEKA</v>
          </cell>
          <cell r="P883" t="str">
            <v>ADET</v>
          </cell>
          <cell r="Q883" t="str">
            <v>LED</v>
          </cell>
          <cell r="R883" t="str">
            <v>METAL</v>
          </cell>
          <cell r="S883" t="str">
            <v>SİYAH</v>
          </cell>
          <cell r="T883" t="str">
            <v>METAL</v>
          </cell>
          <cell r="U883" t="str">
            <v>GOLD</v>
          </cell>
          <cell r="AD883" t="str">
            <v>N/A</v>
          </cell>
          <cell r="AE883" t="str">
            <v>02</v>
          </cell>
          <cell r="AF883">
            <v>0</v>
          </cell>
          <cell r="AG883" t="str">
            <v>ADET</v>
          </cell>
          <cell r="AH883">
            <v>63</v>
          </cell>
          <cell r="AI883" t="str">
            <v>CNY</v>
          </cell>
          <cell r="AJ883">
            <v>3213</v>
          </cell>
          <cell r="AK883" t="str">
            <v>TL</v>
          </cell>
          <cell r="AL883">
            <v>1</v>
          </cell>
          <cell r="AM883" t="str">
            <v>8684127507868</v>
          </cell>
          <cell r="AO883">
            <v>0</v>
          </cell>
          <cell r="AQ883">
            <v>0</v>
          </cell>
          <cell r="AS883">
            <v>0</v>
          </cell>
          <cell r="AU883">
            <v>0</v>
          </cell>
          <cell r="AW883">
            <v>0</v>
          </cell>
        </row>
        <row r="884">
          <cell r="B884" t="str">
            <v>H1C6JMP0000-011</v>
          </cell>
          <cell r="C884" t="str">
            <v>URAZ TEKLİ PLATİN SARKIT</v>
          </cell>
          <cell r="D884" t="str">
            <v>URAZ SINGLE PLATINUM PENDANT</v>
          </cell>
          <cell r="E884" t="str">
            <v xml:space="preserve">METAL YOK PLATİN YOK   </v>
          </cell>
          <cell r="F884" t="str">
            <v/>
          </cell>
          <cell r="G884" t="str">
            <v>AVİZE</v>
          </cell>
          <cell r="H884" t="str">
            <v/>
          </cell>
          <cell r="I884" t="str">
            <v>İÇ</v>
          </cell>
          <cell r="J884" t="str">
            <v>AVİZE.SARK</v>
          </cell>
          <cell r="K884" t="str">
            <v>URAZ</v>
          </cell>
          <cell r="L884" t="str">
            <v/>
          </cell>
          <cell r="M884" t="str">
            <v/>
          </cell>
          <cell r="N884" t="str">
            <v>HKA-24335</v>
          </cell>
          <cell r="O884" t="str">
            <v>HEKA</v>
          </cell>
          <cell r="P884" t="str">
            <v>ADET</v>
          </cell>
          <cell r="Q884" t="str">
            <v>LED</v>
          </cell>
          <cell r="R884" t="str">
            <v>METAL</v>
          </cell>
          <cell r="S884" t="str">
            <v>PLATİN</v>
          </cell>
          <cell r="T884" t="str">
            <v>YOK</v>
          </cell>
          <cell r="U884" t="str">
            <v>YOK</v>
          </cell>
          <cell r="AD884" t="str">
            <v>N/A</v>
          </cell>
          <cell r="AE884" t="str">
            <v>02</v>
          </cell>
          <cell r="AF884">
            <v>0</v>
          </cell>
          <cell r="AG884" t="str">
            <v>ADET</v>
          </cell>
          <cell r="AH884">
            <v>85</v>
          </cell>
          <cell r="AI884" t="str">
            <v>CNY</v>
          </cell>
          <cell r="AJ884">
            <v>3927</v>
          </cell>
          <cell r="AK884" t="str">
            <v>TL</v>
          </cell>
          <cell r="AL884">
            <v>1</v>
          </cell>
          <cell r="AM884" t="str">
            <v>8684127507936</v>
          </cell>
          <cell r="AO884">
            <v>0</v>
          </cell>
          <cell r="AQ884">
            <v>0</v>
          </cell>
          <cell r="AS884">
            <v>0</v>
          </cell>
          <cell r="AU884">
            <v>0</v>
          </cell>
          <cell r="AW884">
            <v>0</v>
          </cell>
        </row>
        <row r="885">
          <cell r="B885" t="str">
            <v>H1C6JMPJMG0-013</v>
          </cell>
          <cell r="C885" t="str">
            <v>YALDIZ TEKLİ PLATİN &amp; ALTIN SARKIT</v>
          </cell>
          <cell r="D885" t="str">
            <v>YALDIZ SINGLE PLATINUM &amp; GOLD PENDANT</v>
          </cell>
          <cell r="E885" t="str">
            <v xml:space="preserve">METAL METAL PLATİN GOLD   </v>
          </cell>
          <cell r="F885" t="str">
            <v/>
          </cell>
          <cell r="G885" t="str">
            <v>AVİZE</v>
          </cell>
          <cell r="H885" t="str">
            <v/>
          </cell>
          <cell r="I885" t="str">
            <v>İÇ</v>
          </cell>
          <cell r="J885" t="str">
            <v>AVİZE.SARK</v>
          </cell>
          <cell r="K885" t="str">
            <v>YALDIZ</v>
          </cell>
          <cell r="L885" t="str">
            <v/>
          </cell>
          <cell r="M885" t="str">
            <v/>
          </cell>
          <cell r="N885" t="str">
            <v>HC08-1D-P</v>
          </cell>
          <cell r="O885" t="str">
            <v>HEKA</v>
          </cell>
          <cell r="P885" t="str">
            <v>ADET</v>
          </cell>
          <cell r="Q885" t="str">
            <v>LED</v>
          </cell>
          <cell r="R885" t="str">
            <v>METAL</v>
          </cell>
          <cell r="S885" t="str">
            <v>PLATİN</v>
          </cell>
          <cell r="T885" t="str">
            <v>METAL</v>
          </cell>
          <cell r="U885" t="str">
            <v>GOLD</v>
          </cell>
          <cell r="AD885" t="str">
            <v>N/A</v>
          </cell>
          <cell r="AF885">
            <v>0</v>
          </cell>
          <cell r="AG885" t="str">
            <v>ADET</v>
          </cell>
          <cell r="AH885">
            <v>40</v>
          </cell>
          <cell r="AI885" t="str">
            <v>CNY</v>
          </cell>
          <cell r="AJ885">
            <v>2023</v>
          </cell>
          <cell r="AK885" t="str">
            <v>TL</v>
          </cell>
          <cell r="AL885">
            <v>1</v>
          </cell>
          <cell r="AM885" t="str">
            <v>8684127507950</v>
          </cell>
          <cell r="AO885">
            <v>0</v>
          </cell>
          <cell r="AQ885">
            <v>0</v>
          </cell>
          <cell r="AS885">
            <v>0</v>
          </cell>
          <cell r="AU885">
            <v>0</v>
          </cell>
          <cell r="AW885">
            <v>0</v>
          </cell>
        </row>
        <row r="886">
          <cell r="B886" t="str">
            <v>H1C6JMGBRRR-050</v>
          </cell>
          <cell r="C886" t="str">
            <v>ASENA 6 LI SALON AKRİLİK LED SARKIT AVİZE</v>
          </cell>
          <cell r="D886" t="str">
            <v>ASENA ACRYLIC LIVING ROOM PENDANT LED CHANDELIER 6 LIGHT</v>
          </cell>
          <cell r="E886" t="str">
            <v xml:space="preserve">METAL AKRİLİK GOLD KREM   </v>
          </cell>
          <cell r="F886" t="str">
            <v/>
          </cell>
          <cell r="G886" t="str">
            <v>AVİZE</v>
          </cell>
          <cell r="H886" t="str">
            <v/>
          </cell>
          <cell r="I886" t="str">
            <v>İÇ</v>
          </cell>
          <cell r="J886" t="str">
            <v>AVİZE.SARK</v>
          </cell>
          <cell r="K886" t="str">
            <v>ASENA</v>
          </cell>
          <cell r="L886" t="str">
            <v/>
          </cell>
          <cell r="M886" t="str">
            <v/>
          </cell>
          <cell r="N886" t="str">
            <v>HK-90</v>
          </cell>
          <cell r="O886" t="str">
            <v>HEKA</v>
          </cell>
          <cell r="P886" t="str">
            <v>ADET</v>
          </cell>
          <cell r="Q886" t="str">
            <v>LED</v>
          </cell>
          <cell r="R886" t="str">
            <v>METAL</v>
          </cell>
          <cell r="S886" t="str">
            <v>GOLD</v>
          </cell>
          <cell r="T886" t="str">
            <v>AKRİLİK</v>
          </cell>
          <cell r="U886" t="str">
            <v>KREM</v>
          </cell>
          <cell r="AD886" t="str">
            <v>DAİRE</v>
          </cell>
          <cell r="AF886">
            <v>11</v>
          </cell>
          <cell r="AG886" t="str">
            <v>ADET</v>
          </cell>
          <cell r="AH886">
            <v>700</v>
          </cell>
          <cell r="AI886" t="str">
            <v>CNY</v>
          </cell>
          <cell r="AJ886">
            <v>31280</v>
          </cell>
          <cell r="AK886" t="str">
            <v>TL</v>
          </cell>
          <cell r="AL886">
            <v>1</v>
          </cell>
          <cell r="AM886" t="str">
            <v>8684127506908</v>
          </cell>
          <cell r="AO886">
            <v>0</v>
          </cell>
          <cell r="AQ886">
            <v>0</v>
          </cell>
          <cell r="AS886">
            <v>0</v>
          </cell>
          <cell r="AU886">
            <v>0</v>
          </cell>
          <cell r="AW886">
            <v>0</v>
          </cell>
        </row>
        <row r="887">
          <cell r="B887" t="str">
            <v>H1C6JMGBRRR-032</v>
          </cell>
          <cell r="C887" t="str">
            <v>ASENA TEKLİ AKRİLİK LED SARKIT 32cm</v>
          </cell>
          <cell r="D887" t="str">
            <v>ASENA ACRYLIC LED PENDANT 32cm</v>
          </cell>
          <cell r="E887" t="str">
            <v xml:space="preserve">METAL AKRİLİK GOLD KREM   </v>
          </cell>
          <cell r="F887" t="str">
            <v/>
          </cell>
          <cell r="G887" t="str">
            <v>AVİZE</v>
          </cell>
          <cell r="H887" t="str">
            <v/>
          </cell>
          <cell r="I887" t="str">
            <v>İÇ</v>
          </cell>
          <cell r="J887" t="str">
            <v>AVİZE.SARK</v>
          </cell>
          <cell r="K887" t="str">
            <v>ASENA</v>
          </cell>
          <cell r="L887" t="str">
            <v/>
          </cell>
          <cell r="M887" t="str">
            <v/>
          </cell>
          <cell r="N887" t="str">
            <v>HK-93</v>
          </cell>
          <cell r="O887" t="str">
            <v>HEKA</v>
          </cell>
          <cell r="P887" t="str">
            <v>ADET</v>
          </cell>
          <cell r="Q887" t="str">
            <v>LED</v>
          </cell>
          <cell r="R887" t="str">
            <v>METAL</v>
          </cell>
          <cell r="S887" t="str">
            <v>GOLD</v>
          </cell>
          <cell r="T887" t="str">
            <v>AKRİLİK</v>
          </cell>
          <cell r="U887" t="str">
            <v>KREM</v>
          </cell>
          <cell r="AD887" t="str">
            <v>DAİRE</v>
          </cell>
          <cell r="AF887">
            <v>0</v>
          </cell>
          <cell r="AG887" t="str">
            <v>ADET</v>
          </cell>
          <cell r="AH887">
            <v>160</v>
          </cell>
          <cell r="AI887" t="str">
            <v>CNY</v>
          </cell>
          <cell r="AJ887">
            <v>6120</v>
          </cell>
          <cell r="AK887" t="str">
            <v>TL</v>
          </cell>
          <cell r="AL887">
            <v>1</v>
          </cell>
          <cell r="AM887" t="str">
            <v>8684127506922</v>
          </cell>
          <cell r="AO887">
            <v>0</v>
          </cell>
          <cell r="AQ887">
            <v>0</v>
          </cell>
          <cell r="AS887">
            <v>0</v>
          </cell>
          <cell r="AU887">
            <v>0</v>
          </cell>
          <cell r="AW887">
            <v>0</v>
          </cell>
        </row>
        <row r="888">
          <cell r="B888" t="str">
            <v>H1C6JMGBRRE-060</v>
          </cell>
          <cell r="C888" t="str">
            <v>ASENA TEKLİ  YATAY AKRİLİK LED SARKIT 60cm</v>
          </cell>
          <cell r="D888" t="str">
            <v>ASENA ACRYLIC HORIZONTAL LED PENDANT 60cm</v>
          </cell>
          <cell r="E888" t="str">
            <v xml:space="preserve">METAL AKRİLİK GOLD KREM   </v>
          </cell>
          <cell r="F888" t="str">
            <v/>
          </cell>
          <cell r="G888" t="str">
            <v>AVİZE</v>
          </cell>
          <cell r="H888" t="str">
            <v/>
          </cell>
          <cell r="I888" t="str">
            <v>İÇ</v>
          </cell>
          <cell r="J888" t="str">
            <v>AVİZE.SARK</v>
          </cell>
          <cell r="K888" t="str">
            <v>ASENA</v>
          </cell>
          <cell r="L888" t="str">
            <v/>
          </cell>
          <cell r="M888" t="str">
            <v/>
          </cell>
          <cell r="N888" t="str">
            <v>HK-98</v>
          </cell>
          <cell r="O888" t="str">
            <v>HEKA</v>
          </cell>
          <cell r="P888" t="str">
            <v>ADET</v>
          </cell>
          <cell r="Q888" t="str">
            <v>LED</v>
          </cell>
          <cell r="R888" t="str">
            <v>METAL</v>
          </cell>
          <cell r="S888" t="str">
            <v>GOLD</v>
          </cell>
          <cell r="T888" t="str">
            <v>AKRİLİK</v>
          </cell>
          <cell r="U888" t="str">
            <v>KREM</v>
          </cell>
          <cell r="AD888" t="str">
            <v>ELİPS</v>
          </cell>
          <cell r="AE888" t="str">
            <v>02</v>
          </cell>
          <cell r="AF888">
            <v>1</v>
          </cell>
          <cell r="AG888" t="str">
            <v>ADET</v>
          </cell>
          <cell r="AH888">
            <v>336</v>
          </cell>
          <cell r="AI888" t="str">
            <v>CNY</v>
          </cell>
          <cell r="AJ888">
            <v>14620</v>
          </cell>
          <cell r="AK888" t="str">
            <v>TL</v>
          </cell>
          <cell r="AL888">
            <v>1</v>
          </cell>
          <cell r="AM888" t="str">
            <v>8684127506977</v>
          </cell>
          <cell r="AO888">
            <v>0</v>
          </cell>
          <cell r="AQ888">
            <v>0</v>
          </cell>
          <cell r="AS888">
            <v>0</v>
          </cell>
          <cell r="AU888">
            <v>0</v>
          </cell>
          <cell r="AW888">
            <v>0</v>
          </cell>
        </row>
        <row r="889">
          <cell r="B889" t="str">
            <v>H1F6JRSWRBR-170</v>
          </cell>
          <cell r="C889" t="str">
            <v>EROS ÇİFTLİ MERMER LED LAMBADER</v>
          </cell>
          <cell r="D889" t="str">
            <v>EROS DUAL MARBLE LED FLOOR LAMP</v>
          </cell>
          <cell r="E889" t="str">
            <v xml:space="preserve">METAL MERMER SİYAH BEYAZ   </v>
          </cell>
          <cell r="F889" t="str">
            <v/>
          </cell>
          <cell r="G889" t="str">
            <v>LAMBADER</v>
          </cell>
          <cell r="H889" t="str">
            <v/>
          </cell>
          <cell r="I889" t="str">
            <v>İÇ</v>
          </cell>
          <cell r="J889" t="str">
            <v>LAMBADER</v>
          </cell>
          <cell r="K889" t="str">
            <v>EROS</v>
          </cell>
          <cell r="L889" t="str">
            <v/>
          </cell>
          <cell r="M889" t="str">
            <v/>
          </cell>
          <cell r="N889" t="str">
            <v>HK-100</v>
          </cell>
          <cell r="O889" t="str">
            <v>HEKA</v>
          </cell>
          <cell r="P889" t="str">
            <v>ADET</v>
          </cell>
          <cell r="Q889" t="str">
            <v>LED</v>
          </cell>
          <cell r="R889" t="str">
            <v>METAL</v>
          </cell>
          <cell r="S889" t="str">
            <v>SİYAH</v>
          </cell>
          <cell r="T889" t="str">
            <v>MERMER</v>
          </cell>
          <cell r="U889" t="str">
            <v>BEYAZ</v>
          </cell>
          <cell r="AD889" t="str">
            <v>DAİRE</v>
          </cell>
          <cell r="AE889" t="str">
            <v>03</v>
          </cell>
          <cell r="AF889">
            <v>0</v>
          </cell>
          <cell r="AG889" t="str">
            <v>ADET</v>
          </cell>
          <cell r="AH889">
            <v>320</v>
          </cell>
          <cell r="AI889" t="str">
            <v>CNY</v>
          </cell>
          <cell r="AJ889">
            <v>15994</v>
          </cell>
          <cell r="AK889" t="str">
            <v>TL</v>
          </cell>
          <cell r="AL889">
            <v>1</v>
          </cell>
          <cell r="AM889" t="str">
            <v>8684127506991</v>
          </cell>
          <cell r="AO889">
            <v>0</v>
          </cell>
          <cell r="AQ889">
            <v>0</v>
          </cell>
          <cell r="AS889">
            <v>0</v>
          </cell>
          <cell r="AU889">
            <v>0</v>
          </cell>
          <cell r="AW889">
            <v>0</v>
          </cell>
        </row>
        <row r="890">
          <cell r="B890" t="str">
            <v>H1C6JMELCT0-053</v>
          </cell>
          <cell r="C890" t="str">
            <v>KULA ÜÇLÜ ÇEMBER ESKİTME LED SARKIT 52cm</v>
          </cell>
          <cell r="D890" t="str">
            <v>KULA  TRIPLE CIRCLE BRUSHED BRASS LED PENDANT 52cm</v>
          </cell>
          <cell r="E890" t="str">
            <v xml:space="preserve">METAL PLEKSİ ESKİTME SOFT   </v>
          </cell>
          <cell r="F890" t="str">
            <v/>
          </cell>
          <cell r="G890" t="str">
            <v>AVİZE</v>
          </cell>
          <cell r="H890" t="str">
            <v/>
          </cell>
          <cell r="I890" t="str">
            <v>İÇ</v>
          </cell>
          <cell r="J890" t="str">
            <v>AVİZE.PLF</v>
          </cell>
          <cell r="K890" t="str">
            <v>KULA</v>
          </cell>
          <cell r="L890" t="str">
            <v/>
          </cell>
          <cell r="M890" t="str">
            <v/>
          </cell>
          <cell r="N890" t="str">
            <v>HKA-106</v>
          </cell>
          <cell r="O890" t="str">
            <v>HEKA</v>
          </cell>
          <cell r="P890" t="str">
            <v>ADET</v>
          </cell>
          <cell r="Q890" t="str">
            <v>LED</v>
          </cell>
          <cell r="R890" t="str">
            <v>METAL</v>
          </cell>
          <cell r="S890" t="str">
            <v>ESKİTME</v>
          </cell>
          <cell r="T890" t="str">
            <v>PLEKSİ</v>
          </cell>
          <cell r="U890" t="str">
            <v>SOFT</v>
          </cell>
          <cell r="AD890" t="str">
            <v>N/A</v>
          </cell>
          <cell r="AE890" t="str">
            <v>02</v>
          </cell>
          <cell r="AF890">
            <v>0</v>
          </cell>
          <cell r="AG890" t="str">
            <v>ADET</v>
          </cell>
          <cell r="AH890">
            <v>115</v>
          </cell>
          <cell r="AI890" t="str">
            <v>CNY</v>
          </cell>
          <cell r="AJ890">
            <v>2915</v>
          </cell>
          <cell r="AK890" t="str">
            <v>TL</v>
          </cell>
          <cell r="AL890">
            <v>1</v>
          </cell>
          <cell r="AM890" t="str">
            <v>8684127507226</v>
          </cell>
          <cell r="AO890">
            <v>0</v>
          </cell>
          <cell r="AQ890">
            <v>0</v>
          </cell>
          <cell r="AS890">
            <v>0</v>
          </cell>
          <cell r="AU890">
            <v>0</v>
          </cell>
          <cell r="AW890">
            <v>0</v>
          </cell>
        </row>
        <row r="891">
          <cell r="B891" t="str">
            <v>H1C5JRVDRB0-035</v>
          </cell>
          <cell r="C891" t="str">
            <v>KOVAK TEKLİ BEYAZ BETON GU10 SARKIT</v>
          </cell>
          <cell r="D891" t="str">
            <v>KOVAK SINGLE WHITE CONCRETE GU10 PENDANT</v>
          </cell>
          <cell r="E891" t="str">
            <v xml:space="preserve">METAL BETON KAHVERENGİ BEYAZ   </v>
          </cell>
          <cell r="F891" t="str">
            <v/>
          </cell>
          <cell r="G891" t="str">
            <v>AVİZE</v>
          </cell>
          <cell r="H891" t="str">
            <v/>
          </cell>
          <cell r="I891" t="str">
            <v>İÇ</v>
          </cell>
          <cell r="J891" t="str">
            <v>AVİZE.SARK</v>
          </cell>
          <cell r="K891" t="str">
            <v>KOVAK</v>
          </cell>
          <cell r="L891" t="str">
            <v/>
          </cell>
          <cell r="M891" t="str">
            <v/>
          </cell>
          <cell r="N891" t="str">
            <v>HKA-118</v>
          </cell>
          <cell r="O891" t="str">
            <v>HEKA</v>
          </cell>
          <cell r="P891" t="str">
            <v>ADET</v>
          </cell>
          <cell r="Q891" t="str">
            <v>GU10</v>
          </cell>
          <cell r="R891" t="str">
            <v>METAL</v>
          </cell>
          <cell r="S891" t="str">
            <v>KAHVERENGİ</v>
          </cell>
          <cell r="T891" t="str">
            <v>BETON</v>
          </cell>
          <cell r="U891" t="str">
            <v>BEYAZ</v>
          </cell>
          <cell r="AD891" t="str">
            <v>N/A</v>
          </cell>
          <cell r="AE891" t="str">
            <v>01</v>
          </cell>
          <cell r="AF891">
            <v>59</v>
          </cell>
          <cell r="AG891" t="str">
            <v>ADET</v>
          </cell>
          <cell r="AH891">
            <v>90</v>
          </cell>
          <cell r="AI891" t="str">
            <v>CNY</v>
          </cell>
          <cell r="AJ891">
            <v>5831</v>
          </cell>
          <cell r="AK891" t="str">
            <v>TL</v>
          </cell>
          <cell r="AL891">
            <v>1</v>
          </cell>
          <cell r="AM891" t="str">
            <v>8684127507240</v>
          </cell>
          <cell r="AO891">
            <v>1.5</v>
          </cell>
          <cell r="AP891" t="str">
            <v>KG</v>
          </cell>
          <cell r="AQ891">
            <v>6</v>
          </cell>
          <cell r="AR891" t="str">
            <v>CM</v>
          </cell>
          <cell r="AS891">
            <v>6</v>
          </cell>
          <cell r="AT891" t="str">
            <v>CM</v>
          </cell>
          <cell r="AU891">
            <v>0</v>
          </cell>
          <cell r="AW891">
            <v>0</v>
          </cell>
        </row>
        <row r="892">
          <cell r="B892" t="str">
            <v>H1C3JMEWRBY-040</v>
          </cell>
          <cell r="C892" t="str">
            <v>ADONIS TEKLİ BEYAZ MERMER LED SARKIT 40cm</v>
          </cell>
          <cell r="D892" t="str">
            <v>ADONIS SINGLE WHITE MARBLE LED PENDANT 40cm</v>
          </cell>
          <cell r="E892" t="str">
            <v xml:space="preserve">METAL MERMER ESKİTME BEYAZ   </v>
          </cell>
          <cell r="F892" t="str">
            <v/>
          </cell>
          <cell r="G892" t="str">
            <v>AVİZE</v>
          </cell>
          <cell r="H892" t="str">
            <v/>
          </cell>
          <cell r="I892" t="str">
            <v>İÇ</v>
          </cell>
          <cell r="J892" t="str">
            <v>AVİZE.AVİZ</v>
          </cell>
          <cell r="K892" t="str">
            <v>ADONIS</v>
          </cell>
          <cell r="L892" t="str">
            <v/>
          </cell>
          <cell r="M892" t="str">
            <v/>
          </cell>
          <cell r="N892" t="str">
            <v>HKA-27</v>
          </cell>
          <cell r="O892" t="str">
            <v>HEKA</v>
          </cell>
          <cell r="P892" t="str">
            <v>ADET</v>
          </cell>
          <cell r="Q892" t="str">
            <v>G9</v>
          </cell>
          <cell r="R892" t="str">
            <v>METAL</v>
          </cell>
          <cell r="S892" t="str">
            <v>ESKİTME</v>
          </cell>
          <cell r="T892" t="str">
            <v>MERMER</v>
          </cell>
          <cell r="U892" t="str">
            <v>BEYAZ</v>
          </cell>
          <cell r="AD892" t="str">
            <v>KÜRE</v>
          </cell>
          <cell r="AE892" t="str">
            <v>07</v>
          </cell>
          <cell r="AF892">
            <v>0</v>
          </cell>
          <cell r="AG892" t="str">
            <v>ADET</v>
          </cell>
          <cell r="AH892">
            <v>486</v>
          </cell>
          <cell r="AI892" t="str">
            <v>CNY</v>
          </cell>
          <cell r="AJ892">
            <v>24276</v>
          </cell>
          <cell r="AK892" t="str">
            <v>TL</v>
          </cell>
          <cell r="AL892">
            <v>1</v>
          </cell>
          <cell r="AM892" t="str">
            <v>8684127507318</v>
          </cell>
          <cell r="AO892">
            <v>0</v>
          </cell>
          <cell r="AQ892">
            <v>0</v>
          </cell>
          <cell r="AS892">
            <v>0</v>
          </cell>
          <cell r="AU892">
            <v>0</v>
          </cell>
          <cell r="AW892">
            <v>0</v>
          </cell>
        </row>
        <row r="893">
          <cell r="B893" t="str">
            <v>T1C6JMEBCSD-101</v>
          </cell>
          <cell r="C893" t="str">
            <v>SOFYA 5 Lİ AKRİLİK SARKIT 100*10</v>
          </cell>
          <cell r="D893" t="str">
            <v>SOFYA ACRYLIC 5 PENDANT 100*10cm (1*49 - 2*28 - 2*21)</v>
          </cell>
          <cell r="E893" t="str">
            <v xml:space="preserve">METAL AKRİLİK ESKİTME ŞEFFAF   </v>
          </cell>
          <cell r="F893" t="str">
            <v/>
          </cell>
          <cell r="G893" t="str">
            <v>AVİZE</v>
          </cell>
          <cell r="H893" t="str">
            <v/>
          </cell>
          <cell r="I893" t="str">
            <v>İÇ</v>
          </cell>
          <cell r="J893" t="str">
            <v>AVİZE.SARK</v>
          </cell>
          <cell r="K893" t="str">
            <v>SOFYA</v>
          </cell>
          <cell r="L893" t="str">
            <v/>
          </cell>
          <cell r="M893" t="str">
            <v/>
          </cell>
          <cell r="N893" t="str">
            <v/>
          </cell>
          <cell r="O893" t="str">
            <v>HEKA</v>
          </cell>
          <cell r="P893" t="str">
            <v>ADET</v>
          </cell>
          <cell r="Q893" t="str">
            <v>LED</v>
          </cell>
          <cell r="R893" t="str">
            <v>METAL</v>
          </cell>
          <cell r="S893" t="str">
            <v>ESKİTME</v>
          </cell>
          <cell r="T893" t="str">
            <v>AKRİLİK</v>
          </cell>
          <cell r="U893" t="str">
            <v>ŞEFFAF</v>
          </cell>
          <cell r="AD893" t="str">
            <v>DİKDÖRTGEN</v>
          </cell>
          <cell r="AF893">
            <v>0</v>
          </cell>
          <cell r="AG893" t="str">
            <v>ADET</v>
          </cell>
          <cell r="AJ893">
            <v>8486</v>
          </cell>
          <cell r="AK893" t="str">
            <v>TL</v>
          </cell>
          <cell r="AL893">
            <v>1</v>
          </cell>
          <cell r="AM893" t="str">
            <v>8684127505949</v>
          </cell>
          <cell r="AO893">
            <v>0</v>
          </cell>
          <cell r="AQ893">
            <v>0</v>
          </cell>
          <cell r="AS893">
            <v>0</v>
          </cell>
          <cell r="AU893">
            <v>0</v>
          </cell>
          <cell r="AW893">
            <v>0</v>
          </cell>
        </row>
        <row r="894">
          <cell r="B894" t="str">
            <v>H1C3JMKERFR-050</v>
          </cell>
          <cell r="C894" t="str">
            <v>BENİN 7 Lİ FÜME CAM SARKIT  50cm</v>
          </cell>
          <cell r="D894" t="str">
            <v>BENİN SEVEN SMOKY GLASS PENDANT 50cn</v>
          </cell>
          <cell r="E894" t="str">
            <v xml:space="preserve">METAL CAM  KROM FÜME   </v>
          </cell>
          <cell r="F894" t="str">
            <v/>
          </cell>
          <cell r="G894" t="str">
            <v>AVİZE</v>
          </cell>
          <cell r="H894" t="str">
            <v/>
          </cell>
          <cell r="I894" t="str">
            <v>İÇ</v>
          </cell>
          <cell r="J894" t="str">
            <v>AVİZE.SARK</v>
          </cell>
          <cell r="K894" t="str">
            <v>BENİN</v>
          </cell>
          <cell r="L894" t="str">
            <v/>
          </cell>
          <cell r="M894" t="str">
            <v/>
          </cell>
          <cell r="N894" t="str">
            <v/>
          </cell>
          <cell r="O894" t="str">
            <v>HEKA</v>
          </cell>
          <cell r="P894" t="str">
            <v>ADET</v>
          </cell>
          <cell r="Q894" t="str">
            <v>G9</v>
          </cell>
          <cell r="R894" t="str">
            <v>METAL</v>
          </cell>
          <cell r="S894" t="str">
            <v>KROM</v>
          </cell>
          <cell r="T894" t="str">
            <v>CAM</v>
          </cell>
          <cell r="U894" t="str">
            <v>FÜME</v>
          </cell>
          <cell r="AD894" t="str">
            <v>DAİRE</v>
          </cell>
          <cell r="AE894" t="str">
            <v>08</v>
          </cell>
          <cell r="AF894">
            <v>0</v>
          </cell>
          <cell r="AG894" t="str">
            <v>ADET</v>
          </cell>
          <cell r="AJ894">
            <v>11320</v>
          </cell>
          <cell r="AK894" t="str">
            <v>TL</v>
          </cell>
          <cell r="AL894">
            <v>1</v>
          </cell>
          <cell r="AM894" t="str">
            <v>8684127505956</v>
          </cell>
          <cell r="AO894">
            <v>0</v>
          </cell>
          <cell r="AQ894">
            <v>0</v>
          </cell>
          <cell r="AS894">
            <v>0</v>
          </cell>
          <cell r="AU894">
            <v>0</v>
          </cell>
          <cell r="AW894">
            <v>0</v>
          </cell>
        </row>
        <row r="895">
          <cell r="B895" t="str">
            <v>H1C6JMEERLY-020</v>
          </cell>
          <cell r="C895" t="str">
            <v>VİYANA BAL DALGA CAM SARKIT 20cm</v>
          </cell>
          <cell r="D895" t="str">
            <v>VIYANA AMBER WAVE GLASS PENDANT 20cm</v>
          </cell>
          <cell r="E895" t="str">
            <v>METAL ESKİTME CAM  BAL</v>
          </cell>
          <cell r="F895" t="str">
            <v>9405.11.90.00.00</v>
          </cell>
          <cell r="G895" t="str">
            <v>AVİZE</v>
          </cell>
          <cell r="H895" t="str">
            <v>T1A6231100-20</v>
          </cell>
          <cell r="I895" t="str">
            <v>İÇ</v>
          </cell>
          <cell r="J895" t="str">
            <v>AVİZE.SARK</v>
          </cell>
          <cell r="K895" t="str">
            <v>VİYANA</v>
          </cell>
          <cell r="L895" t="str">
            <v/>
          </cell>
          <cell r="M895" t="str">
            <v/>
          </cell>
          <cell r="N895" t="str">
            <v>ML9</v>
          </cell>
          <cell r="O895" t="str">
            <v>HEKA</v>
          </cell>
          <cell r="P895" t="str">
            <v>ADET</v>
          </cell>
          <cell r="Q895" t="str">
            <v>LED</v>
          </cell>
          <cell r="R895" t="str">
            <v>METAL</v>
          </cell>
          <cell r="S895" t="str">
            <v>ESKİTME</v>
          </cell>
          <cell r="T895" t="str">
            <v>CAM</v>
          </cell>
          <cell r="U895" t="str">
            <v>BAL</v>
          </cell>
          <cell r="AD895" t="str">
            <v>KÜRE</v>
          </cell>
          <cell r="AE895" t="str">
            <v>01</v>
          </cell>
          <cell r="AF895">
            <v>0</v>
          </cell>
          <cell r="AG895" t="str">
            <v>ADET</v>
          </cell>
          <cell r="AH895">
            <v>60</v>
          </cell>
          <cell r="AI895" t="str">
            <v>CNY</v>
          </cell>
          <cell r="AJ895">
            <v>3713</v>
          </cell>
          <cell r="AK895" t="str">
            <v>TL</v>
          </cell>
          <cell r="AL895">
            <v>1</v>
          </cell>
          <cell r="AM895" t="str">
            <v>8684127506403</v>
          </cell>
          <cell r="AO895">
            <v>0</v>
          </cell>
          <cell r="AQ895">
            <v>0</v>
          </cell>
          <cell r="AR895" t="str">
            <v>CM</v>
          </cell>
          <cell r="AS895">
            <v>0</v>
          </cell>
          <cell r="AT895" t="str">
            <v>CM</v>
          </cell>
          <cell r="AU895">
            <v>0</v>
          </cell>
          <cell r="AW895">
            <v>0</v>
          </cell>
        </row>
        <row r="896">
          <cell r="B896" t="str">
            <v>H1C6JMEERLY-030</v>
          </cell>
          <cell r="C896" t="str">
            <v>VİYANA BAL DALGA CAM SARKIT 30cm</v>
          </cell>
          <cell r="D896" t="str">
            <v>VIYANA AMBER WAVE GLASS PENDANT 30cm</v>
          </cell>
          <cell r="E896" t="str">
            <v>METAL ESKİTME CAM  BAL</v>
          </cell>
          <cell r="F896" t="str">
            <v>9405.11.90.00.00</v>
          </cell>
          <cell r="G896" t="str">
            <v>AVİZE</v>
          </cell>
          <cell r="H896" t="str">
            <v>T1A6231100-20</v>
          </cell>
          <cell r="I896" t="str">
            <v>İÇ</v>
          </cell>
          <cell r="J896" t="str">
            <v>AVİZE.SARK</v>
          </cell>
          <cell r="K896" t="str">
            <v>VİYANA</v>
          </cell>
          <cell r="L896" t="str">
            <v/>
          </cell>
          <cell r="M896" t="str">
            <v/>
          </cell>
          <cell r="N896" t="str">
            <v>ML13</v>
          </cell>
          <cell r="O896" t="str">
            <v>HEKA</v>
          </cell>
          <cell r="P896" t="str">
            <v>ADET</v>
          </cell>
          <cell r="Q896" t="str">
            <v>LED</v>
          </cell>
          <cell r="R896" t="str">
            <v>METAL</v>
          </cell>
          <cell r="S896" t="str">
            <v>ESKİTME</v>
          </cell>
          <cell r="T896" t="str">
            <v>CAM</v>
          </cell>
          <cell r="U896" t="str">
            <v>BAL</v>
          </cell>
          <cell r="AD896" t="str">
            <v>KÜRE</v>
          </cell>
          <cell r="AE896" t="str">
            <v>01</v>
          </cell>
          <cell r="AF896">
            <v>3</v>
          </cell>
          <cell r="AG896" t="str">
            <v>ADET</v>
          </cell>
          <cell r="AH896">
            <v>80</v>
          </cell>
          <cell r="AI896" t="str">
            <v>CNY</v>
          </cell>
          <cell r="AJ896">
            <v>4641</v>
          </cell>
          <cell r="AK896" t="str">
            <v>TL</v>
          </cell>
          <cell r="AL896">
            <v>1</v>
          </cell>
          <cell r="AM896" t="str">
            <v>8684127506427</v>
          </cell>
          <cell r="AO896">
            <v>0</v>
          </cell>
          <cell r="AQ896">
            <v>0</v>
          </cell>
          <cell r="AR896" t="str">
            <v>CM</v>
          </cell>
          <cell r="AS896">
            <v>0</v>
          </cell>
          <cell r="AT896" t="str">
            <v>CM</v>
          </cell>
          <cell r="AU896">
            <v>0</v>
          </cell>
          <cell r="AW896">
            <v>0</v>
          </cell>
        </row>
        <row r="897">
          <cell r="B897" t="str">
            <v>H1W1JMKECSZ-045</v>
          </cell>
          <cell r="C897" t="str">
            <v>SÜMELA KROM KOLLU APLİK 45cm</v>
          </cell>
          <cell r="D897" t="str">
            <v>SÜMELA CHROME SLEEVED WALL LAMP 45cm</v>
          </cell>
          <cell r="E897" t="str">
            <v/>
          </cell>
          <cell r="F897" t="str">
            <v/>
          </cell>
          <cell r="G897" t="str">
            <v>APLİK</v>
          </cell>
          <cell r="H897" t="str">
            <v>H1W1112400-45</v>
          </cell>
          <cell r="I897" t="str">
            <v>İÇ</v>
          </cell>
          <cell r="J897" t="str">
            <v>APLİK</v>
          </cell>
          <cell r="K897" t="str">
            <v>SÜMELA</v>
          </cell>
          <cell r="L897" t="str">
            <v/>
          </cell>
          <cell r="M897" t="str">
            <v/>
          </cell>
          <cell r="N897" t="str">
            <v/>
          </cell>
          <cell r="O897" t="str">
            <v>HEKA</v>
          </cell>
          <cell r="P897" t="str">
            <v>ADET</v>
          </cell>
          <cell r="Q897" t="str">
            <v>E14</v>
          </cell>
          <cell r="R897" t="str">
            <v>METAL</v>
          </cell>
          <cell r="S897" t="str">
            <v>KROM</v>
          </cell>
          <cell r="T897" t="str">
            <v>CAM</v>
          </cell>
          <cell r="U897" t="str">
            <v>ŞEFFAF</v>
          </cell>
          <cell r="AD897" t="str">
            <v>KOLLU</v>
          </cell>
          <cell r="AE897" t="str">
            <v>05</v>
          </cell>
          <cell r="AF897">
            <v>0</v>
          </cell>
          <cell r="AG897" t="str">
            <v>ADET</v>
          </cell>
          <cell r="AH897">
            <v>300</v>
          </cell>
          <cell r="AI897" t="str">
            <v>TL</v>
          </cell>
          <cell r="AJ897">
            <v>850</v>
          </cell>
          <cell r="AK897" t="str">
            <v>TL</v>
          </cell>
          <cell r="AL897">
            <v>1</v>
          </cell>
          <cell r="AM897" t="str">
            <v>8684127510172</v>
          </cell>
          <cell r="AO897">
            <v>0</v>
          </cell>
          <cell r="AQ897">
            <v>0</v>
          </cell>
          <cell r="AS897">
            <v>0</v>
          </cell>
          <cell r="AU897">
            <v>0</v>
          </cell>
          <cell r="AW897">
            <v>0</v>
          </cell>
        </row>
        <row r="898">
          <cell r="B898" t="str">
            <v>H1W1JM3ECSZ-045</v>
          </cell>
          <cell r="C898" t="str">
            <v>SÜMELA MAT KROM KOLLU APLİK 45cm</v>
          </cell>
          <cell r="D898" t="str">
            <v>SÜMELA BRUSHED CHROME SLEEVED WALL LAMP 45cm</v>
          </cell>
          <cell r="E898" t="str">
            <v/>
          </cell>
          <cell r="F898" t="str">
            <v/>
          </cell>
          <cell r="G898" t="str">
            <v>APLİK</v>
          </cell>
          <cell r="H898" t="str">
            <v>H1W1112400-45</v>
          </cell>
          <cell r="I898" t="str">
            <v>İÇ</v>
          </cell>
          <cell r="J898" t="str">
            <v>APLİK</v>
          </cell>
          <cell r="K898" t="str">
            <v>SÜMELA</v>
          </cell>
          <cell r="L898" t="str">
            <v/>
          </cell>
          <cell r="M898" t="str">
            <v/>
          </cell>
          <cell r="N898" t="str">
            <v/>
          </cell>
          <cell r="O898" t="str">
            <v>HEKA</v>
          </cell>
          <cell r="P898" t="str">
            <v>ADET</v>
          </cell>
          <cell r="Q898" t="str">
            <v>E14</v>
          </cell>
          <cell r="R898" t="str">
            <v>METAL</v>
          </cell>
          <cell r="S898" t="str">
            <v>MAT KROM</v>
          </cell>
          <cell r="T898" t="str">
            <v>CAM</v>
          </cell>
          <cell r="U898" t="str">
            <v>ŞEFFAF</v>
          </cell>
          <cell r="AD898" t="str">
            <v>KOLLU</v>
          </cell>
          <cell r="AE898" t="str">
            <v>05</v>
          </cell>
          <cell r="AG898" t="str">
            <v>ADET</v>
          </cell>
          <cell r="AH898">
            <v>300</v>
          </cell>
          <cell r="AI898" t="str">
            <v>TL</v>
          </cell>
          <cell r="AJ898">
            <v>850</v>
          </cell>
          <cell r="AK898" t="str">
            <v>TL</v>
          </cell>
          <cell r="AL898">
            <v>1</v>
          </cell>
          <cell r="AM898" t="str">
            <v>8684127510189</v>
          </cell>
          <cell r="AO898">
            <v>0</v>
          </cell>
          <cell r="AQ898">
            <v>0</v>
          </cell>
          <cell r="AS898">
            <v>0</v>
          </cell>
          <cell r="AU898">
            <v>0</v>
          </cell>
          <cell r="AW898">
            <v>0</v>
          </cell>
        </row>
        <row r="899">
          <cell r="B899" t="str">
            <v>H1C6JMEWRBM-070</v>
          </cell>
          <cell r="C899" t="str">
            <v>ADAGAN 4 LÜ BEŞ MERMERLİ YEMEK MASASI SARKIT AVİZE</v>
          </cell>
          <cell r="D899" t="str">
            <v>ADAGAN  QUATERNARY FIVE MARBLE DINING TABLE PENDANT CHANDELIER</v>
          </cell>
          <cell r="E899" t="str">
            <v xml:space="preserve">METAL MERMER ESKİTME BEYAZ   </v>
          </cell>
          <cell r="F899" t="str">
            <v/>
          </cell>
          <cell r="G899" t="str">
            <v>AVİZE</v>
          </cell>
          <cell r="H899" t="str">
            <v/>
          </cell>
          <cell r="I899" t="str">
            <v>İÇ</v>
          </cell>
          <cell r="J899" t="str">
            <v>AVİZE.SARK</v>
          </cell>
          <cell r="K899" t="str">
            <v>ADAGAN</v>
          </cell>
          <cell r="L899" t="str">
            <v/>
          </cell>
          <cell r="M899" t="str">
            <v/>
          </cell>
          <cell r="N899" t="str">
            <v>HKA-88</v>
          </cell>
          <cell r="O899" t="str">
            <v>HEKA</v>
          </cell>
          <cell r="P899" t="str">
            <v>ADET</v>
          </cell>
          <cell r="Q899" t="str">
            <v>LED</v>
          </cell>
          <cell r="R899" t="str">
            <v>METAL</v>
          </cell>
          <cell r="S899" t="str">
            <v>ESKİTME</v>
          </cell>
          <cell r="T899" t="str">
            <v>MERMER</v>
          </cell>
          <cell r="U899" t="str">
            <v>BEYAZ</v>
          </cell>
          <cell r="Z899" t="str">
            <v>3000 K</v>
          </cell>
          <cell r="AD899" t="str">
            <v>ÇİFT AYDINLATMA</v>
          </cell>
          <cell r="AE899" t="str">
            <v>08</v>
          </cell>
          <cell r="AF899">
            <v>0</v>
          </cell>
          <cell r="AG899" t="str">
            <v>ADET</v>
          </cell>
          <cell r="AH899">
            <v>480</v>
          </cell>
          <cell r="AI899" t="str">
            <v>CNY</v>
          </cell>
          <cell r="AJ899">
            <v>20060</v>
          </cell>
          <cell r="AK899" t="str">
            <v>TL</v>
          </cell>
          <cell r="AL899">
            <v>1</v>
          </cell>
          <cell r="AM899" t="str">
            <v>8684127506878</v>
          </cell>
          <cell r="AO899">
            <v>0</v>
          </cell>
          <cell r="AQ899">
            <v>0</v>
          </cell>
          <cell r="AS899">
            <v>0</v>
          </cell>
          <cell r="AU899">
            <v>0</v>
          </cell>
          <cell r="AW899">
            <v>0</v>
          </cell>
        </row>
        <row r="900">
          <cell r="B900" t="str">
            <v>H1C3JMEWRBC-060</v>
          </cell>
          <cell r="C900" t="str">
            <v xml:space="preserve">HERMES BEYAZ MERMER  SARKIT </v>
          </cell>
          <cell r="D900" t="str">
            <v>HERMES WHITE MARBLE  PENDANT</v>
          </cell>
          <cell r="E900" t="str">
            <v xml:space="preserve">METAL MERMER ESKİTME BEYAZ   </v>
          </cell>
          <cell r="F900" t="str">
            <v/>
          </cell>
          <cell r="G900" t="str">
            <v>AVİZE</v>
          </cell>
          <cell r="H900" t="str">
            <v/>
          </cell>
          <cell r="I900" t="str">
            <v>İÇ</v>
          </cell>
          <cell r="J900" t="str">
            <v>AVİZE.SARK</v>
          </cell>
          <cell r="K900" t="str">
            <v>HERMES</v>
          </cell>
          <cell r="L900" t="str">
            <v>Y</v>
          </cell>
          <cell r="M900" t="str">
            <v/>
          </cell>
          <cell r="N900" t="str">
            <v>HKA-26</v>
          </cell>
          <cell r="O900" t="str">
            <v>HEKA</v>
          </cell>
          <cell r="P900" t="str">
            <v>ADET</v>
          </cell>
          <cell r="Q900" t="str">
            <v>G9</v>
          </cell>
          <cell r="R900" t="str">
            <v>METAL</v>
          </cell>
          <cell r="S900" t="str">
            <v>ESKİTME</v>
          </cell>
          <cell r="T900" t="str">
            <v>MERMER</v>
          </cell>
          <cell r="U900" t="str">
            <v>BEYAZ</v>
          </cell>
          <cell r="AD900" t="str">
            <v>SİLİNDİR</v>
          </cell>
          <cell r="AE900" t="str">
            <v>02</v>
          </cell>
          <cell r="AF900">
            <v>102</v>
          </cell>
          <cell r="AG900" t="str">
            <v>ADET</v>
          </cell>
          <cell r="AH900">
            <v>150</v>
          </cell>
          <cell r="AI900" t="str">
            <v>CNY</v>
          </cell>
          <cell r="AJ900">
            <v>7735</v>
          </cell>
          <cell r="AK900" t="str">
            <v>TL</v>
          </cell>
          <cell r="AL900">
            <v>1</v>
          </cell>
          <cell r="AM900" t="str">
            <v>8684127507370</v>
          </cell>
          <cell r="AO900">
            <v>0</v>
          </cell>
          <cell r="AQ900">
            <v>0</v>
          </cell>
          <cell r="AS900">
            <v>0</v>
          </cell>
          <cell r="AU900">
            <v>0</v>
          </cell>
          <cell r="AW900">
            <v>0</v>
          </cell>
        </row>
        <row r="901">
          <cell r="B901" t="str">
            <v>H1T6JMBLCTJ-022</v>
          </cell>
          <cell r="C901" t="str">
            <v>PORCINO BAKIR MASA LAMBASI</v>
          </cell>
          <cell r="D901" t="str">
            <v>PORCINO COPPER TABLE LAMP</v>
          </cell>
          <cell r="E901" t="str">
            <v xml:space="preserve">METAL PLEKSİ BAKIR SOFT   </v>
          </cell>
          <cell r="F901" t="str">
            <v/>
          </cell>
          <cell r="G901" t="str">
            <v>MASA LAMBASI</v>
          </cell>
          <cell r="H901" t="str">
            <v/>
          </cell>
          <cell r="I901" t="str">
            <v>İÇ</v>
          </cell>
          <cell r="J901" t="str">
            <v>MASAABAJ</v>
          </cell>
          <cell r="K901" t="str">
            <v>PORCINO</v>
          </cell>
          <cell r="L901" t="str">
            <v/>
          </cell>
          <cell r="M901" t="str">
            <v>30.09.2023</v>
          </cell>
          <cell r="N901" t="str">
            <v>5668665-C</v>
          </cell>
          <cell r="O901" t="str">
            <v>LAMBAM</v>
          </cell>
          <cell r="P901" t="str">
            <v>ADET</v>
          </cell>
          <cell r="Q901" t="str">
            <v>LED</v>
          </cell>
          <cell r="R901" t="str">
            <v>METAL</v>
          </cell>
          <cell r="S901" t="str">
            <v>BAKIR</v>
          </cell>
          <cell r="T901" t="str">
            <v>PLEKSİ</v>
          </cell>
          <cell r="U901" t="str">
            <v>SOFT</v>
          </cell>
          <cell r="AD901" t="str">
            <v>ŞARJLI</v>
          </cell>
          <cell r="AE901" t="str">
            <v>02</v>
          </cell>
          <cell r="AF901">
            <v>2</v>
          </cell>
          <cell r="AG901" t="str">
            <v>ADET</v>
          </cell>
          <cell r="AH901">
            <v>21</v>
          </cell>
          <cell r="AI901" t="str">
            <v>CNY</v>
          </cell>
          <cell r="AJ901">
            <v>1088</v>
          </cell>
          <cell r="AK901" t="str">
            <v>TL</v>
          </cell>
          <cell r="AL901">
            <v>1</v>
          </cell>
          <cell r="AM901" t="str">
            <v>8684127508063</v>
          </cell>
          <cell r="AO901">
            <v>0</v>
          </cell>
          <cell r="AQ901">
            <v>0</v>
          </cell>
          <cell r="AS901">
            <v>0</v>
          </cell>
          <cell r="AU901">
            <v>0</v>
          </cell>
          <cell r="AW901">
            <v>0</v>
          </cell>
        </row>
        <row r="902">
          <cell r="B902" t="str">
            <v>H1C3WRBJMEP-024</v>
          </cell>
          <cell r="C902" t="str">
            <v>PANDORA TEKLİ  MERMER SARKIT 235mm</v>
          </cell>
          <cell r="D902" t="str">
            <v>PANDORA SINGLE MARBLE PENDANT 235mm</v>
          </cell>
          <cell r="E902" t="str">
            <v xml:space="preserve">MERMER METAL BEYAZ ESKİTME     </v>
          </cell>
          <cell r="F902" t="str">
            <v/>
          </cell>
          <cell r="G902" t="str">
            <v>AVİZE</v>
          </cell>
          <cell r="H902" t="str">
            <v/>
          </cell>
          <cell r="I902" t="str">
            <v>İÇ</v>
          </cell>
          <cell r="J902" t="str">
            <v>AVİZE.SARK</v>
          </cell>
          <cell r="K902" t="str">
            <v>PANDORA</v>
          </cell>
          <cell r="L902" t="str">
            <v/>
          </cell>
          <cell r="M902" t="str">
            <v/>
          </cell>
          <cell r="N902" t="str">
            <v>HKA-44</v>
          </cell>
          <cell r="O902" t="str">
            <v>HEKA</v>
          </cell>
          <cell r="P902" t="str">
            <v>ADET</v>
          </cell>
          <cell r="Q902" t="str">
            <v>G9</v>
          </cell>
          <cell r="R902" t="str">
            <v>MERMER</v>
          </cell>
          <cell r="S902" t="str">
            <v>BEYAZ</v>
          </cell>
          <cell r="T902" t="str">
            <v>METAL</v>
          </cell>
          <cell r="U902" t="str">
            <v>ESKİTME</v>
          </cell>
          <cell r="AD902" t="str">
            <v>POLİGONAL</v>
          </cell>
          <cell r="AE902" t="str">
            <v>02</v>
          </cell>
          <cell r="AF902">
            <v>0</v>
          </cell>
          <cell r="AG902" t="str">
            <v>ADET</v>
          </cell>
          <cell r="AH902">
            <v>826</v>
          </cell>
          <cell r="AI902" t="str">
            <v>CNY</v>
          </cell>
          <cell r="AJ902">
            <v>41270</v>
          </cell>
          <cell r="AK902" t="str">
            <v>TL</v>
          </cell>
          <cell r="AL902">
            <v>1</v>
          </cell>
          <cell r="AM902" t="str">
            <v>8684127507516</v>
          </cell>
          <cell r="AO902">
            <v>0</v>
          </cell>
          <cell r="AQ902">
            <v>0</v>
          </cell>
          <cell r="AS902">
            <v>0</v>
          </cell>
          <cell r="AU902">
            <v>0</v>
          </cell>
          <cell r="AW902">
            <v>0</v>
          </cell>
        </row>
        <row r="903">
          <cell r="B903" t="str">
            <v>H1C3WRBJMEP-015</v>
          </cell>
          <cell r="C903" t="str">
            <v>PANDORA TEKLİ  MERMER SARKIT 150mm</v>
          </cell>
          <cell r="D903" t="str">
            <v>PANDORA SINGLE MARBLE PENDANT 150mm</v>
          </cell>
          <cell r="E903" t="str">
            <v xml:space="preserve">MERMER METAL BEYAZ ESKİTME     </v>
          </cell>
          <cell r="F903" t="str">
            <v/>
          </cell>
          <cell r="G903" t="str">
            <v>AVİZE</v>
          </cell>
          <cell r="H903" t="str">
            <v/>
          </cell>
          <cell r="I903" t="str">
            <v>İÇ</v>
          </cell>
          <cell r="J903" t="str">
            <v>AVİZE.SARK</v>
          </cell>
          <cell r="K903" t="str">
            <v>PANDORA</v>
          </cell>
          <cell r="L903" t="str">
            <v/>
          </cell>
          <cell r="M903" t="str">
            <v/>
          </cell>
          <cell r="N903" t="str">
            <v>HKA-45</v>
          </cell>
          <cell r="O903" t="str">
            <v>HEKA</v>
          </cell>
          <cell r="P903" t="str">
            <v>ADET</v>
          </cell>
          <cell r="Q903" t="str">
            <v>G9</v>
          </cell>
          <cell r="R903" t="str">
            <v>MERMER</v>
          </cell>
          <cell r="S903" t="str">
            <v>BEYAZ</v>
          </cell>
          <cell r="T903" t="str">
            <v>METAL</v>
          </cell>
          <cell r="U903" t="str">
            <v>ESKİTME</v>
          </cell>
          <cell r="AD903" t="str">
            <v>POLİGONAL</v>
          </cell>
          <cell r="AE903" t="str">
            <v>02</v>
          </cell>
          <cell r="AF903">
            <v>0</v>
          </cell>
          <cell r="AG903" t="str">
            <v>ADET</v>
          </cell>
          <cell r="AH903">
            <v>385</v>
          </cell>
          <cell r="AI903" t="str">
            <v>CNY</v>
          </cell>
          <cell r="AJ903">
            <v>18921</v>
          </cell>
          <cell r="AK903" t="str">
            <v>TL</v>
          </cell>
          <cell r="AL903">
            <v>1</v>
          </cell>
          <cell r="AM903" t="str">
            <v>8684127507523</v>
          </cell>
          <cell r="AO903">
            <v>0</v>
          </cell>
          <cell r="AQ903">
            <v>0</v>
          </cell>
          <cell r="AS903">
            <v>0</v>
          </cell>
          <cell r="AU903">
            <v>0</v>
          </cell>
          <cell r="AW903">
            <v>0</v>
          </cell>
        </row>
        <row r="904">
          <cell r="B904" t="str">
            <v>H1C3ECSJMED-100</v>
          </cell>
          <cell r="C904" t="str">
            <v>ASPAR 8 AKRİLİK ESKİTME YEMEK MASASI  AVİZE</v>
          </cell>
          <cell r="D904" t="str">
            <v>ASPAR 8 ACRYLIC DINING TABLE BRUSHED BRASS CHANDELIER</v>
          </cell>
          <cell r="E904" t="str">
            <v xml:space="preserve">CAM  METAL ŞEFFAF ESKİTME   </v>
          </cell>
          <cell r="F904" t="str">
            <v/>
          </cell>
          <cell r="G904" t="str">
            <v>AVİZE</v>
          </cell>
          <cell r="H904" t="str">
            <v/>
          </cell>
          <cell r="I904" t="str">
            <v>İÇ</v>
          </cell>
          <cell r="J904" t="str">
            <v>AVİZE.AVİZ</v>
          </cell>
          <cell r="K904" t="str">
            <v>ASPAR</v>
          </cell>
          <cell r="L904" t="str">
            <v/>
          </cell>
          <cell r="M904" t="str">
            <v/>
          </cell>
          <cell r="N904" t="str">
            <v>HKA-81</v>
          </cell>
          <cell r="O904" t="str">
            <v>HEKA</v>
          </cell>
          <cell r="P904" t="str">
            <v>ADET</v>
          </cell>
          <cell r="Q904" t="str">
            <v>G9</v>
          </cell>
          <cell r="R904" t="str">
            <v>AKRİLİK</v>
          </cell>
          <cell r="S904" t="str">
            <v>ŞEFFAF</v>
          </cell>
          <cell r="T904" t="str">
            <v>METAL</v>
          </cell>
          <cell r="U904" t="str">
            <v>ESKİTME</v>
          </cell>
          <cell r="AD904" t="str">
            <v>DİKDÖRTGEN</v>
          </cell>
          <cell r="AE904" t="str">
            <v>08</v>
          </cell>
          <cell r="AF904">
            <v>7</v>
          </cell>
          <cell r="AG904" t="str">
            <v>ADET</v>
          </cell>
          <cell r="AH904">
            <v>860</v>
          </cell>
          <cell r="AI904" t="str">
            <v>CNY</v>
          </cell>
          <cell r="AJ904">
            <v>42721</v>
          </cell>
          <cell r="AK904" t="str">
            <v>TL</v>
          </cell>
          <cell r="AL904">
            <v>1</v>
          </cell>
          <cell r="AM904" t="str">
            <v>8684127507837</v>
          </cell>
          <cell r="AO904">
            <v>0</v>
          </cell>
          <cell r="AQ904">
            <v>0</v>
          </cell>
          <cell r="AS904">
            <v>0</v>
          </cell>
          <cell r="AU904">
            <v>0</v>
          </cell>
          <cell r="AW904">
            <v>0</v>
          </cell>
        </row>
        <row r="905">
          <cell r="B905" t="str">
            <v>H1C6JMEWRBB-040</v>
          </cell>
          <cell r="C905" t="str">
            <v>ILICA TEKLİ MERMER SARKIT AVİZE 40cm</v>
          </cell>
          <cell r="D905" t="str">
            <v>ILICA SINGLE PLATINUM PENDANT 40cm</v>
          </cell>
          <cell r="E905" t="str">
            <v xml:space="preserve">METAL MERMER ESKİTME BEYAZ   </v>
          </cell>
          <cell r="F905" t="str">
            <v/>
          </cell>
          <cell r="G905" t="str">
            <v>AVİZE</v>
          </cell>
          <cell r="H905" t="str">
            <v/>
          </cell>
          <cell r="I905" t="str">
            <v>İÇ</v>
          </cell>
          <cell r="J905" t="str">
            <v>AVİZE.AVİZ</v>
          </cell>
          <cell r="K905" t="str">
            <v>ILICA</v>
          </cell>
          <cell r="L905" t="str">
            <v/>
          </cell>
          <cell r="M905" t="str">
            <v/>
          </cell>
          <cell r="N905" t="str">
            <v>HKA-40</v>
          </cell>
          <cell r="O905" t="str">
            <v>HEKA</v>
          </cell>
          <cell r="P905" t="str">
            <v>ADET</v>
          </cell>
          <cell r="Q905" t="str">
            <v>LED</v>
          </cell>
          <cell r="R905" t="str">
            <v>METAL</v>
          </cell>
          <cell r="S905" t="str">
            <v>ESKİTME</v>
          </cell>
          <cell r="T905" t="str">
            <v>MERMER</v>
          </cell>
          <cell r="U905" t="str">
            <v>ESKİTME</v>
          </cell>
          <cell r="AD905" t="str">
            <v>SİMİT</v>
          </cell>
          <cell r="AE905" t="str">
            <v>02</v>
          </cell>
          <cell r="AF905">
            <v>0</v>
          </cell>
          <cell r="AG905" t="str">
            <v>ADET</v>
          </cell>
          <cell r="AH905">
            <v>780</v>
          </cell>
          <cell r="AI905" t="str">
            <v>CNY</v>
          </cell>
          <cell r="AJ905">
            <v>38985</v>
          </cell>
          <cell r="AK905" t="str">
            <v>TL</v>
          </cell>
          <cell r="AL905">
            <v>1</v>
          </cell>
          <cell r="AM905" t="str">
            <v>8684127508001</v>
          </cell>
          <cell r="AO905">
            <v>0</v>
          </cell>
          <cell r="AQ905">
            <v>0</v>
          </cell>
          <cell r="AS905">
            <v>0</v>
          </cell>
          <cell r="AU905">
            <v>0</v>
          </cell>
          <cell r="AW905">
            <v>0</v>
          </cell>
        </row>
        <row r="906">
          <cell r="B906" t="str">
            <v>H1C1JMEECSU-024</v>
          </cell>
          <cell r="C906" t="str">
            <v>DARFUR CAM ESKİTME SARKIT 24cm</v>
          </cell>
          <cell r="D906" t="str">
            <v>DARFUR GLASS BRUSHED BRASS PENDANT 24cm</v>
          </cell>
          <cell r="E906" t="str">
            <v xml:space="preserve">METAL CAM  ESKİTME ŞEFFAF   </v>
          </cell>
          <cell r="F906" t="str">
            <v>9405.19.90.00.00</v>
          </cell>
          <cell r="G906" t="str">
            <v>AVİZE</v>
          </cell>
          <cell r="H906" t="str">
            <v>T1A1112400-24</v>
          </cell>
          <cell r="I906" t="str">
            <v>İÇ</v>
          </cell>
          <cell r="J906" t="str">
            <v>AVİZE.SARK</v>
          </cell>
          <cell r="K906" t="str">
            <v>DARFUR</v>
          </cell>
          <cell r="L906" t="str">
            <v/>
          </cell>
          <cell r="M906" t="str">
            <v/>
          </cell>
          <cell r="N906" t="str">
            <v>T-3</v>
          </cell>
          <cell r="O906" t="str">
            <v>HEKA</v>
          </cell>
          <cell r="P906" t="str">
            <v>ADET</v>
          </cell>
          <cell r="Q906" t="str">
            <v>E14</v>
          </cell>
          <cell r="R906" t="str">
            <v>METAL</v>
          </cell>
          <cell r="S906" t="str">
            <v>ESKİTME</v>
          </cell>
          <cell r="T906" t="str">
            <v>CAM</v>
          </cell>
          <cell r="U906" t="str">
            <v>ŞEFFAF</v>
          </cell>
          <cell r="AD906" t="str">
            <v>ÜÇGEN</v>
          </cell>
          <cell r="AE906" t="str">
            <v>02</v>
          </cell>
          <cell r="AF906">
            <v>3</v>
          </cell>
          <cell r="AG906" t="str">
            <v>ADET</v>
          </cell>
          <cell r="AH906">
            <v>200</v>
          </cell>
          <cell r="AI906" t="str">
            <v>TL</v>
          </cell>
          <cell r="AJ906">
            <v>2714</v>
          </cell>
          <cell r="AK906" t="str">
            <v>TL</v>
          </cell>
          <cell r="AL906">
            <v>1</v>
          </cell>
          <cell r="AM906" t="str">
            <v>8684127501880</v>
          </cell>
          <cell r="AO906">
            <v>0</v>
          </cell>
          <cell r="AQ906">
            <v>24</v>
          </cell>
          <cell r="AR906" t="str">
            <v>CM</v>
          </cell>
          <cell r="AS906">
            <v>24</v>
          </cell>
          <cell r="AT906" t="str">
            <v>CM</v>
          </cell>
          <cell r="AU906">
            <v>0</v>
          </cell>
          <cell r="AW906">
            <v>0</v>
          </cell>
        </row>
        <row r="907">
          <cell r="B907" t="str">
            <v>F1C2MRGJRS0-055</v>
          </cell>
          <cell r="C907" t="str">
            <v>STONE GRİ KAYA SARKIT 55cm</v>
          </cell>
          <cell r="D907" t="str">
            <v>STONE GREY ROCK PENDANT 55cm</v>
          </cell>
          <cell r="E907" t="str">
            <v>POLİKARBON METAL GRİ SİYAH</v>
          </cell>
          <cell r="F907" t="str">
            <v>9405.19.40.00.00</v>
          </cell>
          <cell r="G907" t="str">
            <v>AVİZE</v>
          </cell>
          <cell r="H907" t="str">
            <v>F1A2L11400-55</v>
          </cell>
          <cell r="I907" t="str">
            <v>İÇ</v>
          </cell>
          <cell r="J907" t="str">
            <v>AVİZE.AVİZ</v>
          </cell>
          <cell r="K907" t="str">
            <v>STONE</v>
          </cell>
          <cell r="L907" t="str">
            <v/>
          </cell>
          <cell r="M907" t="str">
            <v>ÜRTM:15GÜN</v>
          </cell>
          <cell r="N907" t="str">
            <v/>
          </cell>
          <cell r="O907" t="str">
            <v>HEKA</v>
          </cell>
          <cell r="P907" t="str">
            <v>ADET</v>
          </cell>
          <cell r="Q907" t="str">
            <v>E27</v>
          </cell>
          <cell r="R907" t="str">
            <v>POLİKARBON</v>
          </cell>
          <cell r="S907" t="str">
            <v>GRİ</v>
          </cell>
          <cell r="T907" t="str">
            <v>METAL</v>
          </cell>
          <cell r="U907" t="str">
            <v>SİYAH</v>
          </cell>
          <cell r="AD907" t="str">
            <v>N/A</v>
          </cell>
          <cell r="AE907" t="str">
            <v>01</v>
          </cell>
          <cell r="AF907">
            <v>0</v>
          </cell>
          <cell r="AG907" t="str">
            <v>ADET</v>
          </cell>
          <cell r="AH907">
            <v>3400</v>
          </cell>
          <cell r="AI907" t="str">
            <v>TL</v>
          </cell>
          <cell r="AJ907">
            <v>13950</v>
          </cell>
          <cell r="AK907" t="str">
            <v>TL</v>
          </cell>
          <cell r="AL907">
            <v>1</v>
          </cell>
          <cell r="AM907" t="str">
            <v>8684127504966</v>
          </cell>
          <cell r="AO907">
            <v>0</v>
          </cell>
          <cell r="AQ907">
            <v>0</v>
          </cell>
          <cell r="AR907" t="str">
            <v>CM</v>
          </cell>
          <cell r="AS907">
            <v>55</v>
          </cell>
          <cell r="AT907" t="str">
            <v>CM</v>
          </cell>
          <cell r="AU907">
            <v>0</v>
          </cell>
          <cell r="AW907">
            <v>0</v>
          </cell>
        </row>
        <row r="908">
          <cell r="B908" t="str">
            <v>F1C2MRBJRB0-025</v>
          </cell>
          <cell r="C908" t="str">
            <v>STONE BEYAZ KAYA SARKIT 25cm</v>
          </cell>
          <cell r="D908" t="str">
            <v>STONE WHITE ROCK PENDANT 25cm</v>
          </cell>
          <cell r="E908" t="str">
            <v>POLİKARBON METAL BEYAZ BEYAZ</v>
          </cell>
          <cell r="F908" t="str">
            <v>9405.19.40.00.00</v>
          </cell>
          <cell r="G908" t="str">
            <v>AVİZE</v>
          </cell>
          <cell r="H908" t="str">
            <v>F1A2L21900-25</v>
          </cell>
          <cell r="I908" t="str">
            <v>İÇ</v>
          </cell>
          <cell r="J908" t="str">
            <v>AVİZE.AVİZ</v>
          </cell>
          <cell r="K908" t="str">
            <v>STONE</v>
          </cell>
          <cell r="L908" t="str">
            <v/>
          </cell>
          <cell r="M908" t="str">
            <v>ÜRTM:15GÜN</v>
          </cell>
          <cell r="N908" t="str">
            <v/>
          </cell>
          <cell r="O908" t="str">
            <v>HEKA</v>
          </cell>
          <cell r="P908" t="str">
            <v>ADET</v>
          </cell>
          <cell r="Q908" t="str">
            <v>E27</v>
          </cell>
          <cell r="R908" t="str">
            <v>POLİKARBON</v>
          </cell>
          <cell r="S908" t="str">
            <v>BEYAZ</v>
          </cell>
          <cell r="T908" t="str">
            <v>METAL</v>
          </cell>
          <cell r="U908" t="str">
            <v>BEYAZ</v>
          </cell>
          <cell r="AD908" t="str">
            <v>N/A</v>
          </cell>
          <cell r="AE908" t="str">
            <v>01</v>
          </cell>
          <cell r="AF908">
            <v>0</v>
          </cell>
          <cell r="AG908" t="str">
            <v>ADET</v>
          </cell>
          <cell r="AH908">
            <v>1900</v>
          </cell>
          <cell r="AI908" t="str">
            <v>TL</v>
          </cell>
          <cell r="AJ908">
            <v>8950</v>
          </cell>
          <cell r="AK908" t="str">
            <v>TL</v>
          </cell>
          <cell r="AL908">
            <v>1</v>
          </cell>
          <cell r="AM908" t="str">
            <v>8684127505338</v>
          </cell>
          <cell r="AO908">
            <v>0</v>
          </cell>
          <cell r="AQ908">
            <v>0</v>
          </cell>
          <cell r="AR908" t="str">
            <v>CM</v>
          </cell>
          <cell r="AS908">
            <v>25</v>
          </cell>
          <cell r="AT908" t="str">
            <v>CM</v>
          </cell>
          <cell r="AU908">
            <v>0</v>
          </cell>
          <cell r="AW908">
            <v>0</v>
          </cell>
        </row>
        <row r="909">
          <cell r="B909" t="str">
            <v>H1W6JMG0000-106</v>
          </cell>
          <cell r="C909" t="str">
            <v>CAKARTA DÖKÜM LEDLİ ALTIN RENK APLİK 106 cm</v>
          </cell>
          <cell r="D909" t="str">
            <v>CAKARTA LED GOLD WALL LAMP 106 cm</v>
          </cell>
          <cell r="E909" t="str">
            <v xml:space="preserve">METAL YOK GOLD YOK   </v>
          </cell>
          <cell r="F909" t="str">
            <v>9405.11.40.00.00</v>
          </cell>
          <cell r="G909" t="str">
            <v>APLİK</v>
          </cell>
          <cell r="H909" t="str">
            <v/>
          </cell>
          <cell r="I909" t="str">
            <v>İÇ</v>
          </cell>
          <cell r="J909" t="str">
            <v>APLİK</v>
          </cell>
          <cell r="K909" t="str">
            <v>CAKARTA</v>
          </cell>
          <cell r="L909" t="str">
            <v>N/A</v>
          </cell>
          <cell r="M909" t="str">
            <v/>
          </cell>
          <cell r="N909" t="str">
            <v/>
          </cell>
          <cell r="O909" t="str">
            <v>HEKA</v>
          </cell>
          <cell r="P909" t="str">
            <v>ADET</v>
          </cell>
          <cell r="Q909" t="str">
            <v>LED</v>
          </cell>
          <cell r="R909" t="str">
            <v>METAL</v>
          </cell>
          <cell r="S909" t="str">
            <v>GOLD</v>
          </cell>
          <cell r="T909" t="str">
            <v>YOK</v>
          </cell>
          <cell r="U909" t="str">
            <v>YOK</v>
          </cell>
          <cell r="AD909" t="str">
            <v>N/A</v>
          </cell>
          <cell r="AE909" t="str">
            <v>01</v>
          </cell>
          <cell r="AF909">
            <v>0</v>
          </cell>
          <cell r="AG909" t="str">
            <v>ADET</v>
          </cell>
          <cell r="AH909">
            <v>2250</v>
          </cell>
          <cell r="AI909" t="str">
            <v>TL</v>
          </cell>
          <cell r="AJ909">
            <v>4950</v>
          </cell>
          <cell r="AK909" t="str">
            <v>TL</v>
          </cell>
          <cell r="AL909">
            <v>1</v>
          </cell>
          <cell r="AM909" t="str">
            <v>8684127510080</v>
          </cell>
          <cell r="AO909">
            <v>0</v>
          </cell>
          <cell r="AQ909">
            <v>6</v>
          </cell>
          <cell r="AR909" t="str">
            <v>CM</v>
          </cell>
          <cell r="AS909">
            <v>106</v>
          </cell>
          <cell r="AT909" t="str">
            <v>CM</v>
          </cell>
          <cell r="AU909">
            <v>0</v>
          </cell>
          <cell r="AW909">
            <v>0</v>
          </cell>
        </row>
        <row r="910">
          <cell r="B910" t="str">
            <v>CK4G2S3M3A551</v>
          </cell>
          <cell r="C910" t="str">
            <v>ERD-276 ŞEFFAF 12V 2W 3000K G4 LED AMPUL</v>
          </cell>
          <cell r="D910" t="str">
            <v>ERD-276 CLEAR 12V 2W 3000K G4 LED BULB</v>
          </cell>
          <cell r="E910" t="str">
            <v>SİLİKON METAL ŞEFFAF  SMD LED DIMMLI KARMA</v>
          </cell>
          <cell r="F910" t="str">
            <v>9405.19.40.00.00</v>
          </cell>
          <cell r="G910" t="str">
            <v>AMPUL</v>
          </cell>
          <cell r="H910" t="str">
            <v/>
          </cell>
          <cell r="I910" t="str">
            <v>İÇ</v>
          </cell>
          <cell r="J910" t="str">
            <v>AMPUL</v>
          </cell>
          <cell r="K910" t="str">
            <v>ERD-276</v>
          </cell>
          <cell r="L910" t="str">
            <v/>
          </cell>
          <cell r="M910" t="str">
            <v>30.01.2026</v>
          </cell>
          <cell r="N910" t="str">
            <v>ERD-276</v>
          </cell>
          <cell r="O910" t="str">
            <v>HEKA</v>
          </cell>
          <cell r="P910" t="str">
            <v>ADET</v>
          </cell>
          <cell r="Q910" t="str">
            <v>G4</v>
          </cell>
          <cell r="R910" t="str">
            <v>SİLİKON</v>
          </cell>
          <cell r="S910" t="str">
            <v>ŞEFFAF</v>
          </cell>
          <cell r="T910" t="str">
            <v>METAL</v>
          </cell>
          <cell r="V910" t="str">
            <v>G</v>
          </cell>
          <cell r="W910" t="str">
            <v>SMD LED</v>
          </cell>
          <cell r="X910" t="str">
            <v>12V</v>
          </cell>
          <cell r="Y910" t="str">
            <v>2 WATT</v>
          </cell>
          <cell r="Z910" t="str">
            <v>3000 K</v>
          </cell>
          <cell r="AA910" t="str">
            <v>DIMMSIZ</v>
          </cell>
          <cell r="AB910" t="str">
            <v>101-200</v>
          </cell>
          <cell r="AC910" t="str">
            <v>KARMA</v>
          </cell>
          <cell r="AD910" t="str">
            <v>N/A</v>
          </cell>
          <cell r="AF910">
            <v>1</v>
          </cell>
          <cell r="AG910" t="str">
            <v>ADET</v>
          </cell>
          <cell r="AH910">
            <v>1.8</v>
          </cell>
          <cell r="AI910" t="str">
            <v>CNY</v>
          </cell>
          <cell r="AJ910">
            <v>1.3</v>
          </cell>
          <cell r="AK910" t="str">
            <v>USD</v>
          </cell>
          <cell r="AL910">
            <v>1</v>
          </cell>
          <cell r="AM910" t="str">
            <v>8684127503181</v>
          </cell>
          <cell r="AN910" t="str">
            <v>8684127516075</v>
          </cell>
          <cell r="AO910">
            <v>0</v>
          </cell>
          <cell r="AQ910">
            <v>1</v>
          </cell>
          <cell r="AR910" t="str">
            <v>CM</v>
          </cell>
          <cell r="AS910">
            <v>4</v>
          </cell>
          <cell r="AT910" t="str">
            <v>CM</v>
          </cell>
          <cell r="AU910">
            <v>0</v>
          </cell>
          <cell r="AW910">
            <v>0</v>
          </cell>
        </row>
        <row r="911">
          <cell r="B911" t="str">
            <v>F1W5AAJJSRH-007</v>
          </cell>
          <cell r="C911" t="str">
            <v>ANGEL TEKLİ AHŞAP &amp; SİYAH APLİK</v>
          </cell>
          <cell r="D911" t="str">
            <v>ANGEL SINGLE WOOD &amp; BLACK WALL LAMP</v>
          </cell>
          <cell r="E911" t="str">
            <v xml:space="preserve">AHŞAP METAL JATOBA SİYAH   </v>
          </cell>
          <cell r="F911" t="str">
            <v>9405.19.90.00.00</v>
          </cell>
          <cell r="G911" t="str">
            <v>APLİK</v>
          </cell>
          <cell r="H911" t="str">
            <v/>
          </cell>
          <cell r="I911" t="str">
            <v>İÇ</v>
          </cell>
          <cell r="J911" t="str">
            <v>APLİK</v>
          </cell>
          <cell r="K911" t="str">
            <v>ANGEL</v>
          </cell>
          <cell r="L911" t="str">
            <v/>
          </cell>
          <cell r="M911" t="str">
            <v/>
          </cell>
          <cell r="N911" t="str">
            <v/>
          </cell>
          <cell r="O911" t="str">
            <v>ISHI</v>
          </cell>
          <cell r="P911" t="str">
            <v>ADET</v>
          </cell>
          <cell r="Q911" t="str">
            <v>GU10</v>
          </cell>
          <cell r="R911" t="str">
            <v>AHŞAP</v>
          </cell>
          <cell r="S911" t="str">
            <v>JATOBA</v>
          </cell>
          <cell r="T911" t="str">
            <v>METAL</v>
          </cell>
          <cell r="U911" t="str">
            <v>SİYAH</v>
          </cell>
          <cell r="AD911" t="str">
            <v>HAREKETLİ</v>
          </cell>
          <cell r="AE911" t="str">
            <v>01</v>
          </cell>
          <cell r="AF911">
            <v>23</v>
          </cell>
          <cell r="AG911" t="str">
            <v>ADET</v>
          </cell>
          <cell r="AH911">
            <v>100</v>
          </cell>
          <cell r="AI911" t="str">
            <v>TL</v>
          </cell>
          <cell r="AJ911">
            <v>1476</v>
          </cell>
          <cell r="AK911" t="str">
            <v>TL</v>
          </cell>
          <cell r="AL911">
            <v>1</v>
          </cell>
          <cell r="AM911" t="str">
            <v>8684127503334</v>
          </cell>
          <cell r="AO911">
            <v>0</v>
          </cell>
          <cell r="AQ911">
            <v>12.6</v>
          </cell>
          <cell r="AR911" t="str">
            <v>CM</v>
          </cell>
          <cell r="AS911">
            <v>7</v>
          </cell>
          <cell r="AT911" t="str">
            <v>CM</v>
          </cell>
          <cell r="AU911">
            <v>0</v>
          </cell>
          <cell r="AW911">
            <v>0</v>
          </cell>
        </row>
        <row r="912">
          <cell r="B912" t="str">
            <v>F1W5AAJJSRH-049</v>
          </cell>
          <cell r="C912" t="str">
            <v>ANGEL İKİLİ AHŞAP &amp; SİYAH APLİK</v>
          </cell>
          <cell r="D912" t="str">
            <v>ANGEL DOUBLE WOOD &amp; BLACK WALL LAMP</v>
          </cell>
          <cell r="E912" t="str">
            <v xml:space="preserve">AHŞAP METAL JATOBA SİYAH   </v>
          </cell>
          <cell r="F912" t="str">
            <v>9405.19.90.00.00</v>
          </cell>
          <cell r="G912" t="str">
            <v>APLİK</v>
          </cell>
          <cell r="H912" t="str">
            <v/>
          </cell>
          <cell r="I912" t="str">
            <v>İÇ</v>
          </cell>
          <cell r="J912" t="str">
            <v>APLİK</v>
          </cell>
          <cell r="K912" t="str">
            <v>ANGEL</v>
          </cell>
          <cell r="L912" t="str">
            <v/>
          </cell>
          <cell r="M912" t="str">
            <v/>
          </cell>
          <cell r="N912" t="str">
            <v/>
          </cell>
          <cell r="O912" t="str">
            <v>ISHI</v>
          </cell>
          <cell r="P912" t="str">
            <v>ADET</v>
          </cell>
          <cell r="Q912" t="str">
            <v>GU10</v>
          </cell>
          <cell r="R912" t="str">
            <v>AHŞAP</v>
          </cell>
          <cell r="S912" t="str">
            <v>JATOBA</v>
          </cell>
          <cell r="T912" t="str">
            <v>METAL</v>
          </cell>
          <cell r="U912" t="str">
            <v>SİYAH</v>
          </cell>
          <cell r="AD912" t="str">
            <v>HAREKETLİ</v>
          </cell>
          <cell r="AE912" t="str">
            <v>02</v>
          </cell>
          <cell r="AF912">
            <v>11</v>
          </cell>
          <cell r="AG912" t="str">
            <v>ADET</v>
          </cell>
          <cell r="AH912">
            <v>190</v>
          </cell>
          <cell r="AI912" t="str">
            <v>TL</v>
          </cell>
          <cell r="AJ912">
            <v>3047</v>
          </cell>
          <cell r="AK912" t="str">
            <v>TL</v>
          </cell>
          <cell r="AL912">
            <v>1</v>
          </cell>
          <cell r="AM912" t="str">
            <v>8684127503341</v>
          </cell>
          <cell r="AO912">
            <v>0</v>
          </cell>
          <cell r="AQ912">
            <v>12.6</v>
          </cell>
          <cell r="AR912" t="str">
            <v>CM</v>
          </cell>
          <cell r="AS912">
            <v>49</v>
          </cell>
          <cell r="AT912" t="str">
            <v>CM</v>
          </cell>
          <cell r="AU912">
            <v>0</v>
          </cell>
          <cell r="AW912">
            <v>0</v>
          </cell>
        </row>
        <row r="913">
          <cell r="B913" t="str">
            <v>F1W5AAWJSRH-074</v>
          </cell>
          <cell r="C913" t="str">
            <v>VICTORIA ÜÇLÜ AHŞAP &amp; SİYAH APLİK</v>
          </cell>
          <cell r="D913" t="str">
            <v>VICTORIA TRIPLE WOOD &amp; BLACK WALL LAMP</v>
          </cell>
          <cell r="E913" t="str">
            <v xml:space="preserve">AHŞAP METAL WENGE SİYAH   </v>
          </cell>
          <cell r="F913" t="str">
            <v>9405.19.90.00.00</v>
          </cell>
          <cell r="G913" t="str">
            <v>APLİK</v>
          </cell>
          <cell r="H913" t="str">
            <v/>
          </cell>
          <cell r="I913" t="str">
            <v>İÇ</v>
          </cell>
          <cell r="J913" t="str">
            <v>APLİK</v>
          </cell>
          <cell r="K913" t="str">
            <v>VICTORIA</v>
          </cell>
          <cell r="L913" t="str">
            <v/>
          </cell>
          <cell r="M913" t="str">
            <v/>
          </cell>
          <cell r="N913" t="str">
            <v/>
          </cell>
          <cell r="O913" t="str">
            <v>ISHI</v>
          </cell>
          <cell r="P913" t="str">
            <v>ADET</v>
          </cell>
          <cell r="Q913" t="str">
            <v>GU10</v>
          </cell>
          <cell r="R913" t="str">
            <v>AHŞAP</v>
          </cell>
          <cell r="S913" t="str">
            <v>WENGE</v>
          </cell>
          <cell r="T913" t="str">
            <v>METAL</v>
          </cell>
          <cell r="U913" t="str">
            <v>SİYAH</v>
          </cell>
          <cell r="AD913" t="str">
            <v>HAREKETLİ</v>
          </cell>
          <cell r="AE913" t="str">
            <v>03</v>
          </cell>
          <cell r="AF913">
            <v>2</v>
          </cell>
          <cell r="AG913" t="str">
            <v>ADET</v>
          </cell>
          <cell r="AH913">
            <v>280</v>
          </cell>
          <cell r="AI913" t="str">
            <v>TL</v>
          </cell>
          <cell r="AJ913">
            <v>3927</v>
          </cell>
          <cell r="AK913" t="str">
            <v>TL</v>
          </cell>
          <cell r="AL913">
            <v>1</v>
          </cell>
          <cell r="AM913" t="str">
            <v>8684127503471</v>
          </cell>
          <cell r="AO913">
            <v>0</v>
          </cell>
          <cell r="AQ913">
            <v>12.6</v>
          </cell>
          <cell r="AR913" t="str">
            <v>CM</v>
          </cell>
          <cell r="AS913">
            <v>74</v>
          </cell>
          <cell r="AT913" t="str">
            <v>CM</v>
          </cell>
          <cell r="AU913">
            <v>0</v>
          </cell>
          <cell r="AW913">
            <v>0</v>
          </cell>
        </row>
        <row r="914">
          <cell r="B914" t="str">
            <v>F1W5AAWJSRH-099</v>
          </cell>
          <cell r="C914" t="str">
            <v>VICTORIA DÖRTLÜ AHŞAP &amp; SİYAH APLİK</v>
          </cell>
          <cell r="D914" t="str">
            <v>VICTORIA QUATERNARY WOOD &amp; BLACK WALL LAMP</v>
          </cell>
          <cell r="E914" t="str">
            <v xml:space="preserve">AHŞAP METAL WENGE SİYAH   </v>
          </cell>
          <cell r="F914" t="str">
            <v>9405.19.90.00.00</v>
          </cell>
          <cell r="G914" t="str">
            <v>APLİK</v>
          </cell>
          <cell r="H914" t="str">
            <v/>
          </cell>
          <cell r="I914" t="str">
            <v>İÇ</v>
          </cell>
          <cell r="J914" t="str">
            <v>APLİK</v>
          </cell>
          <cell r="K914" t="str">
            <v>VICTORIA</v>
          </cell>
          <cell r="L914" t="str">
            <v/>
          </cell>
          <cell r="M914" t="str">
            <v/>
          </cell>
          <cell r="N914" t="str">
            <v/>
          </cell>
          <cell r="O914" t="str">
            <v>ISHI</v>
          </cell>
          <cell r="P914" t="str">
            <v>ADET</v>
          </cell>
          <cell r="Q914" t="str">
            <v>GU10</v>
          </cell>
          <cell r="R914" t="str">
            <v>AHŞAP</v>
          </cell>
          <cell r="S914" t="str">
            <v>WENGE</v>
          </cell>
          <cell r="T914" t="str">
            <v>METAL</v>
          </cell>
          <cell r="U914" t="str">
            <v>SİYAH</v>
          </cell>
          <cell r="AD914" t="str">
            <v>HAREKETLİ</v>
          </cell>
          <cell r="AE914" t="str">
            <v>04</v>
          </cell>
          <cell r="AF914">
            <v>5</v>
          </cell>
          <cell r="AG914" t="str">
            <v>ADET</v>
          </cell>
          <cell r="AH914">
            <v>370</v>
          </cell>
          <cell r="AI914" t="str">
            <v>TL</v>
          </cell>
          <cell r="AJ914">
            <v>5546</v>
          </cell>
          <cell r="AK914" t="str">
            <v>TL</v>
          </cell>
          <cell r="AL914">
            <v>1</v>
          </cell>
          <cell r="AM914" t="str">
            <v>8684127503488</v>
          </cell>
          <cell r="AO914">
            <v>0</v>
          </cell>
          <cell r="AQ914">
            <v>12.6</v>
          </cell>
          <cell r="AR914" t="str">
            <v>CM</v>
          </cell>
          <cell r="AS914">
            <v>99</v>
          </cell>
          <cell r="AT914" t="str">
            <v>CM</v>
          </cell>
          <cell r="AU914">
            <v>0</v>
          </cell>
          <cell r="AW914">
            <v>0</v>
          </cell>
        </row>
        <row r="915">
          <cell r="B915" t="str">
            <v>H1W3JMKECT0-052</v>
          </cell>
          <cell r="C915" t="str">
            <v>MELİD İKİ CAMLI L MODEL KROM APLİK</v>
          </cell>
          <cell r="D915" t="str">
            <v>MELİD 2 GLASS L MODEL CHROME WALL LAMP</v>
          </cell>
          <cell r="E915" t="str">
            <v xml:space="preserve">METAL CAM  KROM SOFT   </v>
          </cell>
          <cell r="F915" t="str">
            <v/>
          </cell>
          <cell r="G915" t="str">
            <v>APLİK</v>
          </cell>
          <cell r="H915" t="str">
            <v/>
          </cell>
          <cell r="I915" t="str">
            <v>İÇ</v>
          </cell>
          <cell r="J915" t="str">
            <v>APLİK</v>
          </cell>
          <cell r="K915" t="str">
            <v>MELİD</v>
          </cell>
          <cell r="L915" t="str">
            <v/>
          </cell>
          <cell r="M915" t="str">
            <v>ÜRTM:15GÜN</v>
          </cell>
          <cell r="N915" t="str">
            <v/>
          </cell>
          <cell r="O915" t="str">
            <v>HEKA</v>
          </cell>
          <cell r="P915" t="str">
            <v>ADET</v>
          </cell>
          <cell r="Q915" t="str">
            <v>G9</v>
          </cell>
          <cell r="R915" t="str">
            <v>METAL</v>
          </cell>
          <cell r="S915" t="str">
            <v>KROM</v>
          </cell>
          <cell r="T915" t="str">
            <v>CAM</v>
          </cell>
          <cell r="U915" t="str">
            <v>SOFT</v>
          </cell>
          <cell r="AE915" t="str">
            <v>03</v>
          </cell>
          <cell r="AF915">
            <v>0</v>
          </cell>
          <cell r="AG915" t="str">
            <v>ADET</v>
          </cell>
          <cell r="AJ915">
            <v>4403</v>
          </cell>
          <cell r="AK915" t="str">
            <v>TL</v>
          </cell>
          <cell r="AL915">
            <v>1</v>
          </cell>
          <cell r="AM915" t="str">
            <v>8684127510097</v>
          </cell>
          <cell r="AO915">
            <v>0</v>
          </cell>
          <cell r="AQ915">
            <v>0</v>
          </cell>
          <cell r="AR915" t="str">
            <v>CM</v>
          </cell>
          <cell r="AS915">
            <v>0</v>
          </cell>
          <cell r="AT915" t="str">
            <v>CM</v>
          </cell>
          <cell r="AU915">
            <v>0</v>
          </cell>
          <cell r="AW915">
            <v>0</v>
          </cell>
        </row>
        <row r="916">
          <cell r="B916" t="str">
            <v>H1W2JRSECT0-032</v>
          </cell>
          <cell r="C916" t="str">
            <v>HUDAT SIVAMA SİYAH KOLLU APLİK 15cm</v>
          </cell>
          <cell r="D916" t="str">
            <v>HUDAT BLACK SLEEVED WALL LAMP 15cm</v>
          </cell>
          <cell r="E916" t="str">
            <v xml:space="preserve">METAL CAM  SİYAH SOFT   </v>
          </cell>
          <cell r="F916" t="str">
            <v/>
          </cell>
          <cell r="G916" t="str">
            <v>APLİK</v>
          </cell>
          <cell r="H916" t="str">
            <v/>
          </cell>
          <cell r="I916" t="str">
            <v>İÇ</v>
          </cell>
          <cell r="J916" t="str">
            <v>APLİK</v>
          </cell>
          <cell r="K916" t="str">
            <v>HUDAT</v>
          </cell>
          <cell r="L916" t="str">
            <v/>
          </cell>
          <cell r="M916" t="str">
            <v/>
          </cell>
          <cell r="N916" t="str">
            <v/>
          </cell>
          <cell r="O916" t="str">
            <v>HEKA</v>
          </cell>
          <cell r="P916" t="str">
            <v>ADET</v>
          </cell>
          <cell r="Q916" t="str">
            <v>E27</v>
          </cell>
          <cell r="R916" t="str">
            <v>METAL</v>
          </cell>
          <cell r="S916" t="str">
            <v>SİYAH</v>
          </cell>
          <cell r="T916" t="str">
            <v>CAM</v>
          </cell>
          <cell r="U916" t="str">
            <v>SOFT</v>
          </cell>
          <cell r="AE916" t="str">
            <v>02</v>
          </cell>
          <cell r="AF916">
            <v>2</v>
          </cell>
          <cell r="AG916" t="str">
            <v>ADET</v>
          </cell>
          <cell r="AJ916">
            <v>1333</v>
          </cell>
          <cell r="AK916" t="str">
            <v>TL</v>
          </cell>
          <cell r="AL916">
            <v>1</v>
          </cell>
          <cell r="AM916" t="str">
            <v>8684127510103</v>
          </cell>
          <cell r="AO916">
            <v>0</v>
          </cell>
          <cell r="AQ916">
            <v>0</v>
          </cell>
          <cell r="AR916" t="str">
            <v>CM</v>
          </cell>
          <cell r="AS916">
            <v>0</v>
          </cell>
          <cell r="AT916" t="str">
            <v>CM</v>
          </cell>
          <cell r="AU916">
            <v>0</v>
          </cell>
          <cell r="AW916">
            <v>0</v>
          </cell>
        </row>
        <row r="917">
          <cell r="B917" t="str">
            <v>T1C2ERLJRS0-025</v>
          </cell>
          <cell r="C917" t="str">
            <v>TABIT TEKLİ BAL CAM AVİZE</v>
          </cell>
          <cell r="D917" t="str">
            <v>TABIT SINGLE AMBER GLASS CHANDELIER</v>
          </cell>
          <cell r="E917" t="str">
            <v>CAM METAL FÜME SİYAH</v>
          </cell>
          <cell r="F917" t="str">
            <v>9405.19.50.00.19</v>
          </cell>
          <cell r="G917" t="str">
            <v>AVİZE</v>
          </cell>
          <cell r="H917" t="str">
            <v>T1A1422002-01</v>
          </cell>
          <cell r="I917" t="str">
            <v>İÇ</v>
          </cell>
          <cell r="J917" t="str">
            <v>AVİZE.SARK</v>
          </cell>
          <cell r="K917" t="str">
            <v>TABIT</v>
          </cell>
          <cell r="L917" t="str">
            <v/>
          </cell>
          <cell r="M917" t="str">
            <v/>
          </cell>
          <cell r="N917" t="str">
            <v>MH-06</v>
          </cell>
          <cell r="O917" t="str">
            <v>TOPLAMA</v>
          </cell>
          <cell r="P917" t="str">
            <v>ADET</v>
          </cell>
          <cell r="Q917" t="str">
            <v>E27</v>
          </cell>
          <cell r="R917" t="str">
            <v>CAM</v>
          </cell>
          <cell r="S917" t="str">
            <v>BAL</v>
          </cell>
          <cell r="T917" t="str">
            <v>METAL</v>
          </cell>
          <cell r="U917" t="str">
            <v>SİYAH</v>
          </cell>
          <cell r="AD917" t="str">
            <v>N/A</v>
          </cell>
          <cell r="AE917" t="str">
            <v>01</v>
          </cell>
          <cell r="AF917">
            <v>1</v>
          </cell>
          <cell r="AG917" t="str">
            <v>ADET</v>
          </cell>
          <cell r="AH917">
            <v>61</v>
          </cell>
          <cell r="AI917" t="str">
            <v>CNY</v>
          </cell>
          <cell r="AJ917">
            <v>3214</v>
          </cell>
          <cell r="AK917" t="str">
            <v>TL</v>
          </cell>
          <cell r="AL917">
            <v>1</v>
          </cell>
          <cell r="AM917" t="str">
            <v>8684128123453</v>
          </cell>
          <cell r="AO917">
            <v>0</v>
          </cell>
          <cell r="AQ917">
            <v>0</v>
          </cell>
          <cell r="AR917" t="str">
            <v>CM</v>
          </cell>
          <cell r="AS917">
            <v>25</v>
          </cell>
          <cell r="AT917" t="str">
            <v>CM</v>
          </cell>
          <cell r="AU917">
            <v>0</v>
          </cell>
          <cell r="AW917">
            <v>0</v>
          </cell>
        </row>
        <row r="918">
          <cell r="B918" t="str">
            <v>T1C2ERBJRS0-025</v>
          </cell>
          <cell r="C918" t="str">
            <v>TABIT TEKLİ BEYAZ CAM AVİZE</v>
          </cell>
          <cell r="D918" t="str">
            <v>TABIT SINGLE WHITE GLASS CHANDELIER</v>
          </cell>
          <cell r="E918" t="str">
            <v>CAM METAL BEYAZ SİYAH</v>
          </cell>
          <cell r="F918" t="str">
            <v>9405.19.50.00.19</v>
          </cell>
          <cell r="G918" t="str">
            <v>AVİZE</v>
          </cell>
          <cell r="H918" t="str">
            <v>T1A1422002-01</v>
          </cell>
          <cell r="I918" t="str">
            <v>İÇ</v>
          </cell>
          <cell r="J918" t="str">
            <v>AVİZE.SARK</v>
          </cell>
          <cell r="K918" t="str">
            <v>TABIT</v>
          </cell>
          <cell r="L918" t="str">
            <v/>
          </cell>
          <cell r="M918" t="str">
            <v/>
          </cell>
          <cell r="N918" t="str">
            <v>MH-04</v>
          </cell>
          <cell r="O918" t="str">
            <v>TOPLAMA</v>
          </cell>
          <cell r="P918" t="str">
            <v>ADET</v>
          </cell>
          <cell r="Q918" t="str">
            <v>E27</v>
          </cell>
          <cell r="R918" t="str">
            <v>CAM</v>
          </cell>
          <cell r="S918" t="str">
            <v>BEYAZ</v>
          </cell>
          <cell r="T918" t="str">
            <v>METAL</v>
          </cell>
          <cell r="U918" t="str">
            <v>SİYAH</v>
          </cell>
          <cell r="AD918" t="str">
            <v>N/A</v>
          </cell>
          <cell r="AE918" t="str">
            <v>02</v>
          </cell>
          <cell r="AF918">
            <v>0</v>
          </cell>
          <cell r="AG918" t="str">
            <v>ADET</v>
          </cell>
          <cell r="AH918">
            <v>61</v>
          </cell>
          <cell r="AI918" t="str">
            <v>CNY</v>
          </cell>
          <cell r="AJ918">
            <v>3214</v>
          </cell>
          <cell r="AK918" t="str">
            <v>TL</v>
          </cell>
          <cell r="AL918">
            <v>1</v>
          </cell>
          <cell r="AM918" t="str">
            <v>8684128123454</v>
          </cell>
          <cell r="AO918">
            <v>0</v>
          </cell>
          <cell r="AQ918">
            <v>0</v>
          </cell>
          <cell r="AR918" t="str">
            <v>CM</v>
          </cell>
          <cell r="AS918">
            <v>25</v>
          </cell>
          <cell r="AT918" t="str">
            <v>CM</v>
          </cell>
          <cell r="AU918">
            <v>0</v>
          </cell>
          <cell r="AW918">
            <v>0</v>
          </cell>
        </row>
        <row r="919">
          <cell r="B919" t="str">
            <v>H1S00000000-000</v>
          </cell>
          <cell r="C919" t="str">
            <v>ÖZEL TASARIM TEKNİK AYDINLATMA</v>
          </cell>
          <cell r="D919" t="str">
            <v>CUSTOM DESIGN TECHNIC LIGHTING</v>
          </cell>
          <cell r="E919" t="str">
            <v/>
          </cell>
          <cell r="F919" t="str">
            <v>9405.11.50.00.19</v>
          </cell>
          <cell r="G919" t="str">
            <v>TEKNİK</v>
          </cell>
          <cell r="H919" t="str">
            <v/>
          </cell>
          <cell r="I919" t="str">
            <v>İÇ</v>
          </cell>
          <cell r="J919" t="str">
            <v>TEKNİK</v>
          </cell>
          <cell r="K919" t="str">
            <v/>
          </cell>
          <cell r="L919" t="str">
            <v/>
          </cell>
          <cell r="M919" t="str">
            <v>ÖZEL TASAR</v>
          </cell>
          <cell r="N919" t="str">
            <v/>
          </cell>
          <cell r="O919" t="str">
            <v>HEKA</v>
          </cell>
          <cell r="P919" t="str">
            <v>ADET</v>
          </cell>
          <cell r="AF919">
            <v>269</v>
          </cell>
          <cell r="AG919" t="str">
            <v>ADET</v>
          </cell>
          <cell r="AL919">
            <v>0</v>
          </cell>
          <cell r="AM919" t="str">
            <v>H1S00000000-000</v>
          </cell>
          <cell r="AO919">
            <v>0</v>
          </cell>
          <cell r="AQ919">
            <v>0</v>
          </cell>
          <cell r="AS919">
            <v>0</v>
          </cell>
          <cell r="AU919">
            <v>0</v>
          </cell>
          <cell r="AW919">
            <v>0</v>
          </cell>
        </row>
        <row r="920">
          <cell r="B920" t="str">
            <v>YHC00000000-000</v>
          </cell>
          <cell r="C920" t="str">
            <v>CAKA</v>
          </cell>
          <cell r="D920" t="str">
            <v/>
          </cell>
          <cell r="E920" t="str">
            <v/>
          </cell>
          <cell r="F920" t="str">
            <v/>
          </cell>
          <cell r="G920" t="str">
            <v>ZPARCA</v>
          </cell>
          <cell r="H920" t="str">
            <v/>
          </cell>
          <cell r="I920" t="str">
            <v>İÇ</v>
          </cell>
          <cell r="J920" t="str">
            <v>ZPARCA</v>
          </cell>
          <cell r="K920" t="str">
            <v/>
          </cell>
          <cell r="L920" t="str">
            <v/>
          </cell>
          <cell r="M920" t="str">
            <v/>
          </cell>
          <cell r="N920" t="str">
            <v/>
          </cell>
          <cell r="O920" t="str">
            <v>HEKA</v>
          </cell>
          <cell r="P920" t="str">
            <v>ADET</v>
          </cell>
          <cell r="AF920">
            <v>0</v>
          </cell>
          <cell r="AG920" t="str">
            <v>ADET</v>
          </cell>
          <cell r="AL920">
            <v>0</v>
          </cell>
          <cell r="AM920" t="str">
            <v>YHC00000001</v>
          </cell>
          <cell r="AO920">
            <v>0</v>
          </cell>
          <cell r="AQ920">
            <v>0</v>
          </cell>
          <cell r="AS920">
            <v>0</v>
          </cell>
          <cell r="AU920">
            <v>0</v>
          </cell>
          <cell r="AW920">
            <v>0</v>
          </cell>
        </row>
        <row r="921">
          <cell r="B921" t="str">
            <v>H1C6JMEERFF-030</v>
          </cell>
          <cell r="C921" t="str">
            <v>VİYANA FÜME KUBBE CAM SARKIT 30cm</v>
          </cell>
          <cell r="D921" t="str">
            <v>VIYANA SMOKY DOME GLASS PENDANT 30cm</v>
          </cell>
          <cell r="E921" t="str">
            <v>METAL ESKİTME CAM  FÜME</v>
          </cell>
          <cell r="F921" t="str">
            <v>9405.11.90.00.00</v>
          </cell>
          <cell r="G921" t="str">
            <v>AVİZE</v>
          </cell>
          <cell r="H921" t="str">
            <v>T1A6231100-20</v>
          </cell>
          <cell r="I921" t="str">
            <v>İÇ</v>
          </cell>
          <cell r="J921" t="str">
            <v>AVİZE.SARK</v>
          </cell>
          <cell r="K921" t="str">
            <v>VİYANA</v>
          </cell>
          <cell r="L921" t="str">
            <v/>
          </cell>
          <cell r="M921" t="str">
            <v/>
          </cell>
          <cell r="N921" t="str">
            <v>ML18</v>
          </cell>
          <cell r="O921" t="str">
            <v>HEKA</v>
          </cell>
          <cell r="P921" t="str">
            <v>ADET</v>
          </cell>
          <cell r="Q921" t="str">
            <v>LED</v>
          </cell>
          <cell r="R921" t="str">
            <v>METAL</v>
          </cell>
          <cell r="S921" t="str">
            <v>ESKİTME</v>
          </cell>
          <cell r="T921" t="str">
            <v>CAM</v>
          </cell>
          <cell r="U921" t="str">
            <v>FÜME</v>
          </cell>
          <cell r="AD921" t="str">
            <v>KÜRE</v>
          </cell>
          <cell r="AE921" t="str">
            <v>01</v>
          </cell>
          <cell r="AF921">
            <v>0</v>
          </cell>
          <cell r="AG921" t="str">
            <v>ADET</v>
          </cell>
          <cell r="AH921">
            <v>90</v>
          </cell>
          <cell r="AI921" t="str">
            <v>CNY</v>
          </cell>
          <cell r="AJ921">
            <v>4879</v>
          </cell>
          <cell r="AK921" t="str">
            <v>TL</v>
          </cell>
          <cell r="AL921">
            <v>1</v>
          </cell>
          <cell r="AM921" t="str">
            <v>8684127506502</v>
          </cell>
          <cell r="AO921">
            <v>0</v>
          </cell>
          <cell r="AQ921">
            <v>0</v>
          </cell>
          <cell r="AR921" t="str">
            <v>CM</v>
          </cell>
          <cell r="AS921">
            <v>0</v>
          </cell>
          <cell r="AT921" t="str">
            <v>CM</v>
          </cell>
          <cell r="AU921">
            <v>0</v>
          </cell>
          <cell r="AW921">
            <v>0</v>
          </cell>
        </row>
        <row r="922">
          <cell r="B922" t="str">
            <v>H1C6JMEERLP-020</v>
          </cell>
          <cell r="C922" t="str">
            <v>VİYANA BAL GÖKTAŞI CAM SARKIT 20cm</v>
          </cell>
          <cell r="D922" t="str">
            <v>VIYANA AMBER METEORITE GLASS PENDANT 20cm</v>
          </cell>
          <cell r="E922" t="str">
            <v>METAL ESKİTME CAM  BAL</v>
          </cell>
          <cell r="F922" t="str">
            <v>9405.11.90.00.00</v>
          </cell>
          <cell r="G922" t="str">
            <v>AVİZE</v>
          </cell>
          <cell r="H922" t="str">
            <v>T1A6231100-20</v>
          </cell>
          <cell r="I922" t="str">
            <v>İÇ</v>
          </cell>
          <cell r="J922" t="str">
            <v>AVİZE.SARK</v>
          </cell>
          <cell r="K922" t="str">
            <v>VİYANA</v>
          </cell>
          <cell r="L922" t="str">
            <v/>
          </cell>
          <cell r="M922" t="str">
            <v/>
          </cell>
          <cell r="N922" t="str">
            <v>HKA-24155</v>
          </cell>
          <cell r="O922" t="str">
            <v>HEKA</v>
          </cell>
          <cell r="P922" t="str">
            <v>ADET</v>
          </cell>
          <cell r="Q922" t="str">
            <v>LED</v>
          </cell>
          <cell r="R922" t="str">
            <v>METAL</v>
          </cell>
          <cell r="S922" t="str">
            <v>ESKİTME</v>
          </cell>
          <cell r="T922" t="str">
            <v>CAM</v>
          </cell>
          <cell r="U922" t="str">
            <v>BAL</v>
          </cell>
          <cell r="AD922" t="str">
            <v>POLİGONAL</v>
          </cell>
          <cell r="AE922" t="str">
            <v>01</v>
          </cell>
          <cell r="AF922">
            <v>100</v>
          </cell>
          <cell r="AG922" t="str">
            <v>ADET</v>
          </cell>
          <cell r="AH922">
            <v>51</v>
          </cell>
          <cell r="AI922" t="str">
            <v>CNY</v>
          </cell>
          <cell r="AJ922">
            <v>3713</v>
          </cell>
          <cell r="AK922" t="str">
            <v>TL</v>
          </cell>
          <cell r="AL922">
            <v>1</v>
          </cell>
          <cell r="AM922" t="str">
            <v>8684127506526</v>
          </cell>
          <cell r="AO922">
            <v>0</v>
          </cell>
          <cell r="AQ922">
            <v>0</v>
          </cell>
          <cell r="AR922" t="str">
            <v>CM</v>
          </cell>
          <cell r="AS922">
            <v>0</v>
          </cell>
          <cell r="AT922" t="str">
            <v>CM</v>
          </cell>
          <cell r="AU922">
            <v>0</v>
          </cell>
          <cell r="AW922">
            <v>0</v>
          </cell>
        </row>
        <row r="923">
          <cell r="B923" t="str">
            <v>01.045.00.04.07</v>
          </cell>
          <cell r="C923" t="str">
            <v>YUVARLAK TEPSİ KROM 45cm</v>
          </cell>
          <cell r="D923" t="str">
            <v>CHROME ROUND TRAY 45cm</v>
          </cell>
          <cell r="E923" t="str">
            <v/>
          </cell>
          <cell r="F923" t="str">
            <v/>
          </cell>
          <cell r="G923" t="str">
            <v>ZPARCA</v>
          </cell>
          <cell r="H923" t="str">
            <v>01.045.00.04.01</v>
          </cell>
          <cell r="I923" t="str">
            <v>İÇ</v>
          </cell>
          <cell r="J923" t="str">
            <v>ZPARCA</v>
          </cell>
          <cell r="K923" t="str">
            <v/>
          </cell>
          <cell r="L923" t="str">
            <v/>
          </cell>
          <cell r="M923" t="str">
            <v/>
          </cell>
          <cell r="N923" t="str">
            <v/>
          </cell>
          <cell r="P923" t="str">
            <v>ADET</v>
          </cell>
          <cell r="R923" t="str">
            <v>METAL</v>
          </cell>
          <cell r="S923" t="str">
            <v>KROM</v>
          </cell>
          <cell r="AF923">
            <v>0</v>
          </cell>
          <cell r="AG923" t="str">
            <v>ADET</v>
          </cell>
          <cell r="AH923">
            <v>250</v>
          </cell>
          <cell r="AI923" t="str">
            <v>TL</v>
          </cell>
          <cell r="AJ923">
            <v>1090</v>
          </cell>
          <cell r="AK923" t="str">
            <v>TL</v>
          </cell>
          <cell r="AL923">
            <v>1</v>
          </cell>
          <cell r="AM923" t="str">
            <v>01.045.00.04.07</v>
          </cell>
          <cell r="AO923">
            <v>0</v>
          </cell>
          <cell r="AQ923">
            <v>0</v>
          </cell>
          <cell r="AS923">
            <v>100</v>
          </cell>
          <cell r="AU923">
            <v>0</v>
          </cell>
          <cell r="AW923">
            <v>0</v>
          </cell>
        </row>
        <row r="924">
          <cell r="B924" t="str">
            <v>H1C6JMEECSU-020</v>
          </cell>
          <cell r="C924" t="str">
            <v>TOGO TEKLİ ÜÇGEN SARKIT 20cm</v>
          </cell>
          <cell r="D924" t="str">
            <v>TOGO SINGLE TRIANGLE PENDANT 20cm</v>
          </cell>
          <cell r="E924" t="str">
            <v xml:space="preserve">METAL CAM  ESKİTME ŞEFFAF   </v>
          </cell>
          <cell r="F924" t="str">
            <v/>
          </cell>
          <cell r="G924" t="str">
            <v>AVİZE</v>
          </cell>
          <cell r="H924" t="str">
            <v/>
          </cell>
          <cell r="I924" t="str">
            <v>İÇ</v>
          </cell>
          <cell r="J924" t="str">
            <v>AVİZE.SARK</v>
          </cell>
          <cell r="K924" t="str">
            <v>TOGO</v>
          </cell>
          <cell r="L924" t="str">
            <v/>
          </cell>
          <cell r="M924" t="str">
            <v/>
          </cell>
          <cell r="N924" t="str">
            <v>HKA-124</v>
          </cell>
          <cell r="O924" t="str">
            <v>HEKA</v>
          </cell>
          <cell r="P924" t="str">
            <v>ADET</v>
          </cell>
          <cell r="Q924" t="str">
            <v>LED</v>
          </cell>
          <cell r="R924" t="str">
            <v>METAL</v>
          </cell>
          <cell r="S924" t="str">
            <v>ESKİTME</v>
          </cell>
          <cell r="T924" t="str">
            <v>CAM</v>
          </cell>
          <cell r="U924" t="str">
            <v>ŞEFFAF</v>
          </cell>
          <cell r="Y924" t="str">
            <v>6 WATT</v>
          </cell>
          <cell r="Z924" t="str">
            <v>3200 K</v>
          </cell>
          <cell r="AD924" t="str">
            <v>ÜÇGEN</v>
          </cell>
          <cell r="AF924">
            <v>1</v>
          </cell>
          <cell r="AG924" t="str">
            <v>ADET</v>
          </cell>
          <cell r="AH924">
            <v>75</v>
          </cell>
          <cell r="AI924" t="str">
            <v>CNY</v>
          </cell>
          <cell r="AJ924">
            <v>3213</v>
          </cell>
          <cell r="AK924" t="str">
            <v>TL</v>
          </cell>
          <cell r="AL924">
            <v>1</v>
          </cell>
          <cell r="AM924" t="str">
            <v>8684127506670</v>
          </cell>
          <cell r="AO924">
            <v>0</v>
          </cell>
          <cell r="AQ924">
            <v>0</v>
          </cell>
          <cell r="AS924">
            <v>0</v>
          </cell>
          <cell r="AU924">
            <v>0</v>
          </cell>
          <cell r="AW924">
            <v>0</v>
          </cell>
        </row>
        <row r="925">
          <cell r="B925" t="str">
            <v>H1C6JRSBCSY-050</v>
          </cell>
          <cell r="C925" t="str">
            <v>SEMRUK TEKLİ AKRİLİK KÜRE SARKIT 50cm</v>
          </cell>
          <cell r="D925" t="str">
            <v>SEMRUK SINGLE ACRYLIC SPHERE PENDANT 50cm</v>
          </cell>
          <cell r="E925" t="str">
            <v xml:space="preserve">METAL AKRİLİK SİYAH ŞEFFAF   </v>
          </cell>
          <cell r="F925" t="str">
            <v/>
          </cell>
          <cell r="G925" t="str">
            <v>AVİZE</v>
          </cell>
          <cell r="H925" t="str">
            <v/>
          </cell>
          <cell r="I925" t="str">
            <v>İÇ</v>
          </cell>
          <cell r="J925" t="str">
            <v>AVİZE.SARK</v>
          </cell>
          <cell r="K925" t="str">
            <v>SEMRUK</v>
          </cell>
          <cell r="L925" t="str">
            <v/>
          </cell>
          <cell r="M925" t="str">
            <v/>
          </cell>
          <cell r="N925" t="str">
            <v>HKA-24046</v>
          </cell>
          <cell r="O925" t="str">
            <v>HEKA</v>
          </cell>
          <cell r="P925" t="str">
            <v>ADET</v>
          </cell>
          <cell r="Q925" t="str">
            <v>LED</v>
          </cell>
          <cell r="R925" t="str">
            <v>METAL</v>
          </cell>
          <cell r="S925" t="str">
            <v>SİYAH</v>
          </cell>
          <cell r="T925" t="str">
            <v>AKRİLİK</v>
          </cell>
          <cell r="U925" t="str">
            <v>ŞEFFAF</v>
          </cell>
          <cell r="Z925" t="str">
            <v>3000 K</v>
          </cell>
          <cell r="AD925" t="str">
            <v>KÜRE</v>
          </cell>
          <cell r="AF925">
            <v>20</v>
          </cell>
          <cell r="AG925" t="str">
            <v>ADET</v>
          </cell>
          <cell r="AH925">
            <v>500</v>
          </cell>
          <cell r="AI925" t="str">
            <v>CNY</v>
          </cell>
          <cell r="AJ925">
            <v>34950</v>
          </cell>
          <cell r="AK925" t="str">
            <v>TL</v>
          </cell>
          <cell r="AL925">
            <v>1</v>
          </cell>
          <cell r="AM925" t="str">
            <v>8684127506793</v>
          </cell>
          <cell r="AO925">
            <v>0</v>
          </cell>
          <cell r="AQ925">
            <v>0</v>
          </cell>
          <cell r="AS925">
            <v>0</v>
          </cell>
          <cell r="AU925">
            <v>0</v>
          </cell>
          <cell r="AW925">
            <v>0</v>
          </cell>
        </row>
        <row r="926">
          <cell r="B926" t="str">
            <v>H1C6JMEWRBM-100</v>
          </cell>
          <cell r="C926" t="str">
            <v>UMAY BEŞLİ ÇİFT MERMERLİ YEMEK MASASI SARKIT AVİZE</v>
          </cell>
          <cell r="D926" t="str">
            <v>UMAY FIVE DOUBLE MARBLE DINING TABLE PENDANT CHANDELIER</v>
          </cell>
          <cell r="E926" t="str">
            <v xml:space="preserve">METAL MERMER ESKİTME BEYAZ   </v>
          </cell>
          <cell r="F926" t="str">
            <v/>
          </cell>
          <cell r="G926" t="str">
            <v>AVİZE</v>
          </cell>
          <cell r="H926" t="str">
            <v/>
          </cell>
          <cell r="I926" t="str">
            <v>İÇ</v>
          </cell>
          <cell r="J926" t="str">
            <v>AVİZE.SARK</v>
          </cell>
          <cell r="K926" t="str">
            <v>UMAY</v>
          </cell>
          <cell r="L926" t="str">
            <v/>
          </cell>
          <cell r="M926" t="str">
            <v/>
          </cell>
          <cell r="N926" t="str">
            <v>HKA-82</v>
          </cell>
          <cell r="O926" t="str">
            <v>HEKA</v>
          </cell>
          <cell r="P926" t="str">
            <v>ADET</v>
          </cell>
          <cell r="Q926" t="str">
            <v>LED</v>
          </cell>
          <cell r="R926" t="str">
            <v>METAL</v>
          </cell>
          <cell r="S926" t="str">
            <v>ESKİTME</v>
          </cell>
          <cell r="T926" t="str">
            <v>MERMER</v>
          </cell>
          <cell r="U926" t="str">
            <v>BEYAZ</v>
          </cell>
          <cell r="Z926" t="str">
            <v>3000 K</v>
          </cell>
          <cell r="AD926" t="str">
            <v>ÇİFT AYDINLATMA</v>
          </cell>
          <cell r="AE926" t="str">
            <v>9</v>
          </cell>
          <cell r="AF926">
            <v>0</v>
          </cell>
          <cell r="AG926" t="str">
            <v>ADET</v>
          </cell>
          <cell r="AH926">
            <v>600</v>
          </cell>
          <cell r="AI926" t="str">
            <v>CNY</v>
          </cell>
          <cell r="AJ926">
            <v>26520</v>
          </cell>
          <cell r="AK926" t="str">
            <v>TL</v>
          </cell>
          <cell r="AL926">
            <v>1</v>
          </cell>
          <cell r="AM926" t="str">
            <v>8684127506816</v>
          </cell>
          <cell r="AO926">
            <v>0</v>
          </cell>
          <cell r="AQ926">
            <v>0</v>
          </cell>
          <cell r="AS926">
            <v>0</v>
          </cell>
          <cell r="AU926">
            <v>0</v>
          </cell>
          <cell r="AW926">
            <v>0</v>
          </cell>
        </row>
        <row r="927">
          <cell r="B927" t="str">
            <v>H1T6JRSLCTJ-022</v>
          </cell>
          <cell r="C927" t="str">
            <v>PORCINO SİYAH MASA LAMBASI</v>
          </cell>
          <cell r="D927" t="str">
            <v>PORCINO BLACK TABLE LAMP</v>
          </cell>
          <cell r="E927" t="str">
            <v xml:space="preserve">METAL PLEKSİ SİYAH SOFT   </v>
          </cell>
          <cell r="F927" t="str">
            <v/>
          </cell>
          <cell r="G927" t="str">
            <v>MASA LAMBASI</v>
          </cell>
          <cell r="H927" t="str">
            <v/>
          </cell>
          <cell r="I927" t="str">
            <v>İÇ</v>
          </cell>
          <cell r="J927" t="str">
            <v>MASAABAJ</v>
          </cell>
          <cell r="K927" t="str">
            <v>PORCINO</v>
          </cell>
          <cell r="L927" t="str">
            <v/>
          </cell>
          <cell r="M927" t="str">
            <v/>
          </cell>
          <cell r="N927" t="str">
            <v>5668665-BL</v>
          </cell>
          <cell r="O927" t="str">
            <v>LAMBAM</v>
          </cell>
          <cell r="P927" t="str">
            <v>ADET</v>
          </cell>
          <cell r="Q927" t="str">
            <v>LED</v>
          </cell>
          <cell r="R927" t="str">
            <v>METAL</v>
          </cell>
          <cell r="S927" t="str">
            <v>SİYAH</v>
          </cell>
          <cell r="T927" t="str">
            <v>PLEKSİ</v>
          </cell>
          <cell r="U927" t="str">
            <v>SOFT</v>
          </cell>
          <cell r="AD927" t="str">
            <v>ŞARJLI</v>
          </cell>
          <cell r="AE927" t="str">
            <v>02</v>
          </cell>
          <cell r="AF927">
            <v>6</v>
          </cell>
          <cell r="AG927" t="str">
            <v>ADET</v>
          </cell>
          <cell r="AH927">
            <v>21</v>
          </cell>
          <cell r="AI927" t="str">
            <v>CNY</v>
          </cell>
          <cell r="AJ927">
            <v>1088</v>
          </cell>
          <cell r="AK927" t="str">
            <v>TL</v>
          </cell>
          <cell r="AL927">
            <v>1</v>
          </cell>
          <cell r="AM927" t="str">
            <v>8684127508117</v>
          </cell>
          <cell r="AO927">
            <v>0</v>
          </cell>
          <cell r="AQ927">
            <v>0</v>
          </cell>
          <cell r="AS927">
            <v>0</v>
          </cell>
          <cell r="AU927">
            <v>0</v>
          </cell>
          <cell r="AW927">
            <v>0</v>
          </cell>
        </row>
        <row r="928">
          <cell r="B928" t="str">
            <v>H1C6JMEWRBR-060</v>
          </cell>
          <cell r="C928" t="str">
            <v>PARİS SALON MERMER SARKIT AVİZE 60cm</v>
          </cell>
          <cell r="D928" t="str">
            <v>PARIS LIVING ROOM MARBLE PENDANT CHANDELIER 60cm</v>
          </cell>
          <cell r="E928" t="str">
            <v xml:space="preserve">METAL MERMER ESKİTME BEYAZ   </v>
          </cell>
          <cell r="F928" t="str">
            <v/>
          </cell>
          <cell r="G928" t="str">
            <v>AVİZE</v>
          </cell>
          <cell r="H928" t="str">
            <v/>
          </cell>
          <cell r="I928" t="str">
            <v>İÇ</v>
          </cell>
          <cell r="J928" t="str">
            <v>AVİZE.AVİZ</v>
          </cell>
          <cell r="K928" t="str">
            <v>PARİS</v>
          </cell>
          <cell r="L928" t="str">
            <v/>
          </cell>
          <cell r="M928" t="str">
            <v/>
          </cell>
          <cell r="N928" t="str">
            <v>HKA-36</v>
          </cell>
          <cell r="O928" t="str">
            <v>HEKA</v>
          </cell>
          <cell r="P928" t="str">
            <v>ADET</v>
          </cell>
          <cell r="Q928" t="str">
            <v>LED</v>
          </cell>
          <cell r="R928" t="str">
            <v>METAL</v>
          </cell>
          <cell r="S928" t="str">
            <v>ESKİTME</v>
          </cell>
          <cell r="T928" t="str">
            <v>MERMER</v>
          </cell>
          <cell r="U928" t="str">
            <v>BEYAZ</v>
          </cell>
          <cell r="AD928" t="str">
            <v>DAİRE</v>
          </cell>
          <cell r="AE928" t="str">
            <v>02</v>
          </cell>
          <cell r="AF928">
            <v>0</v>
          </cell>
          <cell r="AG928" t="str">
            <v>ADET</v>
          </cell>
          <cell r="AH928">
            <v>520</v>
          </cell>
          <cell r="AI928" t="str">
            <v>CNY</v>
          </cell>
          <cell r="AJ928">
            <v>25990</v>
          </cell>
          <cell r="AK928" t="str">
            <v>TL</v>
          </cell>
          <cell r="AL928">
            <v>1</v>
          </cell>
          <cell r="AM928" t="str">
            <v>8684127507455</v>
          </cell>
          <cell r="AO928">
            <v>0</v>
          </cell>
          <cell r="AP928" t="str">
            <v>KG</v>
          </cell>
          <cell r="AQ928">
            <v>0</v>
          </cell>
          <cell r="AR928" t="str">
            <v>CM</v>
          </cell>
          <cell r="AS928">
            <v>0</v>
          </cell>
          <cell r="AT928" t="str">
            <v>CM</v>
          </cell>
          <cell r="AU928">
            <v>0</v>
          </cell>
          <cell r="AW928">
            <v>0</v>
          </cell>
        </row>
        <row r="929">
          <cell r="B929" t="str">
            <v>H1W6JMEWRB0-046</v>
          </cell>
          <cell r="C929" t="str">
            <v xml:space="preserve">ANVERS BEŞ MERMERLİ ESKİTME APLİK </v>
          </cell>
          <cell r="D929" t="str">
            <v xml:space="preserve">ANVERS FIVE MARBLE BRUSHED BRASS WALL LAMP </v>
          </cell>
          <cell r="E929" t="str">
            <v xml:space="preserve">METAL MERMER ESKİTME BEYAZ   </v>
          </cell>
          <cell r="F929" t="str">
            <v>9405.11.90.00.00</v>
          </cell>
          <cell r="G929" t="str">
            <v>APLİK</v>
          </cell>
          <cell r="H929" t="str">
            <v/>
          </cell>
          <cell r="I929" t="str">
            <v>İÇ</v>
          </cell>
          <cell r="J929" t="str">
            <v>APLİK</v>
          </cell>
          <cell r="K929" t="str">
            <v>ANVERS</v>
          </cell>
          <cell r="L929" t="str">
            <v/>
          </cell>
          <cell r="M929" t="str">
            <v/>
          </cell>
          <cell r="N929" t="str">
            <v>HKA-24102</v>
          </cell>
          <cell r="O929" t="str">
            <v>HEKA</v>
          </cell>
          <cell r="P929" t="str">
            <v>ADET</v>
          </cell>
          <cell r="Q929" t="str">
            <v>LED</v>
          </cell>
          <cell r="R929" t="str">
            <v>METAL</v>
          </cell>
          <cell r="S929" t="str">
            <v>ESKİTME</v>
          </cell>
          <cell r="T929" t="str">
            <v>MERMER</v>
          </cell>
          <cell r="U929" t="str">
            <v>BEYAZ</v>
          </cell>
          <cell r="AD929" t="str">
            <v>N/A</v>
          </cell>
          <cell r="AF929">
            <v>4</v>
          </cell>
          <cell r="AG929" t="str">
            <v>ADET</v>
          </cell>
          <cell r="AH929">
            <v>180</v>
          </cell>
          <cell r="AI929" t="str">
            <v>CNY</v>
          </cell>
          <cell r="AJ929">
            <v>12800</v>
          </cell>
          <cell r="AK929" t="str">
            <v>TL</v>
          </cell>
          <cell r="AL929">
            <v>1</v>
          </cell>
          <cell r="AM929" t="str">
            <v>8684127507790</v>
          </cell>
          <cell r="AO929">
            <v>0</v>
          </cell>
          <cell r="AQ929">
            <v>0</v>
          </cell>
          <cell r="AS929">
            <v>0</v>
          </cell>
          <cell r="AU929">
            <v>0</v>
          </cell>
          <cell r="AW929">
            <v>0</v>
          </cell>
        </row>
        <row r="930">
          <cell r="B930" t="str">
            <v>H1W3JMEERF0-031</v>
          </cell>
          <cell r="C930" t="str">
            <v>KÜLHA CAM ESKİTME G9 APLİK</v>
          </cell>
          <cell r="D930" t="str">
            <v>KULHA GLASS BRUSHED BRASS G9 WALL LAMP</v>
          </cell>
          <cell r="E930" t="str">
            <v xml:space="preserve">METAL CAM  ESKİTME FÜME   </v>
          </cell>
          <cell r="F930" t="str">
            <v/>
          </cell>
          <cell r="G930" t="str">
            <v>APLİK</v>
          </cell>
          <cell r="H930" t="str">
            <v/>
          </cell>
          <cell r="I930" t="str">
            <v>İÇ</v>
          </cell>
          <cell r="J930" t="str">
            <v>APLİK</v>
          </cell>
          <cell r="K930" t="str">
            <v>KÜLHA</v>
          </cell>
          <cell r="L930" t="str">
            <v/>
          </cell>
          <cell r="M930" t="str">
            <v/>
          </cell>
          <cell r="N930" t="str">
            <v>8165B-2L</v>
          </cell>
          <cell r="O930" t="str">
            <v>HEKA</v>
          </cell>
          <cell r="P930" t="str">
            <v>ADET</v>
          </cell>
          <cell r="Q930" t="str">
            <v>G9</v>
          </cell>
          <cell r="R930" t="str">
            <v>METAL</v>
          </cell>
          <cell r="S930" t="str">
            <v>ESKİTME</v>
          </cell>
          <cell r="T930" t="str">
            <v>CAM</v>
          </cell>
          <cell r="U930" t="str">
            <v>FÜME</v>
          </cell>
          <cell r="AD930" t="str">
            <v>N/A</v>
          </cell>
          <cell r="AE930" t="str">
            <v>03</v>
          </cell>
          <cell r="AF930">
            <v>0</v>
          </cell>
          <cell r="AG930" t="str">
            <v>ADET</v>
          </cell>
          <cell r="AH930">
            <v>350</v>
          </cell>
          <cell r="AI930" t="str">
            <v>CNY</v>
          </cell>
          <cell r="AJ930">
            <v>14110</v>
          </cell>
          <cell r="AK930" t="str">
            <v>TL</v>
          </cell>
          <cell r="AL930">
            <v>1</v>
          </cell>
          <cell r="AM930" t="str">
            <v>8684127508421</v>
          </cell>
          <cell r="AO930">
            <v>0</v>
          </cell>
          <cell r="AQ930">
            <v>0</v>
          </cell>
          <cell r="AS930">
            <v>0</v>
          </cell>
          <cell r="AU930">
            <v>0</v>
          </cell>
          <cell r="AW930">
            <v>0</v>
          </cell>
        </row>
        <row r="931">
          <cell r="B931" t="str">
            <v>H1C3JMEERF0-085</v>
          </cell>
          <cell r="C931" t="str">
            <v>KÜLHA G9 CAM ESKİTME SALON AVİZE  16 Lİ</v>
          </cell>
          <cell r="D931" t="str">
            <v>KÜLHA G9 GLASS BRUSHED BRASS LIVING ROOM CHANDELIER 16 BULB</v>
          </cell>
          <cell r="E931" t="str">
            <v xml:space="preserve">METAL CAM  ESKİTME FÜME   </v>
          </cell>
          <cell r="F931" t="str">
            <v/>
          </cell>
          <cell r="G931" t="str">
            <v>AVİZE</v>
          </cell>
          <cell r="H931" t="str">
            <v/>
          </cell>
          <cell r="I931" t="str">
            <v>İÇ</v>
          </cell>
          <cell r="J931" t="str">
            <v>AVİZE.AVİZ</v>
          </cell>
          <cell r="K931" t="str">
            <v>KÜLHA</v>
          </cell>
          <cell r="L931" t="str">
            <v/>
          </cell>
          <cell r="M931" t="str">
            <v/>
          </cell>
          <cell r="N931" t="str">
            <v>8165A-18L</v>
          </cell>
          <cell r="O931" t="str">
            <v>HEKA</v>
          </cell>
          <cell r="P931" t="str">
            <v>ADET</v>
          </cell>
          <cell r="Q931" t="str">
            <v>G9</v>
          </cell>
          <cell r="R931" t="str">
            <v>METAL</v>
          </cell>
          <cell r="S931" t="str">
            <v>ESKİTME</v>
          </cell>
          <cell r="T931" t="str">
            <v>CAM</v>
          </cell>
          <cell r="U931" t="str">
            <v>FÜME</v>
          </cell>
          <cell r="AD931" t="str">
            <v>N/A</v>
          </cell>
          <cell r="AE931" t="str">
            <v>16</v>
          </cell>
          <cell r="AF931">
            <v>0</v>
          </cell>
          <cell r="AG931" t="str">
            <v>ADET</v>
          </cell>
          <cell r="AH931">
            <v>2350</v>
          </cell>
          <cell r="AI931" t="str">
            <v>CNY</v>
          </cell>
          <cell r="AJ931">
            <v>93840</v>
          </cell>
          <cell r="AK931" t="str">
            <v>TL</v>
          </cell>
          <cell r="AL931">
            <v>1</v>
          </cell>
          <cell r="AM931" t="str">
            <v>8684127508049</v>
          </cell>
          <cell r="AO931">
            <v>0</v>
          </cell>
          <cell r="AQ931">
            <v>0</v>
          </cell>
          <cell r="AS931">
            <v>0</v>
          </cell>
          <cell r="AU931">
            <v>0</v>
          </cell>
          <cell r="AW931">
            <v>0</v>
          </cell>
        </row>
        <row r="932">
          <cell r="B932" t="str">
            <v>H1C6JMGJMP0-023</v>
          </cell>
          <cell r="C932" t="str">
            <v>KUTAN TEKLİ ALTIN &amp; PLATİN  SARKIT</v>
          </cell>
          <cell r="D932" t="str">
            <v>KUTAN SINGLE GOLD &amp; PLATINUM PENDANT</v>
          </cell>
          <cell r="E932" t="str">
            <v xml:space="preserve">METAL METAL GOLD PLATİN   </v>
          </cell>
          <cell r="F932" t="str">
            <v/>
          </cell>
          <cell r="G932" t="str">
            <v>AVİZE</v>
          </cell>
          <cell r="H932" t="str">
            <v/>
          </cell>
          <cell r="I932" t="str">
            <v>İÇ</v>
          </cell>
          <cell r="J932" t="str">
            <v>AVİZE.SARK</v>
          </cell>
          <cell r="K932" t="str">
            <v>KUTAN</v>
          </cell>
          <cell r="L932" t="str">
            <v/>
          </cell>
          <cell r="M932" t="str">
            <v/>
          </cell>
          <cell r="N932" t="str">
            <v>HC011-2D-GP</v>
          </cell>
          <cell r="O932" t="str">
            <v>HEKA</v>
          </cell>
          <cell r="P932" t="str">
            <v>ADET</v>
          </cell>
          <cell r="Q932" t="str">
            <v>LED</v>
          </cell>
          <cell r="R932" t="str">
            <v>METAL</v>
          </cell>
          <cell r="S932" t="str">
            <v>GOLD</v>
          </cell>
          <cell r="T932" t="str">
            <v>METAL</v>
          </cell>
          <cell r="U932" t="str">
            <v>PLATİN</v>
          </cell>
          <cell r="AD932" t="str">
            <v>N/A</v>
          </cell>
          <cell r="AE932" t="str">
            <v>02</v>
          </cell>
          <cell r="AF932">
            <v>1</v>
          </cell>
          <cell r="AG932" t="str">
            <v>ADET</v>
          </cell>
          <cell r="AH932">
            <v>56</v>
          </cell>
          <cell r="AI932" t="str">
            <v>CNY</v>
          </cell>
          <cell r="AJ932">
            <v>2856</v>
          </cell>
          <cell r="AK932" t="str">
            <v>TL</v>
          </cell>
          <cell r="AL932">
            <v>1</v>
          </cell>
          <cell r="AM932" t="str">
            <v>8684127507981</v>
          </cell>
          <cell r="AO932">
            <v>0</v>
          </cell>
          <cell r="AQ932">
            <v>0</v>
          </cell>
          <cell r="AS932">
            <v>0</v>
          </cell>
          <cell r="AU932">
            <v>0</v>
          </cell>
          <cell r="AW932">
            <v>0</v>
          </cell>
        </row>
        <row r="933">
          <cell r="B933" t="str">
            <v>01.050.00.04.06</v>
          </cell>
          <cell r="C933" t="str">
            <v>YUVARLAK TEPSİ KROM 50cm</v>
          </cell>
          <cell r="D933" t="str">
            <v>CHROME ROUND TRAY 50cm</v>
          </cell>
          <cell r="E933" t="str">
            <v/>
          </cell>
          <cell r="F933" t="str">
            <v/>
          </cell>
          <cell r="G933" t="str">
            <v>ZPARCA</v>
          </cell>
          <cell r="H933" t="str">
            <v>01.050.00.04.01</v>
          </cell>
          <cell r="I933" t="str">
            <v>İÇ</v>
          </cell>
          <cell r="J933" t="str">
            <v>ZPARCA</v>
          </cell>
          <cell r="K933" t="str">
            <v/>
          </cell>
          <cell r="L933" t="str">
            <v/>
          </cell>
          <cell r="M933" t="str">
            <v/>
          </cell>
          <cell r="N933" t="str">
            <v/>
          </cell>
          <cell r="P933" t="str">
            <v>ADET</v>
          </cell>
          <cell r="R933" t="str">
            <v>METAL</v>
          </cell>
          <cell r="S933" t="str">
            <v>KROM</v>
          </cell>
          <cell r="AF933">
            <v>0</v>
          </cell>
          <cell r="AG933" t="str">
            <v>ADET</v>
          </cell>
          <cell r="AH933">
            <v>300</v>
          </cell>
          <cell r="AI933" t="str">
            <v>TL</v>
          </cell>
          <cell r="AJ933">
            <v>1290</v>
          </cell>
          <cell r="AK933" t="str">
            <v>TL</v>
          </cell>
          <cell r="AL933">
            <v>1</v>
          </cell>
          <cell r="AM933" t="str">
            <v>01.050.00.04.06</v>
          </cell>
          <cell r="AO933">
            <v>0</v>
          </cell>
          <cell r="AQ933">
            <v>0</v>
          </cell>
          <cell r="AS933">
            <v>100</v>
          </cell>
          <cell r="AU933">
            <v>0</v>
          </cell>
          <cell r="AW933">
            <v>0</v>
          </cell>
        </row>
        <row r="934">
          <cell r="B934" t="str">
            <v>H1C6JMEERLF-030</v>
          </cell>
          <cell r="C934" t="str">
            <v>VİYANA BAL KUBBE CAM SARKIT 30cm</v>
          </cell>
          <cell r="D934" t="str">
            <v>VIYANA AMBER DOME GLASS PENDANT 30cm</v>
          </cell>
          <cell r="E934" t="str">
            <v>METAL ESKİTME CAM  BAL</v>
          </cell>
          <cell r="F934" t="str">
            <v>9405.11.90.00.00</v>
          </cell>
          <cell r="G934" t="str">
            <v>AVİZE</v>
          </cell>
          <cell r="H934" t="str">
            <v>T1A6231100-20</v>
          </cell>
          <cell r="I934" t="str">
            <v>İÇ</v>
          </cell>
          <cell r="J934" t="str">
            <v>AVİZE.SARK</v>
          </cell>
          <cell r="K934" t="str">
            <v>VİYANA</v>
          </cell>
          <cell r="L934" t="str">
            <v/>
          </cell>
          <cell r="M934" t="str">
            <v/>
          </cell>
          <cell r="N934" t="str">
            <v>ML17</v>
          </cell>
          <cell r="O934" t="str">
            <v>HEKA</v>
          </cell>
          <cell r="P934" t="str">
            <v>ADET</v>
          </cell>
          <cell r="Q934" t="str">
            <v>PERİ LED</v>
          </cell>
          <cell r="R934" t="str">
            <v>METAL</v>
          </cell>
          <cell r="S934" t="str">
            <v>ESKİTME</v>
          </cell>
          <cell r="T934" t="str">
            <v>CAM</v>
          </cell>
          <cell r="U934" t="str">
            <v>BAL</v>
          </cell>
          <cell r="AD934" t="str">
            <v>KÜRE</v>
          </cell>
          <cell r="AF934">
            <v>0</v>
          </cell>
          <cell r="AG934" t="str">
            <v>ADET</v>
          </cell>
          <cell r="AH934">
            <v>90</v>
          </cell>
          <cell r="AI934" t="str">
            <v>CNY</v>
          </cell>
          <cell r="AJ934">
            <v>4879</v>
          </cell>
          <cell r="AK934" t="str">
            <v>TL</v>
          </cell>
          <cell r="AL934">
            <v>1</v>
          </cell>
          <cell r="AM934" t="str">
            <v>8684127506472</v>
          </cell>
          <cell r="AO934">
            <v>0</v>
          </cell>
          <cell r="AQ934">
            <v>0</v>
          </cell>
          <cell r="AR934" t="str">
            <v>CM</v>
          </cell>
          <cell r="AS934">
            <v>0</v>
          </cell>
          <cell r="AT934" t="str">
            <v>CM</v>
          </cell>
          <cell r="AU934">
            <v>0</v>
          </cell>
          <cell r="AW934">
            <v>0</v>
          </cell>
        </row>
        <row r="935">
          <cell r="B935" t="str">
            <v>H1C6JMEERLP-030</v>
          </cell>
          <cell r="C935" t="str">
            <v>VİYANA BAL GÖKTAŞI CAM SARKIT 30cm</v>
          </cell>
          <cell r="D935" t="str">
            <v>VIYANA AMBER METEORITE GLASS PENDANT 30cm</v>
          </cell>
          <cell r="E935" t="str">
            <v>METAL ESKİTME CAM  BAL</v>
          </cell>
          <cell r="F935" t="str">
            <v>9405.11.90.00.00</v>
          </cell>
          <cell r="G935" t="str">
            <v>AVİZE</v>
          </cell>
          <cell r="H935" t="str">
            <v>T1A6231100-20</v>
          </cell>
          <cell r="I935" t="str">
            <v>İÇ</v>
          </cell>
          <cell r="J935" t="str">
            <v>AVİZE.SARK</v>
          </cell>
          <cell r="K935" t="str">
            <v>VİYANA</v>
          </cell>
          <cell r="L935" t="str">
            <v/>
          </cell>
          <cell r="M935" t="str">
            <v/>
          </cell>
          <cell r="N935" t="str">
            <v>HKA-24157</v>
          </cell>
          <cell r="O935" t="str">
            <v>HEKA</v>
          </cell>
          <cell r="P935" t="str">
            <v>ADET</v>
          </cell>
          <cell r="Q935" t="str">
            <v>PERİ LED</v>
          </cell>
          <cell r="R935" t="str">
            <v>METAL</v>
          </cell>
          <cell r="S935" t="str">
            <v>ESKİTME</v>
          </cell>
          <cell r="T935" t="str">
            <v>CAM</v>
          </cell>
          <cell r="U935" t="str">
            <v>BAL</v>
          </cell>
          <cell r="AD935" t="str">
            <v>POLİGONAL</v>
          </cell>
          <cell r="AF935">
            <v>47</v>
          </cell>
          <cell r="AG935" t="str">
            <v>ADET</v>
          </cell>
          <cell r="AH935">
            <v>72.25</v>
          </cell>
          <cell r="AI935" t="str">
            <v>CNY</v>
          </cell>
          <cell r="AJ935">
            <v>4641</v>
          </cell>
          <cell r="AK935" t="str">
            <v>TL</v>
          </cell>
          <cell r="AL935">
            <v>1</v>
          </cell>
          <cell r="AM935" t="str">
            <v>8684127506533</v>
          </cell>
          <cell r="AO935">
            <v>0</v>
          </cell>
          <cell r="AQ935">
            <v>0</v>
          </cell>
          <cell r="AR935" t="str">
            <v>CM</v>
          </cell>
          <cell r="AS935">
            <v>0</v>
          </cell>
          <cell r="AT935" t="str">
            <v>CM</v>
          </cell>
          <cell r="AU935">
            <v>0</v>
          </cell>
          <cell r="AW935">
            <v>0</v>
          </cell>
        </row>
        <row r="936">
          <cell r="B936" t="str">
            <v>H1C6WRBJMKR-025</v>
          </cell>
          <cell r="C936" t="str">
            <v>ASPENDOS TEKLİ MERMER KROM SARKIT 25cm</v>
          </cell>
          <cell r="D936" t="str">
            <v>ASPENDOS SINGLE MARBLE CHROME PENDANT 25cm</v>
          </cell>
          <cell r="E936" t="str">
            <v>MERMER BEYAZ METAL KROM</v>
          </cell>
          <cell r="F936" t="str">
            <v>9405.11.90.00.00</v>
          </cell>
          <cell r="G936" t="str">
            <v>AVİZE</v>
          </cell>
          <cell r="H936" t="str">
            <v>H1A6314300-25</v>
          </cell>
          <cell r="I936" t="str">
            <v>İÇ</v>
          </cell>
          <cell r="J936" t="str">
            <v>AVİZE.SARK</v>
          </cell>
          <cell r="K936" t="str">
            <v>ASPENDOS</v>
          </cell>
          <cell r="L936" t="str">
            <v/>
          </cell>
          <cell r="M936" t="str">
            <v/>
          </cell>
          <cell r="N936" t="str">
            <v>MD1082071-25-P-CR</v>
          </cell>
          <cell r="O936" t="str">
            <v>HEKA</v>
          </cell>
          <cell r="P936" t="str">
            <v>ADET</v>
          </cell>
          <cell r="Q936" t="str">
            <v>LED</v>
          </cell>
          <cell r="R936" t="str">
            <v>MERMER</v>
          </cell>
          <cell r="S936" t="str">
            <v>BEYAZ</v>
          </cell>
          <cell r="T936" t="str">
            <v>METAL</v>
          </cell>
          <cell r="U936" t="str">
            <v>KROM</v>
          </cell>
          <cell r="AD936" t="str">
            <v>DAİRE</v>
          </cell>
          <cell r="AE936" t="str">
            <v>01</v>
          </cell>
          <cell r="AF936">
            <v>0</v>
          </cell>
          <cell r="AG936" t="str">
            <v>ADET</v>
          </cell>
          <cell r="AH936">
            <v>117</v>
          </cell>
          <cell r="AI936" t="str">
            <v>CNY</v>
          </cell>
          <cell r="AJ936">
            <v>6732</v>
          </cell>
          <cell r="AK936" t="str">
            <v>TL</v>
          </cell>
          <cell r="AL936">
            <v>1</v>
          </cell>
          <cell r="AM936" t="str">
            <v>8684127508506</v>
          </cell>
          <cell r="AO936">
            <v>0</v>
          </cell>
          <cell r="AQ936">
            <v>150</v>
          </cell>
          <cell r="AR936" t="str">
            <v>CM</v>
          </cell>
          <cell r="AS936">
            <v>25</v>
          </cell>
          <cell r="AT936" t="str">
            <v>CM</v>
          </cell>
          <cell r="AU936">
            <v>0</v>
          </cell>
          <cell r="AW936">
            <v>0</v>
          </cell>
        </row>
        <row r="937">
          <cell r="B937" t="str">
            <v>H1C6JRSBCSY-020</v>
          </cell>
          <cell r="C937" t="str">
            <v>SEMRUK TEKLİ AKRİLİK KÜRE SARKIT 20cm</v>
          </cell>
          <cell r="D937" t="str">
            <v>SEMRUK SINGLE ACRYLIC SPHERE PENDANT 20cm</v>
          </cell>
          <cell r="E937" t="str">
            <v xml:space="preserve">METAL AKRİLİK SİYAH ŞEFFAF   </v>
          </cell>
          <cell r="F937" t="str">
            <v/>
          </cell>
          <cell r="G937" t="str">
            <v>AVİZE</v>
          </cell>
          <cell r="H937" t="str">
            <v/>
          </cell>
          <cell r="I937" t="str">
            <v>İÇ</v>
          </cell>
          <cell r="J937" t="str">
            <v>AVİZE.SARK</v>
          </cell>
          <cell r="K937" t="str">
            <v>SEMRUK</v>
          </cell>
          <cell r="L937" t="str">
            <v/>
          </cell>
          <cell r="M937" t="str">
            <v/>
          </cell>
          <cell r="N937" t="str">
            <v>HKA-24043</v>
          </cell>
          <cell r="O937" t="str">
            <v>HEKA</v>
          </cell>
          <cell r="P937" t="str">
            <v>ADET</v>
          </cell>
          <cell r="Q937" t="str">
            <v>LED</v>
          </cell>
          <cell r="R937" t="str">
            <v>METAL</v>
          </cell>
          <cell r="S937" t="str">
            <v>SİYAH</v>
          </cell>
          <cell r="T937" t="str">
            <v>AKRİLİK</v>
          </cell>
          <cell r="U937" t="str">
            <v>ŞEFFAF</v>
          </cell>
          <cell r="Z937" t="str">
            <v>3000 K</v>
          </cell>
          <cell r="AD937" t="str">
            <v>KÜRE</v>
          </cell>
          <cell r="AF937">
            <v>25</v>
          </cell>
          <cell r="AG937" t="str">
            <v>ADET</v>
          </cell>
          <cell r="AH937">
            <v>245</v>
          </cell>
          <cell r="AI937" t="str">
            <v>CNY</v>
          </cell>
          <cell r="AJ937">
            <v>17150</v>
          </cell>
          <cell r="AK937" t="str">
            <v>TL</v>
          </cell>
          <cell r="AL937">
            <v>1</v>
          </cell>
          <cell r="AM937" t="str">
            <v>8684127506762</v>
          </cell>
          <cell r="AO937">
            <v>0</v>
          </cell>
          <cell r="AQ937">
            <v>0</v>
          </cell>
          <cell r="AS937">
            <v>0</v>
          </cell>
          <cell r="AU937">
            <v>0</v>
          </cell>
          <cell r="AW937">
            <v>0</v>
          </cell>
        </row>
        <row r="938">
          <cell r="B938" t="str">
            <v>H1C6JMEWRBM-085</v>
          </cell>
          <cell r="C938" t="str">
            <v>AYIZIT 8 Lİ MERMER YEMEK MASASI SARKIT AVİZE</v>
          </cell>
          <cell r="D938" t="str">
            <v>AYIZIT OCTAL MARBLE DINING TABLE PENDANT CHANDELIER</v>
          </cell>
          <cell r="E938" t="str">
            <v xml:space="preserve">METAL MERMER ESKİTME BEYAZ   </v>
          </cell>
          <cell r="F938" t="str">
            <v/>
          </cell>
          <cell r="G938" t="str">
            <v>AVİZE</v>
          </cell>
          <cell r="H938" t="str">
            <v/>
          </cell>
          <cell r="I938" t="str">
            <v>İÇ</v>
          </cell>
          <cell r="J938" t="str">
            <v>AVİZE.SARK</v>
          </cell>
          <cell r="K938" t="str">
            <v>AYIZIT</v>
          </cell>
          <cell r="L938" t="str">
            <v/>
          </cell>
          <cell r="M938" t="str">
            <v/>
          </cell>
          <cell r="N938" t="str">
            <v>HKA-84</v>
          </cell>
          <cell r="O938" t="str">
            <v>HEKA</v>
          </cell>
          <cell r="P938" t="str">
            <v>ADET</v>
          </cell>
          <cell r="Q938" t="str">
            <v>LED</v>
          </cell>
          <cell r="R938" t="str">
            <v>METAL</v>
          </cell>
          <cell r="S938" t="str">
            <v>ESKİTME</v>
          </cell>
          <cell r="T938" t="str">
            <v>MERMER</v>
          </cell>
          <cell r="U938" t="str">
            <v>BEYAZ</v>
          </cell>
          <cell r="Z938" t="str">
            <v>3000 K</v>
          </cell>
          <cell r="AD938" t="str">
            <v>ÇİFT AYDINLATMA</v>
          </cell>
          <cell r="AE938" t="str">
            <v>12</v>
          </cell>
          <cell r="AF938">
            <v>0</v>
          </cell>
          <cell r="AG938" t="str">
            <v>ADET</v>
          </cell>
          <cell r="AH938">
            <v>1240</v>
          </cell>
          <cell r="AI938" t="str">
            <v>CNY</v>
          </cell>
          <cell r="AJ938">
            <v>57800</v>
          </cell>
          <cell r="AK938" t="str">
            <v>TL</v>
          </cell>
          <cell r="AL938">
            <v>1</v>
          </cell>
          <cell r="AM938" t="str">
            <v>8684127506830</v>
          </cell>
          <cell r="AO938">
            <v>0</v>
          </cell>
          <cell r="AQ938">
            <v>0</v>
          </cell>
          <cell r="AS938">
            <v>0</v>
          </cell>
          <cell r="AU938">
            <v>0</v>
          </cell>
          <cell r="AW938">
            <v>0</v>
          </cell>
        </row>
        <row r="939">
          <cell r="B939" t="str">
            <v>H1T6JMGLCTJ-022</v>
          </cell>
          <cell r="C939" t="str">
            <v>PORCINO ALTIN MASA LAMBASI</v>
          </cell>
          <cell r="D939" t="str">
            <v>PORCINO GOLD TABLE LAMP</v>
          </cell>
          <cell r="E939" t="str">
            <v xml:space="preserve">METAL PLEKSİ GOLD SOFT   </v>
          </cell>
          <cell r="F939" t="str">
            <v/>
          </cell>
          <cell r="G939" t="str">
            <v>MASA LAMBASI</v>
          </cell>
          <cell r="H939" t="str">
            <v/>
          </cell>
          <cell r="I939" t="str">
            <v>İÇ</v>
          </cell>
          <cell r="J939" t="str">
            <v>MASAABAJ</v>
          </cell>
          <cell r="K939" t="str">
            <v>PORCINO</v>
          </cell>
          <cell r="L939" t="str">
            <v/>
          </cell>
          <cell r="M939" t="str">
            <v>30.09.2023</v>
          </cell>
          <cell r="N939" t="str">
            <v>5668665-G</v>
          </cell>
          <cell r="O939" t="str">
            <v>LAMBAM</v>
          </cell>
          <cell r="P939" t="str">
            <v>ADET</v>
          </cell>
          <cell r="Q939" t="str">
            <v>LED</v>
          </cell>
          <cell r="R939" t="str">
            <v>METAL</v>
          </cell>
          <cell r="S939" t="str">
            <v>GOLD</v>
          </cell>
          <cell r="T939" t="str">
            <v>PLEKSİ</v>
          </cell>
          <cell r="U939" t="str">
            <v>SOFT</v>
          </cell>
          <cell r="AD939" t="str">
            <v>ŞARJLI</v>
          </cell>
          <cell r="AE939" t="str">
            <v>02</v>
          </cell>
          <cell r="AF939">
            <v>4</v>
          </cell>
          <cell r="AG939" t="str">
            <v>ADET</v>
          </cell>
          <cell r="AH939">
            <v>21</v>
          </cell>
          <cell r="AI939" t="str">
            <v>CNY</v>
          </cell>
          <cell r="AJ939">
            <v>1088</v>
          </cell>
          <cell r="AK939" t="str">
            <v>TL</v>
          </cell>
          <cell r="AL939">
            <v>1</v>
          </cell>
          <cell r="AM939" t="str">
            <v>8684127508094</v>
          </cell>
          <cell r="AO939">
            <v>0</v>
          </cell>
          <cell r="AQ939">
            <v>0</v>
          </cell>
          <cell r="AS939">
            <v>0</v>
          </cell>
          <cell r="AU939">
            <v>0</v>
          </cell>
          <cell r="AW939">
            <v>0</v>
          </cell>
        </row>
        <row r="940">
          <cell r="B940" t="str">
            <v>H1C6JMEWRBU-060</v>
          </cell>
          <cell r="C940" t="str">
            <v>ORKOS ÜÇLÜ MERMER SARKIT 60cm</v>
          </cell>
          <cell r="D940" t="str">
            <v>ORKOS TRIPLE MARBLE PENDANT 60cm</v>
          </cell>
          <cell r="E940" t="str">
            <v xml:space="preserve">METAL MERMER ESKİTME BEYAZ   </v>
          </cell>
          <cell r="F940" t="str">
            <v/>
          </cell>
          <cell r="G940" t="str">
            <v>AVİZE</v>
          </cell>
          <cell r="H940" t="str">
            <v/>
          </cell>
          <cell r="I940" t="str">
            <v>İÇ</v>
          </cell>
          <cell r="J940" t="str">
            <v>AVİZE.AVİZ</v>
          </cell>
          <cell r="K940" t="str">
            <v>ORKOS</v>
          </cell>
          <cell r="L940" t="str">
            <v/>
          </cell>
          <cell r="M940" t="str">
            <v/>
          </cell>
          <cell r="N940" t="str">
            <v>HKA-48</v>
          </cell>
          <cell r="O940" t="str">
            <v>HEKA</v>
          </cell>
          <cell r="P940" t="str">
            <v>ADET</v>
          </cell>
          <cell r="Q940" t="str">
            <v>LED</v>
          </cell>
          <cell r="R940" t="str">
            <v>METAL</v>
          </cell>
          <cell r="S940" t="str">
            <v>ESKİTME</v>
          </cell>
          <cell r="T940" t="str">
            <v>MERMER</v>
          </cell>
          <cell r="U940" t="str">
            <v>BEYAZ</v>
          </cell>
          <cell r="AD940" t="str">
            <v>ÜÇGEN</v>
          </cell>
          <cell r="AE940" t="str">
            <v>02</v>
          </cell>
          <cell r="AF940">
            <v>0</v>
          </cell>
          <cell r="AG940" t="str">
            <v>ADET</v>
          </cell>
          <cell r="AH940">
            <v>680</v>
          </cell>
          <cell r="AI940" t="str">
            <v>CNY</v>
          </cell>
          <cell r="AJ940">
            <v>55750</v>
          </cell>
          <cell r="AK940" t="str">
            <v>TL</v>
          </cell>
          <cell r="AL940">
            <v>1</v>
          </cell>
          <cell r="AM940" t="str">
            <v>8684127507486</v>
          </cell>
          <cell r="AO940">
            <v>0</v>
          </cell>
          <cell r="AQ940">
            <v>0</v>
          </cell>
          <cell r="AS940">
            <v>0</v>
          </cell>
          <cell r="AU940">
            <v>0</v>
          </cell>
          <cell r="AW940">
            <v>0</v>
          </cell>
        </row>
        <row r="941">
          <cell r="B941" t="str">
            <v>H1C2WRBJMEY-025</v>
          </cell>
          <cell r="C941" t="str">
            <v>ATLAS TEKLİ  MERMER SARKIT 25cm</v>
          </cell>
          <cell r="D941" t="str">
            <v>ATLAS SINGLE MARBLE PENDANT 25cm</v>
          </cell>
          <cell r="E941" t="str">
            <v xml:space="preserve">MERMER METAL BEYAZ ESKİTME     </v>
          </cell>
          <cell r="F941" t="str">
            <v/>
          </cell>
          <cell r="G941" t="str">
            <v>AVİZE</v>
          </cell>
          <cell r="H941" t="str">
            <v/>
          </cell>
          <cell r="I941" t="str">
            <v>İÇ</v>
          </cell>
          <cell r="J941" t="str">
            <v>AVİZE.AVİZ</v>
          </cell>
          <cell r="K941" t="str">
            <v>ATLAS</v>
          </cell>
          <cell r="L941" t="str">
            <v/>
          </cell>
          <cell r="M941" t="str">
            <v/>
          </cell>
          <cell r="N941" t="str">
            <v>HKA-51</v>
          </cell>
          <cell r="O941" t="str">
            <v>HEKA</v>
          </cell>
          <cell r="P941" t="str">
            <v>ADET</v>
          </cell>
          <cell r="Q941" t="str">
            <v>E27</v>
          </cell>
          <cell r="R941" t="str">
            <v>MERMER</v>
          </cell>
          <cell r="S941" t="str">
            <v>BEYAZ</v>
          </cell>
          <cell r="T941" t="str">
            <v>METAL</v>
          </cell>
          <cell r="U941" t="str">
            <v>ESKİTME</v>
          </cell>
          <cell r="AD941" t="str">
            <v>KÜRE</v>
          </cell>
          <cell r="AE941" t="str">
            <v>02</v>
          </cell>
          <cell r="AF941">
            <v>0</v>
          </cell>
          <cell r="AG941" t="str">
            <v>ADET</v>
          </cell>
          <cell r="AH941">
            <v>450</v>
          </cell>
          <cell r="AI941" t="str">
            <v>CNY</v>
          </cell>
          <cell r="AJ941">
            <v>22491</v>
          </cell>
          <cell r="AK941" t="str">
            <v>TL</v>
          </cell>
          <cell r="AL941">
            <v>1</v>
          </cell>
          <cell r="AM941" t="str">
            <v>8684127507684</v>
          </cell>
          <cell r="AO941">
            <v>0</v>
          </cell>
          <cell r="AQ941">
            <v>0</v>
          </cell>
          <cell r="AS941">
            <v>0</v>
          </cell>
          <cell r="AU941">
            <v>0</v>
          </cell>
          <cell r="AW941">
            <v>0</v>
          </cell>
        </row>
        <row r="942">
          <cell r="B942" t="str">
            <v>H1W6BCOJMEC-013</v>
          </cell>
          <cell r="C942" t="str">
            <v>VESTA TEKLİ ESKİTME LED APLİK</v>
          </cell>
          <cell r="D942" t="str">
            <v>VESTA SINGLE AGED LED SCONCE</v>
          </cell>
          <cell r="E942" t="str">
            <v xml:space="preserve">CAM  METAL SOFT ESKİTME   </v>
          </cell>
          <cell r="F942" t="str">
            <v/>
          </cell>
          <cell r="G942" t="str">
            <v>APLİK</v>
          </cell>
          <cell r="H942" t="str">
            <v/>
          </cell>
          <cell r="I942" t="str">
            <v>İÇ</v>
          </cell>
          <cell r="J942" t="str">
            <v>APLİK</v>
          </cell>
          <cell r="K942" t="str">
            <v>VESTA</v>
          </cell>
          <cell r="L942" t="str">
            <v/>
          </cell>
          <cell r="M942" t="str">
            <v/>
          </cell>
          <cell r="N942" t="str">
            <v>HKA-23008</v>
          </cell>
          <cell r="O942" t="str">
            <v>HEKA</v>
          </cell>
          <cell r="P942" t="str">
            <v>ADET</v>
          </cell>
          <cell r="Q942" t="str">
            <v>LED</v>
          </cell>
          <cell r="R942" t="str">
            <v>AKRİLİK</v>
          </cell>
          <cell r="S942" t="str">
            <v>OPAL</v>
          </cell>
          <cell r="T942" t="str">
            <v>METAL</v>
          </cell>
          <cell r="U942" t="str">
            <v>ESKİTME</v>
          </cell>
          <cell r="AD942" t="str">
            <v>SİLİNDİR</v>
          </cell>
          <cell r="AF942">
            <v>61</v>
          </cell>
          <cell r="AG942" t="str">
            <v>ADET</v>
          </cell>
          <cell r="AH942">
            <v>22</v>
          </cell>
          <cell r="AI942" t="str">
            <v>CNY</v>
          </cell>
          <cell r="AJ942">
            <v>1950</v>
          </cell>
          <cell r="AK942" t="str">
            <v>TL</v>
          </cell>
          <cell r="AL942">
            <v>1</v>
          </cell>
          <cell r="AM942" t="str">
            <v>8684127518949</v>
          </cell>
          <cell r="AO942">
            <v>0</v>
          </cell>
          <cell r="AQ942">
            <v>0</v>
          </cell>
          <cell r="AS942">
            <v>0</v>
          </cell>
          <cell r="AU942">
            <v>0</v>
          </cell>
          <cell r="AW942">
            <v>0</v>
          </cell>
        </row>
        <row r="943">
          <cell r="B943" t="str">
            <v>H1W6JMEWRBF-030</v>
          </cell>
          <cell r="C943" t="str">
            <v>PARİS MERMER ESKİTME LED APLİK</v>
          </cell>
          <cell r="D943" t="str">
            <v>PARIS MARBLE BRUSHED BRASS LED WALL LAMP</v>
          </cell>
          <cell r="E943" t="str">
            <v xml:space="preserve">METAL MERMER ESKİTME BEYAZ   </v>
          </cell>
          <cell r="F943" t="str">
            <v/>
          </cell>
          <cell r="G943" t="str">
            <v>APLİK</v>
          </cell>
          <cell r="H943" t="str">
            <v/>
          </cell>
          <cell r="I943" t="str">
            <v>İÇ</v>
          </cell>
          <cell r="J943" t="str">
            <v>APLİK</v>
          </cell>
          <cell r="K943" t="str">
            <v>PARİS</v>
          </cell>
          <cell r="L943" t="str">
            <v/>
          </cell>
          <cell r="M943" t="str">
            <v/>
          </cell>
          <cell r="N943" t="str">
            <v>HKA-39</v>
          </cell>
          <cell r="O943" t="str">
            <v>HEKA</v>
          </cell>
          <cell r="P943" t="str">
            <v>ADET</v>
          </cell>
          <cell r="Q943" t="str">
            <v>LED</v>
          </cell>
          <cell r="R943" t="str">
            <v>METAL</v>
          </cell>
          <cell r="S943" t="str">
            <v>ESKİTME</v>
          </cell>
          <cell r="T943" t="str">
            <v>MERMER</v>
          </cell>
          <cell r="U943" t="str">
            <v>BEYAZ</v>
          </cell>
          <cell r="AD943" t="str">
            <v>KUBBE</v>
          </cell>
          <cell r="AE943" t="str">
            <v>02</v>
          </cell>
          <cell r="AF943">
            <v>0</v>
          </cell>
          <cell r="AG943" t="str">
            <v>ADET</v>
          </cell>
          <cell r="AH943">
            <v>100</v>
          </cell>
          <cell r="AI943" t="str">
            <v>CNY</v>
          </cell>
          <cell r="AJ943">
            <v>5117</v>
          </cell>
          <cell r="AK943" t="str">
            <v>TL</v>
          </cell>
          <cell r="AL943">
            <v>1</v>
          </cell>
          <cell r="AM943" t="str">
            <v>8684127508391</v>
          </cell>
          <cell r="AO943">
            <v>0</v>
          </cell>
          <cell r="AQ943">
            <v>0</v>
          </cell>
          <cell r="AS943">
            <v>0</v>
          </cell>
          <cell r="AU943">
            <v>0</v>
          </cell>
          <cell r="AW943">
            <v>0</v>
          </cell>
        </row>
        <row r="944">
          <cell r="B944" t="str">
            <v>H1C3JMEERF0-120</v>
          </cell>
          <cell r="C944" t="str">
            <v>KÜLHA G9 CAM ESKİTME YEMEK MASASI AVİZE  26 LI</v>
          </cell>
          <cell r="D944" t="str">
            <v>KÜLHA G9 GLASS BRUSHED BRASS DINING TABLE CHANDELIER 26 BULB</v>
          </cell>
          <cell r="E944" t="str">
            <v xml:space="preserve">METAL CAM  ESKİTME FÜME   </v>
          </cell>
          <cell r="F944" t="str">
            <v/>
          </cell>
          <cell r="G944" t="str">
            <v>AVİZE</v>
          </cell>
          <cell r="H944" t="str">
            <v/>
          </cell>
          <cell r="I944" t="str">
            <v>İÇ</v>
          </cell>
          <cell r="J944" t="str">
            <v>AVİZE.AVİZ</v>
          </cell>
          <cell r="K944" t="str">
            <v>KÜLHA</v>
          </cell>
          <cell r="L944" t="str">
            <v/>
          </cell>
          <cell r="M944" t="str">
            <v/>
          </cell>
          <cell r="N944" t="str">
            <v>8165B-26L</v>
          </cell>
          <cell r="O944" t="str">
            <v>HEKA</v>
          </cell>
          <cell r="P944" t="str">
            <v>ADET</v>
          </cell>
          <cell r="Q944" t="str">
            <v>G9</v>
          </cell>
          <cell r="R944" t="str">
            <v>METAL</v>
          </cell>
          <cell r="S944" t="str">
            <v>ESKİTME</v>
          </cell>
          <cell r="T944" t="str">
            <v>CAM</v>
          </cell>
          <cell r="U944" t="str">
            <v>FÜME</v>
          </cell>
          <cell r="AD944" t="str">
            <v>N/A</v>
          </cell>
          <cell r="AE944" t="str">
            <v>26</v>
          </cell>
          <cell r="AF944">
            <v>0</v>
          </cell>
          <cell r="AG944" t="str">
            <v>ADET</v>
          </cell>
          <cell r="AH944">
            <v>3200</v>
          </cell>
          <cell r="AI944" t="str">
            <v>CNY</v>
          </cell>
          <cell r="AJ944">
            <v>127840</v>
          </cell>
          <cell r="AK944" t="str">
            <v>TL</v>
          </cell>
          <cell r="AL944">
            <v>1</v>
          </cell>
          <cell r="AM944" t="str">
            <v>8684127508056</v>
          </cell>
          <cell r="AO944">
            <v>0</v>
          </cell>
          <cell r="AQ944">
            <v>0</v>
          </cell>
          <cell r="AS944">
            <v>0</v>
          </cell>
          <cell r="AU944">
            <v>0</v>
          </cell>
          <cell r="AW944">
            <v>0</v>
          </cell>
        </row>
        <row r="945">
          <cell r="B945" t="str">
            <v>H1W6JMPECS0-036</v>
          </cell>
          <cell r="C945" t="str">
            <v>BALAMİR TEKLİ PLATİN APLİK</v>
          </cell>
          <cell r="D945" t="str">
            <v>BALAMIR SINGLE PLATINUM WALL LAMP</v>
          </cell>
          <cell r="E945" t="str">
            <v xml:space="preserve">METAL CAM  PLATİN ŞEFFAF   </v>
          </cell>
          <cell r="F945" t="str">
            <v/>
          </cell>
          <cell r="G945" t="str">
            <v>APLİK</v>
          </cell>
          <cell r="H945" t="str">
            <v/>
          </cell>
          <cell r="I945" t="str">
            <v>İÇ</v>
          </cell>
          <cell r="J945" t="str">
            <v>APLİK</v>
          </cell>
          <cell r="K945" t="str">
            <v>BALAMİR</v>
          </cell>
          <cell r="L945" t="str">
            <v/>
          </cell>
          <cell r="M945" t="str">
            <v/>
          </cell>
          <cell r="N945" t="str">
            <v>HKA-24333</v>
          </cell>
          <cell r="O945" t="str">
            <v>HEKA</v>
          </cell>
          <cell r="P945" t="str">
            <v>ADET</v>
          </cell>
          <cell r="Q945" t="str">
            <v>LED</v>
          </cell>
          <cell r="R945" t="str">
            <v>METAL</v>
          </cell>
          <cell r="S945" t="str">
            <v>PLATİN</v>
          </cell>
          <cell r="T945" t="str">
            <v>CAM</v>
          </cell>
          <cell r="U945" t="str">
            <v>ŞEFFAF</v>
          </cell>
          <cell r="AD945" t="str">
            <v>N/A</v>
          </cell>
          <cell r="AF945">
            <v>1</v>
          </cell>
          <cell r="AG945" t="str">
            <v>ADET</v>
          </cell>
          <cell r="AH945">
            <v>112</v>
          </cell>
          <cell r="AI945" t="str">
            <v>CNY</v>
          </cell>
          <cell r="AJ945">
            <v>4879</v>
          </cell>
          <cell r="AK945" t="str">
            <v>TL</v>
          </cell>
          <cell r="AL945">
            <v>1</v>
          </cell>
          <cell r="AM945" t="str">
            <v>8684127507875</v>
          </cell>
          <cell r="AO945">
            <v>0</v>
          </cell>
          <cell r="AQ945">
            <v>0</v>
          </cell>
          <cell r="AS945">
            <v>0</v>
          </cell>
          <cell r="AU945">
            <v>0</v>
          </cell>
          <cell r="AW945">
            <v>0</v>
          </cell>
        </row>
        <row r="946">
          <cell r="B946" t="str">
            <v>H1C3JMEWRBY-060</v>
          </cell>
          <cell r="C946" t="str">
            <v>ADONIS TEKLİ BEYAZ MERMER LED SARKIT 60cm</v>
          </cell>
          <cell r="D946" t="str">
            <v>ADONIS SINGLE WHITE MARBLE LED PENDANT 60cm</v>
          </cell>
          <cell r="E946" t="str">
            <v xml:space="preserve">METAL MERMER ESKİTME BEYAZ   </v>
          </cell>
          <cell r="F946" t="str">
            <v/>
          </cell>
          <cell r="G946" t="str">
            <v>AVİZE</v>
          </cell>
          <cell r="H946" t="str">
            <v/>
          </cell>
          <cell r="I946" t="str">
            <v>İÇ</v>
          </cell>
          <cell r="J946" t="str">
            <v>AVİZE.AVİZ</v>
          </cell>
          <cell r="K946" t="str">
            <v>ADONIS</v>
          </cell>
          <cell r="L946" t="str">
            <v/>
          </cell>
          <cell r="M946" t="str">
            <v/>
          </cell>
          <cell r="N946" t="str">
            <v>HKA-29</v>
          </cell>
          <cell r="O946" t="str">
            <v>HEKA</v>
          </cell>
          <cell r="P946" t="str">
            <v>ADET</v>
          </cell>
          <cell r="Q946" t="str">
            <v>G9</v>
          </cell>
          <cell r="R946" t="str">
            <v>METAL</v>
          </cell>
          <cell r="S946" t="str">
            <v>ESKİTME</v>
          </cell>
          <cell r="T946" t="str">
            <v>MERMER</v>
          </cell>
          <cell r="U946" t="str">
            <v>BEYAZ</v>
          </cell>
          <cell r="AD946" t="str">
            <v>KÜRE</v>
          </cell>
          <cell r="AE946" t="str">
            <v>10</v>
          </cell>
          <cell r="AF946">
            <v>0</v>
          </cell>
          <cell r="AG946" t="str">
            <v>ADET</v>
          </cell>
          <cell r="AH946">
            <v>850</v>
          </cell>
          <cell r="AI946" t="str">
            <v>CNY</v>
          </cell>
          <cell r="AJ946">
            <v>42483</v>
          </cell>
          <cell r="AK946" t="str">
            <v>TL</v>
          </cell>
          <cell r="AL946">
            <v>1</v>
          </cell>
          <cell r="AM946" t="str">
            <v>8684127507332</v>
          </cell>
          <cell r="AO946">
            <v>0</v>
          </cell>
          <cell r="AQ946">
            <v>0</v>
          </cell>
          <cell r="AS946">
            <v>0</v>
          </cell>
          <cell r="AU946">
            <v>0</v>
          </cell>
          <cell r="AW946">
            <v>0</v>
          </cell>
        </row>
        <row r="947">
          <cell r="B947" t="str">
            <v>H1C2JRSECT0-020</v>
          </cell>
          <cell r="C947" t="str">
            <v>BERDE PİRİNÇ SİYAH SARKIT 20cm</v>
          </cell>
          <cell r="D947" t="str">
            <v>BERDE BLACK PENDANT 20cm</v>
          </cell>
          <cell r="E947" t="str">
            <v>METAL CAM SİYAH SOFT</v>
          </cell>
          <cell r="F947" t="str">
            <v>9405.19.90.00.00</v>
          </cell>
          <cell r="G947" t="str">
            <v>AVİZE</v>
          </cell>
          <cell r="H947" t="str">
            <v>H1A2112100-20</v>
          </cell>
          <cell r="I947" t="str">
            <v>İÇ</v>
          </cell>
          <cell r="J947" t="str">
            <v>AVİZE.SARK</v>
          </cell>
          <cell r="K947" t="str">
            <v>BERDE</v>
          </cell>
          <cell r="L947" t="str">
            <v/>
          </cell>
          <cell r="M947" t="str">
            <v/>
          </cell>
          <cell r="N947" t="str">
            <v/>
          </cell>
          <cell r="O947" t="str">
            <v>HEKA</v>
          </cell>
          <cell r="P947" t="str">
            <v>ADET</v>
          </cell>
          <cell r="Q947" t="str">
            <v>E27</v>
          </cell>
          <cell r="R947" t="str">
            <v>METAL</v>
          </cell>
          <cell r="S947" t="str">
            <v>SİYAH</v>
          </cell>
          <cell r="T947" t="str">
            <v>CAM</v>
          </cell>
          <cell r="U947" t="str">
            <v>SOFT</v>
          </cell>
          <cell r="AD947" t="str">
            <v>N/A</v>
          </cell>
          <cell r="AE947" t="str">
            <v>02</v>
          </cell>
          <cell r="AF947">
            <v>0</v>
          </cell>
          <cell r="AG947" t="str">
            <v>ADET</v>
          </cell>
          <cell r="AH947">
            <v>300</v>
          </cell>
          <cell r="AI947" t="str">
            <v>TL</v>
          </cell>
          <cell r="AJ947">
            <v>1280</v>
          </cell>
          <cell r="AK947" t="str">
            <v>TL</v>
          </cell>
          <cell r="AL947">
            <v>1</v>
          </cell>
          <cell r="AO947">
            <v>0</v>
          </cell>
          <cell r="AQ947">
            <v>35</v>
          </cell>
          <cell r="AR947" t="str">
            <v>CM</v>
          </cell>
          <cell r="AS947">
            <v>20</v>
          </cell>
          <cell r="AT947" t="str">
            <v>CM</v>
          </cell>
          <cell r="AU947">
            <v>0</v>
          </cell>
          <cell r="AW947">
            <v>0</v>
          </cell>
        </row>
        <row r="948">
          <cell r="B948" t="str">
            <v>H1W1JMKWRB0-032</v>
          </cell>
          <cell r="C948" t="str">
            <v>ARDIÇ KROM APLİK KÜÇÜK</v>
          </cell>
          <cell r="D948" t="str">
            <v>ARDIÇ CHROME WALL LAMP SMALL</v>
          </cell>
          <cell r="E948" t="str">
            <v>METAL MERMER KROM BEYAZ</v>
          </cell>
          <cell r="F948" t="str">
            <v>9405.19.90.00.00</v>
          </cell>
          <cell r="G948" t="str">
            <v>APLİK</v>
          </cell>
          <cell r="H948" t="str">
            <v>T1W1113100-32</v>
          </cell>
          <cell r="I948" t="str">
            <v>İÇ</v>
          </cell>
          <cell r="J948" t="str">
            <v>APLİK</v>
          </cell>
          <cell r="K948" t="str">
            <v>ARDIÇ</v>
          </cell>
          <cell r="L948" t="str">
            <v/>
          </cell>
          <cell r="M948" t="str">
            <v/>
          </cell>
          <cell r="N948" t="str">
            <v>002-CR-S</v>
          </cell>
          <cell r="O948" t="str">
            <v>HEKA</v>
          </cell>
          <cell r="P948" t="str">
            <v>ADET</v>
          </cell>
          <cell r="Q948" t="str">
            <v>E14</v>
          </cell>
          <cell r="R948" t="str">
            <v>METAL</v>
          </cell>
          <cell r="S948" t="str">
            <v>KROM</v>
          </cell>
          <cell r="T948" t="str">
            <v>MERMER</v>
          </cell>
          <cell r="U948" t="str">
            <v>BEYAZ</v>
          </cell>
          <cell r="AD948" t="str">
            <v>N/A</v>
          </cell>
          <cell r="AE948" t="str">
            <v>01</v>
          </cell>
          <cell r="AF948">
            <v>6</v>
          </cell>
          <cell r="AG948" t="str">
            <v>ADET</v>
          </cell>
          <cell r="AH948">
            <v>97.65</v>
          </cell>
          <cell r="AI948" t="str">
            <v>CNY</v>
          </cell>
          <cell r="AJ948">
            <v>4760</v>
          </cell>
          <cell r="AK948" t="str">
            <v>TL</v>
          </cell>
          <cell r="AL948">
            <v>1</v>
          </cell>
          <cell r="AM948" t="str">
            <v>8684127510264</v>
          </cell>
          <cell r="AO948">
            <v>0</v>
          </cell>
          <cell r="AQ948">
            <v>32</v>
          </cell>
          <cell r="AR948" t="str">
            <v>CM</v>
          </cell>
          <cell r="AS948">
            <v>14</v>
          </cell>
          <cell r="AT948" t="str">
            <v>CM</v>
          </cell>
          <cell r="AU948">
            <v>0</v>
          </cell>
          <cell r="AW948">
            <v>0</v>
          </cell>
        </row>
        <row r="949">
          <cell r="B949" t="str">
            <v>H1C2JMEERLR-100</v>
          </cell>
          <cell r="C949" t="str">
            <v>GALATA YEMEK MASASI AVİZE İKİ KATLI 23LÜ</v>
          </cell>
          <cell r="D949" t="str">
            <v>GALATA DINING TABLE CHANDELIER DUBLEX 23 BULB</v>
          </cell>
          <cell r="E949" t="str">
            <v>METAL CAM ESKİTME BAL</v>
          </cell>
          <cell r="F949" t="str">
            <v>9405.19.90.00.00</v>
          </cell>
          <cell r="G949" t="str">
            <v>AVİZE</v>
          </cell>
          <cell r="H949" t="str">
            <v>H1A21122D0-21</v>
          </cell>
          <cell r="I949" t="str">
            <v>İÇ</v>
          </cell>
          <cell r="J949" t="str">
            <v>AVİZE.AVİZ</v>
          </cell>
          <cell r="K949" t="str">
            <v>GALATA</v>
          </cell>
          <cell r="L949" t="str">
            <v/>
          </cell>
          <cell r="M949" t="str">
            <v/>
          </cell>
          <cell r="N949" t="str">
            <v/>
          </cell>
          <cell r="O949" t="str">
            <v>HEKA</v>
          </cell>
          <cell r="P949" t="str">
            <v>ADET</v>
          </cell>
          <cell r="Q949" t="str">
            <v>E27</v>
          </cell>
          <cell r="R949" t="str">
            <v>METAL</v>
          </cell>
          <cell r="S949" t="str">
            <v>ESKİTME</v>
          </cell>
          <cell r="T949" t="str">
            <v>CAM</v>
          </cell>
          <cell r="U949" t="str">
            <v>BAL</v>
          </cell>
          <cell r="AD949" t="str">
            <v>N/A</v>
          </cell>
          <cell r="AE949" t="str">
            <v>23</v>
          </cell>
          <cell r="AF949">
            <v>0</v>
          </cell>
          <cell r="AG949" t="str">
            <v>ADET</v>
          </cell>
          <cell r="AJ949">
            <v>45655</v>
          </cell>
          <cell r="AK949" t="str">
            <v>TL</v>
          </cell>
          <cell r="AL949">
            <v>0</v>
          </cell>
          <cell r="AO949">
            <v>0</v>
          </cell>
          <cell r="AQ949">
            <v>0</v>
          </cell>
          <cell r="AR949" t="str">
            <v>CM</v>
          </cell>
          <cell r="AS949">
            <v>206</v>
          </cell>
          <cell r="AT949" t="str">
            <v>CM</v>
          </cell>
          <cell r="AU949">
            <v>0</v>
          </cell>
          <cell r="AW949">
            <v>0</v>
          </cell>
        </row>
        <row r="950">
          <cell r="B950" t="str">
            <v>H1F6JMEWRB0-160</v>
          </cell>
          <cell r="C950" t="str">
            <v>EFES MERMER ESKİTME LAMBADER</v>
          </cell>
          <cell r="D950" t="str">
            <v>EFES MARBLE BRUSHED BRASS FLOOR LAMP</v>
          </cell>
          <cell r="E950" t="str">
            <v>METAL MERMER ESKİTME BEYAZ</v>
          </cell>
          <cell r="F950" t="str">
            <v>9405.11.90.00.00</v>
          </cell>
          <cell r="G950" t="str">
            <v>LAMBADER</v>
          </cell>
          <cell r="H950" t="str">
            <v>H1L6113100-33</v>
          </cell>
          <cell r="I950" t="str">
            <v>İÇ</v>
          </cell>
          <cell r="J950" t="str">
            <v>LAMBADER</v>
          </cell>
          <cell r="K950" t="str">
            <v>EFES</v>
          </cell>
          <cell r="L950" t="str">
            <v/>
          </cell>
          <cell r="M950" t="str">
            <v>ÜRTM:15GÜN</v>
          </cell>
          <cell r="N950" t="str">
            <v/>
          </cell>
          <cell r="O950" t="str">
            <v>HEKA</v>
          </cell>
          <cell r="P950" t="str">
            <v>ADET</v>
          </cell>
          <cell r="Q950" t="str">
            <v>LED</v>
          </cell>
          <cell r="R950" t="str">
            <v>METAL</v>
          </cell>
          <cell r="S950" t="str">
            <v>ESKİTME</v>
          </cell>
          <cell r="T950" t="str">
            <v>MERMER</v>
          </cell>
          <cell r="U950" t="str">
            <v>BEYAZ</v>
          </cell>
          <cell r="AD950" t="str">
            <v>N/A</v>
          </cell>
          <cell r="AF950">
            <v>0</v>
          </cell>
          <cell r="AG950" t="str">
            <v>ADET</v>
          </cell>
          <cell r="AJ950">
            <v>87375</v>
          </cell>
          <cell r="AK950" t="str">
            <v>TL</v>
          </cell>
          <cell r="AL950">
            <v>1</v>
          </cell>
          <cell r="AO950">
            <v>0</v>
          </cell>
          <cell r="AQ950">
            <v>29</v>
          </cell>
          <cell r="AR950" t="str">
            <v>CM</v>
          </cell>
          <cell r="AS950">
            <v>161</v>
          </cell>
          <cell r="AT950" t="str">
            <v>CM</v>
          </cell>
          <cell r="AU950">
            <v>0</v>
          </cell>
          <cell r="AW950">
            <v>0</v>
          </cell>
        </row>
        <row r="951">
          <cell r="B951" t="str">
            <v>SNC-25-1</v>
          </cell>
          <cell r="C951" t="str">
            <v>C35 ŞEFFAF DÜZ 220V 4W 4000K E14 LED AMPUL</v>
          </cell>
          <cell r="D951" t="str">
            <v/>
          </cell>
          <cell r="E951" t="str">
            <v/>
          </cell>
          <cell r="F951" t="str">
            <v>8539.52.00.00.13</v>
          </cell>
          <cell r="G951" t="str">
            <v>AMPUL</v>
          </cell>
          <cell r="H951" t="str">
            <v/>
          </cell>
          <cell r="I951" t="str">
            <v>İÇ</v>
          </cell>
          <cell r="J951" t="str">
            <v>AMPUL</v>
          </cell>
          <cell r="K951" t="str">
            <v/>
          </cell>
          <cell r="L951" t="str">
            <v/>
          </cell>
          <cell r="M951" t="str">
            <v/>
          </cell>
          <cell r="N951" t="str">
            <v/>
          </cell>
          <cell r="O951" t="str">
            <v>HEKA</v>
          </cell>
          <cell r="P951" t="str">
            <v>ADET</v>
          </cell>
          <cell r="AF951">
            <v>0</v>
          </cell>
          <cell r="AG951" t="str">
            <v>ADET</v>
          </cell>
          <cell r="AL951">
            <v>0</v>
          </cell>
          <cell r="AO951">
            <v>0</v>
          </cell>
          <cell r="AQ951">
            <v>0</v>
          </cell>
          <cell r="AS951">
            <v>0</v>
          </cell>
          <cell r="AU951">
            <v>0</v>
          </cell>
          <cell r="AW951">
            <v>0</v>
          </cell>
        </row>
        <row r="952">
          <cell r="B952" t="str">
            <v>SNC-23-1</v>
          </cell>
          <cell r="C952" t="str">
            <v>T35 ŞEFFAF KIVRIK 4W 4000K E14 LED AMPUL</v>
          </cell>
          <cell r="D952" t="str">
            <v/>
          </cell>
          <cell r="E952" t="str">
            <v/>
          </cell>
          <cell r="F952" t="str">
            <v>8539.52.00.00.11</v>
          </cell>
          <cell r="G952" t="str">
            <v>AMPUL</v>
          </cell>
          <cell r="H952" t="str">
            <v/>
          </cell>
          <cell r="I952" t="str">
            <v>İÇ</v>
          </cell>
          <cell r="J952" t="str">
            <v>AMPUL</v>
          </cell>
          <cell r="K952" t="str">
            <v/>
          </cell>
          <cell r="L952" t="str">
            <v/>
          </cell>
          <cell r="M952" t="str">
            <v/>
          </cell>
          <cell r="N952" t="str">
            <v/>
          </cell>
          <cell r="P952" t="str">
            <v>ADET</v>
          </cell>
          <cell r="AF952">
            <v>0</v>
          </cell>
          <cell r="AG952" t="str">
            <v>ADET</v>
          </cell>
          <cell r="AL952">
            <v>0</v>
          </cell>
          <cell r="AO952">
            <v>0</v>
          </cell>
          <cell r="AQ952">
            <v>0</v>
          </cell>
          <cell r="AS952">
            <v>0</v>
          </cell>
          <cell r="AU952">
            <v>0</v>
          </cell>
          <cell r="AW952">
            <v>0</v>
          </cell>
        </row>
        <row r="953">
          <cell r="B953" t="str">
            <v>SNC-98</v>
          </cell>
          <cell r="C953" t="str">
            <v>T35 BAL 4W DÜZ 2700K E14 LED AMPUL</v>
          </cell>
          <cell r="D953" t="str">
            <v/>
          </cell>
          <cell r="E953" t="str">
            <v/>
          </cell>
          <cell r="F953" t="str">
            <v>8539.52.00.00.09</v>
          </cell>
          <cell r="G953" t="str">
            <v>AMPUL</v>
          </cell>
          <cell r="H953" t="str">
            <v/>
          </cell>
          <cell r="I953" t="str">
            <v>İÇ</v>
          </cell>
          <cell r="J953" t="str">
            <v>AMPUL</v>
          </cell>
          <cell r="K953" t="str">
            <v/>
          </cell>
          <cell r="L953" t="str">
            <v/>
          </cell>
          <cell r="M953" t="str">
            <v/>
          </cell>
          <cell r="N953" t="str">
            <v/>
          </cell>
          <cell r="P953" t="str">
            <v>ADET</v>
          </cell>
          <cell r="AF953">
            <v>0</v>
          </cell>
          <cell r="AG953" t="str">
            <v>ADET</v>
          </cell>
          <cell r="AL953">
            <v>0</v>
          </cell>
          <cell r="AO953">
            <v>0</v>
          </cell>
          <cell r="AQ953">
            <v>0</v>
          </cell>
          <cell r="AS953">
            <v>0</v>
          </cell>
          <cell r="AU953">
            <v>0</v>
          </cell>
          <cell r="AW953">
            <v>0</v>
          </cell>
        </row>
        <row r="954">
          <cell r="B954" t="str">
            <v>1YC4HGRF000-040</v>
          </cell>
          <cell r="C954" t="str">
            <v>FÜME RENGİ BOĞUMLU AVİZE CAMI 10x40 cm</v>
          </cell>
          <cell r="D954" t="str">
            <v>SMOKY CLOLOR GNARLED CHANDELIER GLASS 10x40 cm</v>
          </cell>
          <cell r="E954" t="str">
            <v/>
          </cell>
          <cell r="F954" t="str">
            <v/>
          </cell>
          <cell r="G954" t="str">
            <v>ZPARCA</v>
          </cell>
          <cell r="H954" t="str">
            <v/>
          </cell>
          <cell r="I954" t="str">
            <v>İÇ</v>
          </cell>
          <cell r="J954" t="str">
            <v>ZPARCA</v>
          </cell>
          <cell r="K954" t="str">
            <v/>
          </cell>
          <cell r="L954" t="str">
            <v/>
          </cell>
          <cell r="M954" t="str">
            <v/>
          </cell>
          <cell r="N954" t="str">
            <v/>
          </cell>
          <cell r="P954" t="str">
            <v>ADET</v>
          </cell>
          <cell r="AF954">
            <v>2</v>
          </cell>
          <cell r="AG954" t="str">
            <v>ADET</v>
          </cell>
          <cell r="AJ954">
            <v>1945</v>
          </cell>
          <cell r="AK954" t="str">
            <v>TL</v>
          </cell>
          <cell r="AL954">
            <v>0</v>
          </cell>
          <cell r="AM954" t="str">
            <v>1YC4HGRF000-040</v>
          </cell>
          <cell r="AO954">
            <v>0</v>
          </cell>
          <cell r="AQ954">
            <v>10</v>
          </cell>
          <cell r="AR954" t="str">
            <v>CM</v>
          </cell>
          <cell r="AS954">
            <v>10</v>
          </cell>
          <cell r="AT954" t="str">
            <v>CM</v>
          </cell>
          <cell r="AU954">
            <v>0</v>
          </cell>
          <cell r="AW954">
            <v>0</v>
          </cell>
        </row>
        <row r="955">
          <cell r="B955" t="str">
            <v>F1W3JMG0000-040</v>
          </cell>
          <cell r="C955" t="str">
            <v>AYDOS TEKLİ ALTIN YAPRAK APLİK</v>
          </cell>
          <cell r="D955" t="str">
            <v>AYDOS SINGLE GOLD LEAF WALL LAMP</v>
          </cell>
          <cell r="E955" t="str">
            <v xml:space="preserve">METAL YOK GOLD YOK   </v>
          </cell>
          <cell r="F955" t="str">
            <v/>
          </cell>
          <cell r="G955" t="str">
            <v>APLİK</v>
          </cell>
          <cell r="H955" t="str">
            <v/>
          </cell>
          <cell r="I955" t="str">
            <v>İÇ</v>
          </cell>
          <cell r="J955" t="str">
            <v>APLİK</v>
          </cell>
          <cell r="K955" t="str">
            <v>AYDOS</v>
          </cell>
          <cell r="L955" t="str">
            <v/>
          </cell>
          <cell r="M955" t="str">
            <v/>
          </cell>
          <cell r="N955" t="str">
            <v/>
          </cell>
          <cell r="O955" t="str">
            <v>LIGHTIST</v>
          </cell>
          <cell r="P955" t="str">
            <v>ADET</v>
          </cell>
          <cell r="Q955" t="str">
            <v>G9</v>
          </cell>
          <cell r="R955" t="str">
            <v>METAL</v>
          </cell>
          <cell r="S955" t="str">
            <v>GOLD</v>
          </cell>
          <cell r="T955" t="str">
            <v>YOK</v>
          </cell>
          <cell r="U955" t="str">
            <v>YOK</v>
          </cell>
          <cell r="AE955" t="str">
            <v>03</v>
          </cell>
          <cell r="AF955">
            <v>0</v>
          </cell>
          <cell r="AG955" t="str">
            <v>ADET</v>
          </cell>
          <cell r="AH955">
            <v>2250</v>
          </cell>
          <cell r="AI955" t="str">
            <v>TL</v>
          </cell>
          <cell r="AJ955">
            <v>4950</v>
          </cell>
          <cell r="AK955" t="str">
            <v>TL</v>
          </cell>
          <cell r="AL955">
            <v>0</v>
          </cell>
          <cell r="AM955" t="str">
            <v>8684127514705</v>
          </cell>
          <cell r="AO955">
            <v>0</v>
          </cell>
          <cell r="AQ955">
            <v>0</v>
          </cell>
          <cell r="AS955">
            <v>0</v>
          </cell>
          <cell r="AU955">
            <v>0</v>
          </cell>
          <cell r="AW955">
            <v>0</v>
          </cell>
        </row>
        <row r="956">
          <cell r="B956" t="str">
            <v>H1C1WRSJMG0-085</v>
          </cell>
          <cell r="C956" t="str">
            <v>FİONA SİYAH-ALTIN YEMEK MASASI AVİZESİ 12 Lİ</v>
          </cell>
          <cell r="D956" t="str">
            <v>FİONA BLACK-GOLD DINNING TABLE CHANDELIER 12 BULB</v>
          </cell>
          <cell r="E956" t="str">
            <v xml:space="preserve">METAL METAL SİYAH GOLD   </v>
          </cell>
          <cell r="F956" t="str">
            <v>9405.19.90.00.00</v>
          </cell>
          <cell r="G956" t="str">
            <v>AVİZE</v>
          </cell>
          <cell r="H956" t="str">
            <v>H1A1121400-17</v>
          </cell>
          <cell r="I956" t="str">
            <v>İÇ</v>
          </cell>
          <cell r="J956" t="str">
            <v>AVİZE.AVİZ</v>
          </cell>
          <cell r="K956" t="str">
            <v>FİONA</v>
          </cell>
          <cell r="L956" t="str">
            <v>Ç</v>
          </cell>
          <cell r="M956" t="str">
            <v>ÜRTM:15GÜN</v>
          </cell>
          <cell r="N956" t="str">
            <v>HK20019-1</v>
          </cell>
          <cell r="O956" t="str">
            <v>HEKA</v>
          </cell>
          <cell r="P956" t="str">
            <v>ADET</v>
          </cell>
          <cell r="Q956" t="str">
            <v>E14</v>
          </cell>
          <cell r="R956" t="str">
            <v>METAL</v>
          </cell>
          <cell r="S956" t="str">
            <v>SİYAH</v>
          </cell>
          <cell r="T956" t="str">
            <v>METAL</v>
          </cell>
          <cell r="U956" t="str">
            <v>GOLD</v>
          </cell>
          <cell r="AD956" t="str">
            <v>N/A</v>
          </cell>
          <cell r="AE956" t="str">
            <v>17</v>
          </cell>
          <cell r="AF956">
            <v>0</v>
          </cell>
          <cell r="AG956" t="str">
            <v>ADET</v>
          </cell>
          <cell r="AH956">
            <v>1500</v>
          </cell>
          <cell r="AI956" t="str">
            <v>TL</v>
          </cell>
          <cell r="AJ956">
            <v>10950</v>
          </cell>
          <cell r="AK956" t="str">
            <v>TL</v>
          </cell>
          <cell r="AL956">
            <v>1</v>
          </cell>
          <cell r="AO956">
            <v>0</v>
          </cell>
          <cell r="AQ956">
            <v>45</v>
          </cell>
          <cell r="AR956" t="str">
            <v>CM</v>
          </cell>
          <cell r="AS956">
            <v>45</v>
          </cell>
          <cell r="AT956" t="str">
            <v>CM</v>
          </cell>
          <cell r="AU956">
            <v>0</v>
          </cell>
          <cell r="AW956">
            <v>0</v>
          </cell>
        </row>
        <row r="957">
          <cell r="B957" t="str">
            <v>H1C6JMEERL0-028</v>
          </cell>
          <cell r="C957" t="str">
            <v>VİYANA BAL DAMLA CAM ESKİTME SARKIT 28cm</v>
          </cell>
          <cell r="D957" t="str">
            <v>VIYANA AMBER DROP GLASS BRUSHED BRASS PENDANT 28cm</v>
          </cell>
          <cell r="E957" t="str">
            <v xml:space="preserve">METAL CAM  ESKİTME BAL   </v>
          </cell>
          <cell r="F957" t="str">
            <v>9405.11.90.00.00</v>
          </cell>
          <cell r="G957" t="str">
            <v>AVİZE</v>
          </cell>
          <cell r="H957" t="str">
            <v>T1A6231100-20</v>
          </cell>
          <cell r="I957" t="str">
            <v>İÇ</v>
          </cell>
          <cell r="J957" t="str">
            <v>AVİZE.SARK</v>
          </cell>
          <cell r="K957" t="str">
            <v>VİYANA</v>
          </cell>
          <cell r="L957" t="str">
            <v/>
          </cell>
          <cell r="M957" t="str">
            <v/>
          </cell>
          <cell r="N957" t="str">
            <v/>
          </cell>
          <cell r="O957" t="str">
            <v>HEKA</v>
          </cell>
          <cell r="P957" t="str">
            <v>ADET</v>
          </cell>
          <cell r="Q957" t="str">
            <v>LED</v>
          </cell>
          <cell r="R957" t="str">
            <v>METAL</v>
          </cell>
          <cell r="S957" t="str">
            <v>ESKİTME</v>
          </cell>
          <cell r="T957" t="str">
            <v>CAM</v>
          </cell>
          <cell r="U957" t="str">
            <v>BAL</v>
          </cell>
          <cell r="AE957" t="str">
            <v>01</v>
          </cell>
          <cell r="AF957">
            <v>0</v>
          </cell>
          <cell r="AG957" t="str">
            <v>ADET</v>
          </cell>
          <cell r="AJ957">
            <v>3927</v>
          </cell>
          <cell r="AK957" t="str">
            <v>TL</v>
          </cell>
          <cell r="AL957">
            <v>0</v>
          </cell>
          <cell r="AM957" t="str">
            <v>8684127510721</v>
          </cell>
          <cell r="AO957">
            <v>0</v>
          </cell>
          <cell r="AQ957">
            <v>0</v>
          </cell>
          <cell r="AR957" t="str">
            <v>CM</v>
          </cell>
          <cell r="AS957">
            <v>0</v>
          </cell>
          <cell r="AT957" t="str">
            <v>CM</v>
          </cell>
          <cell r="AU957">
            <v>0</v>
          </cell>
          <cell r="AW957">
            <v>0</v>
          </cell>
        </row>
        <row r="958">
          <cell r="B958" t="str">
            <v>KRG01</v>
          </cell>
          <cell r="C958" t="str">
            <v>Kargo Hizmet Bedeli</v>
          </cell>
          <cell r="D958" t="str">
            <v/>
          </cell>
          <cell r="E958" t="str">
            <v/>
          </cell>
          <cell r="F958" t="str">
            <v/>
          </cell>
          <cell r="G958" t="str">
            <v/>
          </cell>
          <cell r="H958" t="str">
            <v/>
          </cell>
          <cell r="I958" t="str">
            <v/>
          </cell>
          <cell r="J958" t="str">
            <v/>
          </cell>
          <cell r="K958" t="str">
            <v/>
          </cell>
          <cell r="L958" t="str">
            <v/>
          </cell>
          <cell r="M958" t="str">
            <v/>
          </cell>
          <cell r="N958" t="str">
            <v/>
          </cell>
          <cell r="P958" t="str">
            <v>ADET</v>
          </cell>
          <cell r="AG958" t="str">
            <v>ADET</v>
          </cell>
          <cell r="AL958">
            <v>0</v>
          </cell>
          <cell r="AO958">
            <v>0</v>
          </cell>
          <cell r="AQ958">
            <v>0</v>
          </cell>
          <cell r="AS958">
            <v>0</v>
          </cell>
          <cell r="AU958">
            <v>0</v>
          </cell>
          <cell r="AW958">
            <v>0</v>
          </cell>
        </row>
        <row r="959">
          <cell r="B959" t="str">
            <v>H1C1JRSJMG0-100</v>
          </cell>
          <cell r="C959" t="str">
            <v>FİONA SALON AVİZESİ 19 LU</v>
          </cell>
          <cell r="D959" t="str">
            <v>FİONA LIVING ROOM CHANDELIER 19 BULB</v>
          </cell>
          <cell r="E959" t="str">
            <v xml:space="preserve">METAL METAL SİYAH GOLD   </v>
          </cell>
          <cell r="F959" t="str">
            <v>9405.19.90.00.00</v>
          </cell>
          <cell r="G959" t="str">
            <v>AVİZE</v>
          </cell>
          <cell r="H959" t="str">
            <v>H1A1121400-13</v>
          </cell>
          <cell r="I959" t="str">
            <v>İÇ</v>
          </cell>
          <cell r="J959" t="str">
            <v>AVİZE.AVİZ</v>
          </cell>
          <cell r="K959" t="str">
            <v>FİONA</v>
          </cell>
          <cell r="L959" t="str">
            <v/>
          </cell>
          <cell r="M959" t="str">
            <v>ÜRTM:15GÜN</v>
          </cell>
          <cell r="N959" t="str">
            <v>HK20020-19</v>
          </cell>
          <cell r="O959" t="str">
            <v>HEKA</v>
          </cell>
          <cell r="P959" t="str">
            <v>ADET</v>
          </cell>
          <cell r="Q959" t="str">
            <v>E14</v>
          </cell>
          <cell r="R959" t="str">
            <v>METAL</v>
          </cell>
          <cell r="S959" t="str">
            <v>SİYAH</v>
          </cell>
          <cell r="T959" t="str">
            <v>METAL</v>
          </cell>
          <cell r="U959" t="str">
            <v>GOLD</v>
          </cell>
          <cell r="AD959" t="str">
            <v>N/A</v>
          </cell>
          <cell r="AE959" t="str">
            <v>19</v>
          </cell>
          <cell r="AF959">
            <v>0</v>
          </cell>
          <cell r="AG959" t="str">
            <v>ADET</v>
          </cell>
          <cell r="AH959">
            <v>1000</v>
          </cell>
          <cell r="AI959" t="str">
            <v>TL</v>
          </cell>
          <cell r="AJ959">
            <v>12045</v>
          </cell>
          <cell r="AK959" t="str">
            <v>TL</v>
          </cell>
          <cell r="AL959">
            <v>1</v>
          </cell>
          <cell r="AM959" t="str">
            <v>8684127510813</v>
          </cell>
          <cell r="AO959">
            <v>0</v>
          </cell>
          <cell r="AQ959">
            <v>42</v>
          </cell>
          <cell r="AR959" t="str">
            <v>CM</v>
          </cell>
          <cell r="AS959">
            <v>72</v>
          </cell>
          <cell r="AT959" t="str">
            <v>CM</v>
          </cell>
          <cell r="AU959">
            <v>0</v>
          </cell>
          <cell r="AW959">
            <v>0</v>
          </cell>
        </row>
        <row r="960">
          <cell r="B960" t="str">
            <v>H1W00000000-000</v>
          </cell>
          <cell r="C960" t="str">
            <v>ÖZEL TASARIM APLİK</v>
          </cell>
          <cell r="D960" t="str">
            <v>CUSTOM DESIGN WALL LAMP</v>
          </cell>
          <cell r="E960" t="str">
            <v/>
          </cell>
          <cell r="F960" t="str">
            <v>9405.42.39.00.00</v>
          </cell>
          <cell r="G960" t="str">
            <v>APLİK</v>
          </cell>
          <cell r="H960" t="str">
            <v/>
          </cell>
          <cell r="I960" t="str">
            <v>İÇ</v>
          </cell>
          <cell r="J960" t="str">
            <v>APLİK</v>
          </cell>
          <cell r="K960" t="str">
            <v/>
          </cell>
          <cell r="L960" t="str">
            <v/>
          </cell>
          <cell r="M960" t="str">
            <v>ÖZEL TASAR</v>
          </cell>
          <cell r="N960" t="str">
            <v/>
          </cell>
          <cell r="O960" t="str">
            <v>HEKA</v>
          </cell>
          <cell r="P960" t="str">
            <v>ADET</v>
          </cell>
          <cell r="AF960">
            <v>44</v>
          </cell>
          <cell r="AG960" t="str">
            <v>ADET</v>
          </cell>
          <cell r="AL960">
            <v>0</v>
          </cell>
          <cell r="AM960" t="str">
            <v>H1W00000000-000</v>
          </cell>
          <cell r="AO960">
            <v>0</v>
          </cell>
          <cell r="AQ960">
            <v>0</v>
          </cell>
          <cell r="AS960">
            <v>0</v>
          </cell>
          <cell r="AU960">
            <v>0</v>
          </cell>
          <cell r="AW960">
            <v>0</v>
          </cell>
        </row>
        <row r="961">
          <cell r="B961" t="str">
            <v>YHG00000000-000</v>
          </cell>
          <cell r="C961" t="str">
            <v>GÖVDE</v>
          </cell>
          <cell r="D961" t="str">
            <v/>
          </cell>
          <cell r="E961" t="str">
            <v/>
          </cell>
          <cell r="F961" t="str">
            <v/>
          </cell>
          <cell r="G961" t="str">
            <v>ZPARCA</v>
          </cell>
          <cell r="H961" t="str">
            <v/>
          </cell>
          <cell r="I961" t="str">
            <v>İÇ</v>
          </cell>
          <cell r="J961" t="str">
            <v>ZPARCA</v>
          </cell>
          <cell r="K961" t="str">
            <v/>
          </cell>
          <cell r="L961" t="str">
            <v/>
          </cell>
          <cell r="M961" t="str">
            <v/>
          </cell>
          <cell r="N961" t="str">
            <v/>
          </cell>
          <cell r="O961" t="str">
            <v>HEKA</v>
          </cell>
          <cell r="P961" t="str">
            <v>ADET</v>
          </cell>
          <cell r="AF961">
            <v>0</v>
          </cell>
          <cell r="AG961" t="str">
            <v>ADET</v>
          </cell>
          <cell r="AL961">
            <v>0</v>
          </cell>
          <cell r="AM961" t="str">
            <v>YHG00000001</v>
          </cell>
          <cell r="AO961">
            <v>0</v>
          </cell>
          <cell r="AQ961">
            <v>0</v>
          </cell>
          <cell r="AS961">
            <v>0</v>
          </cell>
          <cell r="AU961">
            <v>0</v>
          </cell>
          <cell r="AW961">
            <v>0</v>
          </cell>
        </row>
        <row r="962">
          <cell r="B962" t="str">
            <v>H1C6JMEERFY-030</v>
          </cell>
          <cell r="C962" t="str">
            <v>VİYANA FÜME DALGA CAM SARKIT 30cm</v>
          </cell>
          <cell r="D962" t="str">
            <v>VIYANA SMOKY WAVE GLASS PENDANT 30cm</v>
          </cell>
          <cell r="E962" t="str">
            <v>METAL ESKİTME CAM  FÜME</v>
          </cell>
          <cell r="F962" t="str">
            <v>9405.11.90.00.00</v>
          </cell>
          <cell r="G962" t="str">
            <v>AVİZE</v>
          </cell>
          <cell r="H962" t="str">
            <v>T1A6231100-20</v>
          </cell>
          <cell r="I962" t="str">
            <v>İÇ</v>
          </cell>
          <cell r="J962" t="str">
            <v>AVİZE.SARK</v>
          </cell>
          <cell r="K962" t="str">
            <v>VİYANA</v>
          </cell>
          <cell r="L962" t="str">
            <v/>
          </cell>
          <cell r="M962" t="str">
            <v/>
          </cell>
          <cell r="N962" t="str">
            <v>ML14</v>
          </cell>
          <cell r="O962" t="str">
            <v>HEKA</v>
          </cell>
          <cell r="P962" t="str">
            <v>ADET</v>
          </cell>
          <cell r="Q962" t="str">
            <v>LED</v>
          </cell>
          <cell r="R962" t="str">
            <v>METAL</v>
          </cell>
          <cell r="S962" t="str">
            <v>ESKİTME</v>
          </cell>
          <cell r="T962" t="str">
            <v>CAM</v>
          </cell>
          <cell r="U962" t="str">
            <v>BAL</v>
          </cell>
          <cell r="AD962" t="str">
            <v>KÜRE</v>
          </cell>
          <cell r="AE962" t="str">
            <v>01</v>
          </cell>
          <cell r="AF962">
            <v>0</v>
          </cell>
          <cell r="AG962" t="str">
            <v>ADET</v>
          </cell>
          <cell r="AH962">
            <v>80</v>
          </cell>
          <cell r="AI962" t="str">
            <v>CNY</v>
          </cell>
          <cell r="AJ962">
            <v>4641</v>
          </cell>
          <cell r="AK962" t="str">
            <v>TL</v>
          </cell>
          <cell r="AL962">
            <v>1</v>
          </cell>
          <cell r="AM962" t="str">
            <v>8684127506458</v>
          </cell>
          <cell r="AO962">
            <v>0</v>
          </cell>
          <cell r="AQ962">
            <v>0</v>
          </cell>
          <cell r="AR962" t="str">
            <v>CM</v>
          </cell>
          <cell r="AS962">
            <v>0</v>
          </cell>
          <cell r="AT962" t="str">
            <v>CM</v>
          </cell>
          <cell r="AU962">
            <v>0</v>
          </cell>
          <cell r="AW962">
            <v>0</v>
          </cell>
        </row>
        <row r="963">
          <cell r="B963" t="str">
            <v>H1W1JMEECSZ-045</v>
          </cell>
          <cell r="C963" t="str">
            <v>SÜMELA ESKİTME KOLLU APLİK 45cm</v>
          </cell>
          <cell r="D963" t="str">
            <v>SÜMELA BRUSHED BRASS SLEEVED WALL LAMP 45cm</v>
          </cell>
          <cell r="E963" t="str">
            <v/>
          </cell>
          <cell r="F963" t="str">
            <v/>
          </cell>
          <cell r="G963" t="str">
            <v>APLİK</v>
          </cell>
          <cell r="H963" t="str">
            <v>H1W1112400-45</v>
          </cell>
          <cell r="I963" t="str">
            <v>İÇ</v>
          </cell>
          <cell r="J963" t="str">
            <v>APLİK</v>
          </cell>
          <cell r="K963" t="str">
            <v>SÜMELA</v>
          </cell>
          <cell r="L963" t="str">
            <v/>
          </cell>
          <cell r="M963" t="str">
            <v/>
          </cell>
          <cell r="N963" t="str">
            <v/>
          </cell>
          <cell r="O963" t="str">
            <v>HEKA</v>
          </cell>
          <cell r="P963" t="str">
            <v>ADET</v>
          </cell>
          <cell r="Q963" t="str">
            <v>E14</v>
          </cell>
          <cell r="R963" t="str">
            <v>METAL</v>
          </cell>
          <cell r="S963" t="str">
            <v>ESKİTME</v>
          </cell>
          <cell r="T963" t="str">
            <v>CAM</v>
          </cell>
          <cell r="U963" t="str">
            <v>ŞEFFAF</v>
          </cell>
          <cell r="AD963" t="str">
            <v>KOLLU</v>
          </cell>
          <cell r="AE963" t="str">
            <v>05</v>
          </cell>
          <cell r="AG963" t="str">
            <v>ADET</v>
          </cell>
          <cell r="AH963">
            <v>300</v>
          </cell>
          <cell r="AI963" t="str">
            <v>TL</v>
          </cell>
          <cell r="AJ963">
            <v>850</v>
          </cell>
          <cell r="AK963" t="str">
            <v>TL</v>
          </cell>
          <cell r="AL963">
            <v>1</v>
          </cell>
          <cell r="AM963" t="str">
            <v>8684127510158</v>
          </cell>
          <cell r="AO963">
            <v>0</v>
          </cell>
          <cell r="AQ963">
            <v>0</v>
          </cell>
          <cell r="AS963">
            <v>0</v>
          </cell>
          <cell r="AU963">
            <v>0</v>
          </cell>
          <cell r="AW963">
            <v>0</v>
          </cell>
        </row>
        <row r="964">
          <cell r="B964" t="str">
            <v>H1C6WRBJMKR-040</v>
          </cell>
          <cell r="C964" t="str">
            <v>ASPENDOS TEKLİ MERMER KROM SARKIT 40cm</v>
          </cell>
          <cell r="D964" t="str">
            <v>ASPENDOS SINGLE MARBLE CHROME PENDANT 40cm</v>
          </cell>
          <cell r="E964" t="str">
            <v xml:space="preserve">MERMER METAL BEYAZ ESKİTME   </v>
          </cell>
          <cell r="F964" t="str">
            <v>9405.11.90.00.00</v>
          </cell>
          <cell r="G964" t="str">
            <v>AVİZE</v>
          </cell>
          <cell r="H964" t="str">
            <v>H1A6314300-40</v>
          </cell>
          <cell r="I964" t="str">
            <v>İÇ</v>
          </cell>
          <cell r="J964" t="str">
            <v>AVİZE.SARK</v>
          </cell>
          <cell r="K964" t="str">
            <v>ASPENDOS</v>
          </cell>
          <cell r="L964" t="str">
            <v/>
          </cell>
          <cell r="M964" t="str">
            <v/>
          </cell>
          <cell r="N964" t="str">
            <v>MD1082071-40-P-CR</v>
          </cell>
          <cell r="O964" t="str">
            <v>HEKA</v>
          </cell>
          <cell r="P964" t="str">
            <v>ADET</v>
          </cell>
          <cell r="Q964" t="str">
            <v>LED</v>
          </cell>
          <cell r="R964" t="str">
            <v>MERMER</v>
          </cell>
          <cell r="S964" t="str">
            <v>BEYAZ</v>
          </cell>
          <cell r="T964" t="str">
            <v>METAL</v>
          </cell>
          <cell r="U964" t="str">
            <v>KROM</v>
          </cell>
          <cell r="AD964" t="str">
            <v>DAİRE</v>
          </cell>
          <cell r="AE964" t="str">
            <v>01</v>
          </cell>
          <cell r="AF964">
            <v>0</v>
          </cell>
          <cell r="AG964" t="str">
            <v>ADET</v>
          </cell>
          <cell r="AH964">
            <v>175</v>
          </cell>
          <cell r="AI964" t="str">
            <v>CNY</v>
          </cell>
          <cell r="AJ964">
            <v>10126</v>
          </cell>
          <cell r="AK964" t="str">
            <v>TL</v>
          </cell>
          <cell r="AL964">
            <v>1</v>
          </cell>
          <cell r="AM964" t="str">
            <v>8684127510226</v>
          </cell>
          <cell r="AO964">
            <v>0</v>
          </cell>
          <cell r="AQ964">
            <v>150</v>
          </cell>
          <cell r="AR964" t="str">
            <v>CM</v>
          </cell>
          <cell r="AS964">
            <v>40</v>
          </cell>
          <cell r="AT964" t="str">
            <v>CM</v>
          </cell>
          <cell r="AU964">
            <v>0</v>
          </cell>
          <cell r="AW964">
            <v>0</v>
          </cell>
        </row>
        <row r="965">
          <cell r="B965" t="str">
            <v>H1C6JMEECSR-050</v>
          </cell>
          <cell r="C965" t="str">
            <v>MERGEN 7 Lİ  ESKİTME SALON SARKIT</v>
          </cell>
          <cell r="D965" t="str">
            <v xml:space="preserve">MERGEN LIVING ROOM BRUSHED BRASS SEPTET PENDANT </v>
          </cell>
          <cell r="E965" t="str">
            <v xml:space="preserve">METAL CAM  ESKİTME ŞEFFAF   </v>
          </cell>
          <cell r="F965" t="str">
            <v/>
          </cell>
          <cell r="G965" t="str">
            <v>AVİZE</v>
          </cell>
          <cell r="H965" t="str">
            <v/>
          </cell>
          <cell r="I965" t="str">
            <v>İÇ</v>
          </cell>
          <cell r="J965" t="str">
            <v>AVİZE.SARK</v>
          </cell>
          <cell r="K965" t="str">
            <v>MERGEN</v>
          </cell>
          <cell r="L965" t="str">
            <v/>
          </cell>
          <cell r="M965" t="str">
            <v/>
          </cell>
          <cell r="N965" t="str">
            <v>HKA-64</v>
          </cell>
          <cell r="O965" t="str">
            <v>HEKA</v>
          </cell>
          <cell r="P965" t="str">
            <v>ADET</v>
          </cell>
          <cell r="Q965" t="str">
            <v>LED</v>
          </cell>
          <cell r="R965" t="str">
            <v>METAL</v>
          </cell>
          <cell r="S965" t="str">
            <v>ESKİTME</v>
          </cell>
          <cell r="T965" t="str">
            <v>CAM</v>
          </cell>
          <cell r="U965" t="str">
            <v>ŞEFFAF</v>
          </cell>
          <cell r="Y965" t="str">
            <v>18 WATT</v>
          </cell>
          <cell r="Z965" t="str">
            <v>3500 K</v>
          </cell>
          <cell r="AD965" t="str">
            <v>DAİRE</v>
          </cell>
          <cell r="AE965" t="str">
            <v>08</v>
          </cell>
          <cell r="AF965">
            <v>10</v>
          </cell>
          <cell r="AG965" t="str">
            <v>ADET</v>
          </cell>
          <cell r="AH965">
            <v>364</v>
          </cell>
          <cell r="AI965" t="str">
            <v>CNY</v>
          </cell>
          <cell r="AJ965">
            <v>13430</v>
          </cell>
          <cell r="AK965" t="str">
            <v>TL</v>
          </cell>
          <cell r="AL965">
            <v>1</v>
          </cell>
          <cell r="AM965" t="str">
            <v>8684127506748</v>
          </cell>
          <cell r="AO965">
            <v>0</v>
          </cell>
          <cell r="AQ965">
            <v>0</v>
          </cell>
          <cell r="AS965">
            <v>0</v>
          </cell>
          <cell r="AU965">
            <v>0</v>
          </cell>
          <cell r="AW965">
            <v>0</v>
          </cell>
        </row>
        <row r="966">
          <cell r="B966" t="str">
            <v>H1C6JRSBCSY-040</v>
          </cell>
          <cell r="C966" t="str">
            <v>SEMRUK TEKLİ AKRİLİK KÜRE SARKIT 40cm</v>
          </cell>
          <cell r="D966" t="str">
            <v>SEMRUK SINGLE ACRYLIC SPHERE PENDANT 40cm</v>
          </cell>
          <cell r="E966" t="str">
            <v xml:space="preserve">METAL AKRİLİK SİYAH ŞEFFAF   </v>
          </cell>
          <cell r="F966" t="str">
            <v/>
          </cell>
          <cell r="G966" t="str">
            <v>AVİZE</v>
          </cell>
          <cell r="H966" t="str">
            <v/>
          </cell>
          <cell r="I966" t="str">
            <v>İÇ</v>
          </cell>
          <cell r="J966" t="str">
            <v>AVİZE.SARK</v>
          </cell>
          <cell r="K966" t="str">
            <v>SEMRUK</v>
          </cell>
          <cell r="L966" t="str">
            <v/>
          </cell>
          <cell r="M966" t="str">
            <v/>
          </cell>
          <cell r="N966" t="str">
            <v>HKA-24045</v>
          </cell>
          <cell r="O966" t="str">
            <v>HEKA</v>
          </cell>
          <cell r="P966" t="str">
            <v>ADET</v>
          </cell>
          <cell r="Q966" t="str">
            <v>LED</v>
          </cell>
          <cell r="R966" t="str">
            <v>METAL</v>
          </cell>
          <cell r="S966" t="str">
            <v>SİYAH</v>
          </cell>
          <cell r="T966" t="str">
            <v>AKRİLİK</v>
          </cell>
          <cell r="U966" t="str">
            <v>ŞEFFAF</v>
          </cell>
          <cell r="Z966" t="str">
            <v>3000 K</v>
          </cell>
          <cell r="AD966" t="str">
            <v>KÜRE</v>
          </cell>
          <cell r="AF966">
            <v>10</v>
          </cell>
          <cell r="AG966" t="str">
            <v>ADET</v>
          </cell>
          <cell r="AH966">
            <v>360</v>
          </cell>
          <cell r="AI966" t="str">
            <v>CNY</v>
          </cell>
          <cell r="AJ966">
            <v>25200</v>
          </cell>
          <cell r="AK966" t="str">
            <v>TL</v>
          </cell>
          <cell r="AL966">
            <v>1</v>
          </cell>
          <cell r="AM966" t="str">
            <v>8684127506786</v>
          </cell>
          <cell r="AO966">
            <v>0</v>
          </cell>
          <cell r="AQ966">
            <v>0</v>
          </cell>
          <cell r="AS966">
            <v>0</v>
          </cell>
          <cell r="AU966">
            <v>0</v>
          </cell>
          <cell r="AW966">
            <v>0</v>
          </cell>
        </row>
        <row r="967">
          <cell r="B967" t="str">
            <v>H1C6JMEWRBM-101</v>
          </cell>
          <cell r="C967" t="str">
            <v>KUBEY 7 Lİ MERMER YEMEK MASASI SARKIT AVİZE</v>
          </cell>
          <cell r="D967" t="str">
            <v>KUBEY SEPTET MARBLE DINING TABLE PENDANT CHANDELIER</v>
          </cell>
          <cell r="E967" t="str">
            <v xml:space="preserve">METAL MERMER ESKİTME BEYAZ   </v>
          </cell>
          <cell r="F967" t="str">
            <v/>
          </cell>
          <cell r="G967" t="str">
            <v>AVİZE</v>
          </cell>
          <cell r="H967" t="str">
            <v/>
          </cell>
          <cell r="I967" t="str">
            <v>İÇ</v>
          </cell>
          <cell r="J967" t="str">
            <v>AVİZE.SARK</v>
          </cell>
          <cell r="K967" t="str">
            <v>KUBEY</v>
          </cell>
          <cell r="L967" t="str">
            <v/>
          </cell>
          <cell r="M967" t="str">
            <v/>
          </cell>
          <cell r="N967" t="str">
            <v>HKA-86</v>
          </cell>
          <cell r="O967" t="str">
            <v>HEKA</v>
          </cell>
          <cell r="P967" t="str">
            <v>ADET</v>
          </cell>
          <cell r="Q967" t="str">
            <v>LED</v>
          </cell>
          <cell r="R967" t="str">
            <v>METAL</v>
          </cell>
          <cell r="S967" t="str">
            <v>ESKİTME</v>
          </cell>
          <cell r="T967" t="str">
            <v>MERMER</v>
          </cell>
          <cell r="U967" t="str">
            <v>BEYAZ</v>
          </cell>
          <cell r="Z967" t="str">
            <v>3000 K</v>
          </cell>
          <cell r="AD967" t="str">
            <v>ÇİFT AYDINLATMA</v>
          </cell>
          <cell r="AE967" t="str">
            <v>11</v>
          </cell>
          <cell r="AF967">
            <v>0</v>
          </cell>
          <cell r="AG967" t="str">
            <v>ADET</v>
          </cell>
          <cell r="AH967">
            <v>1160</v>
          </cell>
          <cell r="AI967" t="str">
            <v>CNY</v>
          </cell>
          <cell r="AJ967">
            <v>54400</v>
          </cell>
          <cell r="AK967" t="str">
            <v>TL</v>
          </cell>
          <cell r="AL967">
            <v>1</v>
          </cell>
          <cell r="AM967" t="str">
            <v>8684127506854</v>
          </cell>
          <cell r="AO967">
            <v>0</v>
          </cell>
          <cell r="AQ967">
            <v>0</v>
          </cell>
          <cell r="AS967">
            <v>0</v>
          </cell>
          <cell r="AU967">
            <v>0</v>
          </cell>
          <cell r="AW967">
            <v>0</v>
          </cell>
        </row>
        <row r="968">
          <cell r="B968" t="str">
            <v>H1T6JRBLCTJ-022</v>
          </cell>
          <cell r="C968" t="str">
            <v>PORCINO BEYAZ MASA LAMBASI</v>
          </cell>
          <cell r="D968" t="str">
            <v>PORCINO WHITE TABLE LAMP</v>
          </cell>
          <cell r="E968" t="str">
            <v xml:space="preserve">METAL PLEKSİ BEYAZ SOFT   </v>
          </cell>
          <cell r="F968" t="str">
            <v/>
          </cell>
          <cell r="G968" t="str">
            <v>MASA LAMBASI</v>
          </cell>
          <cell r="H968" t="str">
            <v/>
          </cell>
          <cell r="I968" t="str">
            <v>İÇ</v>
          </cell>
          <cell r="J968" t="str">
            <v>MASAABAJ</v>
          </cell>
          <cell r="K968" t="str">
            <v>PORCINO</v>
          </cell>
          <cell r="L968" t="str">
            <v/>
          </cell>
          <cell r="M968" t="str">
            <v/>
          </cell>
          <cell r="N968" t="str">
            <v>5668665-W</v>
          </cell>
          <cell r="O968" t="str">
            <v>LAMBAM</v>
          </cell>
          <cell r="P968" t="str">
            <v>ADET</v>
          </cell>
          <cell r="Q968" t="str">
            <v>LED</v>
          </cell>
          <cell r="R968" t="str">
            <v>METAL</v>
          </cell>
          <cell r="S968" t="str">
            <v>BEYAZ</v>
          </cell>
          <cell r="T968" t="str">
            <v>PLEKSİ</v>
          </cell>
          <cell r="U968" t="str">
            <v>SOFT</v>
          </cell>
          <cell r="AD968" t="str">
            <v>ŞARJLI</v>
          </cell>
          <cell r="AE968" t="str">
            <v>02</v>
          </cell>
          <cell r="AF968">
            <v>1</v>
          </cell>
          <cell r="AG968" t="str">
            <v>ADET</v>
          </cell>
          <cell r="AH968">
            <v>21</v>
          </cell>
          <cell r="AI968" t="str">
            <v>CNY</v>
          </cell>
          <cell r="AJ968">
            <v>1088</v>
          </cell>
          <cell r="AK968" t="str">
            <v>TL</v>
          </cell>
          <cell r="AL968">
            <v>1</v>
          </cell>
          <cell r="AM968" t="str">
            <v>8684127508070</v>
          </cell>
          <cell r="AO968">
            <v>0</v>
          </cell>
          <cell r="AQ968">
            <v>0</v>
          </cell>
          <cell r="AS968">
            <v>0</v>
          </cell>
          <cell r="AU968">
            <v>0</v>
          </cell>
          <cell r="AW968">
            <v>0</v>
          </cell>
        </row>
        <row r="969">
          <cell r="B969" t="str">
            <v>H1C3WRBJMEP-016</v>
          </cell>
          <cell r="C969" t="str">
            <v>PANDORA TEKLİ  MERMER SARKIT 155mm</v>
          </cell>
          <cell r="D969" t="str">
            <v>PANDORA SINGLE MARBLE PENDANT 155mm</v>
          </cell>
          <cell r="E969" t="str">
            <v xml:space="preserve">MERMER METAL BEYAZ ESKİTME     </v>
          </cell>
          <cell r="F969" t="str">
            <v/>
          </cell>
          <cell r="G969" t="str">
            <v>AVİZE</v>
          </cell>
          <cell r="H969" t="str">
            <v/>
          </cell>
          <cell r="I969" t="str">
            <v>İÇ</v>
          </cell>
          <cell r="J969" t="str">
            <v>AVİZE.SARK</v>
          </cell>
          <cell r="K969" t="str">
            <v>PANDORA</v>
          </cell>
          <cell r="L969" t="str">
            <v/>
          </cell>
          <cell r="M969" t="str">
            <v/>
          </cell>
          <cell r="N969" t="str">
            <v>HKA-43</v>
          </cell>
          <cell r="O969" t="str">
            <v>HEKA</v>
          </cell>
          <cell r="P969" t="str">
            <v>ADET</v>
          </cell>
          <cell r="Q969" t="str">
            <v>G9</v>
          </cell>
          <cell r="R969" t="str">
            <v>MERMER</v>
          </cell>
          <cell r="S969" t="str">
            <v>BEYAZ</v>
          </cell>
          <cell r="T969" t="str">
            <v>METAL</v>
          </cell>
          <cell r="U969" t="str">
            <v>ESKİTME</v>
          </cell>
          <cell r="AD969" t="str">
            <v>POLİGONAL</v>
          </cell>
          <cell r="AE969" t="str">
            <v>02</v>
          </cell>
          <cell r="AF969">
            <v>0</v>
          </cell>
          <cell r="AG969" t="str">
            <v>ADET</v>
          </cell>
          <cell r="AH969">
            <v>560</v>
          </cell>
          <cell r="AI969" t="str">
            <v>CNY</v>
          </cell>
          <cell r="AJ969">
            <v>27989</v>
          </cell>
          <cell r="AK969" t="str">
            <v>TL</v>
          </cell>
          <cell r="AL969">
            <v>1</v>
          </cell>
          <cell r="AM969" t="str">
            <v>8684127507509</v>
          </cell>
          <cell r="AO969">
            <v>0</v>
          </cell>
          <cell r="AQ969">
            <v>0</v>
          </cell>
          <cell r="AS969">
            <v>0</v>
          </cell>
          <cell r="AU969">
            <v>0</v>
          </cell>
          <cell r="AW969">
            <v>0</v>
          </cell>
        </row>
        <row r="970">
          <cell r="B970" t="str">
            <v>H1C2WRBVRVY-108</v>
          </cell>
          <cell r="C970" t="str">
            <v>VENÜS DERİ ASKILI  MERMER SARKIT 108cm</v>
          </cell>
          <cell r="D970" t="str">
            <v>VENUS LEATHER STRAP MARBLE PENDANT 108cm</v>
          </cell>
          <cell r="E970" t="str">
            <v xml:space="preserve">MERMER DERİ BEYAZ KAHVERENGİ   </v>
          </cell>
          <cell r="F970" t="str">
            <v/>
          </cell>
          <cell r="G970" t="str">
            <v>AVİZE</v>
          </cell>
          <cell r="H970" t="str">
            <v/>
          </cell>
          <cell r="I970" t="str">
            <v>İÇ</v>
          </cell>
          <cell r="J970" t="str">
            <v>AVİZE.AVİZ</v>
          </cell>
          <cell r="K970" t="str">
            <v>VENÜS</v>
          </cell>
          <cell r="L970" t="str">
            <v/>
          </cell>
          <cell r="M970" t="str">
            <v/>
          </cell>
          <cell r="N970" t="str">
            <v>HKA-56</v>
          </cell>
          <cell r="O970" t="str">
            <v>HEKA</v>
          </cell>
          <cell r="P970" t="str">
            <v>ADET</v>
          </cell>
          <cell r="Q970" t="str">
            <v>LED</v>
          </cell>
          <cell r="R970" t="str">
            <v>MERMER</v>
          </cell>
          <cell r="S970" t="str">
            <v>BEYAZ</v>
          </cell>
          <cell r="T970" t="str">
            <v>DERİ</v>
          </cell>
          <cell r="U970" t="str">
            <v>KAHVERENGİ</v>
          </cell>
          <cell r="AD970" t="str">
            <v>KÜRE</v>
          </cell>
          <cell r="AF970">
            <v>0</v>
          </cell>
          <cell r="AG970" t="str">
            <v>ADET</v>
          </cell>
          <cell r="AH970">
            <v>6500</v>
          </cell>
          <cell r="AI970" t="str">
            <v>CNY</v>
          </cell>
          <cell r="AJ970">
            <v>136500</v>
          </cell>
          <cell r="AK970" t="str">
            <v>TL</v>
          </cell>
          <cell r="AL970">
            <v>1</v>
          </cell>
          <cell r="AM970" t="str">
            <v>8684127507707</v>
          </cell>
          <cell r="AO970">
            <v>0</v>
          </cell>
          <cell r="AQ970">
            <v>0</v>
          </cell>
          <cell r="AS970">
            <v>0</v>
          </cell>
          <cell r="AU970">
            <v>0</v>
          </cell>
          <cell r="AW970">
            <v>0</v>
          </cell>
        </row>
        <row r="971">
          <cell r="B971" t="str">
            <v>H1W3ERVECTY-026</v>
          </cell>
          <cell r="C971" t="str">
            <v>FLORA KAHVERENGİ SERAMİK OPAL CAM APLİK 26cm</v>
          </cell>
          <cell r="D971" t="str">
            <v>FLORA BROWN CERAMIC  OPAL GLASS WALL LAMP  26cm</v>
          </cell>
          <cell r="E971" t="str">
            <v xml:space="preserve">CAM  CAM  KAHVERENGİ SOFT   </v>
          </cell>
          <cell r="F971" t="str">
            <v/>
          </cell>
          <cell r="G971" t="str">
            <v>APLİK</v>
          </cell>
          <cell r="H971" t="str">
            <v/>
          </cell>
          <cell r="I971" t="str">
            <v>İÇ</v>
          </cell>
          <cell r="J971" t="str">
            <v>APLİK</v>
          </cell>
          <cell r="K971" t="str">
            <v>FLORA</v>
          </cell>
          <cell r="L971" t="str">
            <v/>
          </cell>
          <cell r="M971" t="str">
            <v/>
          </cell>
          <cell r="N971" t="str">
            <v>HKA-24336</v>
          </cell>
          <cell r="O971" t="str">
            <v>HEKA</v>
          </cell>
          <cell r="P971" t="str">
            <v>ADET</v>
          </cell>
          <cell r="Q971" t="str">
            <v>G9</v>
          </cell>
          <cell r="R971" t="str">
            <v>SERAMİK</v>
          </cell>
          <cell r="S971" t="str">
            <v>KAHVERENGİ</v>
          </cell>
          <cell r="T971" t="str">
            <v>CAM</v>
          </cell>
          <cell r="U971" t="str">
            <v>SOFT</v>
          </cell>
          <cell r="AD971" t="str">
            <v>KÜRE</v>
          </cell>
          <cell r="AE971" t="str">
            <v>01</v>
          </cell>
          <cell r="AF971">
            <v>30</v>
          </cell>
          <cell r="AG971" t="str">
            <v>ADET</v>
          </cell>
          <cell r="AH971">
            <v>55</v>
          </cell>
          <cell r="AI971" t="str">
            <v>CNY</v>
          </cell>
          <cell r="AJ971">
            <v>4620</v>
          </cell>
          <cell r="AK971" t="str">
            <v>TL</v>
          </cell>
          <cell r="AL971">
            <v>1</v>
          </cell>
          <cell r="AM971" t="str">
            <v>8684127507752</v>
          </cell>
          <cell r="AO971">
            <v>1.5</v>
          </cell>
          <cell r="AP971" t="str">
            <v>KG</v>
          </cell>
          <cell r="AQ971">
            <v>11</v>
          </cell>
          <cell r="AR971" t="str">
            <v>CM</v>
          </cell>
          <cell r="AS971">
            <v>26</v>
          </cell>
          <cell r="AT971" t="str">
            <v>CM</v>
          </cell>
          <cell r="AU971">
            <v>0</v>
          </cell>
          <cell r="AW971">
            <v>0</v>
          </cell>
        </row>
        <row r="972">
          <cell r="B972" t="str">
            <v>H1C6JRSJRB0-010</v>
          </cell>
          <cell r="C972" t="str">
            <v>AYBAR TEKLİ BEYAZ SARKIT 10cm</v>
          </cell>
          <cell r="D972" t="str">
            <v>AYBAR SINGLE WHITE PENDANT 10cm</v>
          </cell>
          <cell r="E972" t="str">
            <v xml:space="preserve">METAL METAL SİYAH BEYAZ     </v>
          </cell>
          <cell r="F972" t="str">
            <v/>
          </cell>
          <cell r="G972" t="str">
            <v>AVİZE</v>
          </cell>
          <cell r="H972" t="str">
            <v/>
          </cell>
          <cell r="I972" t="str">
            <v>İÇ</v>
          </cell>
          <cell r="J972" t="str">
            <v>AVİZE.SARK</v>
          </cell>
          <cell r="K972" t="str">
            <v>AYBAR</v>
          </cell>
          <cell r="L972" t="str">
            <v/>
          </cell>
          <cell r="M972" t="str">
            <v/>
          </cell>
          <cell r="N972" t="str">
            <v>HC19-1D-W</v>
          </cell>
          <cell r="O972" t="str">
            <v>HEKA</v>
          </cell>
          <cell r="P972" t="str">
            <v>ADET</v>
          </cell>
          <cell r="Q972" t="str">
            <v>LED</v>
          </cell>
          <cell r="R972" t="str">
            <v>METAL</v>
          </cell>
          <cell r="S972" t="str">
            <v>SİYAH</v>
          </cell>
          <cell r="T972" t="str">
            <v>METAL</v>
          </cell>
          <cell r="U972" t="str">
            <v>BEYAZ</v>
          </cell>
          <cell r="AD972" t="str">
            <v>N/A</v>
          </cell>
          <cell r="AF972">
            <v>15</v>
          </cell>
          <cell r="AG972" t="str">
            <v>ADET</v>
          </cell>
          <cell r="AH972">
            <v>63</v>
          </cell>
          <cell r="AI972" t="str">
            <v>CNY</v>
          </cell>
          <cell r="AJ972">
            <v>3213</v>
          </cell>
          <cell r="AK972" t="str">
            <v>TL</v>
          </cell>
          <cell r="AL972">
            <v>1</v>
          </cell>
          <cell r="AM972" t="str">
            <v>8684127507851</v>
          </cell>
          <cell r="AO972">
            <v>0</v>
          </cell>
          <cell r="AQ972">
            <v>0</v>
          </cell>
          <cell r="AS972">
            <v>0</v>
          </cell>
          <cell r="AU972">
            <v>0</v>
          </cell>
          <cell r="AW972">
            <v>0</v>
          </cell>
        </row>
        <row r="973">
          <cell r="B973" t="str">
            <v>H1W3ERSECTY-033</v>
          </cell>
          <cell r="C973" t="str">
            <v>SÜMER SİYAH SERAMİK CAM APLİK 33cm</v>
          </cell>
          <cell r="D973" t="str">
            <v>SUMER BLACK CERAMIC GLASS WALL LAMP  33cm</v>
          </cell>
          <cell r="E973" t="str">
            <v xml:space="preserve">CAM  CAM  SİYAH SOFT   </v>
          </cell>
          <cell r="F973" t="str">
            <v/>
          </cell>
          <cell r="G973" t="str">
            <v>APLİK</v>
          </cell>
          <cell r="H973" t="str">
            <v/>
          </cell>
          <cell r="I973" t="str">
            <v>İÇ</v>
          </cell>
          <cell r="J973" t="str">
            <v>APLİK</v>
          </cell>
          <cell r="K973" t="str">
            <v>SÜMER</v>
          </cell>
          <cell r="L973" t="str">
            <v/>
          </cell>
          <cell r="M973" t="str">
            <v/>
          </cell>
          <cell r="N973" t="str">
            <v>HKA-73</v>
          </cell>
          <cell r="O973" t="str">
            <v>HEKA</v>
          </cell>
          <cell r="P973" t="str">
            <v>ADET</v>
          </cell>
          <cell r="Q973" t="str">
            <v>G9</v>
          </cell>
          <cell r="R973" t="str">
            <v>SERAMİK</v>
          </cell>
          <cell r="S973" t="str">
            <v>SİYAH</v>
          </cell>
          <cell r="T973" t="str">
            <v>CAM</v>
          </cell>
          <cell r="U973" t="str">
            <v>SOFT</v>
          </cell>
          <cell r="AD973" t="str">
            <v>KÜRE</v>
          </cell>
          <cell r="AE973" t="str">
            <v>02</v>
          </cell>
          <cell r="AF973">
            <v>0</v>
          </cell>
          <cell r="AG973" t="str">
            <v>ADET</v>
          </cell>
          <cell r="AH973">
            <v>55</v>
          </cell>
          <cell r="AI973" t="str">
            <v>CNY</v>
          </cell>
          <cell r="AJ973">
            <v>3451</v>
          </cell>
          <cell r="AK973" t="str">
            <v>TL</v>
          </cell>
          <cell r="AL973">
            <v>1</v>
          </cell>
          <cell r="AM973" t="str">
            <v>8684127507721</v>
          </cell>
          <cell r="AO973">
            <v>0</v>
          </cell>
          <cell r="AQ973">
            <v>0</v>
          </cell>
          <cell r="AS973">
            <v>0</v>
          </cell>
          <cell r="AU973">
            <v>0</v>
          </cell>
          <cell r="AW973">
            <v>0</v>
          </cell>
        </row>
        <row r="974">
          <cell r="B974" t="str">
            <v>H1W3ERBECTY-023</v>
          </cell>
          <cell r="C974" t="str">
            <v>SÜMER BEYAZ SERAMİK CAM APLİK 23cm</v>
          </cell>
          <cell r="D974" t="str">
            <v>SUMER WHITE CERAMIC GLASS WALL LAMP  23cm</v>
          </cell>
          <cell r="E974" t="str">
            <v xml:space="preserve">CAM  CAM  BEYAZ SOFT   </v>
          </cell>
          <cell r="F974" t="str">
            <v/>
          </cell>
          <cell r="G974" t="str">
            <v>APLİK</v>
          </cell>
          <cell r="H974" t="str">
            <v/>
          </cell>
          <cell r="I974" t="str">
            <v>İÇ</v>
          </cell>
          <cell r="J974" t="str">
            <v>APLİK</v>
          </cell>
          <cell r="K974" t="str">
            <v>SÜMER</v>
          </cell>
          <cell r="L974" t="str">
            <v/>
          </cell>
          <cell r="M974" t="str">
            <v/>
          </cell>
          <cell r="N974" t="str">
            <v>HKA-72</v>
          </cell>
          <cell r="O974" t="str">
            <v>HEKA</v>
          </cell>
          <cell r="P974" t="str">
            <v>ADET</v>
          </cell>
          <cell r="Q974" t="str">
            <v>G9</v>
          </cell>
          <cell r="R974" t="str">
            <v>SERAMİK</v>
          </cell>
          <cell r="S974" t="str">
            <v>BEYAZ</v>
          </cell>
          <cell r="T974" t="str">
            <v>CAM</v>
          </cell>
          <cell r="U974" t="str">
            <v>SOFT</v>
          </cell>
          <cell r="AD974" t="str">
            <v>KÜRE</v>
          </cell>
          <cell r="AE974" t="str">
            <v>02</v>
          </cell>
          <cell r="AF974">
            <v>0</v>
          </cell>
          <cell r="AG974" t="str">
            <v>ADET</v>
          </cell>
          <cell r="AH974">
            <v>55</v>
          </cell>
          <cell r="AI974" t="str">
            <v>CNY</v>
          </cell>
          <cell r="AJ974">
            <v>2618</v>
          </cell>
          <cell r="AK974" t="str">
            <v>TL</v>
          </cell>
          <cell r="AL974">
            <v>1</v>
          </cell>
          <cell r="AM974" t="str">
            <v>8684127507745</v>
          </cell>
          <cell r="AO974">
            <v>0</v>
          </cell>
          <cell r="AQ974">
            <v>0</v>
          </cell>
          <cell r="AS974">
            <v>0</v>
          </cell>
          <cell r="AU974">
            <v>0</v>
          </cell>
          <cell r="AW974">
            <v>0</v>
          </cell>
        </row>
        <row r="975">
          <cell r="B975" t="str">
            <v>H1W6JMEWRB0-064</v>
          </cell>
          <cell r="C975" t="str">
            <v xml:space="preserve">ANVERS YEDİ MERMERLİ ESKİTME APLİK </v>
          </cell>
          <cell r="D975" t="str">
            <v xml:space="preserve">ANVERS SEVEN MARBLE BRUSHED BRASS WALL LAMP </v>
          </cell>
          <cell r="E975" t="str">
            <v xml:space="preserve">METAL MERMER ESKİTME BEYAZ   </v>
          </cell>
          <cell r="F975" t="str">
            <v>9405.11.90.00.00</v>
          </cell>
          <cell r="G975" t="str">
            <v>APLİK</v>
          </cell>
          <cell r="H975" t="str">
            <v/>
          </cell>
          <cell r="I975" t="str">
            <v>İÇ</v>
          </cell>
          <cell r="J975" t="str">
            <v>APLİK</v>
          </cell>
          <cell r="K975" t="str">
            <v>ANVERS</v>
          </cell>
          <cell r="L975" t="str">
            <v/>
          </cell>
          <cell r="M975" t="str">
            <v/>
          </cell>
          <cell r="N975" t="str">
            <v>HKA-24012</v>
          </cell>
          <cell r="O975" t="str">
            <v>HEKA</v>
          </cell>
          <cell r="P975" t="str">
            <v>ADET</v>
          </cell>
          <cell r="Q975" t="str">
            <v>LED</v>
          </cell>
          <cell r="R975" t="str">
            <v>METAL</v>
          </cell>
          <cell r="S975" t="str">
            <v>ESKİTME</v>
          </cell>
          <cell r="T975" t="str">
            <v>MERMER</v>
          </cell>
          <cell r="U975" t="str">
            <v>BEYAZ</v>
          </cell>
          <cell r="AD975" t="str">
            <v>N/A</v>
          </cell>
          <cell r="AF975">
            <v>3</v>
          </cell>
          <cell r="AG975" t="str">
            <v>ADET</v>
          </cell>
          <cell r="AH975">
            <v>235</v>
          </cell>
          <cell r="AI975" t="str">
            <v>CNY</v>
          </cell>
          <cell r="AJ975">
            <v>16300</v>
          </cell>
          <cell r="AK975" t="str">
            <v>TL</v>
          </cell>
          <cell r="AL975">
            <v>1</v>
          </cell>
          <cell r="AM975" t="str">
            <v>8684127507806</v>
          </cell>
          <cell r="AO975">
            <v>0</v>
          </cell>
          <cell r="AQ975">
            <v>0</v>
          </cell>
          <cell r="AS975">
            <v>0</v>
          </cell>
          <cell r="AU975">
            <v>0</v>
          </cell>
          <cell r="AW975">
            <v>0</v>
          </cell>
        </row>
        <row r="976">
          <cell r="B976" t="str">
            <v>H1C3JMEERF0-130</v>
          </cell>
          <cell r="C976" t="str">
            <v>KÜLHA G9 CAM ESKİTME SALON AVİZE  31 Lİ</v>
          </cell>
          <cell r="D976" t="str">
            <v>KÜLHA G9 GLASS BRUSHED BRASS LIVING ROOM CHANDELIER 31 BULB</v>
          </cell>
          <cell r="E976" t="str">
            <v xml:space="preserve">METAL CAM  ESKİTME FÜME   </v>
          </cell>
          <cell r="F976" t="str">
            <v/>
          </cell>
          <cell r="G976" t="str">
            <v>AVİZE</v>
          </cell>
          <cell r="H976" t="str">
            <v/>
          </cell>
          <cell r="I976" t="str">
            <v>İÇ</v>
          </cell>
          <cell r="J976" t="str">
            <v>AVİZE.AVİZ</v>
          </cell>
          <cell r="K976" t="str">
            <v>KÜLHA</v>
          </cell>
          <cell r="L976" t="str">
            <v/>
          </cell>
          <cell r="M976" t="str">
            <v/>
          </cell>
          <cell r="N976" t="str">
            <v>8165C-31L</v>
          </cell>
          <cell r="O976" t="str">
            <v>HEKA</v>
          </cell>
          <cell r="P976" t="str">
            <v>ADET</v>
          </cell>
          <cell r="Q976" t="str">
            <v>G9</v>
          </cell>
          <cell r="R976" t="str">
            <v>METAL</v>
          </cell>
          <cell r="S976" t="str">
            <v>ESKİTME</v>
          </cell>
          <cell r="T976" t="str">
            <v>CAM</v>
          </cell>
          <cell r="U976" t="str">
            <v>FÜME</v>
          </cell>
          <cell r="AD976" t="str">
            <v>N/A</v>
          </cell>
          <cell r="AE976" t="str">
            <v>31</v>
          </cell>
          <cell r="AF976">
            <v>0</v>
          </cell>
          <cell r="AG976" t="str">
            <v>ADET</v>
          </cell>
          <cell r="AH976">
            <v>3200</v>
          </cell>
          <cell r="AI976" t="str">
            <v>CNY</v>
          </cell>
          <cell r="AJ976">
            <v>127840</v>
          </cell>
          <cell r="AK976" t="str">
            <v>TL</v>
          </cell>
          <cell r="AL976">
            <v>1</v>
          </cell>
          <cell r="AM976" t="str">
            <v>8684127508032</v>
          </cell>
          <cell r="AO976">
            <v>0</v>
          </cell>
          <cell r="AQ976">
            <v>0</v>
          </cell>
          <cell r="AS976">
            <v>0</v>
          </cell>
          <cell r="AU976">
            <v>0</v>
          </cell>
          <cell r="AW976">
            <v>0</v>
          </cell>
        </row>
        <row r="977">
          <cell r="B977" t="str">
            <v>H1C6JMPJMG0-023</v>
          </cell>
          <cell r="C977" t="str">
            <v>KUTAN TEKLİ PLATİN &amp; ALTIN SARKIT</v>
          </cell>
          <cell r="D977" t="str">
            <v>KUTAN SINGLE PLATINUM &amp; GOLD PENDANT</v>
          </cell>
          <cell r="E977" t="str">
            <v xml:space="preserve">METAL METAL PLATİN GOLD   </v>
          </cell>
          <cell r="F977" t="str">
            <v/>
          </cell>
          <cell r="G977" t="str">
            <v>AVİZE</v>
          </cell>
          <cell r="H977" t="str">
            <v/>
          </cell>
          <cell r="I977" t="str">
            <v>İÇ</v>
          </cell>
          <cell r="J977" t="str">
            <v>AVİZE.SARK</v>
          </cell>
          <cell r="K977" t="str">
            <v>KUTAN</v>
          </cell>
          <cell r="L977" t="str">
            <v/>
          </cell>
          <cell r="M977" t="str">
            <v/>
          </cell>
          <cell r="N977" t="str">
            <v>HC011-2D-PG</v>
          </cell>
          <cell r="O977" t="str">
            <v>HEKA</v>
          </cell>
          <cell r="P977" t="str">
            <v>ADET</v>
          </cell>
          <cell r="Q977" t="str">
            <v>LED</v>
          </cell>
          <cell r="R977" t="str">
            <v>METAL</v>
          </cell>
          <cell r="S977" t="str">
            <v>PLATİN</v>
          </cell>
          <cell r="T977" t="str">
            <v>METAL</v>
          </cell>
          <cell r="U977" t="str">
            <v>GOLD</v>
          </cell>
          <cell r="AD977" t="str">
            <v>N/A</v>
          </cell>
          <cell r="AE977" t="str">
            <v>02</v>
          </cell>
          <cell r="AF977">
            <v>0</v>
          </cell>
          <cell r="AG977" t="str">
            <v>ADET</v>
          </cell>
          <cell r="AH977">
            <v>56</v>
          </cell>
          <cell r="AI977" t="str">
            <v>CNY</v>
          </cell>
          <cell r="AJ977">
            <v>2856</v>
          </cell>
          <cell r="AK977" t="str">
            <v>TL</v>
          </cell>
          <cell r="AL977">
            <v>1</v>
          </cell>
          <cell r="AM977" t="str">
            <v>8684127507974</v>
          </cell>
          <cell r="AO977">
            <v>0</v>
          </cell>
          <cell r="AQ977">
            <v>0</v>
          </cell>
          <cell r="AS977">
            <v>0</v>
          </cell>
          <cell r="AU977">
            <v>0</v>
          </cell>
          <cell r="AW977">
            <v>0</v>
          </cell>
        </row>
        <row r="978">
          <cell r="B978" t="str">
            <v>H1C6JMP0000-050</v>
          </cell>
          <cell r="C978" t="str">
            <v>YOSE TEKLİ PLATİN  SARKIT 50cm</v>
          </cell>
          <cell r="D978" t="str">
            <v>YOSE SINGLE PLATINUM PENDANT 50cm</v>
          </cell>
          <cell r="E978" t="str">
            <v xml:space="preserve">METAL YOK PLATİN YOK   </v>
          </cell>
          <cell r="F978" t="str">
            <v/>
          </cell>
          <cell r="G978" t="str">
            <v>AVİZE</v>
          </cell>
          <cell r="H978" t="str">
            <v/>
          </cell>
          <cell r="I978" t="str">
            <v>İÇ</v>
          </cell>
          <cell r="J978" t="str">
            <v>AVİZE.SARK</v>
          </cell>
          <cell r="K978" t="str">
            <v>YOSE</v>
          </cell>
          <cell r="L978" t="str">
            <v/>
          </cell>
          <cell r="M978" t="str">
            <v/>
          </cell>
          <cell r="N978" t="str">
            <v>HKA-121</v>
          </cell>
          <cell r="O978" t="str">
            <v>HEKA</v>
          </cell>
          <cell r="P978" t="str">
            <v>ADET</v>
          </cell>
          <cell r="Q978" t="str">
            <v>LED</v>
          </cell>
          <cell r="R978" t="str">
            <v>METAL</v>
          </cell>
          <cell r="S978" t="str">
            <v>PLATİN</v>
          </cell>
          <cell r="T978" t="str">
            <v>YOK</v>
          </cell>
          <cell r="U978" t="str">
            <v>YOK</v>
          </cell>
          <cell r="AD978" t="str">
            <v>N/A</v>
          </cell>
          <cell r="AF978">
            <v>1</v>
          </cell>
          <cell r="AG978" t="str">
            <v>ADET</v>
          </cell>
          <cell r="AH978">
            <v>20</v>
          </cell>
          <cell r="AI978" t="str">
            <v>CNY</v>
          </cell>
          <cell r="AJ978">
            <v>2785</v>
          </cell>
          <cell r="AK978" t="str">
            <v>TL</v>
          </cell>
          <cell r="AL978">
            <v>1</v>
          </cell>
          <cell r="AM978" t="str">
            <v>8684127507998</v>
          </cell>
          <cell r="AO978">
            <v>0</v>
          </cell>
          <cell r="AQ978">
            <v>0</v>
          </cell>
          <cell r="AS978">
            <v>0</v>
          </cell>
          <cell r="AU978">
            <v>0</v>
          </cell>
          <cell r="AW978">
            <v>0</v>
          </cell>
        </row>
        <row r="979">
          <cell r="B979" t="str">
            <v>H1C6JMGERF0-022</v>
          </cell>
          <cell r="C979" t="str">
            <v>KAYRA AKRİLİK TEKLİ ALTIN SARKIT 22cm</v>
          </cell>
          <cell r="D979" t="str">
            <v>KAYRA ACRYLIC SINGLE GOLD PENDANT 22cm</v>
          </cell>
          <cell r="E979" t="str">
            <v xml:space="preserve">METAL CAM  GOLD FÜME   </v>
          </cell>
          <cell r="F979" t="str">
            <v/>
          </cell>
          <cell r="G979" t="str">
            <v>AVİZE</v>
          </cell>
          <cell r="H979" t="str">
            <v/>
          </cell>
          <cell r="I979" t="str">
            <v>İÇ</v>
          </cell>
          <cell r="J979" t="str">
            <v>AVİZE.SARK</v>
          </cell>
          <cell r="K979" t="str">
            <v>KAYRA</v>
          </cell>
          <cell r="L979" t="str">
            <v/>
          </cell>
          <cell r="M979" t="str">
            <v/>
          </cell>
          <cell r="N979" t="str">
            <v>HKA-61</v>
          </cell>
          <cell r="O979" t="str">
            <v>HEKA</v>
          </cell>
          <cell r="P979" t="str">
            <v>ADET</v>
          </cell>
          <cell r="Q979" t="str">
            <v>LED</v>
          </cell>
          <cell r="R979" t="str">
            <v>PLASTİK</v>
          </cell>
          <cell r="S979" t="str">
            <v>GOLD</v>
          </cell>
          <cell r="T979" t="str">
            <v>AKRİLİK</v>
          </cell>
          <cell r="U979" t="str">
            <v>FÜME</v>
          </cell>
          <cell r="AD979" t="str">
            <v>N/A</v>
          </cell>
          <cell r="AE979" t="str">
            <v>02</v>
          </cell>
          <cell r="AF979">
            <v>1</v>
          </cell>
          <cell r="AG979" t="str">
            <v>ADET</v>
          </cell>
          <cell r="AH979">
            <v>58</v>
          </cell>
          <cell r="AI979" t="str">
            <v>CNY</v>
          </cell>
          <cell r="AJ979">
            <v>2845</v>
          </cell>
          <cell r="AK979" t="str">
            <v>TL</v>
          </cell>
          <cell r="AL979">
            <v>1</v>
          </cell>
          <cell r="AM979" t="str">
            <v>8684127506700</v>
          </cell>
          <cell r="AO979">
            <v>0</v>
          </cell>
          <cell r="AQ979">
            <v>0</v>
          </cell>
          <cell r="AS979">
            <v>0</v>
          </cell>
          <cell r="AU979">
            <v>0</v>
          </cell>
          <cell r="AW979">
            <v>0</v>
          </cell>
        </row>
        <row r="980">
          <cell r="B980" t="str">
            <v>H1C6JMGECS0-030</v>
          </cell>
          <cell r="C980" t="str">
            <v>ULGEN TEKLİ ALTIN-PLATİN SARKIT 30cm</v>
          </cell>
          <cell r="D980" t="str">
            <v>ULGEN SINGLE GOLD-PLATINUM PENDANT 30cm</v>
          </cell>
          <cell r="E980" t="str">
            <v>METAL CAM  GOLD ŞEFFAF</v>
          </cell>
          <cell r="F980" t="str">
            <v/>
          </cell>
          <cell r="G980" t="str">
            <v>AVİZE</v>
          </cell>
          <cell r="H980" t="str">
            <v/>
          </cell>
          <cell r="I980" t="str">
            <v>İÇ</v>
          </cell>
          <cell r="J980" t="str">
            <v>AVİZE.SARK</v>
          </cell>
          <cell r="K980" t="str">
            <v>ULGEN</v>
          </cell>
          <cell r="L980" t="str">
            <v/>
          </cell>
          <cell r="M980" t="str">
            <v/>
          </cell>
          <cell r="N980" t="str">
            <v>HKA-62</v>
          </cell>
          <cell r="O980" t="str">
            <v>HEKA</v>
          </cell>
          <cell r="P980" t="str">
            <v>ADET</v>
          </cell>
          <cell r="Q980" t="str">
            <v>LED</v>
          </cell>
          <cell r="R980" t="str">
            <v>METAL</v>
          </cell>
          <cell r="S980" t="str">
            <v>GOLD</v>
          </cell>
          <cell r="T980" t="str">
            <v>CAM</v>
          </cell>
          <cell r="U980" t="str">
            <v>ŞEFFAF</v>
          </cell>
          <cell r="AD980" t="str">
            <v>N/A</v>
          </cell>
          <cell r="AE980" t="str">
            <v>02</v>
          </cell>
          <cell r="AF980">
            <v>1</v>
          </cell>
          <cell r="AG980" t="str">
            <v>ADET</v>
          </cell>
          <cell r="AH980">
            <v>55</v>
          </cell>
          <cell r="AI980" t="str">
            <v>CNY</v>
          </cell>
          <cell r="AJ980">
            <v>2797</v>
          </cell>
          <cell r="AK980" t="str">
            <v>TL</v>
          </cell>
          <cell r="AL980">
            <v>1</v>
          </cell>
          <cell r="AM980" t="str">
            <v>8684127506724</v>
          </cell>
          <cell r="AO980">
            <v>0</v>
          </cell>
          <cell r="AQ980">
            <v>0</v>
          </cell>
          <cell r="AS980">
            <v>0</v>
          </cell>
          <cell r="AU980">
            <v>0</v>
          </cell>
          <cell r="AW980">
            <v>0</v>
          </cell>
        </row>
        <row r="981">
          <cell r="B981" t="str">
            <v>H1C6JRSJMP0-015</v>
          </cell>
          <cell r="C981" t="str">
            <v>URANUS PLATİN  LED SARKIT</v>
          </cell>
          <cell r="D981" t="str">
            <v>URANUS PLATINUM LED PENDANT</v>
          </cell>
          <cell r="E981" t="str">
            <v xml:space="preserve">METAL METAL SİYAH PLATİN   </v>
          </cell>
          <cell r="F981" t="str">
            <v/>
          </cell>
          <cell r="G981" t="str">
            <v>AVİZE</v>
          </cell>
          <cell r="H981" t="str">
            <v/>
          </cell>
          <cell r="I981" t="str">
            <v>İÇ</v>
          </cell>
          <cell r="J981" t="str">
            <v>AVİZE.SARK</v>
          </cell>
          <cell r="K981" t="str">
            <v>URANUS</v>
          </cell>
          <cell r="L981" t="str">
            <v/>
          </cell>
          <cell r="M981" t="str">
            <v/>
          </cell>
          <cell r="N981" t="str">
            <v>9102-B</v>
          </cell>
          <cell r="O981" t="str">
            <v>HEKA</v>
          </cell>
          <cell r="P981" t="str">
            <v>ADET</v>
          </cell>
          <cell r="Q981" t="str">
            <v>LED</v>
          </cell>
          <cell r="R981" t="str">
            <v>METAL</v>
          </cell>
          <cell r="S981" t="str">
            <v>SİYAH</v>
          </cell>
          <cell r="T981" t="str">
            <v>METAL</v>
          </cell>
          <cell r="U981" t="str">
            <v>PLATİN</v>
          </cell>
          <cell r="AD981" t="str">
            <v>N/A</v>
          </cell>
          <cell r="AE981" t="str">
            <v>02</v>
          </cell>
          <cell r="AF981">
            <v>0</v>
          </cell>
          <cell r="AG981" t="str">
            <v>ADET</v>
          </cell>
          <cell r="AH981">
            <v>105</v>
          </cell>
          <cell r="AI981" t="str">
            <v>CNY</v>
          </cell>
          <cell r="AJ981">
            <v>5415</v>
          </cell>
          <cell r="AK981" t="str">
            <v>TL</v>
          </cell>
          <cell r="AL981">
            <v>1</v>
          </cell>
          <cell r="AM981" t="str">
            <v>8684127507028</v>
          </cell>
          <cell r="AO981">
            <v>0</v>
          </cell>
          <cell r="AQ981">
            <v>0</v>
          </cell>
          <cell r="AS981">
            <v>0</v>
          </cell>
          <cell r="AU981">
            <v>0</v>
          </cell>
          <cell r="AW981">
            <v>0</v>
          </cell>
        </row>
        <row r="982">
          <cell r="B982" t="str">
            <v>H1C6JRSJRB0-015</v>
          </cell>
          <cell r="C982" t="str">
            <v>URANUS BEYAZ  LED SARKIT</v>
          </cell>
          <cell r="D982" t="str">
            <v>URANUS WHITE LED PENDANT</v>
          </cell>
          <cell r="E982" t="str">
            <v xml:space="preserve">METAL METAL SİYAH BEYAZ   </v>
          </cell>
          <cell r="F982" t="str">
            <v/>
          </cell>
          <cell r="G982" t="str">
            <v>AVİZE</v>
          </cell>
          <cell r="H982" t="str">
            <v/>
          </cell>
          <cell r="I982" t="str">
            <v>İÇ</v>
          </cell>
          <cell r="J982" t="str">
            <v>AVİZE.SARK</v>
          </cell>
          <cell r="K982" t="str">
            <v>URANUS</v>
          </cell>
          <cell r="L982" t="str">
            <v/>
          </cell>
          <cell r="M982" t="str">
            <v/>
          </cell>
          <cell r="N982" t="str">
            <v>9102-W</v>
          </cell>
          <cell r="O982" t="str">
            <v>HEKA</v>
          </cell>
          <cell r="P982" t="str">
            <v>ADET</v>
          </cell>
          <cell r="Q982" t="str">
            <v>LED</v>
          </cell>
          <cell r="R982" t="str">
            <v>METAL</v>
          </cell>
          <cell r="S982" t="str">
            <v>SİYAH</v>
          </cell>
          <cell r="T982" t="str">
            <v>METAL</v>
          </cell>
          <cell r="U982" t="str">
            <v>BEYAZ</v>
          </cell>
          <cell r="AD982" t="str">
            <v>N/A</v>
          </cell>
          <cell r="AE982" t="str">
            <v>02</v>
          </cell>
          <cell r="AF982">
            <v>19</v>
          </cell>
          <cell r="AG982" t="str">
            <v>ADET</v>
          </cell>
          <cell r="AH982">
            <v>105</v>
          </cell>
          <cell r="AI982" t="str">
            <v>CNY</v>
          </cell>
          <cell r="AJ982">
            <v>5415</v>
          </cell>
          <cell r="AK982" t="str">
            <v>TL</v>
          </cell>
          <cell r="AL982">
            <v>1</v>
          </cell>
          <cell r="AM982" t="str">
            <v>8684127507042</v>
          </cell>
          <cell r="AO982">
            <v>0</v>
          </cell>
          <cell r="AQ982">
            <v>0</v>
          </cell>
          <cell r="AS982">
            <v>0</v>
          </cell>
          <cell r="AU982">
            <v>0</v>
          </cell>
          <cell r="AW982">
            <v>0</v>
          </cell>
        </row>
        <row r="983">
          <cell r="B983" t="str">
            <v>H1W6JMELCT0-032</v>
          </cell>
          <cell r="C983" t="str">
            <v>KULA ESKİTME LED APLİK 32cm</v>
          </cell>
          <cell r="D983" t="str">
            <v>KULA  BRUSHED BRASS LED WALL LAMP 32cm</v>
          </cell>
          <cell r="E983" t="str">
            <v xml:space="preserve">METAL PLEKSİ ESKİTME SOFT   </v>
          </cell>
          <cell r="F983" t="str">
            <v/>
          </cell>
          <cell r="G983" t="str">
            <v>AVİZE</v>
          </cell>
          <cell r="H983" t="str">
            <v/>
          </cell>
          <cell r="I983" t="str">
            <v>İÇ</v>
          </cell>
          <cell r="J983" t="str">
            <v>APLİK</v>
          </cell>
          <cell r="K983" t="str">
            <v>KULA</v>
          </cell>
          <cell r="L983" t="str">
            <v/>
          </cell>
          <cell r="M983" t="str">
            <v/>
          </cell>
          <cell r="N983" t="str">
            <v>HKA-103</v>
          </cell>
          <cell r="O983" t="str">
            <v>HEKA</v>
          </cell>
          <cell r="P983" t="str">
            <v>ADET</v>
          </cell>
          <cell r="Q983" t="str">
            <v>LED</v>
          </cell>
          <cell r="R983" t="str">
            <v>METAL</v>
          </cell>
          <cell r="S983" t="str">
            <v>ESKİTME</v>
          </cell>
          <cell r="T983" t="str">
            <v>PLEKSİ</v>
          </cell>
          <cell r="U983" t="str">
            <v>SOFT</v>
          </cell>
          <cell r="AD983" t="str">
            <v>N/A</v>
          </cell>
          <cell r="AF983">
            <v>0</v>
          </cell>
          <cell r="AG983" t="str">
            <v>ADET</v>
          </cell>
          <cell r="AH983">
            <v>65</v>
          </cell>
          <cell r="AI983" t="str">
            <v>CNY</v>
          </cell>
          <cell r="AJ983">
            <v>1508</v>
          </cell>
          <cell r="AK983" t="str">
            <v>TL</v>
          </cell>
          <cell r="AL983">
            <v>1</v>
          </cell>
          <cell r="AM983" t="str">
            <v>8684127507196</v>
          </cell>
          <cell r="AO983">
            <v>0</v>
          </cell>
          <cell r="AQ983">
            <v>0</v>
          </cell>
          <cell r="AS983">
            <v>0</v>
          </cell>
          <cell r="AU983">
            <v>0</v>
          </cell>
          <cell r="AW983">
            <v>0</v>
          </cell>
        </row>
        <row r="984">
          <cell r="B984" t="str">
            <v>H1C6JMELCT0-052</v>
          </cell>
          <cell r="C984" t="str">
            <v>KULA İKİLİ ÇEMBER ESKİTME LED SARKIT 52cm</v>
          </cell>
          <cell r="D984" t="str">
            <v>KULA  DOUBLE CIRCLE BRUSHED BRASS LED PENDANT 52cm</v>
          </cell>
          <cell r="E984" t="str">
            <v xml:space="preserve">METAL PLEKSİ ESKİTME SOFT   </v>
          </cell>
          <cell r="F984" t="str">
            <v/>
          </cell>
          <cell r="G984" t="str">
            <v>AVİZE</v>
          </cell>
          <cell r="H984" t="str">
            <v/>
          </cell>
          <cell r="I984" t="str">
            <v>İÇ</v>
          </cell>
          <cell r="J984" t="str">
            <v>AVİZE.PLF</v>
          </cell>
          <cell r="K984" t="str">
            <v>KULA</v>
          </cell>
          <cell r="L984" t="str">
            <v/>
          </cell>
          <cell r="M984" t="str">
            <v/>
          </cell>
          <cell r="N984" t="str">
            <v>HKA-105</v>
          </cell>
          <cell r="O984" t="str">
            <v>HEKA</v>
          </cell>
          <cell r="P984" t="str">
            <v>ADET</v>
          </cell>
          <cell r="Q984" t="str">
            <v>LED</v>
          </cell>
          <cell r="R984" t="str">
            <v>METAL</v>
          </cell>
          <cell r="S984" t="str">
            <v>ESKİTME</v>
          </cell>
          <cell r="T984" t="str">
            <v>PLEKSİ</v>
          </cell>
          <cell r="U984" t="str">
            <v>SOFT</v>
          </cell>
          <cell r="AD984" t="str">
            <v>N/A</v>
          </cell>
          <cell r="AE984" t="str">
            <v>02</v>
          </cell>
          <cell r="AF984">
            <v>0</v>
          </cell>
          <cell r="AG984" t="str">
            <v>ADET</v>
          </cell>
          <cell r="AH984">
            <v>105</v>
          </cell>
          <cell r="AI984" t="str">
            <v>CNY</v>
          </cell>
          <cell r="AJ984">
            <v>2654</v>
          </cell>
          <cell r="AK984" t="str">
            <v>TL</v>
          </cell>
          <cell r="AL984">
            <v>1</v>
          </cell>
          <cell r="AM984" t="str">
            <v>8684127507219</v>
          </cell>
          <cell r="AO984">
            <v>0</v>
          </cell>
          <cell r="AQ984">
            <v>0</v>
          </cell>
          <cell r="AS984">
            <v>0</v>
          </cell>
          <cell r="AU984">
            <v>0</v>
          </cell>
          <cell r="AW984">
            <v>0</v>
          </cell>
        </row>
        <row r="985">
          <cell r="B985" t="str">
            <v>H1C1JMEWRBU-030</v>
          </cell>
          <cell r="C985" t="str">
            <v>ARGOS BEYAZ MERMER LED SARKIT 30cm</v>
          </cell>
          <cell r="D985" t="str">
            <v>ARGOS WHITE MARBLE LED PENDANT 30cm</v>
          </cell>
          <cell r="E985" t="str">
            <v xml:space="preserve">METAL MERMER ESKİTME BEYAZ   </v>
          </cell>
          <cell r="F985" t="str">
            <v/>
          </cell>
          <cell r="G985" t="str">
            <v>AVİZE</v>
          </cell>
          <cell r="H985" t="str">
            <v/>
          </cell>
          <cell r="I985" t="str">
            <v>İÇ</v>
          </cell>
          <cell r="J985" t="str">
            <v>AVİZE.SARK</v>
          </cell>
          <cell r="K985" t="str">
            <v>ARGOS</v>
          </cell>
          <cell r="L985" t="str">
            <v/>
          </cell>
          <cell r="M985" t="str">
            <v/>
          </cell>
          <cell r="N985" t="str">
            <v>HKA-35</v>
          </cell>
          <cell r="O985" t="str">
            <v>HEKA</v>
          </cell>
          <cell r="P985" t="str">
            <v>ADET</v>
          </cell>
          <cell r="Q985" t="str">
            <v>E14</v>
          </cell>
          <cell r="R985" t="str">
            <v>METAL</v>
          </cell>
          <cell r="S985" t="str">
            <v>ESKİTME</v>
          </cell>
          <cell r="T985" t="str">
            <v>MERMER</v>
          </cell>
          <cell r="U985" t="str">
            <v>BEYAZ</v>
          </cell>
          <cell r="AD985" t="str">
            <v>ÜÇGEN</v>
          </cell>
          <cell r="AE985" t="str">
            <v>02</v>
          </cell>
          <cell r="AF985">
            <v>0</v>
          </cell>
          <cell r="AG985" t="str">
            <v>ADET</v>
          </cell>
          <cell r="AH985">
            <v>190</v>
          </cell>
          <cell r="AI985" t="str">
            <v>CNY</v>
          </cell>
          <cell r="AJ985">
            <v>10540</v>
          </cell>
          <cell r="AK985" t="str">
            <v>TL</v>
          </cell>
          <cell r="AL985">
            <v>1</v>
          </cell>
          <cell r="AM985" t="str">
            <v>8684127507400</v>
          </cell>
          <cell r="AO985">
            <v>0</v>
          </cell>
          <cell r="AQ985">
            <v>0</v>
          </cell>
          <cell r="AS985">
            <v>0</v>
          </cell>
          <cell r="AU985">
            <v>0</v>
          </cell>
          <cell r="AW985">
            <v>0</v>
          </cell>
        </row>
        <row r="986">
          <cell r="B986" t="str">
            <v>H1C2JMEERL0-020</v>
          </cell>
          <cell r="C986" t="str">
            <v>LANGE BAL CAM ESKİTME E14 SARKIT 20cm</v>
          </cell>
          <cell r="D986" t="str">
            <v>LANGE AMBER GLASS BRUSHED BRASS E14 PENDANT 20cm</v>
          </cell>
          <cell r="E986" t="str">
            <v xml:space="preserve">METAL CAM  ESKİTME BAL   </v>
          </cell>
          <cell r="F986" t="str">
            <v/>
          </cell>
          <cell r="G986" t="str">
            <v>AVİZE</v>
          </cell>
          <cell r="H986" t="str">
            <v/>
          </cell>
          <cell r="I986" t="str">
            <v>İÇ</v>
          </cell>
          <cell r="J986" t="str">
            <v>AVİZE.SARK</v>
          </cell>
          <cell r="K986" t="str">
            <v>LANGE</v>
          </cell>
          <cell r="L986" t="str">
            <v/>
          </cell>
          <cell r="M986" t="str">
            <v/>
          </cell>
          <cell r="N986" t="str">
            <v>HB-01xh-B</v>
          </cell>
          <cell r="O986" t="str">
            <v>HEKA</v>
          </cell>
          <cell r="P986" t="str">
            <v>ADET</v>
          </cell>
          <cell r="Q986" t="str">
            <v>E14</v>
          </cell>
          <cell r="R986" t="str">
            <v>METAL</v>
          </cell>
          <cell r="S986" t="str">
            <v>ESKİTME</v>
          </cell>
          <cell r="T986" t="str">
            <v>CAM</v>
          </cell>
          <cell r="U986" t="str">
            <v>BAL</v>
          </cell>
          <cell r="AD986" t="str">
            <v>N/A</v>
          </cell>
          <cell r="AE986" t="str">
            <v>01</v>
          </cell>
          <cell r="AF986">
            <v>10</v>
          </cell>
          <cell r="AG986" t="str">
            <v>ADET</v>
          </cell>
          <cell r="AH986">
            <v>26</v>
          </cell>
          <cell r="AI986" t="str">
            <v>CNY</v>
          </cell>
          <cell r="AJ986">
            <v>2785</v>
          </cell>
          <cell r="AK986" t="str">
            <v>TL</v>
          </cell>
          <cell r="AL986">
            <v>1</v>
          </cell>
          <cell r="AM986" t="str">
            <v>8684127508261</v>
          </cell>
          <cell r="AO986">
            <v>0</v>
          </cell>
          <cell r="AQ986">
            <v>0</v>
          </cell>
          <cell r="AS986">
            <v>0</v>
          </cell>
          <cell r="AU986">
            <v>0</v>
          </cell>
          <cell r="AW986">
            <v>0</v>
          </cell>
        </row>
        <row r="987">
          <cell r="B987" t="str">
            <v>H1C2JMEERL0-030</v>
          </cell>
          <cell r="C987" t="str">
            <v>LANGE BALCAM ESKİTME E27 SARKIT 30cm</v>
          </cell>
          <cell r="D987" t="str">
            <v>LANGE AMBER GLASS BRUSHED BRASS E27 PENDANT 30cm</v>
          </cell>
          <cell r="E987" t="str">
            <v xml:space="preserve">METAL CAM  ESKİTME BAL   </v>
          </cell>
          <cell r="F987" t="str">
            <v/>
          </cell>
          <cell r="G987" t="str">
            <v>AVİZE</v>
          </cell>
          <cell r="H987" t="str">
            <v/>
          </cell>
          <cell r="I987" t="str">
            <v>İÇ</v>
          </cell>
          <cell r="J987" t="str">
            <v>AVİZE.SARK</v>
          </cell>
          <cell r="K987" t="str">
            <v>LANGE</v>
          </cell>
          <cell r="L987" t="str">
            <v/>
          </cell>
          <cell r="M987" t="str">
            <v/>
          </cell>
          <cell r="N987" t="str">
            <v>HB-03dh-B</v>
          </cell>
          <cell r="O987" t="str">
            <v>HEKA</v>
          </cell>
          <cell r="P987" t="str">
            <v>ADET</v>
          </cell>
          <cell r="Q987" t="str">
            <v>E27</v>
          </cell>
          <cell r="R987" t="str">
            <v>METAL</v>
          </cell>
          <cell r="S987" t="str">
            <v>ESKİTME</v>
          </cell>
          <cell r="T987" t="str">
            <v>CAM</v>
          </cell>
          <cell r="U987" t="str">
            <v>BAL</v>
          </cell>
          <cell r="AD987" t="str">
            <v>N/A</v>
          </cell>
          <cell r="AE987" t="str">
            <v>01</v>
          </cell>
          <cell r="AF987">
            <v>91</v>
          </cell>
          <cell r="AG987" t="str">
            <v>ADET</v>
          </cell>
          <cell r="AH987">
            <v>40</v>
          </cell>
          <cell r="AI987" t="str">
            <v>CNY</v>
          </cell>
          <cell r="AJ987">
            <v>3689</v>
          </cell>
          <cell r="AK987" t="str">
            <v>TL</v>
          </cell>
          <cell r="AL987">
            <v>1</v>
          </cell>
          <cell r="AM987" t="str">
            <v>8684127508285</v>
          </cell>
          <cell r="AO987">
            <v>0</v>
          </cell>
          <cell r="AQ987">
            <v>0</v>
          </cell>
          <cell r="AS987">
            <v>0</v>
          </cell>
          <cell r="AU987">
            <v>0</v>
          </cell>
          <cell r="AW987">
            <v>0</v>
          </cell>
        </row>
        <row r="988">
          <cell r="B988" t="str">
            <v>H1C2JMEECB0-014</v>
          </cell>
          <cell r="C988" t="str">
            <v>HARRY BUZLU CAM ESKİTME E27 SARKIT 14cm</v>
          </cell>
          <cell r="D988" t="str">
            <v>HARRY FROSTED GLASS BRUSHED BRASS E27 PENDANT 14cm</v>
          </cell>
          <cell r="E988" t="str">
            <v xml:space="preserve">METAL CAM  ESKİTME BUZLU   </v>
          </cell>
          <cell r="F988" t="str">
            <v/>
          </cell>
          <cell r="G988" t="str">
            <v>AVİZE</v>
          </cell>
          <cell r="H988" t="str">
            <v/>
          </cell>
          <cell r="I988" t="str">
            <v>İÇ</v>
          </cell>
          <cell r="J988" t="str">
            <v>AVİZE.SARK</v>
          </cell>
          <cell r="K988" t="str">
            <v>HARRY</v>
          </cell>
          <cell r="L988" t="str">
            <v/>
          </cell>
          <cell r="M988" t="str">
            <v/>
          </cell>
          <cell r="N988" t="str">
            <v>HB-03C</v>
          </cell>
          <cell r="O988" t="str">
            <v>HEKA</v>
          </cell>
          <cell r="P988" t="str">
            <v>ADET</v>
          </cell>
          <cell r="Q988" t="str">
            <v>E27</v>
          </cell>
          <cell r="R988" t="str">
            <v>METAL</v>
          </cell>
          <cell r="S988" t="str">
            <v>ESKİTME</v>
          </cell>
          <cell r="T988" t="str">
            <v>CAM</v>
          </cell>
          <cell r="U988" t="str">
            <v>BUZLU</v>
          </cell>
          <cell r="AD988" t="str">
            <v>N/A</v>
          </cell>
          <cell r="AE988" t="str">
            <v>02</v>
          </cell>
          <cell r="AF988">
            <v>0</v>
          </cell>
          <cell r="AG988" t="str">
            <v>ADET</v>
          </cell>
          <cell r="AH988">
            <v>32</v>
          </cell>
          <cell r="AI988" t="str">
            <v>CNY</v>
          </cell>
          <cell r="AJ988">
            <v>2785</v>
          </cell>
          <cell r="AK988" t="str">
            <v>TL</v>
          </cell>
          <cell r="AL988">
            <v>1</v>
          </cell>
          <cell r="AM988" t="str">
            <v>8684127508322</v>
          </cell>
          <cell r="AO988">
            <v>0</v>
          </cell>
          <cell r="AQ988">
            <v>0</v>
          </cell>
          <cell r="AS988">
            <v>0</v>
          </cell>
          <cell r="AU988">
            <v>0</v>
          </cell>
          <cell r="AW988">
            <v>0</v>
          </cell>
        </row>
        <row r="989">
          <cell r="B989" t="str">
            <v>H1W1JMEWRBC-048</v>
          </cell>
          <cell r="C989" t="str">
            <v>ARKAS İKİLİ BEYAZ MERMER E14 APLİK 48cm</v>
          </cell>
          <cell r="D989" t="str">
            <v>ARKAS DOUBLE WHITE MARBLE E14 WALL LAMP 48cm</v>
          </cell>
          <cell r="E989" t="str">
            <v>METAL MERMER ESKİTME BEYAZ</v>
          </cell>
          <cell r="F989" t="str">
            <v/>
          </cell>
          <cell r="G989" t="str">
            <v>APLİK</v>
          </cell>
          <cell r="H989" t="str">
            <v/>
          </cell>
          <cell r="I989" t="str">
            <v>İÇ</v>
          </cell>
          <cell r="J989" t="str">
            <v>APLİK</v>
          </cell>
          <cell r="K989" t="str">
            <v>ARKAS</v>
          </cell>
          <cell r="L989" t="str">
            <v/>
          </cell>
          <cell r="M989" t="str">
            <v/>
          </cell>
          <cell r="N989" t="str">
            <v>HKA-24383</v>
          </cell>
          <cell r="O989" t="str">
            <v>HEKA</v>
          </cell>
          <cell r="P989" t="str">
            <v>ADET</v>
          </cell>
          <cell r="Q989" t="str">
            <v>E14</v>
          </cell>
          <cell r="R989" t="str">
            <v>METAL</v>
          </cell>
          <cell r="S989" t="str">
            <v>ESKİTME</v>
          </cell>
          <cell r="T989" t="str">
            <v>MERMER</v>
          </cell>
          <cell r="U989" t="str">
            <v>BEYAZ</v>
          </cell>
          <cell r="AD989" t="str">
            <v>SİLİNDİR</v>
          </cell>
          <cell r="AE989" t="str">
            <v>02</v>
          </cell>
          <cell r="AF989">
            <v>20</v>
          </cell>
          <cell r="AG989" t="str">
            <v>ADET</v>
          </cell>
          <cell r="AH989">
            <v>280</v>
          </cell>
          <cell r="AI989" t="str">
            <v>CNY</v>
          </cell>
          <cell r="AJ989">
            <v>23520</v>
          </cell>
          <cell r="AK989" t="str">
            <v>TL</v>
          </cell>
          <cell r="AL989">
            <v>1</v>
          </cell>
          <cell r="AM989" t="str">
            <v>8684127507356</v>
          </cell>
          <cell r="AO989">
            <v>0</v>
          </cell>
          <cell r="AQ989">
            <v>0</v>
          </cell>
          <cell r="AS989">
            <v>0</v>
          </cell>
          <cell r="AU989">
            <v>0</v>
          </cell>
          <cell r="AW989">
            <v>0</v>
          </cell>
        </row>
        <row r="990">
          <cell r="B990" t="str">
            <v>H1C6JRSJMG0-013</v>
          </cell>
          <cell r="C990" t="str">
            <v>MAYON ALTIN  LED SARKIT</v>
          </cell>
          <cell r="D990" t="str">
            <v>MAYON GOLD LED PENDANT</v>
          </cell>
          <cell r="E990" t="str">
            <v xml:space="preserve">METAL METAL SİYAH GOLD   </v>
          </cell>
          <cell r="F990" t="str">
            <v/>
          </cell>
          <cell r="G990" t="str">
            <v>AVİZE</v>
          </cell>
          <cell r="H990" t="str">
            <v/>
          </cell>
          <cell r="I990" t="str">
            <v>İÇ</v>
          </cell>
          <cell r="J990" t="str">
            <v>AVİZE.SARK</v>
          </cell>
          <cell r="K990" t="str">
            <v>MAYON</v>
          </cell>
          <cell r="L990" t="str">
            <v/>
          </cell>
          <cell r="M990" t="str">
            <v/>
          </cell>
          <cell r="N990" t="str">
            <v>9126-G</v>
          </cell>
          <cell r="O990" t="str">
            <v>HEKA</v>
          </cell>
          <cell r="P990" t="str">
            <v>ADET</v>
          </cell>
          <cell r="Q990" t="str">
            <v>LED</v>
          </cell>
          <cell r="R990" t="str">
            <v>METAL</v>
          </cell>
          <cell r="S990" t="str">
            <v>SİYAH</v>
          </cell>
          <cell r="T990" t="str">
            <v>METAL</v>
          </cell>
          <cell r="U990" t="str">
            <v>GOLD</v>
          </cell>
          <cell r="AD990" t="str">
            <v>N/A</v>
          </cell>
          <cell r="AE990" t="str">
            <v>02</v>
          </cell>
          <cell r="AF990">
            <v>33</v>
          </cell>
          <cell r="AG990" t="str">
            <v>ADET</v>
          </cell>
          <cell r="AH990">
            <v>108</v>
          </cell>
          <cell r="AI990" t="str">
            <v>CNY</v>
          </cell>
          <cell r="AJ990">
            <v>5415</v>
          </cell>
          <cell r="AK990" t="str">
            <v>TL</v>
          </cell>
          <cell r="AL990">
            <v>1</v>
          </cell>
          <cell r="AM990" t="str">
            <v>8684127507066</v>
          </cell>
          <cell r="AO990">
            <v>0</v>
          </cell>
          <cell r="AQ990">
            <v>0</v>
          </cell>
          <cell r="AS990">
            <v>0</v>
          </cell>
          <cell r="AU990">
            <v>0</v>
          </cell>
          <cell r="AW990">
            <v>0</v>
          </cell>
        </row>
        <row r="991">
          <cell r="B991" t="str">
            <v>H1W6JME0000-052</v>
          </cell>
          <cell r="C991" t="str">
            <v>ATHENA ESKİTME LED APLİK 52cm</v>
          </cell>
          <cell r="D991" t="str">
            <v>ATHENA  BRUSHED BRASS LED WALL LAMP 52cm</v>
          </cell>
          <cell r="E991" t="str">
            <v xml:space="preserve">METAL YOK ESKİTME YOK   </v>
          </cell>
          <cell r="F991" t="str">
            <v/>
          </cell>
          <cell r="G991" t="str">
            <v>AVİZE</v>
          </cell>
          <cell r="H991" t="str">
            <v/>
          </cell>
          <cell r="I991" t="str">
            <v>İÇ</v>
          </cell>
          <cell r="J991" t="str">
            <v>APLİK</v>
          </cell>
          <cell r="K991" t="str">
            <v>ATHENA</v>
          </cell>
          <cell r="L991" t="str">
            <v/>
          </cell>
          <cell r="M991" t="str">
            <v/>
          </cell>
          <cell r="N991" t="str">
            <v>HKA-101</v>
          </cell>
          <cell r="O991" t="str">
            <v>HEKA</v>
          </cell>
          <cell r="P991" t="str">
            <v>ADET</v>
          </cell>
          <cell r="Q991" t="str">
            <v>LED</v>
          </cell>
          <cell r="R991" t="str">
            <v>METAL</v>
          </cell>
          <cell r="S991" t="str">
            <v>ESKİTME</v>
          </cell>
          <cell r="T991" t="str">
            <v>YOK</v>
          </cell>
          <cell r="U991" t="str">
            <v>YOK</v>
          </cell>
          <cell r="AD991" t="str">
            <v>N/A</v>
          </cell>
          <cell r="AE991" t="str">
            <v>02</v>
          </cell>
          <cell r="AF991">
            <v>0</v>
          </cell>
          <cell r="AG991" t="str">
            <v>ADET</v>
          </cell>
          <cell r="AH991">
            <v>68</v>
          </cell>
          <cell r="AI991" t="str">
            <v>CNY</v>
          </cell>
          <cell r="AJ991">
            <v>4200</v>
          </cell>
          <cell r="AK991" t="str">
            <v>TL</v>
          </cell>
          <cell r="AL991">
            <v>1</v>
          </cell>
          <cell r="AM991" t="str">
            <v>8684127507080</v>
          </cell>
          <cell r="AO991">
            <v>0</v>
          </cell>
          <cell r="AQ991">
            <v>0</v>
          </cell>
          <cell r="AS991">
            <v>0</v>
          </cell>
          <cell r="AU991">
            <v>0</v>
          </cell>
          <cell r="AW991">
            <v>0</v>
          </cell>
        </row>
        <row r="992">
          <cell r="B992" t="str">
            <v>H1C6DRSJME0-030</v>
          </cell>
          <cell r="C992" t="str">
            <v>ŞALIK ESKİTME SİYAH BETON LED SARKIT 30cm</v>
          </cell>
          <cell r="D992" t="str">
            <v>SALIK  BRUSHED BRASS  BLACK CONCRETE LED PENDANT 30cm</v>
          </cell>
          <cell r="E992" t="str">
            <v xml:space="preserve">BETON METAL SİYAH ESKİTME   </v>
          </cell>
          <cell r="F992" t="str">
            <v/>
          </cell>
          <cell r="G992" t="str">
            <v>AVİZE</v>
          </cell>
          <cell r="H992" t="str">
            <v/>
          </cell>
          <cell r="I992" t="str">
            <v>İÇ</v>
          </cell>
          <cell r="J992" t="str">
            <v>AVİZE.SARK</v>
          </cell>
          <cell r="K992" t="str">
            <v>ŞALIK</v>
          </cell>
          <cell r="L992" t="str">
            <v/>
          </cell>
          <cell r="M992" t="str">
            <v/>
          </cell>
          <cell r="N992" t="str">
            <v>HKA-115</v>
          </cell>
          <cell r="O992" t="str">
            <v>HEKA</v>
          </cell>
          <cell r="P992" t="str">
            <v>ADET</v>
          </cell>
          <cell r="Q992" t="str">
            <v>LED</v>
          </cell>
          <cell r="R992" t="str">
            <v>BETON</v>
          </cell>
          <cell r="S992" t="str">
            <v>SİYAH</v>
          </cell>
          <cell r="T992" t="str">
            <v>METAL</v>
          </cell>
          <cell r="U992" t="str">
            <v>ESKİTME</v>
          </cell>
          <cell r="AD992" t="str">
            <v>N/A</v>
          </cell>
          <cell r="AE992" t="str">
            <v>02</v>
          </cell>
          <cell r="AF992">
            <v>50</v>
          </cell>
          <cell r="AG992" t="str">
            <v>ADET</v>
          </cell>
          <cell r="AH992">
            <v>125</v>
          </cell>
          <cell r="AI992" t="str">
            <v>CNY</v>
          </cell>
          <cell r="AJ992">
            <v>6783</v>
          </cell>
          <cell r="AK992" t="str">
            <v>TL</v>
          </cell>
          <cell r="AL992">
            <v>1</v>
          </cell>
          <cell r="AM992" t="str">
            <v>8684127507158</v>
          </cell>
          <cell r="AO992">
            <v>0</v>
          </cell>
          <cell r="AQ992">
            <v>0</v>
          </cell>
          <cell r="AS992">
            <v>0</v>
          </cell>
          <cell r="AU992">
            <v>0</v>
          </cell>
          <cell r="AW992">
            <v>0</v>
          </cell>
        </row>
        <row r="993">
          <cell r="B993" t="str">
            <v>H1C6DRBJME0-025</v>
          </cell>
          <cell r="C993" t="str">
            <v>ŞALIK ESKİTME BEYAZ BETON LED SARKIT 25cm</v>
          </cell>
          <cell r="D993" t="str">
            <v>SALIK  BRUSHED BRASS WHITE CONCRETE LED PENDANT 25cm</v>
          </cell>
          <cell r="E993" t="str">
            <v>BETON METAL BEYAZ ESKİTME</v>
          </cell>
          <cell r="F993" t="str">
            <v/>
          </cell>
          <cell r="G993" t="str">
            <v>AVİZE</v>
          </cell>
          <cell r="H993" t="str">
            <v/>
          </cell>
          <cell r="I993" t="str">
            <v>İÇ</v>
          </cell>
          <cell r="J993" t="str">
            <v>AVİZE.SARK</v>
          </cell>
          <cell r="K993" t="str">
            <v>ŞALIK</v>
          </cell>
          <cell r="L993" t="str">
            <v/>
          </cell>
          <cell r="M993" t="str">
            <v/>
          </cell>
          <cell r="N993" t="str">
            <v>HKA-114</v>
          </cell>
          <cell r="O993" t="str">
            <v>HEKA</v>
          </cell>
          <cell r="P993" t="str">
            <v>ADET</v>
          </cell>
          <cell r="Q993" t="str">
            <v>LED</v>
          </cell>
          <cell r="R993" t="str">
            <v>BETON</v>
          </cell>
          <cell r="S993" t="str">
            <v>BEYAZ</v>
          </cell>
          <cell r="T993" t="str">
            <v>METAL</v>
          </cell>
          <cell r="U993" t="str">
            <v>ESKİTME</v>
          </cell>
          <cell r="AD993" t="str">
            <v>N/A</v>
          </cell>
          <cell r="AE993" t="str">
            <v>02</v>
          </cell>
          <cell r="AF993">
            <v>44</v>
          </cell>
          <cell r="AG993" t="str">
            <v>ADET</v>
          </cell>
          <cell r="AH993">
            <v>115</v>
          </cell>
          <cell r="AI993" t="str">
            <v>CNY</v>
          </cell>
          <cell r="AJ993">
            <v>5831</v>
          </cell>
          <cell r="AK993" t="str">
            <v>TL</v>
          </cell>
          <cell r="AL993">
            <v>1</v>
          </cell>
          <cell r="AM993" t="str">
            <v>8684127507172</v>
          </cell>
          <cell r="AO993">
            <v>0</v>
          </cell>
          <cell r="AQ993">
            <v>0</v>
          </cell>
          <cell r="AS993">
            <v>0</v>
          </cell>
          <cell r="AU993">
            <v>0</v>
          </cell>
          <cell r="AW993">
            <v>0</v>
          </cell>
        </row>
        <row r="994">
          <cell r="B994" t="str">
            <v>H1C6BCSJMG0-012</v>
          </cell>
          <cell r="C994" t="str">
            <v>BUTTERFLY AKRİLİK KELEBEK SARKIT GOLD 12cm</v>
          </cell>
          <cell r="D994" t="str">
            <v>BUTTERFLY ACRYLIC PENDANT LAMP GOLD 12cm</v>
          </cell>
          <cell r="E994" t="str">
            <v xml:space="preserve">AKRiLİK METAL ŞEFFAF GOLD   </v>
          </cell>
          <cell r="F994" t="str">
            <v/>
          </cell>
          <cell r="G994" t="str">
            <v>AVİZE</v>
          </cell>
          <cell r="H994" t="str">
            <v>T1A6621200-18</v>
          </cell>
          <cell r="I994" t="str">
            <v>İÇ</v>
          </cell>
          <cell r="J994" t="str">
            <v>AVİZE.SARK</v>
          </cell>
          <cell r="K994" t="str">
            <v>BUTTERFLY</v>
          </cell>
          <cell r="L994" t="str">
            <v/>
          </cell>
          <cell r="M994" t="str">
            <v/>
          </cell>
          <cell r="N994" t="str">
            <v>DD20675</v>
          </cell>
          <cell r="O994" t="str">
            <v>HEKA</v>
          </cell>
          <cell r="P994" t="str">
            <v>ADET</v>
          </cell>
          <cell r="Q994" t="str">
            <v>LED</v>
          </cell>
          <cell r="R994" t="str">
            <v>AKRİLİK</v>
          </cell>
          <cell r="S994" t="str">
            <v>ŞEFFAF</v>
          </cell>
          <cell r="T994" t="str">
            <v>METAL</v>
          </cell>
          <cell r="U994" t="str">
            <v>GOLD</v>
          </cell>
          <cell r="AD994" t="str">
            <v>N/A</v>
          </cell>
          <cell r="AE994" t="str">
            <v>02</v>
          </cell>
          <cell r="AF994">
            <v>0</v>
          </cell>
          <cell r="AG994" t="str">
            <v>ADET</v>
          </cell>
          <cell r="AH994">
            <v>115</v>
          </cell>
          <cell r="AI994" t="str">
            <v>CNY</v>
          </cell>
          <cell r="AJ994">
            <v>1150</v>
          </cell>
          <cell r="AK994" t="str">
            <v>TL</v>
          </cell>
          <cell r="AL994">
            <v>1</v>
          </cell>
          <cell r="AM994" t="str">
            <v>8684127510240</v>
          </cell>
          <cell r="AO994">
            <v>0</v>
          </cell>
          <cell r="AQ994">
            <v>0</v>
          </cell>
          <cell r="AS994">
            <v>0</v>
          </cell>
          <cell r="AU994">
            <v>0</v>
          </cell>
          <cell r="AW994">
            <v>0</v>
          </cell>
        </row>
        <row r="995">
          <cell r="B995" t="str">
            <v>H1C6JMEWRBK-040</v>
          </cell>
          <cell r="C995" t="str">
            <v>DUHA ESKİTME KARE MERMER SARKIT 40cm</v>
          </cell>
          <cell r="D995" t="str">
            <v>DUHA BRUSHED BRASS SQUARE MARBLE PENDANT LAMP 40cm</v>
          </cell>
          <cell r="E995" t="str">
            <v xml:space="preserve">METAL MERMER ESKİTME BEYAZ   </v>
          </cell>
          <cell r="F995" t="str">
            <v/>
          </cell>
          <cell r="G995" t="str">
            <v>AVİZE</v>
          </cell>
          <cell r="H995" t="str">
            <v/>
          </cell>
          <cell r="I995" t="str">
            <v>İÇ</v>
          </cell>
          <cell r="J995" t="str">
            <v>AVİZE.SARK</v>
          </cell>
          <cell r="K995" t="str">
            <v>DUHA</v>
          </cell>
          <cell r="L995" t="str">
            <v/>
          </cell>
          <cell r="M995" t="str">
            <v/>
          </cell>
          <cell r="N995" t="str">
            <v>HKA-220</v>
          </cell>
          <cell r="O995" t="str">
            <v>HEKA</v>
          </cell>
          <cell r="P995" t="str">
            <v>ADET</v>
          </cell>
          <cell r="Q995" t="str">
            <v>LED</v>
          </cell>
          <cell r="R995" t="str">
            <v>METAL</v>
          </cell>
          <cell r="S995" t="str">
            <v>ESKİTME</v>
          </cell>
          <cell r="T995" t="str">
            <v>MERMER</v>
          </cell>
          <cell r="U995" t="str">
            <v>BEYAZ</v>
          </cell>
          <cell r="AD995" t="str">
            <v>KARE</v>
          </cell>
          <cell r="AF995">
            <v>23</v>
          </cell>
          <cell r="AG995" t="str">
            <v>ADET</v>
          </cell>
          <cell r="AH995">
            <v>210</v>
          </cell>
          <cell r="AI995" t="str">
            <v>CNY</v>
          </cell>
          <cell r="AJ995">
            <v>10496</v>
          </cell>
          <cell r="AK995" t="str">
            <v>TL</v>
          </cell>
          <cell r="AL995">
            <v>1</v>
          </cell>
          <cell r="AM995" t="str">
            <v>8684127508483</v>
          </cell>
          <cell r="AO995">
            <v>0</v>
          </cell>
          <cell r="AQ995">
            <v>0</v>
          </cell>
          <cell r="AS995">
            <v>0</v>
          </cell>
          <cell r="AU995">
            <v>0</v>
          </cell>
          <cell r="AW995">
            <v>0</v>
          </cell>
        </row>
        <row r="996">
          <cell r="B996" t="str">
            <v>H1C4JMK000P-080</v>
          </cell>
          <cell r="C996" t="str">
            <v>HATİLA KROM SALON SARKIT  AVİZE</v>
          </cell>
          <cell r="D996" t="str">
            <v>HATILA LIVING ROOM  CHROME PENDANT CHANDELIER</v>
          </cell>
          <cell r="E996" t="str">
            <v xml:space="preserve">METAL YOK KROM YOK   </v>
          </cell>
          <cell r="F996" t="str">
            <v/>
          </cell>
          <cell r="G996" t="str">
            <v>AVİZE</v>
          </cell>
          <cell r="H996" t="str">
            <v/>
          </cell>
          <cell r="I996" t="str">
            <v>İÇ</v>
          </cell>
          <cell r="J996" t="str">
            <v>AVİZE.AVİZ</v>
          </cell>
          <cell r="K996" t="str">
            <v>HATİLA</v>
          </cell>
          <cell r="L996" t="str">
            <v/>
          </cell>
          <cell r="M996" t="str">
            <v/>
          </cell>
          <cell r="N996" t="str">
            <v>HKA-212</v>
          </cell>
          <cell r="O996" t="str">
            <v>HEKA</v>
          </cell>
          <cell r="P996" t="str">
            <v>ADET</v>
          </cell>
          <cell r="Q996" t="str">
            <v>G4</v>
          </cell>
          <cell r="R996" t="str">
            <v>METAL</v>
          </cell>
          <cell r="S996" t="str">
            <v>KROM</v>
          </cell>
          <cell r="T996" t="str">
            <v>YOK</v>
          </cell>
          <cell r="U996" t="str">
            <v>YOK</v>
          </cell>
          <cell r="AD996" t="str">
            <v>POLİGONAL</v>
          </cell>
          <cell r="AE996" t="str">
            <v>12</v>
          </cell>
          <cell r="AF996">
            <v>0</v>
          </cell>
          <cell r="AG996" t="str">
            <v>ADET</v>
          </cell>
          <cell r="AH996">
            <v>2200</v>
          </cell>
          <cell r="AI996" t="str">
            <v>CNY</v>
          </cell>
          <cell r="AJ996">
            <v>85000</v>
          </cell>
          <cell r="AK996" t="str">
            <v>TL</v>
          </cell>
          <cell r="AL996">
            <v>1</v>
          </cell>
          <cell r="AM996" t="str">
            <v>8684127510479</v>
          </cell>
          <cell r="AO996">
            <v>0</v>
          </cell>
          <cell r="AQ996">
            <v>0</v>
          </cell>
          <cell r="AS996">
            <v>0</v>
          </cell>
          <cell r="AU996">
            <v>0</v>
          </cell>
          <cell r="AW996">
            <v>0</v>
          </cell>
        </row>
        <row r="997">
          <cell r="B997" t="str">
            <v>200-CAM-KAHVE</v>
          </cell>
          <cell r="C997" t="str">
            <v>BATUR DİŞLİ KAHVERENGİ CAM 20 cm</v>
          </cell>
          <cell r="D997" t="str">
            <v>THREADED BROWN GLASS 20 cm</v>
          </cell>
          <cell r="E997" t="str">
            <v/>
          </cell>
          <cell r="F997" t="str">
            <v/>
          </cell>
          <cell r="G997" t="str">
            <v>AVİZE</v>
          </cell>
          <cell r="H997" t="str">
            <v>150A-BAL</v>
          </cell>
          <cell r="I997" t="str">
            <v>İÇ</v>
          </cell>
          <cell r="J997" t="str">
            <v>AVİZE.SARK</v>
          </cell>
          <cell r="K997" t="str">
            <v>BATUR</v>
          </cell>
          <cell r="L997" t="str">
            <v/>
          </cell>
          <cell r="M997" t="str">
            <v/>
          </cell>
          <cell r="N997" t="str">
            <v>HB-2</v>
          </cell>
          <cell r="O997" t="str">
            <v>HEKA</v>
          </cell>
          <cell r="P997" t="str">
            <v>ADET</v>
          </cell>
          <cell r="R997" t="str">
            <v>CAM</v>
          </cell>
          <cell r="S997" t="str">
            <v>KAHVERENGİ</v>
          </cell>
          <cell r="AF997">
            <v>23</v>
          </cell>
          <cell r="AG997" t="str">
            <v>ADET</v>
          </cell>
          <cell r="AH997">
            <v>15</v>
          </cell>
          <cell r="AI997" t="str">
            <v>CNY</v>
          </cell>
          <cell r="AJ997">
            <v>2070</v>
          </cell>
          <cell r="AK997" t="str">
            <v>TL</v>
          </cell>
          <cell r="AL997">
            <v>1</v>
          </cell>
          <cell r="AM997" t="str">
            <v>200-CAM-KAHVE</v>
          </cell>
          <cell r="AO997">
            <v>0</v>
          </cell>
          <cell r="AQ997">
            <v>0</v>
          </cell>
          <cell r="AS997">
            <v>0</v>
          </cell>
          <cell r="AU997">
            <v>0</v>
          </cell>
          <cell r="AW997">
            <v>0</v>
          </cell>
        </row>
        <row r="998">
          <cell r="B998" t="str">
            <v>F1W6JMG000R-040</v>
          </cell>
          <cell r="C998" t="str">
            <v>RİO ALTIN RENK APLİK 40 cm</v>
          </cell>
          <cell r="D998" t="str">
            <v>RIO GOLD  WALL LAMP 40 cm</v>
          </cell>
          <cell r="E998" t="str">
            <v xml:space="preserve">METAL YOK ALTIN YOK   </v>
          </cell>
          <cell r="F998" t="str">
            <v/>
          </cell>
          <cell r="G998" t="str">
            <v>APLİK</v>
          </cell>
          <cell r="H998" t="str">
            <v/>
          </cell>
          <cell r="I998" t="str">
            <v>İÇ</v>
          </cell>
          <cell r="J998" t="str">
            <v>APLİK</v>
          </cell>
          <cell r="K998" t="str">
            <v>RIO</v>
          </cell>
          <cell r="L998" t="str">
            <v/>
          </cell>
          <cell r="M998" t="str">
            <v/>
          </cell>
          <cell r="N998" t="str">
            <v/>
          </cell>
          <cell r="P998" t="str">
            <v>ADET</v>
          </cell>
          <cell r="Q998" t="str">
            <v>LED</v>
          </cell>
          <cell r="R998" t="str">
            <v>METAL</v>
          </cell>
          <cell r="S998" t="str">
            <v>GOLD</v>
          </cell>
          <cell r="T998" t="str">
            <v>YOK</v>
          </cell>
          <cell r="U998" t="str">
            <v>YOK</v>
          </cell>
          <cell r="AD998" t="str">
            <v>DAİRE</v>
          </cell>
          <cell r="AE998" t="str">
            <v>02</v>
          </cell>
          <cell r="AF998">
            <v>0</v>
          </cell>
          <cell r="AG998" t="str">
            <v>ADET</v>
          </cell>
          <cell r="AH998">
            <v>2000</v>
          </cell>
          <cell r="AI998" t="str">
            <v>TL</v>
          </cell>
          <cell r="AJ998">
            <v>4500</v>
          </cell>
          <cell r="AK998" t="str">
            <v>TL</v>
          </cell>
          <cell r="AL998">
            <v>0</v>
          </cell>
          <cell r="AM998" t="str">
            <v>8684127510523</v>
          </cell>
          <cell r="AO998">
            <v>0</v>
          </cell>
          <cell r="AQ998">
            <v>0</v>
          </cell>
          <cell r="AS998">
            <v>0</v>
          </cell>
          <cell r="AU998">
            <v>0</v>
          </cell>
          <cell r="AW998">
            <v>0</v>
          </cell>
        </row>
        <row r="999">
          <cell r="B999" t="str">
            <v>H1C6JMGJMP0-013</v>
          </cell>
          <cell r="C999" t="str">
            <v>YALDIZ TEKLİ ALTIN &amp; PLATİN SARKIT</v>
          </cell>
          <cell r="D999" t="str">
            <v>YALDIZ SINGLE GOLD &amp; PLATINUM PENDANT</v>
          </cell>
          <cell r="E999" t="str">
            <v>METAL METAL GOLD  PLATİN</v>
          </cell>
          <cell r="F999" t="str">
            <v/>
          </cell>
          <cell r="G999" t="str">
            <v>AVİZE</v>
          </cell>
          <cell r="H999" t="str">
            <v/>
          </cell>
          <cell r="I999" t="str">
            <v>İÇ</v>
          </cell>
          <cell r="J999" t="str">
            <v>AVİZE.SARK</v>
          </cell>
          <cell r="K999" t="str">
            <v>YALDIZ</v>
          </cell>
          <cell r="L999" t="str">
            <v/>
          </cell>
          <cell r="M999" t="str">
            <v/>
          </cell>
          <cell r="N999" t="str">
            <v>HC08-1D-G</v>
          </cell>
          <cell r="O999" t="str">
            <v>HEKA</v>
          </cell>
          <cell r="P999" t="str">
            <v>ADET</v>
          </cell>
          <cell r="Q999" t="str">
            <v>LED</v>
          </cell>
          <cell r="R999" t="str">
            <v>METAL</v>
          </cell>
          <cell r="S999" t="str">
            <v>GOLD</v>
          </cell>
          <cell r="T999" t="str">
            <v>METAL</v>
          </cell>
          <cell r="U999" t="str">
            <v>PLATİN</v>
          </cell>
          <cell r="AD999" t="str">
            <v>N/A</v>
          </cell>
          <cell r="AF999">
            <v>3</v>
          </cell>
          <cell r="AG999" t="str">
            <v>ADET</v>
          </cell>
          <cell r="AH999">
            <v>40</v>
          </cell>
          <cell r="AI999" t="str">
            <v>CNY</v>
          </cell>
          <cell r="AJ999">
            <v>2023</v>
          </cell>
          <cell r="AK999" t="str">
            <v>TL</v>
          </cell>
          <cell r="AL999">
            <v>1</v>
          </cell>
          <cell r="AM999" t="str">
            <v>8684127507967</v>
          </cell>
          <cell r="AO999">
            <v>0</v>
          </cell>
          <cell r="AQ999">
            <v>0</v>
          </cell>
          <cell r="AS999">
            <v>0</v>
          </cell>
          <cell r="AU999">
            <v>0</v>
          </cell>
          <cell r="AW999">
            <v>0</v>
          </cell>
        </row>
        <row r="1000">
          <cell r="B1000" t="str">
            <v>H1C6JMPERF0-022</v>
          </cell>
          <cell r="C1000" t="str">
            <v>KAYRA AKRİLİK TEKLİ PLATİN SARKIT 22cm</v>
          </cell>
          <cell r="D1000" t="str">
            <v>KAYRA ACRYLIC SINGLE PLATINUM PENDANT 22cm</v>
          </cell>
          <cell r="E1000" t="str">
            <v xml:space="preserve">METAL CAM  PLATİN FÜME   </v>
          </cell>
          <cell r="F1000" t="str">
            <v/>
          </cell>
          <cell r="G1000" t="str">
            <v>AVİZE</v>
          </cell>
          <cell r="H1000" t="str">
            <v/>
          </cell>
          <cell r="I1000" t="str">
            <v>İÇ</v>
          </cell>
          <cell r="J1000" t="str">
            <v>AVİZE.SARK</v>
          </cell>
          <cell r="K1000" t="str">
            <v>KAYRA</v>
          </cell>
          <cell r="L1000" t="str">
            <v/>
          </cell>
          <cell r="M1000" t="str">
            <v/>
          </cell>
          <cell r="N1000" t="str">
            <v>HKA-60</v>
          </cell>
          <cell r="O1000" t="str">
            <v>HEKA</v>
          </cell>
          <cell r="P1000" t="str">
            <v>ADET</v>
          </cell>
          <cell r="Q1000" t="str">
            <v>LED</v>
          </cell>
          <cell r="R1000" t="str">
            <v>PLASTİK</v>
          </cell>
          <cell r="S1000" t="str">
            <v>PLATİN</v>
          </cell>
          <cell r="T1000" t="str">
            <v>AKRİLİK</v>
          </cell>
          <cell r="U1000" t="str">
            <v>FÜME</v>
          </cell>
          <cell r="AD1000" t="str">
            <v>N/A</v>
          </cell>
          <cell r="AE1000" t="str">
            <v>02</v>
          </cell>
          <cell r="AF1000">
            <v>0</v>
          </cell>
          <cell r="AG1000" t="str">
            <v>ADET</v>
          </cell>
          <cell r="AH1000">
            <v>58</v>
          </cell>
          <cell r="AI1000" t="str">
            <v>CNY</v>
          </cell>
          <cell r="AJ1000">
            <v>2845</v>
          </cell>
          <cell r="AK1000" t="str">
            <v>TL</v>
          </cell>
          <cell r="AL1000">
            <v>1</v>
          </cell>
          <cell r="AM1000" t="str">
            <v>8684127506717</v>
          </cell>
          <cell r="AO1000">
            <v>0</v>
          </cell>
          <cell r="AQ1000">
            <v>0</v>
          </cell>
          <cell r="AS1000">
            <v>0</v>
          </cell>
          <cell r="AU1000">
            <v>0</v>
          </cell>
          <cell r="AW1000">
            <v>0</v>
          </cell>
        </row>
        <row r="1001">
          <cell r="B1001" t="str">
            <v>H1C6JMGECS0-035</v>
          </cell>
          <cell r="C1001" t="str">
            <v>ULGEN TEKLİ ALTIN-PLATİN SARKIT 35cm</v>
          </cell>
          <cell r="D1001" t="str">
            <v>ULGEN SINGLE GOLD-PLATINUM PENDANT 35cm</v>
          </cell>
          <cell r="E1001" t="str">
            <v xml:space="preserve">METAL CAM  GOLD ŞEFFAF   </v>
          </cell>
          <cell r="F1001" t="str">
            <v/>
          </cell>
          <cell r="G1001" t="str">
            <v>AVİZE</v>
          </cell>
          <cell r="H1001" t="str">
            <v/>
          </cell>
          <cell r="I1001" t="str">
            <v>İÇ</v>
          </cell>
          <cell r="J1001" t="str">
            <v>AVİZE.SARK</v>
          </cell>
          <cell r="K1001" t="str">
            <v>ULGEN</v>
          </cell>
          <cell r="L1001" t="str">
            <v/>
          </cell>
          <cell r="M1001" t="str">
            <v/>
          </cell>
          <cell r="N1001" t="str">
            <v>HKA-63</v>
          </cell>
          <cell r="O1001" t="str">
            <v>HEKA</v>
          </cell>
          <cell r="P1001" t="str">
            <v>ADET</v>
          </cell>
          <cell r="Q1001" t="str">
            <v>LED</v>
          </cell>
          <cell r="R1001" t="str">
            <v>METAL</v>
          </cell>
          <cell r="S1001" t="str">
            <v>GOLD</v>
          </cell>
          <cell r="T1001" t="str">
            <v>CAM</v>
          </cell>
          <cell r="U1001" t="str">
            <v>ŞEFFAF</v>
          </cell>
          <cell r="AD1001" t="str">
            <v>N/A</v>
          </cell>
          <cell r="AE1001" t="str">
            <v>02</v>
          </cell>
          <cell r="AF1001">
            <v>30</v>
          </cell>
          <cell r="AG1001" t="str">
            <v>ADET</v>
          </cell>
          <cell r="AH1001">
            <v>75</v>
          </cell>
          <cell r="AI1001" t="str">
            <v>CNY</v>
          </cell>
          <cell r="AJ1001">
            <v>3749</v>
          </cell>
          <cell r="AK1001" t="str">
            <v>TL</v>
          </cell>
          <cell r="AL1001">
            <v>1</v>
          </cell>
          <cell r="AM1001" t="str">
            <v>8684127506731</v>
          </cell>
          <cell r="AO1001">
            <v>0</v>
          </cell>
          <cell r="AQ1001">
            <v>0</v>
          </cell>
          <cell r="AS1001">
            <v>0</v>
          </cell>
          <cell r="AU1001">
            <v>0</v>
          </cell>
          <cell r="AW1001">
            <v>0</v>
          </cell>
        </row>
        <row r="1002">
          <cell r="B1002" t="str">
            <v>H1C6JMPJMP0-016</v>
          </cell>
          <cell r="C1002" t="str">
            <v>EREBOS PLATİN  LED SARKIT</v>
          </cell>
          <cell r="D1002" t="str">
            <v>EREBOS PLATINUM LED PENDANT</v>
          </cell>
          <cell r="E1002" t="str">
            <v xml:space="preserve">METAL METAL PLATİN PLATİN   </v>
          </cell>
          <cell r="F1002" t="str">
            <v/>
          </cell>
          <cell r="G1002" t="str">
            <v>AVİZE</v>
          </cell>
          <cell r="H1002" t="str">
            <v/>
          </cell>
          <cell r="I1002" t="str">
            <v>İÇ</v>
          </cell>
          <cell r="J1002" t="str">
            <v>AVİZE.SARK</v>
          </cell>
          <cell r="K1002" t="str">
            <v>EREBOS</v>
          </cell>
          <cell r="L1002" t="str">
            <v/>
          </cell>
          <cell r="M1002" t="str">
            <v/>
          </cell>
          <cell r="N1002" t="str">
            <v>9112-P</v>
          </cell>
          <cell r="O1002" t="str">
            <v>HEKA</v>
          </cell>
          <cell r="P1002" t="str">
            <v>ADET</v>
          </cell>
          <cell r="Q1002" t="str">
            <v>LED</v>
          </cell>
          <cell r="R1002" t="str">
            <v>METAL</v>
          </cell>
          <cell r="S1002" t="str">
            <v>PLATİN</v>
          </cell>
          <cell r="T1002" t="str">
            <v>METAL</v>
          </cell>
          <cell r="U1002" t="str">
            <v>PLATİN</v>
          </cell>
          <cell r="AD1002" t="str">
            <v>N/A</v>
          </cell>
          <cell r="AE1002" t="str">
            <v>02</v>
          </cell>
          <cell r="AF1002">
            <v>0</v>
          </cell>
          <cell r="AG1002" t="str">
            <v>ADET</v>
          </cell>
          <cell r="AH1002">
            <v>108</v>
          </cell>
          <cell r="AI1002" t="str">
            <v>CNY</v>
          </cell>
          <cell r="AJ1002">
            <v>5415</v>
          </cell>
          <cell r="AK1002" t="str">
            <v>TL</v>
          </cell>
          <cell r="AL1002">
            <v>1</v>
          </cell>
          <cell r="AM1002" t="str">
            <v>8684127507011</v>
          </cell>
          <cell r="AO1002">
            <v>0</v>
          </cell>
          <cell r="AQ1002">
            <v>0</v>
          </cell>
          <cell r="AS1002">
            <v>0</v>
          </cell>
          <cell r="AU1002">
            <v>0</v>
          </cell>
          <cell r="AW1002">
            <v>0</v>
          </cell>
        </row>
        <row r="1003">
          <cell r="B1003" t="str">
            <v>H1C6JRSJMG0-015</v>
          </cell>
          <cell r="C1003" t="str">
            <v>URANUS ALTIN  LED SARKIT</v>
          </cell>
          <cell r="D1003" t="str">
            <v>URANUS GOLD LED PENDANT</v>
          </cell>
          <cell r="E1003" t="str">
            <v xml:space="preserve">METAL METAL SİYAH GOLD    </v>
          </cell>
          <cell r="F1003" t="str">
            <v/>
          </cell>
          <cell r="G1003" t="str">
            <v>AVİZE</v>
          </cell>
          <cell r="H1003" t="str">
            <v/>
          </cell>
          <cell r="I1003" t="str">
            <v>İÇ</v>
          </cell>
          <cell r="J1003" t="str">
            <v>AVİZE.SARK</v>
          </cell>
          <cell r="K1003" t="str">
            <v>URANUS</v>
          </cell>
          <cell r="L1003" t="str">
            <v/>
          </cell>
          <cell r="M1003" t="str">
            <v/>
          </cell>
          <cell r="N1003" t="str">
            <v>9102-G</v>
          </cell>
          <cell r="O1003" t="str">
            <v>HEKA</v>
          </cell>
          <cell r="P1003" t="str">
            <v>ADET</v>
          </cell>
          <cell r="Q1003" t="str">
            <v>LED</v>
          </cell>
          <cell r="R1003" t="str">
            <v>METAL</v>
          </cell>
          <cell r="S1003" t="str">
            <v>SİYAH</v>
          </cell>
          <cell r="T1003" t="str">
            <v>METAL</v>
          </cell>
          <cell r="U1003" t="str">
            <v>GOLD</v>
          </cell>
          <cell r="AD1003" t="str">
            <v>N/A</v>
          </cell>
          <cell r="AE1003" t="str">
            <v>02</v>
          </cell>
          <cell r="AF1003">
            <v>29</v>
          </cell>
          <cell r="AG1003" t="str">
            <v>ADET</v>
          </cell>
          <cell r="AH1003">
            <v>105</v>
          </cell>
          <cell r="AI1003" t="str">
            <v>CNY</v>
          </cell>
          <cell r="AJ1003">
            <v>5415</v>
          </cell>
          <cell r="AK1003" t="str">
            <v>TL</v>
          </cell>
          <cell r="AL1003">
            <v>1</v>
          </cell>
          <cell r="AM1003" t="str">
            <v>8684127507035</v>
          </cell>
          <cell r="AO1003">
            <v>0</v>
          </cell>
          <cell r="AQ1003">
            <v>0</v>
          </cell>
          <cell r="AS1003">
            <v>0</v>
          </cell>
          <cell r="AU1003">
            <v>0</v>
          </cell>
          <cell r="AW1003">
            <v>0</v>
          </cell>
        </row>
        <row r="1004">
          <cell r="B1004" t="str">
            <v>H1C6DRBJME0-030</v>
          </cell>
          <cell r="C1004" t="str">
            <v>ŞALIK ESKİTME BEYAZ BETON LED SARKIT 30cm</v>
          </cell>
          <cell r="D1004" t="str">
            <v>SALIK  BRUSHED BRASS WHITE CONCRETE LED PENDANT 30cm</v>
          </cell>
          <cell r="E1004" t="str">
            <v>BETON METAL BEYAZ ESKİTME</v>
          </cell>
          <cell r="F1004" t="str">
            <v/>
          </cell>
          <cell r="G1004" t="str">
            <v>AVİZE</v>
          </cell>
          <cell r="H1004" t="str">
            <v/>
          </cell>
          <cell r="I1004" t="str">
            <v>İÇ</v>
          </cell>
          <cell r="J1004" t="str">
            <v>AVİZE.SARK</v>
          </cell>
          <cell r="K1004" t="str">
            <v>ŞALIK</v>
          </cell>
          <cell r="L1004" t="str">
            <v/>
          </cell>
          <cell r="M1004" t="str">
            <v/>
          </cell>
          <cell r="N1004" t="str">
            <v>HKA-113</v>
          </cell>
          <cell r="O1004" t="str">
            <v>HEKA</v>
          </cell>
          <cell r="P1004" t="str">
            <v>ADET</v>
          </cell>
          <cell r="Q1004" t="str">
            <v>LED</v>
          </cell>
          <cell r="R1004" t="str">
            <v>BETON</v>
          </cell>
          <cell r="S1004" t="str">
            <v>BEYAZ</v>
          </cell>
          <cell r="T1004" t="str">
            <v>METAL</v>
          </cell>
          <cell r="U1004" t="str">
            <v>ESKİTME</v>
          </cell>
          <cell r="AD1004" t="str">
            <v>N/A</v>
          </cell>
          <cell r="AE1004" t="str">
            <v>02</v>
          </cell>
          <cell r="AF1004">
            <v>40</v>
          </cell>
          <cell r="AG1004" t="str">
            <v>ADET</v>
          </cell>
          <cell r="AH1004">
            <v>125</v>
          </cell>
          <cell r="AI1004" t="str">
            <v>CNY</v>
          </cell>
          <cell r="AJ1004">
            <v>6783</v>
          </cell>
          <cell r="AK1004" t="str">
            <v>TL</v>
          </cell>
          <cell r="AL1004">
            <v>1</v>
          </cell>
          <cell r="AM1004" t="str">
            <v>8684127507189</v>
          </cell>
          <cell r="AO1004">
            <v>0</v>
          </cell>
          <cell r="AQ1004">
            <v>0</v>
          </cell>
          <cell r="AS1004">
            <v>0</v>
          </cell>
          <cell r="AU1004">
            <v>0</v>
          </cell>
          <cell r="AW1004">
            <v>0</v>
          </cell>
        </row>
        <row r="1005">
          <cell r="B1005" t="str">
            <v>H1C6JMELCT0-032</v>
          </cell>
          <cell r="C1005" t="str">
            <v>KULA TEKLİ ÇEMBER ESKİTME LED SARKIT 32cm</v>
          </cell>
          <cell r="D1005" t="str">
            <v>KULA  BRUSHED BRASS LED PENDANT 32cm</v>
          </cell>
          <cell r="E1005" t="str">
            <v xml:space="preserve">METAL PLEKSİ ESKİTME SOFT   </v>
          </cell>
          <cell r="F1005" t="str">
            <v/>
          </cell>
          <cell r="G1005" t="str">
            <v>AVİZE</v>
          </cell>
          <cell r="H1005" t="str">
            <v/>
          </cell>
          <cell r="I1005" t="str">
            <v>İÇ</v>
          </cell>
          <cell r="J1005" t="str">
            <v>AVİZE.PLF</v>
          </cell>
          <cell r="K1005" t="str">
            <v>KULA</v>
          </cell>
          <cell r="L1005" t="str">
            <v/>
          </cell>
          <cell r="M1005" t="str">
            <v/>
          </cell>
          <cell r="N1005" t="str">
            <v>HKA-104</v>
          </cell>
          <cell r="O1005" t="str">
            <v>HEKA</v>
          </cell>
          <cell r="P1005" t="str">
            <v>ADET</v>
          </cell>
          <cell r="Q1005" t="str">
            <v>LED</v>
          </cell>
          <cell r="R1005" t="str">
            <v>METAL</v>
          </cell>
          <cell r="S1005" t="str">
            <v>ESKİTME</v>
          </cell>
          <cell r="T1005" t="str">
            <v>PLEKSİ</v>
          </cell>
          <cell r="U1005" t="str">
            <v>SOFT</v>
          </cell>
          <cell r="AD1005" t="str">
            <v>N/A</v>
          </cell>
          <cell r="AE1005" t="str">
            <v>02</v>
          </cell>
          <cell r="AF1005">
            <v>0</v>
          </cell>
          <cell r="AG1005" t="str">
            <v>ADET</v>
          </cell>
          <cell r="AH1005">
            <v>65</v>
          </cell>
          <cell r="AI1005" t="str">
            <v>CNY</v>
          </cell>
          <cell r="AJ1005">
            <v>1508</v>
          </cell>
          <cell r="AK1005" t="str">
            <v>TL</v>
          </cell>
          <cell r="AL1005">
            <v>1</v>
          </cell>
          <cell r="AM1005" t="str">
            <v>8684127507202</v>
          </cell>
          <cell r="AO1005">
            <v>0</v>
          </cell>
          <cell r="AQ1005">
            <v>0</v>
          </cell>
          <cell r="AS1005">
            <v>0</v>
          </cell>
          <cell r="AU1005">
            <v>0</v>
          </cell>
          <cell r="AW1005">
            <v>0</v>
          </cell>
        </row>
        <row r="1006">
          <cell r="B1006" t="str">
            <v>H1C1JMEWRBU-025</v>
          </cell>
          <cell r="C1006" t="str">
            <v>ARGOS BEYAZ MERMER LED SARKIT 25cm</v>
          </cell>
          <cell r="D1006" t="str">
            <v>ARGOS WHITE MARBLE LED PENDANT 25cm</v>
          </cell>
          <cell r="E1006" t="str">
            <v xml:space="preserve">METAL MERMER ESKİTME BEYAZ   </v>
          </cell>
          <cell r="F1006" t="str">
            <v/>
          </cell>
          <cell r="G1006" t="str">
            <v>AVİZE</v>
          </cell>
          <cell r="H1006" t="str">
            <v/>
          </cell>
          <cell r="I1006" t="str">
            <v>İÇ</v>
          </cell>
          <cell r="J1006" t="str">
            <v>AVİZE.SARK</v>
          </cell>
          <cell r="K1006" t="str">
            <v>ARGOS</v>
          </cell>
          <cell r="L1006" t="str">
            <v/>
          </cell>
          <cell r="M1006" t="str">
            <v/>
          </cell>
          <cell r="N1006" t="str">
            <v>HKA-34</v>
          </cell>
          <cell r="O1006" t="str">
            <v>HEKA</v>
          </cell>
          <cell r="P1006" t="str">
            <v>ADET</v>
          </cell>
          <cell r="Q1006" t="str">
            <v>E14</v>
          </cell>
          <cell r="R1006" t="str">
            <v>METAL</v>
          </cell>
          <cell r="S1006" t="str">
            <v>ESKİTME</v>
          </cell>
          <cell r="T1006" t="str">
            <v>MERMER</v>
          </cell>
          <cell r="U1006" t="str">
            <v>BEYAZ</v>
          </cell>
          <cell r="AD1006" t="str">
            <v>ÜÇGEN</v>
          </cell>
          <cell r="AE1006" t="str">
            <v>02</v>
          </cell>
          <cell r="AF1006">
            <v>0</v>
          </cell>
          <cell r="AG1006" t="str">
            <v>ADET</v>
          </cell>
          <cell r="AH1006">
            <v>160</v>
          </cell>
          <cell r="AI1006" t="str">
            <v>CNY</v>
          </cell>
          <cell r="AJ1006">
            <v>8670</v>
          </cell>
          <cell r="AK1006" t="str">
            <v>TL</v>
          </cell>
          <cell r="AL1006">
            <v>1</v>
          </cell>
          <cell r="AM1006" t="str">
            <v>8684127507394</v>
          </cell>
          <cell r="AO1006">
            <v>0</v>
          </cell>
          <cell r="AQ1006">
            <v>0</v>
          </cell>
          <cell r="AS1006">
            <v>0</v>
          </cell>
          <cell r="AU1006">
            <v>0</v>
          </cell>
          <cell r="AW1006">
            <v>0</v>
          </cell>
        </row>
        <row r="1007">
          <cell r="B1007" t="str">
            <v>H1C6JMEWRBR-080</v>
          </cell>
          <cell r="C1007" t="str">
            <v>EKHO SALON  MERMER ESKİTME SARKIT AVİZE 80cm</v>
          </cell>
          <cell r="D1007" t="str">
            <v>EKHO LIVING ROOM MARBLE BRUSHED BRASS PENDANT CHANDELIER 80cm</v>
          </cell>
          <cell r="E1007" t="str">
            <v xml:space="preserve">METAL MERMER ESKİTME BEYAZ   </v>
          </cell>
          <cell r="F1007" t="str">
            <v/>
          </cell>
          <cell r="G1007" t="str">
            <v>AVİZE</v>
          </cell>
          <cell r="H1007" t="str">
            <v/>
          </cell>
          <cell r="I1007" t="str">
            <v>İÇ</v>
          </cell>
          <cell r="J1007" t="str">
            <v>AVİZE.AVİZ</v>
          </cell>
          <cell r="K1007" t="str">
            <v>EKHO</v>
          </cell>
          <cell r="L1007" t="str">
            <v/>
          </cell>
          <cell r="M1007" t="str">
            <v/>
          </cell>
          <cell r="N1007" t="str">
            <v>HKA-24003</v>
          </cell>
          <cell r="O1007" t="str">
            <v>HEKA</v>
          </cell>
          <cell r="P1007" t="str">
            <v>ADET</v>
          </cell>
          <cell r="Q1007" t="str">
            <v>LED</v>
          </cell>
          <cell r="R1007" t="str">
            <v>METAL</v>
          </cell>
          <cell r="S1007" t="str">
            <v>ESKİTME</v>
          </cell>
          <cell r="T1007" t="str">
            <v>MERMER</v>
          </cell>
          <cell r="U1007" t="str">
            <v>BEYAZ</v>
          </cell>
          <cell r="AD1007" t="str">
            <v>DAİRE</v>
          </cell>
          <cell r="AF1007">
            <v>31</v>
          </cell>
          <cell r="AG1007" t="str">
            <v>ADET</v>
          </cell>
          <cell r="AH1007">
            <v>950</v>
          </cell>
          <cell r="AI1007" t="str">
            <v>CNY</v>
          </cell>
          <cell r="AJ1007">
            <v>60950</v>
          </cell>
          <cell r="AK1007" t="str">
            <v>TL</v>
          </cell>
          <cell r="AL1007">
            <v>1</v>
          </cell>
          <cell r="AM1007" t="str">
            <v>8684127507417</v>
          </cell>
          <cell r="AO1007">
            <v>0</v>
          </cell>
          <cell r="AQ1007">
            <v>0</v>
          </cell>
          <cell r="AS1007">
            <v>0</v>
          </cell>
          <cell r="AU1007">
            <v>0</v>
          </cell>
          <cell r="AW1007">
            <v>0</v>
          </cell>
        </row>
        <row r="1008">
          <cell r="B1008" t="str">
            <v>H1C4JMG000P-120</v>
          </cell>
          <cell r="C1008" t="str">
            <v>HATİLA ALTIN YEMEK MASASI SARKIT AVİZE</v>
          </cell>
          <cell r="D1008" t="str">
            <v>HATILA GOLD DINING ROOM PENDANT CHANDELIER</v>
          </cell>
          <cell r="E1008" t="str">
            <v xml:space="preserve">METAL YOK GOLD YOK   </v>
          </cell>
          <cell r="F1008" t="str">
            <v/>
          </cell>
          <cell r="G1008" t="str">
            <v>AVİZE</v>
          </cell>
          <cell r="H1008" t="str">
            <v/>
          </cell>
          <cell r="I1008" t="str">
            <v>İÇ</v>
          </cell>
          <cell r="J1008" t="str">
            <v>AVİZE.AVİZ</v>
          </cell>
          <cell r="K1008" t="str">
            <v>HATİLA</v>
          </cell>
          <cell r="L1008" t="str">
            <v/>
          </cell>
          <cell r="M1008" t="str">
            <v/>
          </cell>
          <cell r="N1008" t="str">
            <v>HKA-208</v>
          </cell>
          <cell r="O1008" t="str">
            <v>HEKA</v>
          </cell>
          <cell r="P1008" t="str">
            <v>ADET</v>
          </cell>
          <cell r="Q1008" t="str">
            <v>G4</v>
          </cell>
          <cell r="R1008" t="str">
            <v>METAL</v>
          </cell>
          <cell r="S1008" t="str">
            <v>GOLD</v>
          </cell>
          <cell r="T1008" t="str">
            <v>YOK</v>
          </cell>
          <cell r="U1008" t="str">
            <v>YOK</v>
          </cell>
          <cell r="AD1008" t="str">
            <v>POLİGONAL</v>
          </cell>
          <cell r="AE1008" t="str">
            <v>12</v>
          </cell>
          <cell r="AF1008">
            <v>0</v>
          </cell>
          <cell r="AG1008" t="str">
            <v>ADET</v>
          </cell>
          <cell r="AH1008">
            <v>2100</v>
          </cell>
          <cell r="AI1008" t="str">
            <v>CNY</v>
          </cell>
          <cell r="AJ1008">
            <v>85000</v>
          </cell>
          <cell r="AK1008" t="str">
            <v>TL</v>
          </cell>
          <cell r="AL1008">
            <v>1</v>
          </cell>
          <cell r="AM1008" t="str">
            <v>8684127510462</v>
          </cell>
          <cell r="AO1008">
            <v>0</v>
          </cell>
          <cell r="AQ1008">
            <v>0</v>
          </cell>
          <cell r="AS1008">
            <v>0</v>
          </cell>
          <cell r="AU1008">
            <v>0</v>
          </cell>
          <cell r="AW1008">
            <v>0</v>
          </cell>
        </row>
        <row r="1009">
          <cell r="B1009" t="str">
            <v>H1S5JRBCRBC-050</v>
          </cell>
          <cell r="C1009" t="str">
            <v xml:space="preserve">BEYAZ RAY SPOT  </v>
          </cell>
          <cell r="D1009" t="str">
            <v>WHITE RAIL SPOT</v>
          </cell>
          <cell r="E1009" t="str">
            <v xml:space="preserve">METAL ALUMİNYUM BEYAZ BEYAZ   </v>
          </cell>
          <cell r="F1009" t="str">
            <v>9405.19.90.00.00</v>
          </cell>
          <cell r="G1009" t="str">
            <v>TEKNİK</v>
          </cell>
          <cell r="H1009" t="str">
            <v>T1S5A200T0-09</v>
          </cell>
          <cell r="I1009" t="str">
            <v>İÇ</v>
          </cell>
          <cell r="J1009" t="str">
            <v>TEKNİK</v>
          </cell>
          <cell r="K1009" t="str">
            <v/>
          </cell>
          <cell r="L1009" t="str">
            <v/>
          </cell>
          <cell r="M1009" t="str">
            <v/>
          </cell>
          <cell r="N1009" t="str">
            <v/>
          </cell>
          <cell r="O1009" t="str">
            <v>HEKA</v>
          </cell>
          <cell r="P1009" t="str">
            <v>ADET</v>
          </cell>
          <cell r="Q1009" t="str">
            <v>GU10</v>
          </cell>
          <cell r="R1009" t="str">
            <v>METAL</v>
          </cell>
          <cell r="S1009" t="str">
            <v>BEYAZ</v>
          </cell>
          <cell r="T1009" t="str">
            <v>ALUMİNYUM</v>
          </cell>
          <cell r="U1009" t="str">
            <v>BEYAZ</v>
          </cell>
          <cell r="Z1009" t="str">
            <v>3000 K</v>
          </cell>
          <cell r="AD1009" t="str">
            <v>DÜZ</v>
          </cell>
          <cell r="AE1009" t="str">
            <v>02</v>
          </cell>
          <cell r="AF1009">
            <v>0</v>
          </cell>
          <cell r="AG1009" t="str">
            <v>ADET</v>
          </cell>
          <cell r="AJ1009">
            <v>0</v>
          </cell>
          <cell r="AK1009" t="str">
            <v>TL</v>
          </cell>
          <cell r="AL1009">
            <v>1</v>
          </cell>
          <cell r="AO1009">
            <v>0</v>
          </cell>
          <cell r="AQ1009">
            <v>90</v>
          </cell>
          <cell r="AR1009" t="str">
            <v>CM</v>
          </cell>
          <cell r="AS1009">
            <v>60</v>
          </cell>
          <cell r="AT1009" t="str">
            <v>CM</v>
          </cell>
          <cell r="AU1009">
            <v>0</v>
          </cell>
          <cell r="AW1009">
            <v>0</v>
          </cell>
        </row>
        <row r="1010">
          <cell r="B1010" t="str">
            <v>F1W6JMG0000-056</v>
          </cell>
          <cell r="C1010" t="str">
            <v>KAMELYA ALTIN LED APLİK</v>
          </cell>
          <cell r="D1010" t="str">
            <v>KAMELYA GOLD LED WALL LAMP</v>
          </cell>
          <cell r="E1010" t="str">
            <v xml:space="preserve">METAL YOK GOLD YOK   </v>
          </cell>
          <cell r="F1010" t="str">
            <v/>
          </cell>
          <cell r="G1010" t="str">
            <v>APLİK</v>
          </cell>
          <cell r="H1010" t="str">
            <v/>
          </cell>
          <cell r="I1010" t="str">
            <v>İÇ</v>
          </cell>
          <cell r="J1010" t="str">
            <v>APLİK</v>
          </cell>
          <cell r="K1010" t="str">
            <v>KAMELYA</v>
          </cell>
          <cell r="L1010" t="str">
            <v/>
          </cell>
          <cell r="M1010" t="str">
            <v/>
          </cell>
          <cell r="N1010" t="str">
            <v/>
          </cell>
          <cell r="P1010" t="str">
            <v>ADET</v>
          </cell>
          <cell r="Q1010" t="str">
            <v>LED</v>
          </cell>
          <cell r="R1010" t="str">
            <v>METAL</v>
          </cell>
          <cell r="S1010" t="str">
            <v>GOLD</v>
          </cell>
          <cell r="T1010" t="str">
            <v>YOK</v>
          </cell>
          <cell r="U1010" t="str">
            <v>YOK</v>
          </cell>
          <cell r="AD1010" t="str">
            <v>N/A</v>
          </cell>
          <cell r="AE1010" t="str">
            <v>02</v>
          </cell>
          <cell r="AF1010">
            <v>0</v>
          </cell>
          <cell r="AG1010" t="str">
            <v>ADET</v>
          </cell>
          <cell r="AH1010">
            <v>2750</v>
          </cell>
          <cell r="AI1010" t="str">
            <v>TL</v>
          </cell>
          <cell r="AJ1010">
            <v>7750</v>
          </cell>
          <cell r="AK1010" t="str">
            <v>TL</v>
          </cell>
          <cell r="AL1010">
            <v>1</v>
          </cell>
          <cell r="AM1010" t="str">
            <v>8684127509756</v>
          </cell>
          <cell r="AO1010">
            <v>0</v>
          </cell>
          <cell r="AQ1010">
            <v>0</v>
          </cell>
          <cell r="AS1010">
            <v>0</v>
          </cell>
          <cell r="AU1010">
            <v>0</v>
          </cell>
          <cell r="AW1010">
            <v>0</v>
          </cell>
        </row>
        <row r="1011">
          <cell r="B1011" t="str">
            <v>H1W6JMEWRBR-026</v>
          </cell>
          <cell r="C1011" t="str">
            <v>DELHİ LED MERMER APLİK 25cm</v>
          </cell>
          <cell r="D1011" t="str">
            <v>DELHİ LED MARBLE WALL LAMP 25cm</v>
          </cell>
          <cell r="E1011" t="str">
            <v xml:space="preserve">METAL MERMER ESKİTME BEYAZ   </v>
          </cell>
          <cell r="F1011" t="str">
            <v>9405.11.90.00.00</v>
          </cell>
          <cell r="G1011" t="str">
            <v>APLİK</v>
          </cell>
          <cell r="H1011" t="str">
            <v>T1A6311100-25</v>
          </cell>
          <cell r="I1011" t="str">
            <v>İÇ</v>
          </cell>
          <cell r="J1011" t="str">
            <v>APLİK</v>
          </cell>
          <cell r="K1011" t="str">
            <v>DELHİ</v>
          </cell>
          <cell r="L1011" t="str">
            <v/>
          </cell>
          <cell r="M1011" t="str">
            <v/>
          </cell>
          <cell r="N1011" t="str">
            <v>2002-BR-A</v>
          </cell>
          <cell r="O1011" t="str">
            <v>HEKA</v>
          </cell>
          <cell r="P1011" t="str">
            <v>ADET</v>
          </cell>
          <cell r="Q1011" t="str">
            <v>LED</v>
          </cell>
          <cell r="R1011" t="str">
            <v>METAL</v>
          </cell>
          <cell r="S1011" t="str">
            <v>ESKİTME</v>
          </cell>
          <cell r="T1011" t="str">
            <v>MERMER</v>
          </cell>
          <cell r="U1011" t="str">
            <v>BEYAZ</v>
          </cell>
          <cell r="AD1011" t="str">
            <v>DAİRE</v>
          </cell>
          <cell r="AE1011" t="str">
            <v>01</v>
          </cell>
          <cell r="AF1011">
            <v>0</v>
          </cell>
          <cell r="AG1011" t="str">
            <v>ADET</v>
          </cell>
          <cell r="AJ1011">
            <v>2950</v>
          </cell>
          <cell r="AK1011" t="str">
            <v>TL</v>
          </cell>
          <cell r="AL1011">
            <v>1</v>
          </cell>
          <cell r="AO1011">
            <v>0</v>
          </cell>
          <cell r="AQ1011">
            <v>22</v>
          </cell>
          <cell r="AR1011" t="str">
            <v>CM</v>
          </cell>
          <cell r="AS1011">
            <v>25</v>
          </cell>
          <cell r="AT1011" t="str">
            <v>CM</v>
          </cell>
          <cell r="AU1011">
            <v>0</v>
          </cell>
          <cell r="AW1011">
            <v>0</v>
          </cell>
        </row>
        <row r="1012">
          <cell r="B1012" t="str">
            <v>H1C6JMGECS0-036</v>
          </cell>
          <cell r="C1012" t="str">
            <v>BARLAS TEKLİ ALTIN SARKIT</v>
          </cell>
          <cell r="D1012" t="str">
            <v>BARLAS SINGLE GOLD PENDANT</v>
          </cell>
          <cell r="E1012" t="str">
            <v xml:space="preserve">METAL CAM  GOLD ŞEFFAF   </v>
          </cell>
          <cell r="F1012" t="str">
            <v/>
          </cell>
          <cell r="G1012" t="str">
            <v>AVİZE</v>
          </cell>
          <cell r="H1012" t="str">
            <v/>
          </cell>
          <cell r="I1012" t="str">
            <v>İÇ</v>
          </cell>
          <cell r="J1012" t="str">
            <v>AVİZE.SARK</v>
          </cell>
          <cell r="K1012" t="str">
            <v>BARLAS</v>
          </cell>
          <cell r="L1012" t="str">
            <v/>
          </cell>
          <cell r="M1012" t="str">
            <v/>
          </cell>
          <cell r="N1012" t="str">
            <v>HC26-1D-G</v>
          </cell>
          <cell r="O1012" t="str">
            <v>HEKA</v>
          </cell>
          <cell r="P1012" t="str">
            <v>ADET</v>
          </cell>
          <cell r="Q1012" t="str">
            <v>LED</v>
          </cell>
          <cell r="R1012" t="str">
            <v>METAL</v>
          </cell>
          <cell r="S1012" t="str">
            <v>GOLD</v>
          </cell>
          <cell r="T1012" t="str">
            <v>CAM</v>
          </cell>
          <cell r="U1012" t="str">
            <v>ŞEFFAF</v>
          </cell>
          <cell r="AD1012" t="str">
            <v>N/A</v>
          </cell>
          <cell r="AF1012">
            <v>42</v>
          </cell>
          <cell r="AG1012" t="str">
            <v>ADET</v>
          </cell>
          <cell r="AH1012">
            <v>98</v>
          </cell>
          <cell r="AI1012" t="str">
            <v>CNY</v>
          </cell>
          <cell r="AJ1012">
            <v>4701</v>
          </cell>
          <cell r="AK1012" t="str">
            <v>TL</v>
          </cell>
          <cell r="AL1012">
            <v>1</v>
          </cell>
          <cell r="AM1012" t="str">
            <v>8684127507905</v>
          </cell>
          <cell r="AO1012">
            <v>0.85</v>
          </cell>
          <cell r="AP1012" t="str">
            <v>KG</v>
          </cell>
          <cell r="AQ1012">
            <v>23</v>
          </cell>
          <cell r="AR1012" t="str">
            <v>CM</v>
          </cell>
          <cell r="AS1012">
            <v>10</v>
          </cell>
          <cell r="AT1012" t="str">
            <v>CM</v>
          </cell>
          <cell r="AU1012">
            <v>0</v>
          </cell>
          <cell r="AW1012">
            <v>0</v>
          </cell>
        </row>
        <row r="1013">
          <cell r="B1013" t="str">
            <v>H1C6JRBECS0-036</v>
          </cell>
          <cell r="C1013" t="str">
            <v>BARLAS TEKLİ BEYAZ SARKIT</v>
          </cell>
          <cell r="D1013" t="str">
            <v>BARLAS SINGLE WHITE PENDANT</v>
          </cell>
          <cell r="E1013" t="str">
            <v xml:space="preserve">METAL CAM  BEYAZ ŞEFFAF   </v>
          </cell>
          <cell r="F1013" t="str">
            <v/>
          </cell>
          <cell r="G1013" t="str">
            <v>AVİZE</v>
          </cell>
          <cell r="H1013" t="str">
            <v/>
          </cell>
          <cell r="I1013" t="str">
            <v>İÇ</v>
          </cell>
          <cell r="J1013" t="str">
            <v>AVİZE.SARK</v>
          </cell>
          <cell r="K1013" t="str">
            <v>BARLAS</v>
          </cell>
          <cell r="L1013" t="str">
            <v/>
          </cell>
          <cell r="M1013" t="str">
            <v/>
          </cell>
          <cell r="N1013" t="str">
            <v>HC26-1D-W</v>
          </cell>
          <cell r="O1013" t="str">
            <v>HEKA</v>
          </cell>
          <cell r="P1013" t="str">
            <v>ADET</v>
          </cell>
          <cell r="Q1013" t="str">
            <v>LED</v>
          </cell>
          <cell r="R1013" t="str">
            <v>METAL</v>
          </cell>
          <cell r="S1013" t="str">
            <v>BEYAZ</v>
          </cell>
          <cell r="T1013" t="str">
            <v>CAM</v>
          </cell>
          <cell r="U1013" t="str">
            <v>ŞEFFAF</v>
          </cell>
          <cell r="AD1013" t="str">
            <v>N/A</v>
          </cell>
          <cell r="AF1013">
            <v>68</v>
          </cell>
          <cell r="AG1013" t="str">
            <v>ADET</v>
          </cell>
          <cell r="AH1013">
            <v>98</v>
          </cell>
          <cell r="AI1013" t="str">
            <v>CNY</v>
          </cell>
          <cell r="AJ1013">
            <v>4701</v>
          </cell>
          <cell r="AK1013" t="str">
            <v>TL</v>
          </cell>
          <cell r="AL1013">
            <v>1</v>
          </cell>
          <cell r="AM1013" t="str">
            <v>8684127507912</v>
          </cell>
          <cell r="AO1013">
            <v>0.85</v>
          </cell>
          <cell r="AP1013" t="str">
            <v>KG</v>
          </cell>
          <cell r="AQ1013">
            <v>23</v>
          </cell>
          <cell r="AR1013" t="str">
            <v>CM</v>
          </cell>
          <cell r="AS1013">
            <v>10</v>
          </cell>
          <cell r="AT1013" t="str">
            <v>CM</v>
          </cell>
          <cell r="AU1013">
            <v>0</v>
          </cell>
          <cell r="AW1013">
            <v>0</v>
          </cell>
        </row>
        <row r="1014">
          <cell r="B1014" t="str">
            <v>H1C2JMEECS0-025</v>
          </cell>
          <cell r="C1014" t="str">
            <v>LANGE ŞEFFAF CAM ESKİTME E27 SARKIT 25cm</v>
          </cell>
          <cell r="D1014" t="str">
            <v>LANGE CLEAR GLASS BRUSHED BRASS E27 PENDANT 25cm</v>
          </cell>
          <cell r="E1014" t="str">
            <v xml:space="preserve">METAL CAM  ESKİTME ŞEFFAF   </v>
          </cell>
          <cell r="F1014" t="str">
            <v/>
          </cell>
          <cell r="G1014" t="str">
            <v>AVİZE</v>
          </cell>
          <cell r="H1014" t="str">
            <v/>
          </cell>
          <cell r="I1014" t="str">
            <v>İÇ</v>
          </cell>
          <cell r="J1014" t="str">
            <v>AVİZE.SARK</v>
          </cell>
          <cell r="K1014" t="str">
            <v>LANGE</v>
          </cell>
          <cell r="L1014" t="str">
            <v/>
          </cell>
          <cell r="M1014" t="str">
            <v/>
          </cell>
          <cell r="N1014" t="str">
            <v>HB-02zh-S</v>
          </cell>
          <cell r="O1014" t="str">
            <v>HEKA</v>
          </cell>
          <cell r="P1014" t="str">
            <v>ADET</v>
          </cell>
          <cell r="Q1014" t="str">
            <v>E27</v>
          </cell>
          <cell r="R1014" t="str">
            <v>METAL</v>
          </cell>
          <cell r="S1014" t="str">
            <v>ESKİTME</v>
          </cell>
          <cell r="T1014" t="str">
            <v>CAM</v>
          </cell>
          <cell r="U1014" t="str">
            <v>ŞEFFAF</v>
          </cell>
          <cell r="AD1014" t="str">
            <v>N/A</v>
          </cell>
          <cell r="AE1014" t="str">
            <v>01</v>
          </cell>
          <cell r="AF1014">
            <v>80</v>
          </cell>
          <cell r="AG1014" t="str">
            <v>ADET</v>
          </cell>
          <cell r="AH1014">
            <v>37</v>
          </cell>
          <cell r="AI1014" t="str">
            <v>CNY</v>
          </cell>
          <cell r="AJ1014">
            <v>3035</v>
          </cell>
          <cell r="AK1014" t="str">
            <v>TL</v>
          </cell>
          <cell r="AL1014">
            <v>1</v>
          </cell>
          <cell r="AM1014" t="str">
            <v>8684127508308</v>
          </cell>
          <cell r="AO1014">
            <v>0</v>
          </cell>
          <cell r="AQ1014">
            <v>0</v>
          </cell>
          <cell r="AS1014">
            <v>0</v>
          </cell>
          <cell r="AU1014">
            <v>0</v>
          </cell>
          <cell r="AW1014">
            <v>0</v>
          </cell>
        </row>
        <row r="1015">
          <cell r="B1015" t="str">
            <v>H1C2JMEECS0-030</v>
          </cell>
          <cell r="C1015" t="str">
            <v>LANGE ŞEFFAF CAM ESKİTME E27 SARKIT 30cm</v>
          </cell>
          <cell r="D1015" t="str">
            <v>LANGE CLEAR GLASS BRUSHED BRASS E27 PENDANT 30cm</v>
          </cell>
          <cell r="E1015" t="str">
            <v xml:space="preserve">METAL CAM  ESKİTME ŞEFFAF   </v>
          </cell>
          <cell r="F1015" t="str">
            <v/>
          </cell>
          <cell r="G1015" t="str">
            <v>AVİZE</v>
          </cell>
          <cell r="H1015" t="str">
            <v/>
          </cell>
          <cell r="I1015" t="str">
            <v>İÇ</v>
          </cell>
          <cell r="J1015" t="str">
            <v>AVİZE.SARK</v>
          </cell>
          <cell r="K1015" t="str">
            <v>LANGE</v>
          </cell>
          <cell r="L1015" t="str">
            <v/>
          </cell>
          <cell r="M1015" t="str">
            <v/>
          </cell>
          <cell r="N1015" t="str">
            <v>HB-03dh-S</v>
          </cell>
          <cell r="O1015" t="str">
            <v>HEKA</v>
          </cell>
          <cell r="P1015" t="str">
            <v>ADET</v>
          </cell>
          <cell r="Q1015" t="str">
            <v>E27</v>
          </cell>
          <cell r="R1015" t="str">
            <v>METAL</v>
          </cell>
          <cell r="S1015" t="str">
            <v>ESKİTME</v>
          </cell>
          <cell r="T1015" t="str">
            <v>CAM</v>
          </cell>
          <cell r="U1015" t="str">
            <v>ŞEFFAF</v>
          </cell>
          <cell r="AD1015" t="str">
            <v>N/A</v>
          </cell>
          <cell r="AE1015" t="str">
            <v>01</v>
          </cell>
          <cell r="AF1015">
            <v>66</v>
          </cell>
          <cell r="AG1015" t="str">
            <v>ADET</v>
          </cell>
          <cell r="AH1015">
            <v>47</v>
          </cell>
          <cell r="AI1015" t="str">
            <v>CNY</v>
          </cell>
          <cell r="AJ1015">
            <v>3689</v>
          </cell>
          <cell r="AK1015" t="str">
            <v>TL</v>
          </cell>
          <cell r="AL1015">
            <v>1</v>
          </cell>
          <cell r="AM1015" t="str">
            <v>8684127508315</v>
          </cell>
          <cell r="AO1015">
            <v>0</v>
          </cell>
          <cell r="AQ1015">
            <v>0</v>
          </cell>
          <cell r="AS1015">
            <v>0</v>
          </cell>
          <cell r="AU1015">
            <v>0</v>
          </cell>
          <cell r="AW1015">
            <v>0</v>
          </cell>
        </row>
        <row r="1016">
          <cell r="B1016" t="str">
            <v>H1C6JMGBRRR-051</v>
          </cell>
          <cell r="C1016" t="str">
            <v>ASENA TEKLİ AKRİLİK LED SARKIT 50cm</v>
          </cell>
          <cell r="D1016" t="str">
            <v>ASENA ACRYLIC LED PENDANT 50cm</v>
          </cell>
          <cell r="E1016" t="str">
            <v xml:space="preserve">METAL AKRİLİK GOLD KREM   </v>
          </cell>
          <cell r="F1016" t="str">
            <v/>
          </cell>
          <cell r="G1016" t="str">
            <v>AVİZE</v>
          </cell>
          <cell r="H1016" t="str">
            <v/>
          </cell>
          <cell r="I1016" t="str">
            <v>İÇ</v>
          </cell>
          <cell r="J1016" t="str">
            <v>AVİZE.SARK</v>
          </cell>
          <cell r="K1016" t="str">
            <v>ASENA</v>
          </cell>
          <cell r="L1016" t="str">
            <v/>
          </cell>
          <cell r="M1016" t="str">
            <v/>
          </cell>
          <cell r="N1016" t="str">
            <v>HK-95</v>
          </cell>
          <cell r="O1016" t="str">
            <v>HEKA</v>
          </cell>
          <cell r="P1016" t="str">
            <v>ADET</v>
          </cell>
          <cell r="Q1016" t="str">
            <v>LED</v>
          </cell>
          <cell r="R1016" t="str">
            <v>METAL</v>
          </cell>
          <cell r="S1016" t="str">
            <v>GOLD</v>
          </cell>
          <cell r="T1016" t="str">
            <v>AKRİLİK</v>
          </cell>
          <cell r="U1016" t="str">
            <v>KREM</v>
          </cell>
          <cell r="AD1016" t="str">
            <v>DAİRE</v>
          </cell>
          <cell r="AF1016">
            <v>19</v>
          </cell>
          <cell r="AG1016" t="str">
            <v>ADET</v>
          </cell>
          <cell r="AH1016">
            <v>260</v>
          </cell>
          <cell r="AI1016" t="str">
            <v>CNY</v>
          </cell>
          <cell r="AJ1016">
            <v>11220</v>
          </cell>
          <cell r="AK1016" t="str">
            <v>TL</v>
          </cell>
          <cell r="AL1016">
            <v>1</v>
          </cell>
          <cell r="AM1016" t="str">
            <v>8684127506946</v>
          </cell>
          <cell r="AO1016">
            <v>0</v>
          </cell>
          <cell r="AQ1016">
            <v>0</v>
          </cell>
          <cell r="AS1016">
            <v>0</v>
          </cell>
          <cell r="AU1016">
            <v>0</v>
          </cell>
          <cell r="AW1016">
            <v>0</v>
          </cell>
        </row>
        <row r="1017">
          <cell r="B1017" t="str">
            <v>H1C6JMGBRRR-060</v>
          </cell>
          <cell r="C1017" t="str">
            <v>ASENA TEKLİ AKRİLİK LED SARKIT 60cm</v>
          </cell>
          <cell r="D1017" t="str">
            <v>ASENA ACRYLIC LED PENDANT 60cm</v>
          </cell>
          <cell r="E1017" t="str">
            <v xml:space="preserve">METAL AKRİLİK GOLD KREM   </v>
          </cell>
          <cell r="F1017" t="str">
            <v/>
          </cell>
          <cell r="G1017" t="str">
            <v>AVİZE</v>
          </cell>
          <cell r="H1017" t="str">
            <v/>
          </cell>
          <cell r="I1017" t="str">
            <v>İÇ</v>
          </cell>
          <cell r="J1017" t="str">
            <v>AVİZE.SARK</v>
          </cell>
          <cell r="K1017" t="str">
            <v>ASENA</v>
          </cell>
          <cell r="L1017" t="str">
            <v/>
          </cell>
          <cell r="M1017" t="str">
            <v/>
          </cell>
          <cell r="N1017" t="str">
            <v>HK-96</v>
          </cell>
          <cell r="O1017" t="str">
            <v>HEKA</v>
          </cell>
          <cell r="P1017" t="str">
            <v>ADET</v>
          </cell>
          <cell r="Q1017" t="str">
            <v>LED</v>
          </cell>
          <cell r="R1017" t="str">
            <v>METAL</v>
          </cell>
          <cell r="S1017" t="str">
            <v>GOLD</v>
          </cell>
          <cell r="T1017" t="str">
            <v>AKRİLİK</v>
          </cell>
          <cell r="U1017" t="str">
            <v>KREM</v>
          </cell>
          <cell r="AD1017" t="str">
            <v>DAİRE</v>
          </cell>
          <cell r="AF1017">
            <v>26</v>
          </cell>
          <cell r="AG1017" t="str">
            <v>ADET</v>
          </cell>
          <cell r="AH1017">
            <v>330</v>
          </cell>
          <cell r="AI1017" t="str">
            <v>CNY</v>
          </cell>
          <cell r="AJ1017">
            <v>14620</v>
          </cell>
          <cell r="AK1017" t="str">
            <v>TL</v>
          </cell>
          <cell r="AL1017">
            <v>1</v>
          </cell>
          <cell r="AM1017" t="str">
            <v>8684127506953</v>
          </cell>
          <cell r="AO1017">
            <v>0</v>
          </cell>
          <cell r="AQ1017">
            <v>0</v>
          </cell>
          <cell r="AS1017">
            <v>0</v>
          </cell>
          <cell r="AU1017">
            <v>0</v>
          </cell>
          <cell r="AW1017">
            <v>0</v>
          </cell>
        </row>
        <row r="1018">
          <cell r="B1018" t="str">
            <v>H1C6JMEWRB0-012</v>
          </cell>
          <cell r="C1018" t="str">
            <v>APOLLON ESKİTME LED MERMER SARKIT 12cm</v>
          </cell>
          <cell r="D1018" t="str">
            <v>APOLLON  BRUSHED BRASS LED MARBLE  PENDANT 12cm</v>
          </cell>
          <cell r="E1018" t="str">
            <v xml:space="preserve">METAL MERMER ESKİTME BEYAZ   </v>
          </cell>
          <cell r="F1018" t="str">
            <v/>
          </cell>
          <cell r="G1018" t="str">
            <v>AVİZE</v>
          </cell>
          <cell r="H1018" t="str">
            <v/>
          </cell>
          <cell r="I1018" t="str">
            <v>İÇ</v>
          </cell>
          <cell r="J1018" t="str">
            <v>AVİZE.SARK</v>
          </cell>
          <cell r="K1018" t="str">
            <v>APOLLON</v>
          </cell>
          <cell r="L1018" t="str">
            <v/>
          </cell>
          <cell r="M1018" t="str">
            <v/>
          </cell>
          <cell r="N1018" t="str">
            <v>HKA-110</v>
          </cell>
          <cell r="O1018" t="str">
            <v>HEKA</v>
          </cell>
          <cell r="P1018" t="str">
            <v>ADET</v>
          </cell>
          <cell r="Q1018" t="str">
            <v>LED</v>
          </cell>
          <cell r="R1018" t="str">
            <v>METAL</v>
          </cell>
          <cell r="S1018" t="str">
            <v>ESKİTME</v>
          </cell>
          <cell r="T1018" t="str">
            <v>MERMER</v>
          </cell>
          <cell r="U1018" t="str">
            <v>BEYAZ</v>
          </cell>
          <cell r="AD1018" t="str">
            <v>N/A</v>
          </cell>
          <cell r="AE1018" t="str">
            <v>02</v>
          </cell>
          <cell r="AF1018">
            <v>0</v>
          </cell>
          <cell r="AG1018" t="str">
            <v>ADET</v>
          </cell>
          <cell r="AH1018">
            <v>280</v>
          </cell>
          <cell r="AI1018" t="str">
            <v>CNY</v>
          </cell>
          <cell r="AJ1018">
            <v>11135</v>
          </cell>
          <cell r="AK1018" t="str">
            <v>TL</v>
          </cell>
          <cell r="AL1018">
            <v>1</v>
          </cell>
          <cell r="AM1018" t="str">
            <v>8684127507127</v>
          </cell>
          <cell r="AO1018">
            <v>2</v>
          </cell>
          <cell r="AP1018" t="str">
            <v>KG</v>
          </cell>
          <cell r="AQ1018">
            <v>20</v>
          </cell>
          <cell r="AR1018" t="str">
            <v>CM</v>
          </cell>
          <cell r="AS1018">
            <v>20</v>
          </cell>
          <cell r="AT1018" t="str">
            <v>CM</v>
          </cell>
          <cell r="AU1018">
            <v>0</v>
          </cell>
          <cell r="AW1018">
            <v>0</v>
          </cell>
        </row>
        <row r="1019">
          <cell r="B1019" t="str">
            <v>H1C6WRBJME0-040</v>
          </cell>
          <cell r="C1019" t="str">
            <v>HERA ESKİTME BEYAZ MERMER SARKIT 40cm</v>
          </cell>
          <cell r="D1019" t="str">
            <v>HERA  BRUSHED BRASS  WHITE MARBLE PENDANT 40cm</v>
          </cell>
          <cell r="E1019" t="str">
            <v xml:space="preserve">MERMER METAL BEYAZ ESKİTME   </v>
          </cell>
          <cell r="F1019" t="str">
            <v/>
          </cell>
          <cell r="G1019" t="str">
            <v>AVİZE</v>
          </cell>
          <cell r="H1019" t="str">
            <v/>
          </cell>
          <cell r="I1019" t="str">
            <v>İÇ</v>
          </cell>
          <cell r="J1019" t="str">
            <v>AVİZE.SARK</v>
          </cell>
          <cell r="K1019" t="str">
            <v>HERA</v>
          </cell>
          <cell r="L1019" t="str">
            <v/>
          </cell>
          <cell r="M1019" t="str">
            <v/>
          </cell>
          <cell r="N1019" t="str">
            <v>HKA-24149</v>
          </cell>
          <cell r="O1019" t="str">
            <v>HEKA</v>
          </cell>
          <cell r="P1019" t="str">
            <v>ADET</v>
          </cell>
          <cell r="Q1019" t="str">
            <v>GU10</v>
          </cell>
          <cell r="R1019" t="str">
            <v>METAL</v>
          </cell>
          <cell r="S1019" t="str">
            <v>ESKİTME</v>
          </cell>
          <cell r="T1019" t="str">
            <v>MERMER</v>
          </cell>
          <cell r="U1019" t="str">
            <v>BEYAZ</v>
          </cell>
          <cell r="AD1019" t="str">
            <v>N/A</v>
          </cell>
          <cell r="AE1019" t="str">
            <v>02</v>
          </cell>
          <cell r="AF1019">
            <v>14</v>
          </cell>
          <cell r="AG1019" t="str">
            <v>ADET</v>
          </cell>
          <cell r="AH1019">
            <v>88</v>
          </cell>
          <cell r="AI1019" t="str">
            <v>CNY</v>
          </cell>
          <cell r="AJ1019">
            <v>6950</v>
          </cell>
          <cell r="AK1019" t="str">
            <v>TL</v>
          </cell>
          <cell r="AL1019">
            <v>1</v>
          </cell>
          <cell r="AM1019" t="str">
            <v>8684127507134</v>
          </cell>
          <cell r="AO1019">
            <v>0</v>
          </cell>
          <cell r="AQ1019">
            <v>0</v>
          </cell>
          <cell r="AS1019">
            <v>0</v>
          </cell>
          <cell r="AU1019">
            <v>0</v>
          </cell>
          <cell r="AW1019">
            <v>0</v>
          </cell>
        </row>
        <row r="1020">
          <cell r="B1020" t="str">
            <v>H1C2JRVDRS0-020</v>
          </cell>
          <cell r="C1020" t="str">
            <v>ZADA TEKLİ SİYAH BETON E27 SARKIT</v>
          </cell>
          <cell r="D1020" t="str">
            <v>ZADA SINGLE BLACK CONCRETE E27 PENDANT</v>
          </cell>
          <cell r="E1020" t="str">
            <v xml:space="preserve">METAL BETON KAHVERENGİ SİYAH   </v>
          </cell>
          <cell r="F1020" t="str">
            <v/>
          </cell>
          <cell r="G1020" t="str">
            <v>AVİZE</v>
          </cell>
          <cell r="H1020" t="str">
            <v/>
          </cell>
          <cell r="I1020" t="str">
            <v>İÇ</v>
          </cell>
          <cell r="J1020" t="str">
            <v>AVİZE.SARK</v>
          </cell>
          <cell r="K1020" t="str">
            <v>ZADA</v>
          </cell>
          <cell r="L1020" t="str">
            <v/>
          </cell>
          <cell r="M1020" t="str">
            <v/>
          </cell>
          <cell r="N1020" t="str">
            <v>HKA-119</v>
          </cell>
          <cell r="O1020" t="str">
            <v>HEKA</v>
          </cell>
          <cell r="P1020" t="str">
            <v>ADET</v>
          </cell>
          <cell r="Q1020" t="str">
            <v>E27</v>
          </cell>
          <cell r="R1020" t="str">
            <v>METAL</v>
          </cell>
          <cell r="S1020" t="str">
            <v>KAHVERENGİ</v>
          </cell>
          <cell r="T1020" t="str">
            <v>BETON</v>
          </cell>
          <cell r="U1020" t="str">
            <v>SİYAH</v>
          </cell>
          <cell r="AD1020" t="str">
            <v>N/A</v>
          </cell>
          <cell r="AE1020" t="str">
            <v>01</v>
          </cell>
          <cell r="AF1020">
            <v>63</v>
          </cell>
          <cell r="AG1020" t="str">
            <v>ADET</v>
          </cell>
          <cell r="AH1020">
            <v>110</v>
          </cell>
          <cell r="AI1020" t="str">
            <v>CNY</v>
          </cell>
          <cell r="AJ1020">
            <v>5653</v>
          </cell>
          <cell r="AK1020" t="str">
            <v>TL</v>
          </cell>
          <cell r="AL1020">
            <v>1</v>
          </cell>
          <cell r="AM1020" t="str">
            <v>8684127507264</v>
          </cell>
          <cell r="AO1020">
            <v>1.7</v>
          </cell>
          <cell r="AP1020" t="str">
            <v>KG</v>
          </cell>
          <cell r="AQ1020">
            <v>35</v>
          </cell>
          <cell r="AR1020" t="str">
            <v>CM</v>
          </cell>
          <cell r="AS1020">
            <v>10</v>
          </cell>
          <cell r="AT1020" t="str">
            <v>CM</v>
          </cell>
          <cell r="AU1020">
            <v>0</v>
          </cell>
          <cell r="AW1020">
            <v>0</v>
          </cell>
        </row>
        <row r="1021">
          <cell r="B1021" t="str">
            <v>H1C2JRVDRB0-020</v>
          </cell>
          <cell r="C1021" t="str">
            <v>ZADA TEKLİ BEYAZ BETON E27 SARKIT</v>
          </cell>
          <cell r="D1021" t="str">
            <v>ZADA SINGLE WHITE CONCRETE E27 PENDANT</v>
          </cell>
          <cell r="E1021" t="str">
            <v xml:space="preserve">METAL BETON KAHVERENGİ BEYAZ   </v>
          </cell>
          <cell r="F1021" t="str">
            <v/>
          </cell>
          <cell r="G1021" t="str">
            <v>AVİZE</v>
          </cell>
          <cell r="H1021" t="str">
            <v/>
          </cell>
          <cell r="I1021" t="str">
            <v>İÇ</v>
          </cell>
          <cell r="J1021" t="str">
            <v>AVİZE.SARK</v>
          </cell>
          <cell r="K1021" t="str">
            <v>ZADA</v>
          </cell>
          <cell r="L1021" t="str">
            <v/>
          </cell>
          <cell r="M1021" t="str">
            <v/>
          </cell>
          <cell r="N1021" t="str">
            <v>HKA-120</v>
          </cell>
          <cell r="O1021" t="str">
            <v>HEKA</v>
          </cell>
          <cell r="P1021" t="str">
            <v>ADET</v>
          </cell>
          <cell r="Q1021" t="str">
            <v>E27</v>
          </cell>
          <cell r="R1021" t="str">
            <v>METAL</v>
          </cell>
          <cell r="S1021" t="str">
            <v>KAHVERENGİ</v>
          </cell>
          <cell r="T1021" t="str">
            <v>BETON</v>
          </cell>
          <cell r="U1021" t="str">
            <v>BEYAZ</v>
          </cell>
          <cell r="AD1021" t="str">
            <v>N/A</v>
          </cell>
          <cell r="AE1021" t="str">
            <v>01</v>
          </cell>
          <cell r="AF1021">
            <v>62</v>
          </cell>
          <cell r="AG1021" t="str">
            <v>ADET</v>
          </cell>
          <cell r="AH1021">
            <v>110</v>
          </cell>
          <cell r="AI1021" t="str">
            <v>CNY</v>
          </cell>
          <cell r="AJ1021">
            <v>5653</v>
          </cell>
          <cell r="AK1021" t="str">
            <v>TL</v>
          </cell>
          <cell r="AL1021">
            <v>1</v>
          </cell>
          <cell r="AM1021" t="str">
            <v>8684127507271</v>
          </cell>
          <cell r="AO1021">
            <v>1.7</v>
          </cell>
          <cell r="AP1021" t="str">
            <v>KG</v>
          </cell>
          <cell r="AQ1021">
            <v>35</v>
          </cell>
          <cell r="AR1021" t="str">
            <v>CM</v>
          </cell>
          <cell r="AS1021">
            <v>10</v>
          </cell>
          <cell r="AT1021" t="str">
            <v>CM</v>
          </cell>
          <cell r="AU1021">
            <v>0</v>
          </cell>
          <cell r="AW1021">
            <v>0</v>
          </cell>
        </row>
        <row r="1022">
          <cell r="B1022" t="str">
            <v>H1C3WRBJMEY-060</v>
          </cell>
          <cell r="C1022" t="str">
            <v>ALBASTI TEKLİ BEYAZ MERMER SARKIT 60cm</v>
          </cell>
          <cell r="D1022" t="str">
            <v>ALBASTI SINGLE WHITE MARBLE PENDANT 60cm</v>
          </cell>
          <cell r="E1022" t="str">
            <v xml:space="preserve">MERMER METAL BEYAZ ESKİTME   </v>
          </cell>
          <cell r="F1022" t="str">
            <v/>
          </cell>
          <cell r="G1022" t="str">
            <v>AVİZE</v>
          </cell>
          <cell r="H1022" t="str">
            <v/>
          </cell>
          <cell r="I1022" t="str">
            <v>İÇ</v>
          </cell>
          <cell r="J1022" t="str">
            <v>AVİZE.AVİZ</v>
          </cell>
          <cell r="K1022" t="str">
            <v>ALBASTI</v>
          </cell>
          <cell r="L1022" t="str">
            <v/>
          </cell>
          <cell r="M1022" t="str">
            <v/>
          </cell>
          <cell r="N1022" t="str">
            <v>HKA-25</v>
          </cell>
          <cell r="O1022" t="str">
            <v>HEKA</v>
          </cell>
          <cell r="P1022" t="str">
            <v>ADET</v>
          </cell>
          <cell r="Q1022" t="str">
            <v>G9</v>
          </cell>
          <cell r="R1022" t="str">
            <v>MERMER</v>
          </cell>
          <cell r="S1022" t="str">
            <v>BEYAZ</v>
          </cell>
          <cell r="T1022" t="str">
            <v>METAL</v>
          </cell>
          <cell r="U1022" t="str">
            <v>ESKİTME</v>
          </cell>
          <cell r="AD1022" t="str">
            <v>KÜRE</v>
          </cell>
          <cell r="AE1022" t="str">
            <v>10</v>
          </cell>
          <cell r="AF1022">
            <v>1</v>
          </cell>
          <cell r="AG1022" t="str">
            <v>ADET</v>
          </cell>
          <cell r="AH1022">
            <v>2060</v>
          </cell>
          <cell r="AI1022" t="str">
            <v>CNY</v>
          </cell>
          <cell r="AJ1022">
            <v>74800</v>
          </cell>
          <cell r="AK1022" t="str">
            <v>TL</v>
          </cell>
          <cell r="AL1022">
            <v>1</v>
          </cell>
          <cell r="AM1022" t="str">
            <v>8684127507301</v>
          </cell>
          <cell r="AO1022">
            <v>0</v>
          </cell>
          <cell r="AQ1022">
            <v>0</v>
          </cell>
          <cell r="AS1022">
            <v>0</v>
          </cell>
          <cell r="AU1022">
            <v>0</v>
          </cell>
          <cell r="AW1022">
            <v>0</v>
          </cell>
        </row>
        <row r="1023">
          <cell r="B1023" t="str">
            <v>H1C6JMEWRBK-020</v>
          </cell>
          <cell r="C1023" t="str">
            <v>DUHA ESKİTME KARE MERMER SARKIT 20cm</v>
          </cell>
          <cell r="D1023" t="str">
            <v>DUHA BRUSHED BRASS SQUARE MARBLE PENDANT LAMP 20cm</v>
          </cell>
          <cell r="E1023" t="str">
            <v xml:space="preserve">METAL MERMER ESKİTME BEYAZ   </v>
          </cell>
          <cell r="F1023" t="str">
            <v/>
          </cell>
          <cell r="G1023" t="str">
            <v>AVİZE</v>
          </cell>
          <cell r="H1023" t="str">
            <v/>
          </cell>
          <cell r="I1023" t="str">
            <v>İÇ</v>
          </cell>
          <cell r="J1023" t="str">
            <v>AVİZE.SARK</v>
          </cell>
          <cell r="K1023" t="str">
            <v>DUHA</v>
          </cell>
          <cell r="L1023" t="str">
            <v/>
          </cell>
          <cell r="M1023" t="str">
            <v/>
          </cell>
          <cell r="N1023" t="str">
            <v>HKA-217</v>
          </cell>
          <cell r="O1023" t="str">
            <v>HEKA</v>
          </cell>
          <cell r="P1023" t="str">
            <v>ADET</v>
          </cell>
          <cell r="Q1023" t="str">
            <v>LED</v>
          </cell>
          <cell r="R1023" t="str">
            <v>METAL</v>
          </cell>
          <cell r="S1023" t="str">
            <v>ESKİTME</v>
          </cell>
          <cell r="T1023" t="str">
            <v>MERMER</v>
          </cell>
          <cell r="U1023" t="str">
            <v>BEYAZ</v>
          </cell>
          <cell r="AD1023" t="str">
            <v>KARE</v>
          </cell>
          <cell r="AF1023">
            <v>0</v>
          </cell>
          <cell r="AG1023" t="str">
            <v>ADET</v>
          </cell>
          <cell r="AH1023">
            <v>105</v>
          </cell>
          <cell r="AI1023" t="str">
            <v>CNY</v>
          </cell>
          <cell r="AJ1023">
            <v>5225</v>
          </cell>
          <cell r="AK1023" t="str">
            <v>TL</v>
          </cell>
          <cell r="AL1023">
            <v>1</v>
          </cell>
          <cell r="AM1023" t="str">
            <v>8684127508452</v>
          </cell>
          <cell r="AO1023">
            <v>0</v>
          </cell>
          <cell r="AQ1023">
            <v>0</v>
          </cell>
          <cell r="AS1023">
            <v>0</v>
          </cell>
          <cell r="AU1023">
            <v>0</v>
          </cell>
          <cell r="AW1023">
            <v>0</v>
          </cell>
        </row>
        <row r="1024">
          <cell r="B1024" t="str">
            <v>H1C6JMEWRBK-025</v>
          </cell>
          <cell r="C1024" t="str">
            <v>DUHA ESKİTME KARE MERMER SARKIT 25cm</v>
          </cell>
          <cell r="D1024" t="str">
            <v>DUHA BRUSHED BRASS SQUARE MARBLE PENDANT LAMP 25cm</v>
          </cell>
          <cell r="E1024" t="str">
            <v xml:space="preserve">METAL MERMER ESKİTME BEYAZ   </v>
          </cell>
          <cell r="F1024" t="str">
            <v/>
          </cell>
          <cell r="G1024" t="str">
            <v>AVİZE</v>
          </cell>
          <cell r="H1024" t="str">
            <v/>
          </cell>
          <cell r="I1024" t="str">
            <v>İÇ</v>
          </cell>
          <cell r="J1024" t="str">
            <v>AVİZE.SARK</v>
          </cell>
          <cell r="K1024" t="str">
            <v>DUHA</v>
          </cell>
          <cell r="L1024" t="str">
            <v/>
          </cell>
          <cell r="M1024" t="str">
            <v/>
          </cell>
          <cell r="N1024" t="str">
            <v>HKA-218</v>
          </cell>
          <cell r="O1024" t="str">
            <v>HEKA</v>
          </cell>
          <cell r="P1024" t="str">
            <v>ADET</v>
          </cell>
          <cell r="Q1024" t="str">
            <v>LED</v>
          </cell>
          <cell r="R1024" t="str">
            <v>METAL</v>
          </cell>
          <cell r="S1024" t="str">
            <v>ESKİTME</v>
          </cell>
          <cell r="T1024" t="str">
            <v>MERMER</v>
          </cell>
          <cell r="U1024" t="str">
            <v>BEYAZ</v>
          </cell>
          <cell r="AD1024" t="str">
            <v>KARE</v>
          </cell>
          <cell r="AF1024">
            <v>46</v>
          </cell>
          <cell r="AG1024" t="str">
            <v>ADET</v>
          </cell>
          <cell r="AH1024">
            <v>130</v>
          </cell>
          <cell r="AI1024" t="str">
            <v>CNY</v>
          </cell>
          <cell r="AJ1024">
            <v>6498</v>
          </cell>
          <cell r="AK1024" t="str">
            <v>TL</v>
          </cell>
          <cell r="AL1024">
            <v>1</v>
          </cell>
          <cell r="AM1024" t="str">
            <v>8684127508469</v>
          </cell>
          <cell r="AO1024">
            <v>0</v>
          </cell>
          <cell r="AQ1024">
            <v>0</v>
          </cell>
          <cell r="AS1024">
            <v>0</v>
          </cell>
          <cell r="AU1024">
            <v>0</v>
          </cell>
          <cell r="AW1024">
            <v>0</v>
          </cell>
        </row>
        <row r="1025">
          <cell r="B1025" t="str">
            <v>H1C6JMEERFY-020</v>
          </cell>
          <cell r="C1025" t="str">
            <v>VİYANA FÜME DALGA CAM SARKIT 20cm</v>
          </cell>
          <cell r="D1025" t="str">
            <v>VIYANA SMOKY WAVE GLASS PENDANT 20cm</v>
          </cell>
          <cell r="E1025" t="str">
            <v>METAL ESKİTME CAM  FÜME</v>
          </cell>
          <cell r="F1025" t="str">
            <v>9405.11.90.00.00</v>
          </cell>
          <cell r="G1025" t="str">
            <v>AVİZE</v>
          </cell>
          <cell r="H1025" t="str">
            <v>T1A6231100-20</v>
          </cell>
          <cell r="I1025" t="str">
            <v>İÇ</v>
          </cell>
          <cell r="J1025" t="str">
            <v>AVİZE.SARK</v>
          </cell>
          <cell r="K1025" t="str">
            <v>VİYANA</v>
          </cell>
          <cell r="L1025" t="str">
            <v/>
          </cell>
          <cell r="M1025" t="str">
            <v/>
          </cell>
          <cell r="N1025" t="str">
            <v>ML10</v>
          </cell>
          <cell r="O1025" t="str">
            <v>HEKA</v>
          </cell>
          <cell r="P1025" t="str">
            <v>ADET</v>
          </cell>
          <cell r="Q1025" t="str">
            <v>LED</v>
          </cell>
          <cell r="R1025" t="str">
            <v>METAL</v>
          </cell>
          <cell r="S1025" t="str">
            <v>ESKİTME</v>
          </cell>
          <cell r="T1025" t="str">
            <v>CAM</v>
          </cell>
          <cell r="U1025" t="str">
            <v>BAL</v>
          </cell>
          <cell r="AD1025" t="str">
            <v>KÜRE</v>
          </cell>
          <cell r="AE1025" t="str">
            <v>01</v>
          </cell>
          <cell r="AF1025">
            <v>0</v>
          </cell>
          <cell r="AG1025" t="str">
            <v>ADET</v>
          </cell>
          <cell r="AH1025">
            <v>60</v>
          </cell>
          <cell r="AI1025" t="str">
            <v>CNY</v>
          </cell>
          <cell r="AJ1025">
            <v>3713</v>
          </cell>
          <cell r="AK1025" t="str">
            <v>TL</v>
          </cell>
          <cell r="AL1025">
            <v>1</v>
          </cell>
          <cell r="AM1025" t="str">
            <v>8684127506434</v>
          </cell>
          <cell r="AO1025">
            <v>0</v>
          </cell>
          <cell r="AQ1025">
            <v>0</v>
          </cell>
          <cell r="AR1025" t="str">
            <v>CM</v>
          </cell>
          <cell r="AS1025">
            <v>0</v>
          </cell>
          <cell r="AT1025" t="str">
            <v>CM</v>
          </cell>
          <cell r="AU1025">
            <v>0</v>
          </cell>
          <cell r="AW1025">
            <v>0</v>
          </cell>
        </row>
        <row r="1026">
          <cell r="B1026" t="str">
            <v>H1C6JMEERLY-025</v>
          </cell>
          <cell r="C1026" t="str">
            <v>VİYANA BAL DALGA CAM SARKIT 25cm</v>
          </cell>
          <cell r="D1026" t="str">
            <v>VIYANA AMBER WAVE GLASS PENDANT 25cm</v>
          </cell>
          <cell r="E1026" t="str">
            <v>METAL ESKİTME CAM  BAL</v>
          </cell>
          <cell r="F1026" t="str">
            <v>9405.11.90.00.00</v>
          </cell>
          <cell r="G1026" t="str">
            <v>AVİZE</v>
          </cell>
          <cell r="H1026" t="str">
            <v>T1A6231100-20</v>
          </cell>
          <cell r="I1026" t="str">
            <v>İÇ</v>
          </cell>
          <cell r="J1026" t="str">
            <v>AVİZE.SARK</v>
          </cell>
          <cell r="K1026" t="str">
            <v>VİYANA</v>
          </cell>
          <cell r="L1026" t="str">
            <v/>
          </cell>
          <cell r="M1026" t="str">
            <v/>
          </cell>
          <cell r="N1026" t="str">
            <v>ML11</v>
          </cell>
          <cell r="O1026" t="str">
            <v>HEKA</v>
          </cell>
          <cell r="P1026" t="str">
            <v>ADET</v>
          </cell>
          <cell r="Q1026" t="str">
            <v>LED</v>
          </cell>
          <cell r="R1026" t="str">
            <v>METAL</v>
          </cell>
          <cell r="S1026" t="str">
            <v>ESKİTME</v>
          </cell>
          <cell r="T1026" t="str">
            <v>CAM</v>
          </cell>
          <cell r="U1026" t="str">
            <v>BAL</v>
          </cell>
          <cell r="AD1026" t="str">
            <v>KÜRE</v>
          </cell>
          <cell r="AE1026" t="str">
            <v>01</v>
          </cell>
          <cell r="AF1026">
            <v>0</v>
          </cell>
          <cell r="AG1026" t="str">
            <v>ADET</v>
          </cell>
          <cell r="AH1026">
            <v>70</v>
          </cell>
          <cell r="AI1026" t="str">
            <v>CNY</v>
          </cell>
          <cell r="AJ1026">
            <v>4284</v>
          </cell>
          <cell r="AK1026" t="str">
            <v>TL</v>
          </cell>
          <cell r="AL1026">
            <v>1</v>
          </cell>
          <cell r="AM1026" t="str">
            <v>8684127506410</v>
          </cell>
          <cell r="AO1026">
            <v>0</v>
          </cell>
          <cell r="AQ1026">
            <v>0</v>
          </cell>
          <cell r="AR1026" t="str">
            <v>CM</v>
          </cell>
          <cell r="AS1026">
            <v>0</v>
          </cell>
          <cell r="AT1026" t="str">
            <v>CM</v>
          </cell>
          <cell r="AU1026">
            <v>0</v>
          </cell>
          <cell r="AW1026">
            <v>0</v>
          </cell>
        </row>
        <row r="1027">
          <cell r="B1027" t="str">
            <v>H1W1JRSECSZ-045</v>
          </cell>
          <cell r="C1027" t="str">
            <v>SÜMELA SİYAH KOLLU APLİK 45cm</v>
          </cell>
          <cell r="D1027" t="str">
            <v>SÜMELA BLACK SLEEVED WALL LAMP 45cm</v>
          </cell>
          <cell r="E1027" t="str">
            <v/>
          </cell>
          <cell r="F1027" t="str">
            <v/>
          </cell>
          <cell r="G1027" t="str">
            <v>APLİK</v>
          </cell>
          <cell r="H1027" t="str">
            <v>H1W1112400-45</v>
          </cell>
          <cell r="I1027" t="str">
            <v>İÇ</v>
          </cell>
          <cell r="J1027" t="str">
            <v>APLİK</v>
          </cell>
          <cell r="K1027" t="str">
            <v>SÜMELA</v>
          </cell>
          <cell r="L1027" t="str">
            <v/>
          </cell>
          <cell r="M1027" t="str">
            <v/>
          </cell>
          <cell r="N1027" t="str">
            <v/>
          </cell>
          <cell r="O1027" t="str">
            <v>HEKA</v>
          </cell>
          <cell r="P1027" t="str">
            <v>ADET</v>
          </cell>
          <cell r="Q1027" t="str">
            <v>E14</v>
          </cell>
          <cell r="R1027" t="str">
            <v>METAL</v>
          </cell>
          <cell r="S1027" t="str">
            <v>SİYAH</v>
          </cell>
          <cell r="T1027" t="str">
            <v>CAM</v>
          </cell>
          <cell r="U1027" t="str">
            <v>ŞEFFAF</v>
          </cell>
          <cell r="AD1027" t="str">
            <v>KOLLU</v>
          </cell>
          <cell r="AE1027" t="str">
            <v>05</v>
          </cell>
          <cell r="AG1027" t="str">
            <v>ADET</v>
          </cell>
          <cell r="AH1027">
            <v>300</v>
          </cell>
          <cell r="AI1027" t="str">
            <v>TL</v>
          </cell>
          <cell r="AJ1027">
            <v>850</v>
          </cell>
          <cell r="AK1027" t="str">
            <v>TL</v>
          </cell>
          <cell r="AL1027">
            <v>1</v>
          </cell>
          <cell r="AM1027" t="str">
            <v>8684127510196</v>
          </cell>
          <cell r="AO1027">
            <v>0</v>
          </cell>
          <cell r="AQ1027">
            <v>0</v>
          </cell>
          <cell r="AS1027">
            <v>0</v>
          </cell>
          <cell r="AU1027">
            <v>0</v>
          </cell>
          <cell r="AW1027">
            <v>0</v>
          </cell>
        </row>
        <row r="1028">
          <cell r="B1028" t="str">
            <v>H1C6WRBJMKR-020</v>
          </cell>
          <cell r="C1028" t="str">
            <v>ASPENDOS TEKLİ MERMER KROM SARKIT 20cm</v>
          </cell>
          <cell r="D1028" t="str">
            <v>ASPENDOS SINGLE MARBLE CHROME PENDANT 20cm</v>
          </cell>
          <cell r="E1028" t="str">
            <v>MERMER BEYAZ METAL KROM</v>
          </cell>
          <cell r="F1028" t="str">
            <v>9405.11.90.00.00</v>
          </cell>
          <cell r="G1028" t="str">
            <v>AVİZE</v>
          </cell>
          <cell r="H1028" t="str">
            <v>H1A6314300-20</v>
          </cell>
          <cell r="I1028" t="str">
            <v>İÇ</v>
          </cell>
          <cell r="J1028" t="str">
            <v>AVİZE.SARK</v>
          </cell>
          <cell r="K1028" t="str">
            <v>ASPENDOS</v>
          </cell>
          <cell r="L1028" t="str">
            <v/>
          </cell>
          <cell r="M1028" t="str">
            <v/>
          </cell>
          <cell r="N1028" t="str">
            <v>MD1082071-20-P-CR</v>
          </cell>
          <cell r="O1028" t="str">
            <v>HEKA</v>
          </cell>
          <cell r="P1028" t="str">
            <v>ADET</v>
          </cell>
          <cell r="Q1028" t="str">
            <v>LED</v>
          </cell>
          <cell r="R1028" t="str">
            <v>MERMER</v>
          </cell>
          <cell r="S1028" t="str">
            <v>BEYAZ</v>
          </cell>
          <cell r="T1028" t="str">
            <v>METAL</v>
          </cell>
          <cell r="U1028" t="str">
            <v>KROM</v>
          </cell>
          <cell r="AD1028" t="str">
            <v>DAİRE</v>
          </cell>
          <cell r="AE1028" t="str">
            <v>01</v>
          </cell>
          <cell r="AF1028">
            <v>0</v>
          </cell>
          <cell r="AG1028" t="str">
            <v>ADET</v>
          </cell>
          <cell r="AH1028">
            <v>99</v>
          </cell>
          <cell r="AI1028" t="str">
            <v>CNY</v>
          </cell>
          <cell r="AJ1028">
            <v>5746</v>
          </cell>
          <cell r="AK1028" t="str">
            <v>TL</v>
          </cell>
          <cell r="AL1028">
            <v>1</v>
          </cell>
          <cell r="AM1028" t="str">
            <v>8684127510202</v>
          </cell>
          <cell r="AO1028">
            <v>0</v>
          </cell>
          <cell r="AQ1028">
            <v>150</v>
          </cell>
          <cell r="AR1028" t="str">
            <v>CM</v>
          </cell>
          <cell r="AS1028">
            <v>20</v>
          </cell>
          <cell r="AT1028" t="str">
            <v>CM</v>
          </cell>
          <cell r="AU1028">
            <v>0</v>
          </cell>
          <cell r="AW1028">
            <v>0</v>
          </cell>
        </row>
        <row r="1029">
          <cell r="B1029" t="str">
            <v>H1C6JMEWRBM-030</v>
          </cell>
          <cell r="C1029" t="str">
            <v>ADAGAN 4 LÜ BEŞ MERMERLİ SALON SARKIT AVİZE</v>
          </cell>
          <cell r="D1029" t="str">
            <v>ADAGAN  QUATERNARY FIVE MARBLE LIVING ROOM PENDANT CHANDELIER</v>
          </cell>
          <cell r="E1029" t="str">
            <v xml:space="preserve">METAL MERMER ESKİTME BEYAZ   </v>
          </cell>
          <cell r="F1029" t="str">
            <v/>
          </cell>
          <cell r="G1029" t="str">
            <v>AVİZE</v>
          </cell>
          <cell r="H1029" t="str">
            <v/>
          </cell>
          <cell r="I1029" t="str">
            <v>İÇ</v>
          </cell>
          <cell r="J1029" t="str">
            <v>AVİZE.SARK</v>
          </cell>
          <cell r="K1029" t="str">
            <v>ADAGAN</v>
          </cell>
          <cell r="L1029" t="str">
            <v/>
          </cell>
          <cell r="M1029" t="str">
            <v/>
          </cell>
          <cell r="N1029" t="str">
            <v>HKA-89</v>
          </cell>
          <cell r="O1029" t="str">
            <v>HEKA</v>
          </cell>
          <cell r="P1029" t="str">
            <v>ADET</v>
          </cell>
          <cell r="Q1029" t="str">
            <v>LED</v>
          </cell>
          <cell r="R1029" t="str">
            <v>METAL</v>
          </cell>
          <cell r="S1029" t="str">
            <v>ESKİTME</v>
          </cell>
          <cell r="T1029" t="str">
            <v>MERMER</v>
          </cell>
          <cell r="U1029" t="str">
            <v>BEYAZ</v>
          </cell>
          <cell r="Z1029" t="str">
            <v>3000 K</v>
          </cell>
          <cell r="AD1029" t="str">
            <v>ÇİFT AYDINLATMA</v>
          </cell>
          <cell r="AE1029" t="str">
            <v>06</v>
          </cell>
          <cell r="AF1029">
            <v>0</v>
          </cell>
          <cell r="AG1029" t="str">
            <v>ADET</v>
          </cell>
          <cell r="AH1029">
            <v>480</v>
          </cell>
          <cell r="AI1029" t="str">
            <v>CNY</v>
          </cell>
          <cell r="AJ1029">
            <v>20060</v>
          </cell>
          <cell r="AK1029" t="str">
            <v>TL</v>
          </cell>
          <cell r="AL1029">
            <v>1</v>
          </cell>
          <cell r="AM1029" t="str">
            <v>8684127506885</v>
          </cell>
          <cell r="AO1029">
            <v>0</v>
          </cell>
          <cell r="AQ1029">
            <v>0</v>
          </cell>
          <cell r="AS1029">
            <v>0</v>
          </cell>
          <cell r="AU1029">
            <v>0</v>
          </cell>
          <cell r="AW1029">
            <v>0</v>
          </cell>
        </row>
        <row r="1030">
          <cell r="B1030" t="str">
            <v>H1W3JMEWRBK-012</v>
          </cell>
          <cell r="C1030" t="str">
            <v xml:space="preserve">DORİS BEYAZ KÜP MERMER APLİK </v>
          </cell>
          <cell r="D1030" t="str">
            <v>DORIS  WHITE CUBE MARBLE WALL LAMP</v>
          </cell>
          <cell r="E1030" t="str">
            <v xml:space="preserve">METAL MERMER ESKİTME BEYAZ   </v>
          </cell>
          <cell r="F1030" t="str">
            <v>9405.19.90.00.00</v>
          </cell>
          <cell r="G1030" t="str">
            <v>APLİK</v>
          </cell>
          <cell r="H1030" t="str">
            <v/>
          </cell>
          <cell r="I1030" t="str">
            <v>İÇ</v>
          </cell>
          <cell r="J1030" t="str">
            <v>APLİK</v>
          </cell>
          <cell r="K1030" t="str">
            <v>DORİS</v>
          </cell>
          <cell r="L1030" t="str">
            <v>Ç</v>
          </cell>
          <cell r="M1030" t="str">
            <v/>
          </cell>
          <cell r="N1030" t="str">
            <v>HKA-24384</v>
          </cell>
          <cell r="O1030" t="str">
            <v>HEKA</v>
          </cell>
          <cell r="P1030" t="str">
            <v>ADET</v>
          </cell>
          <cell r="Q1030" t="str">
            <v>G9</v>
          </cell>
          <cell r="R1030" t="str">
            <v>METAL</v>
          </cell>
          <cell r="S1030" t="str">
            <v>ESKİTME</v>
          </cell>
          <cell r="T1030" t="str">
            <v>MERMER</v>
          </cell>
          <cell r="U1030" t="str">
            <v>BEYAZ</v>
          </cell>
          <cell r="AD1030" t="str">
            <v>KARE</v>
          </cell>
          <cell r="AE1030" t="str">
            <v>01</v>
          </cell>
          <cell r="AF1030">
            <v>30</v>
          </cell>
          <cell r="AG1030" t="str">
            <v>ADET</v>
          </cell>
          <cell r="AH1030">
            <v>150</v>
          </cell>
          <cell r="AI1030" t="str">
            <v>CNY</v>
          </cell>
          <cell r="AJ1030">
            <v>8750</v>
          </cell>
          <cell r="AK1030" t="str">
            <v>TL</v>
          </cell>
          <cell r="AL1030">
            <v>1</v>
          </cell>
          <cell r="AM1030" t="str">
            <v>8684127507363</v>
          </cell>
          <cell r="AO1030">
            <v>0</v>
          </cell>
          <cell r="AQ1030">
            <v>0</v>
          </cell>
          <cell r="AS1030">
            <v>0</v>
          </cell>
          <cell r="AU1030">
            <v>0</v>
          </cell>
          <cell r="AW1030">
            <v>0</v>
          </cell>
        </row>
        <row r="1031">
          <cell r="B1031" t="str">
            <v>H1C3WRBJMEP-019</v>
          </cell>
          <cell r="C1031" t="str">
            <v>PANDORA TEKLİ  MERMER SARKIT 190mm</v>
          </cell>
          <cell r="D1031" t="str">
            <v>PANDORA SINGLE MARBLE PENDANT 190mm</v>
          </cell>
          <cell r="E1031" t="str">
            <v xml:space="preserve">MERMER METAL BEYAZ ESKİTME     </v>
          </cell>
          <cell r="F1031" t="str">
            <v/>
          </cell>
          <cell r="G1031" t="str">
            <v>AVİZE</v>
          </cell>
          <cell r="H1031" t="str">
            <v/>
          </cell>
          <cell r="I1031" t="str">
            <v>İÇ</v>
          </cell>
          <cell r="J1031" t="str">
            <v>AVİZE.SARK</v>
          </cell>
          <cell r="K1031" t="str">
            <v>PANDORA</v>
          </cell>
          <cell r="L1031" t="str">
            <v/>
          </cell>
          <cell r="M1031" t="str">
            <v/>
          </cell>
          <cell r="N1031" t="str">
            <v>HKA-46</v>
          </cell>
          <cell r="O1031" t="str">
            <v>HEKA</v>
          </cell>
          <cell r="P1031" t="str">
            <v>ADET</v>
          </cell>
          <cell r="Q1031" t="str">
            <v>G9</v>
          </cell>
          <cell r="R1031" t="str">
            <v>MERMER</v>
          </cell>
          <cell r="S1031" t="str">
            <v>BEYAZ</v>
          </cell>
          <cell r="T1031" t="str">
            <v>METAL</v>
          </cell>
          <cell r="U1031" t="str">
            <v>ESKİTME</v>
          </cell>
          <cell r="AD1031" t="str">
            <v>POLİGONAL</v>
          </cell>
          <cell r="AE1031" t="str">
            <v>02</v>
          </cell>
          <cell r="AF1031">
            <v>0</v>
          </cell>
          <cell r="AG1031" t="str">
            <v>ADET</v>
          </cell>
          <cell r="AH1031">
            <v>680</v>
          </cell>
          <cell r="AI1031" t="str">
            <v>CNY</v>
          </cell>
          <cell r="AJ1031">
            <v>33987</v>
          </cell>
          <cell r="AK1031" t="str">
            <v>TL</v>
          </cell>
          <cell r="AL1031">
            <v>1</v>
          </cell>
          <cell r="AM1031" t="str">
            <v>8684127507530</v>
          </cell>
          <cell r="AO1031">
            <v>0</v>
          </cell>
          <cell r="AQ1031">
            <v>0</v>
          </cell>
          <cell r="AS1031">
            <v>0</v>
          </cell>
          <cell r="AU1031">
            <v>0</v>
          </cell>
          <cell r="AW1031">
            <v>0</v>
          </cell>
        </row>
        <row r="1032">
          <cell r="B1032" t="str">
            <v>H1C3WRBJMEP-014</v>
          </cell>
          <cell r="C1032" t="str">
            <v>PANDORA TEKLİ  MERMER SARKIT 137mm</v>
          </cell>
          <cell r="D1032" t="str">
            <v>PANDORA SINGLE MARBLE PENDANT 137mm</v>
          </cell>
          <cell r="E1032" t="str">
            <v xml:space="preserve">MERMER METAL BEYAZ ESKİTME     </v>
          </cell>
          <cell r="F1032" t="str">
            <v/>
          </cell>
          <cell r="G1032" t="str">
            <v>AVİZE</v>
          </cell>
          <cell r="H1032" t="str">
            <v/>
          </cell>
          <cell r="I1032" t="str">
            <v>İÇ</v>
          </cell>
          <cell r="J1032" t="str">
            <v>AVİZE.SARK</v>
          </cell>
          <cell r="K1032" t="str">
            <v>PANDORA</v>
          </cell>
          <cell r="L1032" t="str">
            <v/>
          </cell>
          <cell r="M1032" t="str">
            <v/>
          </cell>
          <cell r="N1032" t="str">
            <v>HKA-47</v>
          </cell>
          <cell r="O1032" t="str">
            <v>HEKA</v>
          </cell>
          <cell r="P1032" t="str">
            <v>ADET</v>
          </cell>
          <cell r="Q1032" t="str">
            <v>G9</v>
          </cell>
          <cell r="R1032" t="str">
            <v>MERMER</v>
          </cell>
          <cell r="S1032" t="str">
            <v>BEYAZ</v>
          </cell>
          <cell r="T1032" t="str">
            <v>METAL</v>
          </cell>
          <cell r="U1032" t="str">
            <v>ESKİTME</v>
          </cell>
          <cell r="AD1032" t="str">
            <v>POLİGONAL</v>
          </cell>
          <cell r="AE1032" t="str">
            <v>02</v>
          </cell>
          <cell r="AF1032">
            <v>0</v>
          </cell>
          <cell r="AG1032" t="str">
            <v>ADET</v>
          </cell>
          <cell r="AH1032">
            <v>320</v>
          </cell>
          <cell r="AI1032" t="str">
            <v>CNY</v>
          </cell>
          <cell r="AJ1032">
            <v>15994</v>
          </cell>
          <cell r="AK1032" t="str">
            <v>TL</v>
          </cell>
          <cell r="AL1032">
            <v>1</v>
          </cell>
          <cell r="AM1032" t="str">
            <v>8684127507547</v>
          </cell>
          <cell r="AO1032">
            <v>0</v>
          </cell>
          <cell r="AQ1032">
            <v>0</v>
          </cell>
          <cell r="AS1032">
            <v>0</v>
          </cell>
          <cell r="AU1032">
            <v>0</v>
          </cell>
          <cell r="AW1032">
            <v>0</v>
          </cell>
        </row>
        <row r="1033">
          <cell r="B1033" t="str">
            <v>H1C3ECSJMEY-050</v>
          </cell>
          <cell r="C1033" t="str">
            <v>ASPAR 12 AKRİLİK ESKİTME SALON AVİZE</v>
          </cell>
          <cell r="D1033" t="str">
            <v>ASPAR 12 ACRYLIC LIVING ROOM BRUSHED BRASS CHANDELIER</v>
          </cell>
          <cell r="E1033" t="str">
            <v xml:space="preserve">AKRİLİK  METAL ŞEFFAF ESKİTME   </v>
          </cell>
          <cell r="F1033" t="str">
            <v/>
          </cell>
          <cell r="G1033" t="str">
            <v>AVİZE</v>
          </cell>
          <cell r="H1033" t="str">
            <v/>
          </cell>
          <cell r="I1033" t="str">
            <v>İÇ</v>
          </cell>
          <cell r="J1033" t="str">
            <v>AVİZE.AVİZ</v>
          </cell>
          <cell r="K1033" t="str">
            <v>ASPAR</v>
          </cell>
          <cell r="L1033" t="str">
            <v/>
          </cell>
          <cell r="M1033" t="str">
            <v/>
          </cell>
          <cell r="N1033" t="str">
            <v>HKA-80</v>
          </cell>
          <cell r="O1033" t="str">
            <v>HEKA</v>
          </cell>
          <cell r="P1033" t="str">
            <v>ADET</v>
          </cell>
          <cell r="Q1033" t="str">
            <v>G9</v>
          </cell>
          <cell r="R1033" t="str">
            <v>AKRİLİK</v>
          </cell>
          <cell r="S1033" t="str">
            <v>ŞEFFAF</v>
          </cell>
          <cell r="T1033" t="str">
            <v>METAL</v>
          </cell>
          <cell r="U1033" t="str">
            <v>ESKİTME</v>
          </cell>
          <cell r="AD1033" t="str">
            <v>KÜRE</v>
          </cell>
          <cell r="AE1033" t="str">
            <v>12</v>
          </cell>
          <cell r="AF1033">
            <v>3</v>
          </cell>
          <cell r="AG1033" t="str">
            <v>ADET</v>
          </cell>
          <cell r="AH1033">
            <v>860</v>
          </cell>
          <cell r="AI1033" t="str">
            <v>CNY</v>
          </cell>
          <cell r="AJ1033">
            <v>42721</v>
          </cell>
          <cell r="AK1033" t="str">
            <v>TL</v>
          </cell>
          <cell r="AL1033">
            <v>1</v>
          </cell>
          <cell r="AM1033" t="str">
            <v>8684127507820</v>
          </cell>
          <cell r="AO1033">
            <v>0</v>
          </cell>
          <cell r="AQ1033">
            <v>0</v>
          </cell>
          <cell r="AS1033">
            <v>0</v>
          </cell>
          <cell r="AU1033">
            <v>0</v>
          </cell>
          <cell r="AW1033">
            <v>0</v>
          </cell>
        </row>
        <row r="1034">
          <cell r="B1034" t="str">
            <v>H1C6JMEWRBB-050</v>
          </cell>
          <cell r="C1034" t="str">
            <v>ILICA TEKLİ MERMER SARKIT AVİZE 60cm</v>
          </cell>
          <cell r="D1034" t="str">
            <v>ILICA SINGLE PLATINUM PENDANT 60cm</v>
          </cell>
          <cell r="E1034" t="str">
            <v xml:space="preserve">METAL MERMER ESKİTME BEYAZ   </v>
          </cell>
          <cell r="F1034" t="str">
            <v/>
          </cell>
          <cell r="G1034" t="str">
            <v>AVİZE</v>
          </cell>
          <cell r="H1034" t="str">
            <v/>
          </cell>
          <cell r="I1034" t="str">
            <v>İÇ</v>
          </cell>
          <cell r="J1034" t="str">
            <v>AVİZE.AVİZ</v>
          </cell>
          <cell r="K1034" t="str">
            <v>ILICA</v>
          </cell>
          <cell r="L1034" t="str">
            <v/>
          </cell>
          <cell r="M1034" t="str">
            <v/>
          </cell>
          <cell r="N1034" t="str">
            <v>HKA-41</v>
          </cell>
          <cell r="O1034" t="str">
            <v>HEKA</v>
          </cell>
          <cell r="P1034" t="str">
            <v>ADET</v>
          </cell>
          <cell r="Q1034" t="str">
            <v>LED</v>
          </cell>
          <cell r="R1034" t="str">
            <v>METAL</v>
          </cell>
          <cell r="S1034" t="str">
            <v>ESKİTME</v>
          </cell>
          <cell r="T1034" t="str">
            <v>MERMER</v>
          </cell>
          <cell r="U1034" t="str">
            <v>ESKİTME</v>
          </cell>
          <cell r="AD1034" t="str">
            <v>SİMİT</v>
          </cell>
          <cell r="AE1034" t="str">
            <v>02</v>
          </cell>
          <cell r="AF1034">
            <v>0</v>
          </cell>
          <cell r="AG1034" t="str">
            <v>ADET</v>
          </cell>
          <cell r="AH1034">
            <v>1500</v>
          </cell>
          <cell r="AI1034" t="str">
            <v>CNY</v>
          </cell>
          <cell r="AJ1034">
            <v>60520</v>
          </cell>
          <cell r="AK1034" t="str">
            <v>TL</v>
          </cell>
          <cell r="AL1034">
            <v>1</v>
          </cell>
          <cell r="AM1034" t="str">
            <v>8684127508018</v>
          </cell>
          <cell r="AO1034">
            <v>0</v>
          </cell>
          <cell r="AQ1034">
            <v>0</v>
          </cell>
          <cell r="AS1034">
            <v>0</v>
          </cell>
          <cell r="AU1034">
            <v>0</v>
          </cell>
          <cell r="AW1034">
            <v>0</v>
          </cell>
        </row>
        <row r="1035">
          <cell r="B1035" t="str">
            <v>H1W6JRBECS0-036</v>
          </cell>
          <cell r="C1035" t="str">
            <v>BALAMİR TEKLİ BEYAZ APLİK</v>
          </cell>
          <cell r="D1035" t="str">
            <v>BALAMIR SINGLE WHITE WALL LAMP</v>
          </cell>
          <cell r="E1035" t="str">
            <v xml:space="preserve">METAL CAM  BEYAZ ŞEFFAF   </v>
          </cell>
          <cell r="F1035" t="str">
            <v/>
          </cell>
          <cell r="G1035" t="str">
            <v>APLİK</v>
          </cell>
          <cell r="H1035" t="str">
            <v/>
          </cell>
          <cell r="I1035" t="str">
            <v>İÇ</v>
          </cell>
          <cell r="J1035" t="str">
            <v>APLİK</v>
          </cell>
          <cell r="K1035" t="str">
            <v>BALAMİR</v>
          </cell>
          <cell r="L1035" t="str">
            <v/>
          </cell>
          <cell r="M1035" t="str">
            <v/>
          </cell>
          <cell r="N1035" t="str">
            <v>HC26-2D-W</v>
          </cell>
          <cell r="O1035" t="str">
            <v>HEKA</v>
          </cell>
          <cell r="P1035" t="str">
            <v>ADET</v>
          </cell>
          <cell r="Q1035" t="str">
            <v>LED</v>
          </cell>
          <cell r="R1035" t="str">
            <v>METAL</v>
          </cell>
          <cell r="S1035" t="str">
            <v>BEYAZ</v>
          </cell>
          <cell r="T1035" t="str">
            <v>CAM</v>
          </cell>
          <cell r="U1035" t="str">
            <v>ŞEFFAF</v>
          </cell>
          <cell r="AD1035" t="str">
            <v>N/A</v>
          </cell>
          <cell r="AF1035">
            <v>16</v>
          </cell>
          <cell r="AG1035" t="str">
            <v>ADET</v>
          </cell>
          <cell r="AH1035">
            <v>103</v>
          </cell>
          <cell r="AI1035" t="str">
            <v>CNY</v>
          </cell>
          <cell r="AJ1035">
            <v>4879</v>
          </cell>
          <cell r="AK1035" t="str">
            <v>TL</v>
          </cell>
          <cell r="AL1035">
            <v>1</v>
          </cell>
          <cell r="AM1035" t="str">
            <v>8684127507882</v>
          </cell>
          <cell r="AO1035">
            <v>0</v>
          </cell>
          <cell r="AQ1035">
            <v>0</v>
          </cell>
          <cell r="AS1035">
            <v>0</v>
          </cell>
          <cell r="AU1035">
            <v>0</v>
          </cell>
          <cell r="AW1035">
            <v>0</v>
          </cell>
        </row>
        <row r="1036">
          <cell r="B1036" t="str">
            <v>H1W6JMGECS0-036</v>
          </cell>
          <cell r="C1036" t="str">
            <v>BALAMİR TEKLİ ALTIN APLİK</v>
          </cell>
          <cell r="D1036" t="str">
            <v>BALAMIR SINGLE GOLD WALL LAMP</v>
          </cell>
          <cell r="E1036" t="str">
            <v xml:space="preserve">METAL CAM  GOLD ŞEFFAF   </v>
          </cell>
          <cell r="F1036" t="str">
            <v/>
          </cell>
          <cell r="G1036" t="str">
            <v>APLİK</v>
          </cell>
          <cell r="H1036" t="str">
            <v/>
          </cell>
          <cell r="I1036" t="str">
            <v>İÇ</v>
          </cell>
          <cell r="J1036" t="str">
            <v>APLİK</v>
          </cell>
          <cell r="K1036" t="str">
            <v>BALAMİR</v>
          </cell>
          <cell r="L1036" t="str">
            <v/>
          </cell>
          <cell r="M1036" t="str">
            <v/>
          </cell>
          <cell r="N1036" t="str">
            <v>HKA-24332</v>
          </cell>
          <cell r="O1036" t="str">
            <v>HEKA</v>
          </cell>
          <cell r="P1036" t="str">
            <v>ADET</v>
          </cell>
          <cell r="Q1036" t="str">
            <v>LED</v>
          </cell>
          <cell r="R1036" t="str">
            <v>METAL</v>
          </cell>
          <cell r="S1036" t="str">
            <v>GOLD</v>
          </cell>
          <cell r="T1036" t="str">
            <v>CAM</v>
          </cell>
          <cell r="U1036" t="str">
            <v>ŞEFFAF</v>
          </cell>
          <cell r="AD1036" t="str">
            <v>N/A</v>
          </cell>
          <cell r="AF1036">
            <v>26</v>
          </cell>
          <cell r="AG1036" t="str">
            <v>ADET</v>
          </cell>
          <cell r="AH1036">
            <v>112</v>
          </cell>
          <cell r="AI1036" t="str">
            <v>CNY</v>
          </cell>
          <cell r="AJ1036">
            <v>4879</v>
          </cell>
          <cell r="AK1036" t="str">
            <v>TL</v>
          </cell>
          <cell r="AL1036">
            <v>1</v>
          </cell>
          <cell r="AM1036" t="str">
            <v>8684127507899</v>
          </cell>
          <cell r="AO1036">
            <v>0</v>
          </cell>
          <cell r="AQ1036">
            <v>0</v>
          </cell>
          <cell r="AS1036">
            <v>0</v>
          </cell>
          <cell r="AU1036">
            <v>0</v>
          </cell>
          <cell r="AW1036">
            <v>0</v>
          </cell>
        </row>
        <row r="1037">
          <cell r="B1037" t="str">
            <v>H1C2JMEECB0-022</v>
          </cell>
          <cell r="C1037" t="str">
            <v>HARRY BUZLU CAM ESKİTME E27 SARKIT 22cm</v>
          </cell>
          <cell r="D1037" t="str">
            <v>HARRY FROSTED GLASS BRUSHED BRASS E27 PENDANT 22cm</v>
          </cell>
          <cell r="E1037" t="str">
            <v xml:space="preserve">METAL CAM  ESKİTME BUZLU   </v>
          </cell>
          <cell r="F1037" t="str">
            <v/>
          </cell>
          <cell r="G1037" t="str">
            <v>AVİZE</v>
          </cell>
          <cell r="H1037" t="str">
            <v/>
          </cell>
          <cell r="I1037" t="str">
            <v>İÇ</v>
          </cell>
          <cell r="J1037" t="str">
            <v>AVİZE.SARK</v>
          </cell>
          <cell r="K1037" t="str">
            <v>HARRY</v>
          </cell>
          <cell r="L1037" t="str">
            <v/>
          </cell>
          <cell r="M1037" t="str">
            <v/>
          </cell>
          <cell r="N1037" t="str">
            <v>HB-04D</v>
          </cell>
          <cell r="O1037" t="str">
            <v>HEKA</v>
          </cell>
          <cell r="P1037" t="str">
            <v>ADET</v>
          </cell>
          <cell r="Q1037" t="str">
            <v>E27</v>
          </cell>
          <cell r="R1037" t="str">
            <v>METAL</v>
          </cell>
          <cell r="S1037" t="str">
            <v>ESKİTME</v>
          </cell>
          <cell r="T1037" t="str">
            <v>CAM</v>
          </cell>
          <cell r="U1037" t="str">
            <v>BUZLU</v>
          </cell>
          <cell r="AD1037" t="str">
            <v>N/A</v>
          </cell>
          <cell r="AE1037" t="str">
            <v>01</v>
          </cell>
          <cell r="AF1037">
            <v>0</v>
          </cell>
          <cell r="AG1037" t="str">
            <v>ADET</v>
          </cell>
          <cell r="AH1037">
            <v>42</v>
          </cell>
          <cell r="AI1037" t="str">
            <v>CNY</v>
          </cell>
          <cell r="AJ1037">
            <v>3285</v>
          </cell>
          <cell r="AK1037" t="str">
            <v>TL</v>
          </cell>
          <cell r="AL1037">
            <v>1</v>
          </cell>
          <cell r="AM1037" t="str">
            <v>8684127508339</v>
          </cell>
          <cell r="AO1037">
            <v>0</v>
          </cell>
          <cell r="AQ1037">
            <v>0</v>
          </cell>
          <cell r="AS1037">
            <v>0</v>
          </cell>
          <cell r="AU1037">
            <v>0</v>
          </cell>
          <cell r="AW1037">
            <v>0</v>
          </cell>
        </row>
        <row r="1038">
          <cell r="B1038" t="str">
            <v>H1C6JMG0000-011</v>
          </cell>
          <cell r="C1038" t="str">
            <v>URAZ TEKLİ ALTIN SARKIT</v>
          </cell>
          <cell r="D1038" t="str">
            <v>URAZ SINGLE GOLD PENDANT</v>
          </cell>
          <cell r="E1038" t="str">
            <v xml:space="preserve">METAL YOK GOLD YOK   </v>
          </cell>
          <cell r="F1038" t="str">
            <v/>
          </cell>
          <cell r="G1038" t="str">
            <v>AVİZE</v>
          </cell>
          <cell r="H1038" t="str">
            <v/>
          </cell>
          <cell r="I1038" t="str">
            <v>İÇ</v>
          </cell>
          <cell r="J1038" t="str">
            <v>AVİZE.SARK</v>
          </cell>
          <cell r="K1038" t="str">
            <v>URAZ</v>
          </cell>
          <cell r="L1038" t="str">
            <v/>
          </cell>
          <cell r="M1038" t="str">
            <v/>
          </cell>
          <cell r="N1038" t="str">
            <v>HKA-24334</v>
          </cell>
          <cell r="O1038" t="str">
            <v>HEKA</v>
          </cell>
          <cell r="P1038" t="str">
            <v>ADET</v>
          </cell>
          <cell r="Q1038" t="str">
            <v>LED</v>
          </cell>
          <cell r="R1038" t="str">
            <v>METAL</v>
          </cell>
          <cell r="S1038" t="str">
            <v>GOLD</v>
          </cell>
          <cell r="T1038" t="str">
            <v>YOK</v>
          </cell>
          <cell r="U1038" t="str">
            <v>YOK</v>
          </cell>
          <cell r="AD1038" t="str">
            <v>N/A</v>
          </cell>
          <cell r="AE1038" t="str">
            <v>02</v>
          </cell>
          <cell r="AF1038">
            <v>0</v>
          </cell>
          <cell r="AG1038" t="str">
            <v>ADET</v>
          </cell>
          <cell r="AH1038">
            <v>85</v>
          </cell>
          <cell r="AI1038" t="str">
            <v>CNY</v>
          </cell>
          <cell r="AJ1038">
            <v>3927</v>
          </cell>
          <cell r="AK1038" t="str">
            <v>TL</v>
          </cell>
          <cell r="AL1038">
            <v>1</v>
          </cell>
          <cell r="AM1038" t="str">
            <v>8684127507943</v>
          </cell>
          <cell r="AO1038">
            <v>0</v>
          </cell>
          <cell r="AQ1038">
            <v>0</v>
          </cell>
          <cell r="AS1038">
            <v>0</v>
          </cell>
          <cell r="AU1038">
            <v>0</v>
          </cell>
          <cell r="AW1038">
            <v>0</v>
          </cell>
        </row>
        <row r="1039">
          <cell r="B1039" t="str">
            <v>H1C2JMEERL0-025</v>
          </cell>
          <cell r="C1039" t="str">
            <v>LANGE BALCAM ESKİTME E27 SARKIT 25cm</v>
          </cell>
          <cell r="D1039" t="str">
            <v>LANGE AMBER GLASS BRUSHED BRASS E27 PENDANT 25cm</v>
          </cell>
          <cell r="E1039" t="str">
            <v xml:space="preserve">METAL CAM  ESKİTME BAL   </v>
          </cell>
          <cell r="F1039" t="str">
            <v/>
          </cell>
          <cell r="G1039" t="str">
            <v>AVİZE</v>
          </cell>
          <cell r="H1039" t="str">
            <v/>
          </cell>
          <cell r="I1039" t="str">
            <v>İÇ</v>
          </cell>
          <cell r="J1039" t="str">
            <v>AVİZE.SARK</v>
          </cell>
          <cell r="K1039" t="str">
            <v>LANGE</v>
          </cell>
          <cell r="L1039" t="str">
            <v/>
          </cell>
          <cell r="M1039" t="str">
            <v/>
          </cell>
          <cell r="N1039" t="str">
            <v>HB-02zh-B</v>
          </cell>
          <cell r="O1039" t="str">
            <v>HEKA</v>
          </cell>
          <cell r="P1039" t="str">
            <v>ADET</v>
          </cell>
          <cell r="Q1039" t="str">
            <v>E27</v>
          </cell>
          <cell r="R1039" t="str">
            <v>METAL</v>
          </cell>
          <cell r="S1039" t="str">
            <v>ESKİTME</v>
          </cell>
          <cell r="T1039" t="str">
            <v>CAM</v>
          </cell>
          <cell r="U1039" t="str">
            <v>BAL</v>
          </cell>
          <cell r="AD1039" t="str">
            <v>N/A</v>
          </cell>
          <cell r="AE1039" t="str">
            <v>01</v>
          </cell>
          <cell r="AF1039">
            <v>76</v>
          </cell>
          <cell r="AG1039" t="str">
            <v>ADET</v>
          </cell>
          <cell r="AH1039">
            <v>29</v>
          </cell>
          <cell r="AI1039" t="str">
            <v>CNY</v>
          </cell>
          <cell r="AJ1039">
            <v>3035</v>
          </cell>
          <cell r="AK1039" t="str">
            <v>TL</v>
          </cell>
          <cell r="AL1039">
            <v>1</v>
          </cell>
          <cell r="AM1039" t="str">
            <v>8684127508278</v>
          </cell>
          <cell r="AO1039">
            <v>0</v>
          </cell>
          <cell r="AQ1039">
            <v>0</v>
          </cell>
          <cell r="AS1039">
            <v>0</v>
          </cell>
          <cell r="AU1039">
            <v>0</v>
          </cell>
          <cell r="AW1039">
            <v>0</v>
          </cell>
        </row>
        <row r="1040">
          <cell r="B1040" t="str">
            <v>H1C2JMEECB0-028</v>
          </cell>
          <cell r="C1040" t="str">
            <v>HARRY BUZLU CAM ESKİTME E27 SARKIT 28cm</v>
          </cell>
          <cell r="D1040" t="str">
            <v>HARRY FROSTED GLASS BRUSHED BRASS E27 PENDANT 28cm</v>
          </cell>
          <cell r="E1040" t="str">
            <v xml:space="preserve">METAL CAM  ESKİTME BUZLU   </v>
          </cell>
          <cell r="F1040" t="str">
            <v/>
          </cell>
          <cell r="G1040" t="str">
            <v>AVİZE</v>
          </cell>
          <cell r="H1040" t="str">
            <v/>
          </cell>
          <cell r="I1040" t="str">
            <v>İÇ</v>
          </cell>
          <cell r="J1040" t="str">
            <v>AVİZE.SARK</v>
          </cell>
          <cell r="K1040" t="str">
            <v>HARRY</v>
          </cell>
          <cell r="L1040" t="str">
            <v/>
          </cell>
          <cell r="M1040" t="str">
            <v/>
          </cell>
          <cell r="N1040" t="str">
            <v>HB-01A</v>
          </cell>
          <cell r="O1040" t="str">
            <v>HEKA</v>
          </cell>
          <cell r="P1040" t="str">
            <v>ADET</v>
          </cell>
          <cell r="Q1040" t="str">
            <v>E27</v>
          </cell>
          <cell r="R1040" t="str">
            <v>METAL</v>
          </cell>
          <cell r="S1040" t="str">
            <v>ESKİTME</v>
          </cell>
          <cell r="T1040" t="str">
            <v>CAM</v>
          </cell>
          <cell r="U1040" t="str">
            <v>BUZLU</v>
          </cell>
          <cell r="AD1040" t="str">
            <v>N/A</v>
          </cell>
          <cell r="AE1040" t="str">
            <v>02</v>
          </cell>
          <cell r="AF1040">
            <v>0</v>
          </cell>
          <cell r="AG1040" t="str">
            <v>ADET</v>
          </cell>
          <cell r="AH1040">
            <v>44</v>
          </cell>
          <cell r="AI1040" t="str">
            <v>CNY</v>
          </cell>
          <cell r="AJ1040">
            <v>3380</v>
          </cell>
          <cell r="AK1040" t="str">
            <v>TL</v>
          </cell>
          <cell r="AL1040">
            <v>1</v>
          </cell>
          <cell r="AM1040" t="str">
            <v>8684127508346</v>
          </cell>
          <cell r="AO1040">
            <v>0</v>
          </cell>
          <cell r="AQ1040">
            <v>0</v>
          </cell>
          <cell r="AS1040">
            <v>0</v>
          </cell>
          <cell r="AU1040">
            <v>0</v>
          </cell>
          <cell r="AW1040">
            <v>0</v>
          </cell>
        </row>
        <row r="1041">
          <cell r="B1041" t="str">
            <v>H1W1ERLJMEC-085</v>
          </cell>
          <cell r="C1041" t="str">
            <v xml:space="preserve">ARAS TEKLİ BAL CAM ESKİTME APLİK </v>
          </cell>
          <cell r="D1041" t="str">
            <v>ARAS SINGLE AMBER GLASS BRUSHED BRASS WALL LAMP</v>
          </cell>
          <cell r="E1041" t="str">
            <v xml:space="preserve">CAM  METAL BAL ESKİTME   </v>
          </cell>
          <cell r="F1041" t="str">
            <v/>
          </cell>
          <cell r="G1041" t="str">
            <v>APLİK</v>
          </cell>
          <cell r="H1041" t="str">
            <v/>
          </cell>
          <cell r="I1041" t="str">
            <v>İÇ</v>
          </cell>
          <cell r="J1041" t="str">
            <v>APLİK</v>
          </cell>
          <cell r="K1041" t="str">
            <v>ARAS</v>
          </cell>
          <cell r="L1041" t="str">
            <v>Ç</v>
          </cell>
          <cell r="M1041" t="str">
            <v/>
          </cell>
          <cell r="N1041" t="str">
            <v>HKA-24337</v>
          </cell>
          <cell r="O1041" t="str">
            <v>HEKA</v>
          </cell>
          <cell r="P1041" t="str">
            <v>ADET</v>
          </cell>
          <cell r="Q1041" t="str">
            <v>E14</v>
          </cell>
          <cell r="R1041" t="str">
            <v>CAM</v>
          </cell>
          <cell r="S1041" t="str">
            <v>BAL</v>
          </cell>
          <cell r="T1041" t="str">
            <v>METAL</v>
          </cell>
          <cell r="U1041" t="str">
            <v>ESKİTME</v>
          </cell>
          <cell r="AD1041" t="str">
            <v>SİLİNDİR</v>
          </cell>
          <cell r="AE1041" t="str">
            <v>01</v>
          </cell>
          <cell r="AF1041">
            <v>28</v>
          </cell>
          <cell r="AG1041" t="str">
            <v>ADET</v>
          </cell>
          <cell r="AH1041">
            <v>80</v>
          </cell>
          <cell r="AI1041" t="str">
            <v>CNY</v>
          </cell>
          <cell r="AJ1041">
            <v>6720</v>
          </cell>
          <cell r="AK1041" t="str">
            <v>TL</v>
          </cell>
          <cell r="AL1041">
            <v>1</v>
          </cell>
          <cell r="AM1041" t="str">
            <v>8684127507783</v>
          </cell>
          <cell r="AO1041">
            <v>0</v>
          </cell>
          <cell r="AQ1041">
            <v>21.5</v>
          </cell>
          <cell r="AR1041" t="str">
            <v>CM</v>
          </cell>
          <cell r="AS1041">
            <v>0</v>
          </cell>
          <cell r="AT1041" t="str">
            <v>CM</v>
          </cell>
          <cell r="AU1041">
            <v>0</v>
          </cell>
          <cell r="AW1041">
            <v>0</v>
          </cell>
        </row>
        <row r="1042">
          <cell r="B1042" t="str">
            <v>H1C6JMGBRRR-117</v>
          </cell>
          <cell r="C1042" t="str">
            <v>ASENA 5 Lİ YEMEK MASASI AKRİLİK LED SARKIT AVİZE</v>
          </cell>
          <cell r="D1042" t="str">
            <v>ASENA ACRYLIC DINING TABLE LED PENDANT CHANDELIER 5 LIGHT</v>
          </cell>
          <cell r="E1042" t="str">
            <v xml:space="preserve">METAL AKRİLİK GOLD KREM   </v>
          </cell>
          <cell r="F1042" t="str">
            <v/>
          </cell>
          <cell r="G1042" t="str">
            <v>AVİZE</v>
          </cell>
          <cell r="H1042" t="str">
            <v/>
          </cell>
          <cell r="I1042" t="str">
            <v>İÇ</v>
          </cell>
          <cell r="J1042" t="str">
            <v>AVİZE.SARK</v>
          </cell>
          <cell r="K1042" t="str">
            <v>ASENA</v>
          </cell>
          <cell r="L1042" t="str">
            <v/>
          </cell>
          <cell r="M1042" t="str">
            <v/>
          </cell>
          <cell r="N1042" t="str">
            <v>HK-91</v>
          </cell>
          <cell r="O1042" t="str">
            <v>HEKA</v>
          </cell>
          <cell r="P1042" t="str">
            <v>ADET</v>
          </cell>
          <cell r="Q1042" t="str">
            <v>LED</v>
          </cell>
          <cell r="R1042" t="str">
            <v>METAL</v>
          </cell>
          <cell r="S1042" t="str">
            <v>GOLD</v>
          </cell>
          <cell r="T1042" t="str">
            <v>AKRİLİK</v>
          </cell>
          <cell r="U1042" t="str">
            <v>KREM</v>
          </cell>
          <cell r="AD1042" t="str">
            <v>DAİRE</v>
          </cell>
          <cell r="AF1042">
            <v>15</v>
          </cell>
          <cell r="AG1042" t="str">
            <v>ADET</v>
          </cell>
          <cell r="AH1042">
            <v>580</v>
          </cell>
          <cell r="AI1042" t="str">
            <v>CNY</v>
          </cell>
          <cell r="AJ1042">
            <v>25500</v>
          </cell>
          <cell r="AK1042" t="str">
            <v>TL</v>
          </cell>
          <cell r="AL1042">
            <v>1</v>
          </cell>
          <cell r="AM1042" t="str">
            <v>8684127506915</v>
          </cell>
          <cell r="AO1042">
            <v>0</v>
          </cell>
          <cell r="AQ1042">
            <v>0</v>
          </cell>
          <cell r="AS1042">
            <v>0</v>
          </cell>
          <cell r="AU1042">
            <v>0</v>
          </cell>
          <cell r="AW1042">
            <v>0</v>
          </cell>
        </row>
        <row r="1043">
          <cell r="B1043" t="str">
            <v>H1C6JMGBRRE-080</v>
          </cell>
          <cell r="C1043" t="str">
            <v>ASENA TEKLİ  YATAY AKRİLİK LED SARKIT 80cm</v>
          </cell>
          <cell r="D1043" t="str">
            <v>ASENA ACRYLIC HORIZONTAL LED PENDANT 80cm</v>
          </cell>
          <cell r="E1043" t="str">
            <v xml:space="preserve">METAL AKRİLİK GOLD KREM   </v>
          </cell>
          <cell r="F1043" t="str">
            <v/>
          </cell>
          <cell r="G1043" t="str">
            <v>AVİZE</v>
          </cell>
          <cell r="H1043" t="str">
            <v/>
          </cell>
          <cell r="I1043" t="str">
            <v>İÇ</v>
          </cell>
          <cell r="J1043" t="str">
            <v>AVİZE.SARK</v>
          </cell>
          <cell r="K1043" t="str">
            <v>ASENA</v>
          </cell>
          <cell r="L1043" t="str">
            <v/>
          </cell>
          <cell r="M1043" t="str">
            <v/>
          </cell>
          <cell r="N1043" t="str">
            <v>HK-99</v>
          </cell>
          <cell r="O1043" t="str">
            <v>HEKA</v>
          </cell>
          <cell r="P1043" t="str">
            <v>ADET</v>
          </cell>
          <cell r="Q1043" t="str">
            <v>LED</v>
          </cell>
          <cell r="R1043" t="str">
            <v>METAL</v>
          </cell>
          <cell r="S1043" t="str">
            <v>GOLD</v>
          </cell>
          <cell r="T1043" t="str">
            <v>AKRİLİK</v>
          </cell>
          <cell r="U1043" t="str">
            <v>KREM</v>
          </cell>
          <cell r="AD1043" t="str">
            <v>ELİPS</v>
          </cell>
          <cell r="AE1043" t="str">
            <v>02</v>
          </cell>
          <cell r="AF1043">
            <v>0</v>
          </cell>
          <cell r="AG1043" t="str">
            <v>ADET</v>
          </cell>
          <cell r="AH1043">
            <v>496</v>
          </cell>
          <cell r="AI1043" t="str">
            <v>CNY</v>
          </cell>
          <cell r="AJ1043">
            <v>20400</v>
          </cell>
          <cell r="AK1043" t="str">
            <v>TL</v>
          </cell>
          <cell r="AL1043">
            <v>1</v>
          </cell>
          <cell r="AM1043" t="str">
            <v>8684127506984</v>
          </cell>
          <cell r="AO1043">
            <v>0</v>
          </cell>
          <cell r="AQ1043">
            <v>0</v>
          </cell>
          <cell r="AS1043">
            <v>0</v>
          </cell>
          <cell r="AU1043">
            <v>0</v>
          </cell>
          <cell r="AW1043">
            <v>0</v>
          </cell>
        </row>
        <row r="1044">
          <cell r="B1044" t="str">
            <v>H1C6JRSJMP0-013</v>
          </cell>
          <cell r="C1044" t="str">
            <v>MAYON PLATIN  LED SARKIT</v>
          </cell>
          <cell r="D1044" t="str">
            <v>MAYON PLATINUM LED PENDANT</v>
          </cell>
          <cell r="E1044" t="str">
            <v xml:space="preserve">METAL METAL SİYAH PLATİN   </v>
          </cell>
          <cell r="F1044" t="str">
            <v/>
          </cell>
          <cell r="G1044" t="str">
            <v>AVİZE</v>
          </cell>
          <cell r="H1044" t="str">
            <v/>
          </cell>
          <cell r="I1044" t="str">
            <v>İÇ</v>
          </cell>
          <cell r="J1044" t="str">
            <v>AVİZE.SARK</v>
          </cell>
          <cell r="K1044" t="str">
            <v>MAYON</v>
          </cell>
          <cell r="L1044" t="str">
            <v/>
          </cell>
          <cell r="M1044" t="str">
            <v/>
          </cell>
          <cell r="N1044" t="str">
            <v>9126-P</v>
          </cell>
          <cell r="O1044" t="str">
            <v>HEKA</v>
          </cell>
          <cell r="P1044" t="str">
            <v>ADET</v>
          </cell>
          <cell r="Q1044" t="str">
            <v>LED</v>
          </cell>
          <cell r="R1044" t="str">
            <v>METAL</v>
          </cell>
          <cell r="S1044" t="str">
            <v>SİYAH</v>
          </cell>
          <cell r="T1044" t="str">
            <v>METAL</v>
          </cell>
          <cell r="U1044" t="str">
            <v>PLATİN</v>
          </cell>
          <cell r="AD1044" t="str">
            <v>N/A</v>
          </cell>
          <cell r="AE1044" t="str">
            <v>02</v>
          </cell>
          <cell r="AF1044">
            <v>37</v>
          </cell>
          <cell r="AG1044" t="str">
            <v>ADET</v>
          </cell>
          <cell r="AH1044">
            <v>108</v>
          </cell>
          <cell r="AI1044" t="str">
            <v>CNY</v>
          </cell>
          <cell r="AJ1044">
            <v>5415</v>
          </cell>
          <cell r="AK1044" t="str">
            <v>TL</v>
          </cell>
          <cell r="AL1044">
            <v>1</v>
          </cell>
          <cell r="AM1044" t="str">
            <v>8684127507059</v>
          </cell>
          <cell r="AO1044">
            <v>0</v>
          </cell>
          <cell r="AQ1044">
            <v>0</v>
          </cell>
          <cell r="AS1044">
            <v>0</v>
          </cell>
          <cell r="AU1044">
            <v>0</v>
          </cell>
          <cell r="AW1044">
            <v>0</v>
          </cell>
        </row>
        <row r="1045">
          <cell r="B1045" t="str">
            <v>H1W6JME0000-072</v>
          </cell>
          <cell r="C1045" t="str">
            <v>ATHENA ESKİTME LED APLİK 72cm</v>
          </cell>
          <cell r="D1045" t="str">
            <v>ATHENA  BRUSHED BRASS LED WALL LAMP 72cm</v>
          </cell>
          <cell r="E1045" t="str">
            <v xml:space="preserve">METAL YOK ESKİTME YOK   </v>
          </cell>
          <cell r="F1045" t="str">
            <v/>
          </cell>
          <cell r="G1045" t="str">
            <v>AVİZE</v>
          </cell>
          <cell r="H1045" t="str">
            <v/>
          </cell>
          <cell r="I1045" t="str">
            <v>İÇ</v>
          </cell>
          <cell r="J1045" t="str">
            <v>APLİK</v>
          </cell>
          <cell r="K1045" t="str">
            <v>ATHENA</v>
          </cell>
          <cell r="L1045" t="str">
            <v/>
          </cell>
          <cell r="M1045" t="str">
            <v/>
          </cell>
          <cell r="N1045" t="str">
            <v>HKA-102</v>
          </cell>
          <cell r="O1045" t="str">
            <v>HEKA</v>
          </cell>
          <cell r="P1045" t="str">
            <v>ADET</v>
          </cell>
          <cell r="Q1045" t="str">
            <v>LED</v>
          </cell>
          <cell r="R1045" t="str">
            <v>METAL</v>
          </cell>
          <cell r="S1045" t="str">
            <v>ESKİTME</v>
          </cell>
          <cell r="T1045" t="str">
            <v>YOK</v>
          </cell>
          <cell r="U1045" t="str">
            <v>YOK</v>
          </cell>
          <cell r="AD1045" t="str">
            <v>N/A</v>
          </cell>
          <cell r="AE1045" t="str">
            <v>02</v>
          </cell>
          <cell r="AF1045">
            <v>0</v>
          </cell>
          <cell r="AG1045" t="str">
            <v>ADET</v>
          </cell>
          <cell r="AH1045">
            <v>78</v>
          </cell>
          <cell r="AI1045" t="str">
            <v>CNY</v>
          </cell>
          <cell r="AJ1045">
            <v>5600</v>
          </cell>
          <cell r="AK1045" t="str">
            <v>TL</v>
          </cell>
          <cell r="AL1045">
            <v>1</v>
          </cell>
          <cell r="AM1045" t="str">
            <v>8684127507097</v>
          </cell>
          <cell r="AO1045">
            <v>0</v>
          </cell>
          <cell r="AQ1045">
            <v>0</v>
          </cell>
          <cell r="AS1045">
            <v>0</v>
          </cell>
          <cell r="AU1045">
            <v>0</v>
          </cell>
          <cell r="AW1045">
            <v>0</v>
          </cell>
        </row>
        <row r="1046">
          <cell r="B1046" t="str">
            <v>H1C6DRSJME0-025</v>
          </cell>
          <cell r="C1046" t="str">
            <v>ŞALIK ESKİTME SİYAH BETON LED SARKIT 25cm</v>
          </cell>
          <cell r="D1046" t="str">
            <v xml:space="preserve">SALIK  BRUSHED BRASS  BLACK CONCRETE LED PENDANT 25cm </v>
          </cell>
          <cell r="E1046" t="str">
            <v xml:space="preserve">BETON METAL SİYAH ESKİTME   </v>
          </cell>
          <cell r="F1046" t="str">
            <v/>
          </cell>
          <cell r="G1046" t="str">
            <v>AVİZE</v>
          </cell>
          <cell r="H1046" t="str">
            <v/>
          </cell>
          <cell r="I1046" t="str">
            <v>İÇ</v>
          </cell>
          <cell r="J1046" t="str">
            <v>AVİZE.SARK</v>
          </cell>
          <cell r="K1046" t="str">
            <v>ŞALIK</v>
          </cell>
          <cell r="L1046" t="str">
            <v/>
          </cell>
          <cell r="M1046" t="str">
            <v/>
          </cell>
          <cell r="N1046" t="str">
            <v>HKA-116</v>
          </cell>
          <cell r="O1046" t="str">
            <v>HEKA</v>
          </cell>
          <cell r="P1046" t="str">
            <v>ADET</v>
          </cell>
          <cell r="Q1046" t="str">
            <v>LED</v>
          </cell>
          <cell r="R1046" t="str">
            <v>BETON</v>
          </cell>
          <cell r="S1046" t="str">
            <v>SİYAH</v>
          </cell>
          <cell r="T1046" t="str">
            <v>METAL</v>
          </cell>
          <cell r="U1046" t="str">
            <v>ESKİTME</v>
          </cell>
          <cell r="AD1046" t="str">
            <v>N/A</v>
          </cell>
          <cell r="AE1046" t="str">
            <v>02</v>
          </cell>
          <cell r="AF1046">
            <v>22</v>
          </cell>
          <cell r="AG1046" t="str">
            <v>ADET</v>
          </cell>
          <cell r="AH1046">
            <v>115</v>
          </cell>
          <cell r="AI1046" t="str">
            <v>CNY</v>
          </cell>
          <cell r="AJ1046">
            <v>5831</v>
          </cell>
          <cell r="AK1046" t="str">
            <v>TL</v>
          </cell>
          <cell r="AL1046">
            <v>1</v>
          </cell>
          <cell r="AM1046" t="str">
            <v>8684127507165</v>
          </cell>
          <cell r="AO1046">
            <v>0</v>
          </cell>
          <cell r="AQ1046">
            <v>0</v>
          </cell>
          <cell r="AS1046">
            <v>0</v>
          </cell>
          <cell r="AU1046">
            <v>0</v>
          </cell>
          <cell r="AW1046">
            <v>0</v>
          </cell>
        </row>
        <row r="1047">
          <cell r="B1047" t="str">
            <v>H1C6JMELCT0-100</v>
          </cell>
          <cell r="C1047" t="str">
            <v>KULA DÖRTLÜ ÇEMBER ESKİTME LED SARKIT 100cm</v>
          </cell>
          <cell r="D1047" t="str">
            <v>KULA QUATERNARY CIRCLE BRUSHED BRASS LED PENDANT 100cm</v>
          </cell>
          <cell r="E1047" t="str">
            <v xml:space="preserve">METAL PLEKSİ ESKİTME SOFT   </v>
          </cell>
          <cell r="F1047" t="str">
            <v/>
          </cell>
          <cell r="G1047" t="str">
            <v>AVİZE</v>
          </cell>
          <cell r="H1047" t="str">
            <v/>
          </cell>
          <cell r="I1047" t="str">
            <v>İÇ</v>
          </cell>
          <cell r="J1047" t="str">
            <v>AVİZE.PLF</v>
          </cell>
          <cell r="K1047" t="str">
            <v>KULA</v>
          </cell>
          <cell r="L1047" t="str">
            <v/>
          </cell>
          <cell r="M1047" t="str">
            <v/>
          </cell>
          <cell r="N1047" t="str">
            <v>HKA-107</v>
          </cell>
          <cell r="O1047" t="str">
            <v>HEKA</v>
          </cell>
          <cell r="P1047" t="str">
            <v>ADET</v>
          </cell>
          <cell r="Q1047" t="str">
            <v>LED</v>
          </cell>
          <cell r="R1047" t="str">
            <v>METAL</v>
          </cell>
          <cell r="S1047" t="str">
            <v>ESKİTME</v>
          </cell>
          <cell r="T1047" t="str">
            <v>PLEKSİ</v>
          </cell>
          <cell r="U1047" t="str">
            <v>SOFT</v>
          </cell>
          <cell r="AD1047" t="str">
            <v>N/A</v>
          </cell>
          <cell r="AF1047">
            <v>1</v>
          </cell>
          <cell r="AG1047" t="str">
            <v>ADET</v>
          </cell>
          <cell r="AH1047">
            <v>290</v>
          </cell>
          <cell r="AI1047" t="str">
            <v>CNY</v>
          </cell>
          <cell r="AJ1047">
            <v>7176</v>
          </cell>
          <cell r="AK1047" t="str">
            <v>TL</v>
          </cell>
          <cell r="AL1047">
            <v>1</v>
          </cell>
          <cell r="AM1047" t="str">
            <v>8684127507233</v>
          </cell>
          <cell r="AO1047">
            <v>0</v>
          </cell>
          <cell r="AQ1047">
            <v>0</v>
          </cell>
          <cell r="AS1047">
            <v>0</v>
          </cell>
          <cell r="AU1047">
            <v>0</v>
          </cell>
          <cell r="AW1047">
            <v>0</v>
          </cell>
        </row>
        <row r="1048">
          <cell r="B1048" t="str">
            <v>H1C1JMEWRBU-020</v>
          </cell>
          <cell r="C1048" t="str">
            <v>ARGOS BEYAZ MERMER LED SARKIT 20cm</v>
          </cell>
          <cell r="D1048" t="str">
            <v>ARGOS WHITE MARBLE LED PENDANT 20cm</v>
          </cell>
          <cell r="E1048" t="str">
            <v xml:space="preserve">METAL MERMER ESKİTME BEYAZ   </v>
          </cell>
          <cell r="F1048" t="str">
            <v/>
          </cell>
          <cell r="G1048" t="str">
            <v>AVİZE</v>
          </cell>
          <cell r="H1048" t="str">
            <v/>
          </cell>
          <cell r="I1048" t="str">
            <v>İÇ</v>
          </cell>
          <cell r="J1048" t="str">
            <v>AVİZE.SARK</v>
          </cell>
          <cell r="K1048" t="str">
            <v>ARGOS</v>
          </cell>
          <cell r="L1048" t="str">
            <v/>
          </cell>
          <cell r="M1048" t="str">
            <v/>
          </cell>
          <cell r="N1048" t="str">
            <v>HKA-33</v>
          </cell>
          <cell r="O1048" t="str">
            <v>HEKA</v>
          </cell>
          <cell r="P1048" t="str">
            <v>ADET</v>
          </cell>
          <cell r="Q1048" t="str">
            <v>E14</v>
          </cell>
          <cell r="R1048" t="str">
            <v>METAL</v>
          </cell>
          <cell r="S1048" t="str">
            <v>ESKİTME</v>
          </cell>
          <cell r="T1048" t="str">
            <v>MERMER</v>
          </cell>
          <cell r="U1048" t="str">
            <v>BEYAZ</v>
          </cell>
          <cell r="AD1048" t="str">
            <v>ÜÇGEN</v>
          </cell>
          <cell r="AE1048" t="str">
            <v>02</v>
          </cell>
          <cell r="AF1048">
            <v>0</v>
          </cell>
          <cell r="AG1048" t="str">
            <v>ADET</v>
          </cell>
          <cell r="AH1048">
            <v>130</v>
          </cell>
          <cell r="AI1048" t="str">
            <v>CNY</v>
          </cell>
          <cell r="AJ1048">
            <v>7140</v>
          </cell>
          <cell r="AK1048" t="str">
            <v>TL</v>
          </cell>
          <cell r="AL1048">
            <v>1</v>
          </cell>
          <cell r="AM1048" t="str">
            <v>8684127507387</v>
          </cell>
          <cell r="AO1048">
            <v>0</v>
          </cell>
          <cell r="AQ1048">
            <v>0</v>
          </cell>
          <cell r="AS1048">
            <v>0</v>
          </cell>
          <cell r="AU1048">
            <v>0</v>
          </cell>
          <cell r="AW1048">
            <v>0</v>
          </cell>
        </row>
        <row r="1049">
          <cell r="B1049" t="str">
            <v>H1C1JMEECS0-045</v>
          </cell>
          <cell r="C1049" t="str">
            <v>SÜMELA ESKİTME SARKIT 45cm</v>
          </cell>
          <cell r="D1049" t="str">
            <v>SUMELA BRUSHED BRASS PENDANT LAMP 45CM</v>
          </cell>
          <cell r="E1049" t="str">
            <v xml:space="preserve">METAL CAM  ESKİTME ŞEFFAF   </v>
          </cell>
          <cell r="F1049" t="str">
            <v/>
          </cell>
          <cell r="G1049" t="str">
            <v>AVİZE</v>
          </cell>
          <cell r="H1049" t="str">
            <v>FZ1023/S</v>
          </cell>
          <cell r="I1049" t="str">
            <v>İÇ</v>
          </cell>
          <cell r="J1049" t="str">
            <v>AVİZE.SARK</v>
          </cell>
          <cell r="K1049" t="str">
            <v>SÜMELA</v>
          </cell>
          <cell r="L1049" t="str">
            <v/>
          </cell>
          <cell r="M1049" t="str">
            <v/>
          </cell>
          <cell r="N1049" t="str">
            <v/>
          </cell>
          <cell r="O1049" t="str">
            <v>HEKA</v>
          </cell>
          <cell r="P1049" t="str">
            <v>ADET</v>
          </cell>
          <cell r="Q1049" t="str">
            <v>E14</v>
          </cell>
          <cell r="R1049" t="str">
            <v>METAL</v>
          </cell>
          <cell r="S1049" t="str">
            <v>ESKİTME</v>
          </cell>
          <cell r="T1049" t="str">
            <v>CAM</v>
          </cell>
          <cell r="U1049" t="str">
            <v>ŞEFFAF</v>
          </cell>
          <cell r="AD1049" t="str">
            <v>N/A</v>
          </cell>
          <cell r="AE1049" t="str">
            <v>05</v>
          </cell>
          <cell r="AF1049">
            <v>0</v>
          </cell>
          <cell r="AG1049" t="str">
            <v>ADET</v>
          </cell>
          <cell r="AH1049">
            <v>140</v>
          </cell>
          <cell r="AI1049" t="str">
            <v>TL</v>
          </cell>
          <cell r="AJ1049">
            <v>930</v>
          </cell>
          <cell r="AK1049" t="str">
            <v>TL</v>
          </cell>
          <cell r="AL1049">
            <v>1</v>
          </cell>
          <cell r="AO1049">
            <v>0</v>
          </cell>
          <cell r="AQ1049">
            <v>0</v>
          </cell>
          <cell r="AS1049">
            <v>0</v>
          </cell>
          <cell r="AU1049">
            <v>0</v>
          </cell>
          <cell r="AW1049">
            <v>0</v>
          </cell>
        </row>
        <row r="1050">
          <cell r="B1050" t="str">
            <v>H1C4JMG000P-080</v>
          </cell>
          <cell r="C1050" t="str">
            <v>HATİLA ALTIN SALON SARKIT  AVİZE</v>
          </cell>
          <cell r="D1050" t="str">
            <v>HATILA LIVING ROOM GOLD PENDANT CHANDELIER</v>
          </cell>
          <cell r="E1050" t="str">
            <v xml:space="preserve">METAL YOK GOLD YOK   </v>
          </cell>
          <cell r="F1050" t="str">
            <v>9405.19.90.00.00</v>
          </cell>
          <cell r="G1050" t="str">
            <v>AVİZE</v>
          </cell>
          <cell r="H1050" t="str">
            <v/>
          </cell>
          <cell r="I1050" t="str">
            <v>İÇ</v>
          </cell>
          <cell r="J1050" t="str">
            <v>AVİZE.AVİZ</v>
          </cell>
          <cell r="K1050" t="str">
            <v>HATİLA</v>
          </cell>
          <cell r="L1050" t="str">
            <v/>
          </cell>
          <cell r="M1050" t="str">
            <v/>
          </cell>
          <cell r="N1050" t="str">
            <v>HKA-209</v>
          </cell>
          <cell r="O1050" t="str">
            <v>HEKA</v>
          </cell>
          <cell r="P1050" t="str">
            <v>ADET</v>
          </cell>
          <cell r="Q1050" t="str">
            <v>G4</v>
          </cell>
          <cell r="R1050" t="str">
            <v>METAL</v>
          </cell>
          <cell r="S1050" t="str">
            <v>GOLD</v>
          </cell>
          <cell r="T1050" t="str">
            <v>YOK</v>
          </cell>
          <cell r="U1050" t="str">
            <v>YOK</v>
          </cell>
          <cell r="AD1050" t="str">
            <v>POLİGONAL</v>
          </cell>
          <cell r="AE1050" t="str">
            <v>12</v>
          </cell>
          <cell r="AF1050">
            <v>0</v>
          </cell>
          <cell r="AG1050" t="str">
            <v>ADET</v>
          </cell>
          <cell r="AH1050">
            <v>2200</v>
          </cell>
          <cell r="AI1050" t="str">
            <v>CNY</v>
          </cell>
          <cell r="AJ1050">
            <v>85000</v>
          </cell>
          <cell r="AK1050" t="str">
            <v>TL</v>
          </cell>
          <cell r="AL1050">
            <v>1</v>
          </cell>
          <cell r="AM1050" t="str">
            <v>8684127510486</v>
          </cell>
          <cell r="AO1050">
            <v>0</v>
          </cell>
          <cell r="AQ1050">
            <v>0</v>
          </cell>
          <cell r="AS1050">
            <v>0</v>
          </cell>
          <cell r="AU1050">
            <v>0</v>
          </cell>
          <cell r="AW1050">
            <v>0</v>
          </cell>
        </row>
        <row r="1051">
          <cell r="B1051" t="str">
            <v>CM3G2P3T2D9G1</v>
          </cell>
          <cell r="C1051" t="str">
            <v>ERD-287 MISIR ŞEFFAF 5W ÜÇ RENKLİ G9 LED AMPUL</v>
          </cell>
          <cell r="D1051" t="str">
            <v>ERD-287 CLEAR CORN 5W THREE COLOR G9 LED BULB</v>
          </cell>
          <cell r="E1051" t="str">
            <v xml:space="preserve">SMD LED ÜÇ RENKLİ PLASTİK 220v   </v>
          </cell>
          <cell r="F1051" t="str">
            <v/>
          </cell>
          <cell r="G1051" t="str">
            <v>AMPUL</v>
          </cell>
          <cell r="H1051" t="str">
            <v/>
          </cell>
          <cell r="I1051" t="str">
            <v>İÇ</v>
          </cell>
          <cell r="J1051" t="str">
            <v>AMPUL</v>
          </cell>
          <cell r="K1051" t="str">
            <v>ERD-287</v>
          </cell>
          <cell r="L1051" t="str">
            <v/>
          </cell>
          <cell r="M1051" t="str">
            <v/>
          </cell>
          <cell r="N1051" t="str">
            <v>ERD-287</v>
          </cell>
          <cell r="O1051" t="str">
            <v>HEKA</v>
          </cell>
          <cell r="P1051" t="str">
            <v>ADET</v>
          </cell>
          <cell r="Q1051" t="str">
            <v>G9</v>
          </cell>
          <cell r="R1051" t="str">
            <v>PLASTİK</v>
          </cell>
          <cell r="S1051" t="str">
            <v>ŞEFFAF</v>
          </cell>
          <cell r="V1051" t="str">
            <v>G</v>
          </cell>
          <cell r="W1051" t="str">
            <v>SMD LED</v>
          </cell>
          <cell r="X1051" t="str">
            <v>220V</v>
          </cell>
          <cell r="Y1051" t="str">
            <v>5 WATT</v>
          </cell>
          <cell r="Z1051" t="str">
            <v>3000-4000-6500K</v>
          </cell>
          <cell r="AA1051" t="str">
            <v>DIMMLI</v>
          </cell>
          <cell r="AB1051" t="str">
            <v>101-200</v>
          </cell>
          <cell r="AC1051" t="str">
            <v>MISIR</v>
          </cell>
          <cell r="AD1051" t="str">
            <v>ÜÇ RENKLİ</v>
          </cell>
          <cell r="AF1051">
            <v>3</v>
          </cell>
          <cell r="AG1051" t="str">
            <v>ADET</v>
          </cell>
          <cell r="AH1051">
            <v>0.22</v>
          </cell>
          <cell r="AI1051" t="str">
            <v>USD</v>
          </cell>
          <cell r="AJ1051">
            <v>2.4</v>
          </cell>
          <cell r="AK1051" t="str">
            <v>USD</v>
          </cell>
          <cell r="AL1051">
            <v>1</v>
          </cell>
          <cell r="AM1051" t="str">
            <v>8684127510844</v>
          </cell>
          <cell r="AN1051" t="str">
            <v>8684127510905</v>
          </cell>
          <cell r="AO1051">
            <v>0</v>
          </cell>
          <cell r="AQ1051">
            <v>0</v>
          </cell>
          <cell r="AS1051">
            <v>0</v>
          </cell>
          <cell r="AU1051">
            <v>0</v>
          </cell>
          <cell r="AW1051">
            <v>0</v>
          </cell>
        </row>
        <row r="1052">
          <cell r="B1052" t="str">
            <v>CM3G2P3E2F5J1</v>
          </cell>
          <cell r="C1052" t="str">
            <v>ERD-289 UZUN MISIR ŞEFFAF 7 W 3000K G9 LED AMPUL</v>
          </cell>
          <cell r="D1052" t="str">
            <v>ERD-289 CLEAR LONG CORN 7W  3000K G9 LED BULB</v>
          </cell>
          <cell r="E1052" t="str">
            <v xml:space="preserve">SMD LED UZUN PLASTİK 220v   </v>
          </cell>
          <cell r="F1052" t="str">
            <v/>
          </cell>
          <cell r="G1052" t="str">
            <v>AMPUL</v>
          </cell>
          <cell r="H1052" t="str">
            <v/>
          </cell>
          <cell r="I1052" t="str">
            <v>İÇ</v>
          </cell>
          <cell r="J1052" t="str">
            <v>AMPUL</v>
          </cell>
          <cell r="K1052" t="str">
            <v>ERD-289</v>
          </cell>
          <cell r="L1052" t="str">
            <v/>
          </cell>
          <cell r="M1052" t="str">
            <v>20.03.2026</v>
          </cell>
          <cell r="N1052" t="str">
            <v>ERD-289</v>
          </cell>
          <cell r="O1052" t="str">
            <v>HEKA</v>
          </cell>
          <cell r="P1052" t="str">
            <v>ADET</v>
          </cell>
          <cell r="Q1052" t="str">
            <v>G9</v>
          </cell>
          <cell r="R1052" t="str">
            <v>PLASTİK</v>
          </cell>
          <cell r="S1052" t="str">
            <v>ŞEFFAF</v>
          </cell>
          <cell r="V1052" t="str">
            <v>G</v>
          </cell>
          <cell r="W1052" t="str">
            <v>SMD LED</v>
          </cell>
          <cell r="X1052" t="str">
            <v>220V</v>
          </cell>
          <cell r="Y1052" t="str">
            <v>7 WATT</v>
          </cell>
          <cell r="Z1052" t="str">
            <v>3000 K</v>
          </cell>
          <cell r="AA1052" t="str">
            <v>DIMMLI</v>
          </cell>
          <cell r="AB1052" t="str">
            <v>401-500</v>
          </cell>
          <cell r="AC1052" t="str">
            <v>MISIR</v>
          </cell>
          <cell r="AF1052">
            <v>1200</v>
          </cell>
          <cell r="AG1052" t="str">
            <v>ADET</v>
          </cell>
          <cell r="AH1052">
            <v>2.4</v>
          </cell>
          <cell r="AI1052" t="str">
            <v>CNY</v>
          </cell>
          <cell r="AJ1052">
            <v>1.8</v>
          </cell>
          <cell r="AK1052" t="str">
            <v>USD</v>
          </cell>
          <cell r="AL1052">
            <v>0</v>
          </cell>
          <cell r="AM1052" t="str">
            <v>8684127510868</v>
          </cell>
          <cell r="AN1052" t="str">
            <v>8684127510929</v>
          </cell>
          <cell r="AO1052">
            <v>0</v>
          </cell>
          <cell r="AQ1052">
            <v>0</v>
          </cell>
          <cell r="AS1052">
            <v>0</v>
          </cell>
          <cell r="AU1052">
            <v>0</v>
          </cell>
          <cell r="AW1052">
            <v>0</v>
          </cell>
        </row>
        <row r="1053">
          <cell r="B1053" t="str">
            <v>ERD-34</v>
          </cell>
          <cell r="C1053" t="str">
            <v>HEKA Led Ampul 6W 2500K E14 ( Gün Işığı ) ( BAL CA</v>
          </cell>
          <cell r="D1053" t="str">
            <v/>
          </cell>
          <cell r="E1053" t="str">
            <v/>
          </cell>
          <cell r="F1053" t="str">
            <v/>
          </cell>
          <cell r="G1053" t="str">
            <v/>
          </cell>
          <cell r="H1053" t="str">
            <v/>
          </cell>
          <cell r="I1053" t="str">
            <v/>
          </cell>
          <cell r="J1053" t="str">
            <v/>
          </cell>
          <cell r="K1053" t="str">
            <v/>
          </cell>
          <cell r="L1053" t="str">
            <v/>
          </cell>
          <cell r="M1053" t="str">
            <v/>
          </cell>
          <cell r="N1053" t="str">
            <v/>
          </cell>
          <cell r="P1053" t="str">
            <v>ADET</v>
          </cell>
          <cell r="AG1053" t="str">
            <v>ADET</v>
          </cell>
          <cell r="AL1053">
            <v>0</v>
          </cell>
          <cell r="AO1053">
            <v>0</v>
          </cell>
          <cell r="AQ1053">
            <v>0</v>
          </cell>
          <cell r="AS1053">
            <v>0</v>
          </cell>
          <cell r="AU1053">
            <v>0</v>
          </cell>
          <cell r="AW1053">
            <v>0</v>
          </cell>
        </row>
        <row r="1054">
          <cell r="B1054" t="str">
            <v>H1W6BCOJRSC-014</v>
          </cell>
          <cell r="C1054" t="str">
            <v>VESTA TEKLİ SİYAH LED APLİK</v>
          </cell>
          <cell r="D1054" t="str">
            <v>VESTA SINGLE BLACK LED SCONCE</v>
          </cell>
          <cell r="E1054" t="str">
            <v>CAM  METAL SOFT SİYAH</v>
          </cell>
          <cell r="F1054" t="str">
            <v/>
          </cell>
          <cell r="G1054" t="str">
            <v>APLİK</v>
          </cell>
          <cell r="H1054" t="str">
            <v/>
          </cell>
          <cell r="I1054" t="str">
            <v>İÇ</v>
          </cell>
          <cell r="J1054" t="str">
            <v>APLİK</v>
          </cell>
          <cell r="K1054" t="str">
            <v>VESTA</v>
          </cell>
          <cell r="L1054" t="str">
            <v/>
          </cell>
          <cell r="M1054" t="str">
            <v/>
          </cell>
          <cell r="N1054" t="str">
            <v>HKA-24132</v>
          </cell>
          <cell r="O1054" t="str">
            <v>HEKA</v>
          </cell>
          <cell r="P1054" t="str">
            <v>ADET</v>
          </cell>
          <cell r="Q1054" t="str">
            <v>LED</v>
          </cell>
          <cell r="R1054" t="str">
            <v>AKRİLİK</v>
          </cell>
          <cell r="S1054" t="str">
            <v>OPAL</v>
          </cell>
          <cell r="T1054" t="str">
            <v>METAL</v>
          </cell>
          <cell r="U1054" t="str">
            <v>SİYAH</v>
          </cell>
          <cell r="AD1054" t="str">
            <v>SİLİNDİR</v>
          </cell>
          <cell r="AF1054">
            <v>11</v>
          </cell>
          <cell r="AG1054" t="str">
            <v>ADET</v>
          </cell>
          <cell r="AH1054">
            <v>21</v>
          </cell>
          <cell r="AI1054" t="str">
            <v>CNY</v>
          </cell>
          <cell r="AJ1054">
            <v>1950</v>
          </cell>
          <cell r="AK1054" t="str">
            <v>TL</v>
          </cell>
          <cell r="AL1054">
            <v>0</v>
          </cell>
          <cell r="AM1054" t="str">
            <v>8684127518956</v>
          </cell>
          <cell r="AO1054">
            <v>0</v>
          </cell>
          <cell r="AQ1054">
            <v>0</v>
          </cell>
          <cell r="AS1054">
            <v>0</v>
          </cell>
          <cell r="AU1054">
            <v>0</v>
          </cell>
          <cell r="AW1054">
            <v>0</v>
          </cell>
        </row>
        <row r="1055">
          <cell r="B1055" t="str">
            <v>H1W6JMEECSM-065</v>
          </cell>
          <cell r="C1055" t="str">
            <v>OMEGA İKİLİ ŞEFFAF CAMLI ESKİTME APLİK</v>
          </cell>
          <cell r="D1055" t="str">
            <v>OMEGA DOUBLE TRANSPARENT GLASS BRUSHED BRASS WALL LAMP</v>
          </cell>
          <cell r="E1055" t="str">
            <v>METAL CAM ESKİTME ŞEFFAF</v>
          </cell>
          <cell r="F1055" t="str">
            <v>9405.19.90.00.00</v>
          </cell>
          <cell r="G1055" t="str">
            <v>APLİK</v>
          </cell>
          <cell r="H1055" t="str">
            <v>T1W3116200-31</v>
          </cell>
          <cell r="I1055" t="str">
            <v>İÇ</v>
          </cell>
          <cell r="J1055" t="str">
            <v>APLİK</v>
          </cell>
          <cell r="K1055" t="str">
            <v>OMEGA</v>
          </cell>
          <cell r="L1055" t="str">
            <v/>
          </cell>
          <cell r="M1055" t="str">
            <v/>
          </cell>
          <cell r="N1055" t="str">
            <v>HKA-23001</v>
          </cell>
          <cell r="O1055" t="str">
            <v>HEKA</v>
          </cell>
          <cell r="P1055" t="str">
            <v>ADET</v>
          </cell>
          <cell r="Q1055" t="str">
            <v>LED</v>
          </cell>
          <cell r="R1055" t="str">
            <v>METAL</v>
          </cell>
          <cell r="S1055" t="str">
            <v>ESKİTME</v>
          </cell>
          <cell r="T1055" t="str">
            <v>CAM</v>
          </cell>
          <cell r="U1055" t="str">
            <v>ŞEFFAF</v>
          </cell>
          <cell r="AD1055" t="str">
            <v>ÇİFT AYDINLATMA</v>
          </cell>
          <cell r="AE1055" t="str">
            <v>03</v>
          </cell>
          <cell r="AF1055">
            <v>0</v>
          </cell>
          <cell r="AG1055" t="str">
            <v>ADET</v>
          </cell>
          <cell r="AH1055">
            <v>200</v>
          </cell>
          <cell r="AI1055" t="str">
            <v>CNY</v>
          </cell>
          <cell r="AJ1055">
            <v>11526</v>
          </cell>
          <cell r="AK1055" t="str">
            <v>TL</v>
          </cell>
          <cell r="AL1055">
            <v>1</v>
          </cell>
          <cell r="AM1055" t="str">
            <v>8684127511025</v>
          </cell>
          <cell r="AO1055">
            <v>2</v>
          </cell>
          <cell r="AP1055" t="str">
            <v>KG</v>
          </cell>
          <cell r="AQ1055">
            <v>17</v>
          </cell>
          <cell r="AR1055" t="str">
            <v>CM</v>
          </cell>
          <cell r="AS1055">
            <v>10</v>
          </cell>
          <cell r="AT1055" t="str">
            <v>CM</v>
          </cell>
          <cell r="AU1055">
            <v>0</v>
          </cell>
          <cell r="AW1055">
            <v>0</v>
          </cell>
        </row>
        <row r="1056">
          <cell r="B1056" t="str">
            <v>H1C6JMEECS0-068</v>
          </cell>
          <cell r="C1056" t="str">
            <v>OMEGA ALTI ŞEFFAF CAMLI ESKİTME SARKIT AVİZE</v>
          </cell>
          <cell r="D1056" t="str">
            <v>OMEGA SIX TRANSPARENT GLASS BRUSHED BRASS PENDANT CHANDELIER</v>
          </cell>
          <cell r="E1056" t="str">
            <v>METAL CAM ESKİTME ŞEFFAF</v>
          </cell>
          <cell r="F1056" t="str">
            <v>9405.19.90.00.00</v>
          </cell>
          <cell r="G1056" t="str">
            <v>AVİZE</v>
          </cell>
          <cell r="H1056" t="str">
            <v>T1W3116200-31</v>
          </cell>
          <cell r="I1056" t="str">
            <v>İÇ</v>
          </cell>
          <cell r="J1056" t="str">
            <v>AVİZE.SARK</v>
          </cell>
          <cell r="K1056" t="str">
            <v>OMEGA</v>
          </cell>
          <cell r="L1056" t="str">
            <v/>
          </cell>
          <cell r="M1056" t="str">
            <v/>
          </cell>
          <cell r="N1056" t="str">
            <v>HKA-23003</v>
          </cell>
          <cell r="O1056" t="str">
            <v>HEKA</v>
          </cell>
          <cell r="P1056" t="str">
            <v>ADET</v>
          </cell>
          <cell r="Q1056" t="str">
            <v>LED</v>
          </cell>
          <cell r="R1056" t="str">
            <v>METAL</v>
          </cell>
          <cell r="S1056" t="str">
            <v>ESKİTME</v>
          </cell>
          <cell r="T1056" t="str">
            <v>CAM</v>
          </cell>
          <cell r="U1056" t="str">
            <v>ŞEFFAF</v>
          </cell>
          <cell r="AD1056" t="str">
            <v>N/A</v>
          </cell>
          <cell r="AE1056" t="str">
            <v>07</v>
          </cell>
          <cell r="AF1056">
            <v>6</v>
          </cell>
          <cell r="AG1056" t="str">
            <v>ADET</v>
          </cell>
          <cell r="AH1056">
            <v>520</v>
          </cell>
          <cell r="AI1056" t="str">
            <v>CNY</v>
          </cell>
          <cell r="AJ1056">
            <v>30090</v>
          </cell>
          <cell r="AK1056" t="str">
            <v>TL</v>
          </cell>
          <cell r="AL1056">
            <v>1</v>
          </cell>
          <cell r="AM1056" t="str">
            <v>8684127511049</v>
          </cell>
          <cell r="AO1056">
            <v>6.2</v>
          </cell>
          <cell r="AP1056" t="str">
            <v>KG</v>
          </cell>
          <cell r="AQ1056">
            <v>67.5</v>
          </cell>
          <cell r="AR1056" t="str">
            <v>CM</v>
          </cell>
          <cell r="AS1056">
            <v>29</v>
          </cell>
          <cell r="AT1056" t="str">
            <v>CM</v>
          </cell>
          <cell r="AU1056">
            <v>0</v>
          </cell>
          <cell r="AW1056">
            <v>0</v>
          </cell>
        </row>
        <row r="1057">
          <cell r="B1057" t="str">
            <v>H1C6JMGBCS0-033</v>
          </cell>
          <cell r="C1057" t="str">
            <v>CARİNA TEKLİ BASIK ŞEFFAF AKRİLİK ALTIN SARKIT 30c</v>
          </cell>
          <cell r="D1057" t="str">
            <v>CARİNA SINGLE FLATTENED CLEAR ACRYLIC GOLD PENDANT LAMP 30cm</v>
          </cell>
          <cell r="E1057" t="str">
            <v xml:space="preserve">METAL AKRİLİK GOLD ŞEFFAF   </v>
          </cell>
          <cell r="F1057" t="str">
            <v>9405.11.90.00.00</v>
          </cell>
          <cell r="G1057" t="str">
            <v>AVİZE</v>
          </cell>
          <cell r="H1057" t="str">
            <v>T1A6241100-03</v>
          </cell>
          <cell r="I1057" t="str">
            <v>İÇ</v>
          </cell>
          <cell r="J1057" t="str">
            <v>AVİZE.SARK</v>
          </cell>
          <cell r="K1057" t="str">
            <v>CARİNA</v>
          </cell>
          <cell r="L1057" t="str">
            <v/>
          </cell>
          <cell r="M1057" t="str">
            <v/>
          </cell>
          <cell r="N1057" t="str">
            <v>HKA-23012</v>
          </cell>
          <cell r="O1057" t="str">
            <v>HEKA</v>
          </cell>
          <cell r="P1057" t="str">
            <v>ADET</v>
          </cell>
          <cell r="Q1057" t="str">
            <v>LED</v>
          </cell>
          <cell r="R1057" t="str">
            <v>METAL</v>
          </cell>
          <cell r="S1057" t="str">
            <v>GOLD</v>
          </cell>
          <cell r="T1057" t="str">
            <v>AKRİLİK</v>
          </cell>
          <cell r="U1057" t="str">
            <v>ŞEFFAF</v>
          </cell>
          <cell r="AD1057" t="str">
            <v>N/A</v>
          </cell>
          <cell r="AF1057">
            <v>47</v>
          </cell>
          <cell r="AG1057" t="str">
            <v>ADET</v>
          </cell>
          <cell r="AH1057">
            <v>315</v>
          </cell>
          <cell r="AI1057" t="str">
            <v>CNY</v>
          </cell>
          <cell r="AJ1057">
            <v>17600</v>
          </cell>
          <cell r="AK1057" t="str">
            <v>TL</v>
          </cell>
          <cell r="AL1057">
            <v>1</v>
          </cell>
          <cell r="AM1057" t="str">
            <v>8684127511117</v>
          </cell>
          <cell r="AO1057">
            <v>2</v>
          </cell>
          <cell r="AP1057" t="str">
            <v>KG</v>
          </cell>
          <cell r="AQ1057">
            <v>500</v>
          </cell>
          <cell r="AR1057" t="str">
            <v>CM</v>
          </cell>
          <cell r="AS1057">
            <v>33</v>
          </cell>
          <cell r="AT1057" t="str">
            <v>CM</v>
          </cell>
          <cell r="AU1057">
            <v>0</v>
          </cell>
          <cell r="AW1057">
            <v>0</v>
          </cell>
        </row>
        <row r="1058">
          <cell r="B1058" t="str">
            <v>H1C6JMGBCS0-060</v>
          </cell>
          <cell r="C1058" t="str">
            <v>CARİNA TEKLİ BASIK ŞEFFAF AKRİLİK ALTIN SARKIT 60c</v>
          </cell>
          <cell r="D1058" t="str">
            <v>CARİNA SINGLE FLATTENED CLEAR ACRYLIC GOLD PENDANT LAMP 60cm</v>
          </cell>
          <cell r="E1058" t="str">
            <v xml:space="preserve">METAL AKRİLİK GOLD ŞEFFAF   </v>
          </cell>
          <cell r="F1058" t="str">
            <v>9405.11.90.00.00</v>
          </cell>
          <cell r="G1058" t="str">
            <v>AVİZE</v>
          </cell>
          <cell r="H1058" t="str">
            <v>T1A6241100-03</v>
          </cell>
          <cell r="I1058" t="str">
            <v>İÇ</v>
          </cell>
          <cell r="J1058" t="str">
            <v>AVİZE.SARK</v>
          </cell>
          <cell r="K1058" t="str">
            <v>CARİNA</v>
          </cell>
          <cell r="L1058" t="str">
            <v/>
          </cell>
          <cell r="M1058" t="str">
            <v/>
          </cell>
          <cell r="N1058" t="str">
            <v>HKA-23014</v>
          </cell>
          <cell r="O1058" t="str">
            <v>HEKA</v>
          </cell>
          <cell r="P1058" t="str">
            <v>ADET</v>
          </cell>
          <cell r="Q1058" t="str">
            <v>LED</v>
          </cell>
          <cell r="R1058" t="str">
            <v>METAL</v>
          </cell>
          <cell r="S1058" t="str">
            <v>GOLD</v>
          </cell>
          <cell r="T1058" t="str">
            <v>AKRİLİK</v>
          </cell>
          <cell r="U1058" t="str">
            <v>ŞEFFAF</v>
          </cell>
          <cell r="AD1058" t="str">
            <v>N/A</v>
          </cell>
          <cell r="AF1058">
            <v>6</v>
          </cell>
          <cell r="AG1058" t="str">
            <v>ADET</v>
          </cell>
          <cell r="AH1058">
            <v>540</v>
          </cell>
          <cell r="AI1058" t="str">
            <v>CNY</v>
          </cell>
          <cell r="AJ1058">
            <v>29900</v>
          </cell>
          <cell r="AK1058" t="str">
            <v>TL</v>
          </cell>
          <cell r="AL1058">
            <v>1</v>
          </cell>
          <cell r="AM1058" t="str">
            <v>8684127511131</v>
          </cell>
          <cell r="AO1058">
            <v>3</v>
          </cell>
          <cell r="AP1058" t="str">
            <v>KG</v>
          </cell>
          <cell r="AQ1058">
            <v>500</v>
          </cell>
          <cell r="AR1058" t="str">
            <v>CM</v>
          </cell>
          <cell r="AS1058">
            <v>60</v>
          </cell>
          <cell r="AT1058" t="str">
            <v>CM</v>
          </cell>
          <cell r="AU1058">
            <v>0</v>
          </cell>
          <cell r="AW1058">
            <v>0</v>
          </cell>
        </row>
        <row r="1059">
          <cell r="B1059" t="str">
            <v>CA2G5C1M2B26000</v>
          </cell>
          <cell r="C1059" t="str">
            <v>ERD-294 PERİ LED BAL CAM 3W 2200K E27 AMPUL</v>
          </cell>
          <cell r="D1059" t="str">
            <v>ERD-294 FAIRY LED AMBER GLASS 3W 2200K E27  BULB</v>
          </cell>
          <cell r="E1059" t="str">
            <v xml:space="preserve">PERİ LED METAL CAM  220v   </v>
          </cell>
          <cell r="F1059" t="str">
            <v/>
          </cell>
          <cell r="G1059" t="str">
            <v>AMPUL</v>
          </cell>
          <cell r="H1059" t="str">
            <v/>
          </cell>
          <cell r="I1059" t="str">
            <v>İÇ</v>
          </cell>
          <cell r="J1059" t="str">
            <v>AMPUL</v>
          </cell>
          <cell r="K1059" t="str">
            <v>ERD-294</v>
          </cell>
          <cell r="L1059" t="str">
            <v/>
          </cell>
          <cell r="M1059" t="str">
            <v>05.02.2024</v>
          </cell>
          <cell r="N1059" t="str">
            <v>ERD-294</v>
          </cell>
          <cell r="O1059" t="str">
            <v>HEKA</v>
          </cell>
          <cell r="P1059" t="str">
            <v>ADET</v>
          </cell>
          <cell r="Q1059" t="str">
            <v>E27</v>
          </cell>
          <cell r="R1059" t="str">
            <v>CAM</v>
          </cell>
          <cell r="S1059" t="str">
            <v>BAL</v>
          </cell>
          <cell r="T1059" t="str">
            <v>METAL</v>
          </cell>
          <cell r="V1059" t="str">
            <v>G</v>
          </cell>
          <cell r="W1059" t="str">
            <v>PERİ LED</v>
          </cell>
          <cell r="X1059" t="str">
            <v>220V</v>
          </cell>
          <cell r="Y1059" t="str">
            <v>3 WATT</v>
          </cell>
          <cell r="Z1059" t="str">
            <v>2500 K</v>
          </cell>
          <cell r="AA1059" t="str">
            <v>DIMMSIZ</v>
          </cell>
          <cell r="AB1059" t="str">
            <v>0-100</v>
          </cell>
          <cell r="AC1059" t="str">
            <v>A60</v>
          </cell>
          <cell r="AF1059">
            <v>0</v>
          </cell>
          <cell r="AG1059" t="str">
            <v>ADET</v>
          </cell>
          <cell r="AH1059">
            <v>7.8</v>
          </cell>
          <cell r="AI1059" t="str">
            <v>CNY</v>
          </cell>
          <cell r="AJ1059">
            <v>199</v>
          </cell>
          <cell r="AK1059" t="str">
            <v>TL</v>
          </cell>
          <cell r="AL1059">
            <v>0</v>
          </cell>
          <cell r="AM1059" t="str">
            <v>8684127511346</v>
          </cell>
          <cell r="AO1059">
            <v>0</v>
          </cell>
          <cell r="AQ1059">
            <v>0</v>
          </cell>
          <cell r="AS1059">
            <v>0</v>
          </cell>
          <cell r="AU1059">
            <v>0</v>
          </cell>
          <cell r="AW1059">
            <v>0</v>
          </cell>
        </row>
        <row r="1060">
          <cell r="B1060" t="str">
            <v>CK2G6C2M2E3H0GD</v>
          </cell>
          <cell r="C1060" t="str">
            <v xml:space="preserve">ERD-301 ŞERİT FİLAMENT LED FÜME CAM 6W 2500K E27 </v>
          </cell>
          <cell r="D1060" t="str">
            <v>ERD-301 STRIP FILAMENT LED SMOKY GLASS 6W 2500K E27 BULB</v>
          </cell>
          <cell r="E1060" t="str">
            <v xml:space="preserve">ŞERİT FİLAMENT METAL CAM  220v   </v>
          </cell>
          <cell r="F1060" t="str">
            <v/>
          </cell>
          <cell r="G1060" t="str">
            <v>AMPUL</v>
          </cell>
          <cell r="H1060" t="str">
            <v/>
          </cell>
          <cell r="I1060" t="str">
            <v>İÇ</v>
          </cell>
          <cell r="J1060" t="str">
            <v>AMPUL</v>
          </cell>
          <cell r="K1060" t="str">
            <v>ERD-301</v>
          </cell>
          <cell r="L1060" t="str">
            <v/>
          </cell>
          <cell r="M1060" t="str">
            <v/>
          </cell>
          <cell r="N1060" t="str">
            <v>ERD-301</v>
          </cell>
          <cell r="O1060" t="str">
            <v>HEKA</v>
          </cell>
          <cell r="P1060" t="str">
            <v>ADET</v>
          </cell>
          <cell r="Q1060" t="str">
            <v>E27</v>
          </cell>
          <cell r="R1060" t="str">
            <v>CAM</v>
          </cell>
          <cell r="S1060" t="str">
            <v>FÜME</v>
          </cell>
          <cell r="T1060" t="str">
            <v>METAL</v>
          </cell>
          <cell r="V1060" t="str">
            <v>G</v>
          </cell>
          <cell r="W1060" t="str">
            <v>ŞERİT FİLAMENT</v>
          </cell>
          <cell r="X1060" t="str">
            <v>220V</v>
          </cell>
          <cell r="Y1060" t="str">
            <v>6 WATT</v>
          </cell>
          <cell r="Z1060" t="str">
            <v>2500 K</v>
          </cell>
          <cell r="AA1060" t="str">
            <v>DIMMSIZ</v>
          </cell>
          <cell r="AB1060" t="str">
            <v>301-400</v>
          </cell>
          <cell r="AC1060" t="str">
            <v>KARMA</v>
          </cell>
          <cell r="AF1060">
            <v>116</v>
          </cell>
          <cell r="AG1060" t="str">
            <v>ADET</v>
          </cell>
          <cell r="AH1060">
            <v>50.5</v>
          </cell>
          <cell r="AI1060" t="str">
            <v>CNY</v>
          </cell>
          <cell r="AJ1060">
            <v>46</v>
          </cell>
          <cell r="AK1060" t="str">
            <v>USD</v>
          </cell>
          <cell r="AL1060">
            <v>0</v>
          </cell>
          <cell r="AM1060" t="str">
            <v>8684127511414</v>
          </cell>
          <cell r="AO1060">
            <v>0</v>
          </cell>
          <cell r="AQ1060">
            <v>0</v>
          </cell>
          <cell r="AS1060">
            <v>0</v>
          </cell>
          <cell r="AU1060">
            <v>0</v>
          </cell>
          <cell r="AW1060">
            <v>0</v>
          </cell>
        </row>
        <row r="1061">
          <cell r="B1061" t="str">
            <v>CK2G6C2M2E3H0GG</v>
          </cell>
          <cell r="C1061" t="str">
            <v xml:space="preserve">ERD-303 ŞERİT FİLAMENT LED FÜME CAM 6W 2500K E27 </v>
          </cell>
          <cell r="D1061" t="str">
            <v>ERD-303 STRIP FILAMENT LED SMOKY GLASS 6W 2500K E27 BULB</v>
          </cell>
          <cell r="E1061" t="str">
            <v xml:space="preserve">ŞERİT FİLAMENT METAL CAM  220v   </v>
          </cell>
          <cell r="F1061" t="str">
            <v/>
          </cell>
          <cell r="G1061" t="str">
            <v>AMPUL</v>
          </cell>
          <cell r="H1061" t="str">
            <v/>
          </cell>
          <cell r="I1061" t="str">
            <v>İÇ</v>
          </cell>
          <cell r="J1061" t="str">
            <v>AMPUL</v>
          </cell>
          <cell r="K1061" t="str">
            <v>ERD-303</v>
          </cell>
          <cell r="L1061" t="str">
            <v/>
          </cell>
          <cell r="M1061" t="str">
            <v/>
          </cell>
          <cell r="N1061" t="str">
            <v>ERD-303</v>
          </cell>
          <cell r="O1061" t="str">
            <v>HEKA</v>
          </cell>
          <cell r="P1061" t="str">
            <v>ADET</v>
          </cell>
          <cell r="Q1061" t="str">
            <v>E27</v>
          </cell>
          <cell r="R1061" t="str">
            <v>CAM</v>
          </cell>
          <cell r="S1061" t="str">
            <v>FÜME</v>
          </cell>
          <cell r="T1061" t="str">
            <v>METAL</v>
          </cell>
          <cell r="V1061" t="str">
            <v>G</v>
          </cell>
          <cell r="W1061" t="str">
            <v>ŞERİT FİLAMENT</v>
          </cell>
          <cell r="X1061" t="str">
            <v>220V</v>
          </cell>
          <cell r="Y1061" t="str">
            <v>6 WATT</v>
          </cell>
          <cell r="Z1061" t="str">
            <v>2500 K</v>
          </cell>
          <cell r="AA1061" t="str">
            <v>DIMMSIZ</v>
          </cell>
          <cell r="AB1061" t="str">
            <v>301-400</v>
          </cell>
          <cell r="AC1061" t="str">
            <v>KARMA</v>
          </cell>
          <cell r="AF1061">
            <v>110</v>
          </cell>
          <cell r="AG1061" t="str">
            <v>ADET</v>
          </cell>
          <cell r="AH1061">
            <v>44.5</v>
          </cell>
          <cell r="AI1061" t="str">
            <v>CNY</v>
          </cell>
          <cell r="AJ1061">
            <v>36</v>
          </cell>
          <cell r="AK1061" t="str">
            <v>USD</v>
          </cell>
          <cell r="AL1061">
            <v>1</v>
          </cell>
          <cell r="AM1061" t="str">
            <v>8684127511438</v>
          </cell>
          <cell r="AO1061">
            <v>0</v>
          </cell>
          <cell r="AQ1061">
            <v>0</v>
          </cell>
          <cell r="AS1061">
            <v>0</v>
          </cell>
          <cell r="AU1061">
            <v>0</v>
          </cell>
          <cell r="AW1061">
            <v>0</v>
          </cell>
        </row>
        <row r="1062">
          <cell r="B1062" t="str">
            <v>H1W3JMEWRBE-040</v>
          </cell>
          <cell r="C1062" t="str">
            <v>SİGMA  BEYAZ MERMER  ESKİTME APLİK 40cm</v>
          </cell>
          <cell r="D1062" t="str">
            <v>SIGMA WHITE MARBLE BURSHED BRASS WALL LAMP 40 cm</v>
          </cell>
          <cell r="E1062" t="str">
            <v xml:space="preserve">METAL MERMER ESKİTME BEYAZ   </v>
          </cell>
          <cell r="F1062" t="str">
            <v>9405.19.90.00.00</v>
          </cell>
          <cell r="G1062" t="str">
            <v>APLİK</v>
          </cell>
          <cell r="H1062" t="str">
            <v/>
          </cell>
          <cell r="I1062" t="str">
            <v>İÇ</v>
          </cell>
          <cell r="J1062" t="str">
            <v>APLİK</v>
          </cell>
          <cell r="K1062" t="str">
            <v>SİGMA</v>
          </cell>
          <cell r="L1062" t="str">
            <v/>
          </cell>
          <cell r="M1062" t="str">
            <v/>
          </cell>
          <cell r="N1062" t="str">
            <v>HKA-23024</v>
          </cell>
          <cell r="O1062" t="str">
            <v>HEKA</v>
          </cell>
          <cell r="P1062" t="str">
            <v>ADET</v>
          </cell>
          <cell r="Q1062" t="str">
            <v>G9</v>
          </cell>
          <cell r="R1062" t="str">
            <v>METAL</v>
          </cell>
          <cell r="S1062" t="str">
            <v>ESKİTME</v>
          </cell>
          <cell r="T1062" t="str">
            <v>MERMER</v>
          </cell>
          <cell r="U1062" t="str">
            <v>BEYAZ</v>
          </cell>
          <cell r="AD1062" t="str">
            <v>ELİPS</v>
          </cell>
          <cell r="AE1062" t="str">
            <v>03</v>
          </cell>
          <cell r="AF1062">
            <v>1</v>
          </cell>
          <cell r="AG1062" t="str">
            <v>ADET</v>
          </cell>
          <cell r="AH1062">
            <v>345</v>
          </cell>
          <cell r="AI1062" t="str">
            <v>CNY</v>
          </cell>
          <cell r="AJ1062">
            <v>17595</v>
          </cell>
          <cell r="AK1062" t="str">
            <v>TL</v>
          </cell>
          <cell r="AL1062">
            <v>1</v>
          </cell>
          <cell r="AM1062" t="str">
            <v>8684127511506</v>
          </cell>
          <cell r="AO1062">
            <v>2.5</v>
          </cell>
          <cell r="AP1062" t="str">
            <v>KG</v>
          </cell>
          <cell r="AQ1062">
            <v>7</v>
          </cell>
          <cell r="AR1062" t="str">
            <v>CM</v>
          </cell>
          <cell r="AS1062">
            <v>14</v>
          </cell>
          <cell r="AT1062" t="str">
            <v>CM</v>
          </cell>
          <cell r="AU1062">
            <v>0</v>
          </cell>
          <cell r="AW1062">
            <v>0</v>
          </cell>
        </row>
        <row r="1063">
          <cell r="B1063" t="str">
            <v>H1C6JMEWRBR-120</v>
          </cell>
          <cell r="C1063" t="str">
            <v>EKHO YEMEK MASASI MERMER ESKİTME SARKIT AVİZE 120c</v>
          </cell>
          <cell r="D1063" t="str">
            <v>EKHO DINING TABLE MARBLE BRUSHED BRASS PENDANT CHANDELIER 120cm</v>
          </cell>
          <cell r="E1063" t="str">
            <v xml:space="preserve">METAL MERMER ESKİTME BEYAZ   </v>
          </cell>
          <cell r="F1063" t="str">
            <v/>
          </cell>
          <cell r="G1063" t="str">
            <v>AVİZE</v>
          </cell>
          <cell r="H1063" t="str">
            <v/>
          </cell>
          <cell r="I1063" t="str">
            <v>İÇ</v>
          </cell>
          <cell r="J1063" t="str">
            <v>AVİZE.AVİZ</v>
          </cell>
          <cell r="K1063" t="str">
            <v>EKHO</v>
          </cell>
          <cell r="L1063" t="str">
            <v/>
          </cell>
          <cell r="M1063" t="str">
            <v/>
          </cell>
          <cell r="N1063" t="str">
            <v>HKA-24007</v>
          </cell>
          <cell r="O1063" t="str">
            <v>HEKA</v>
          </cell>
          <cell r="P1063" t="str">
            <v>ADET</v>
          </cell>
          <cell r="Q1063" t="str">
            <v>LED</v>
          </cell>
          <cell r="R1063" t="str">
            <v>METAL</v>
          </cell>
          <cell r="S1063" t="str">
            <v>ESKİTME</v>
          </cell>
          <cell r="T1063" t="str">
            <v>MERMER</v>
          </cell>
          <cell r="U1063" t="str">
            <v>BEYAZ</v>
          </cell>
          <cell r="AD1063" t="str">
            <v>DAİRE</v>
          </cell>
          <cell r="AF1063">
            <v>30</v>
          </cell>
          <cell r="AG1063" t="str">
            <v>ADET</v>
          </cell>
          <cell r="AH1063">
            <v>680</v>
          </cell>
          <cell r="AI1063" t="str">
            <v>CNY</v>
          </cell>
          <cell r="AJ1063">
            <v>47500</v>
          </cell>
          <cell r="AK1063" t="str">
            <v>TL</v>
          </cell>
          <cell r="AL1063">
            <v>1</v>
          </cell>
          <cell r="AM1063" t="str">
            <v>8684127507424</v>
          </cell>
          <cell r="AO1063">
            <v>0</v>
          </cell>
          <cell r="AQ1063">
            <v>0</v>
          </cell>
          <cell r="AS1063">
            <v>0</v>
          </cell>
          <cell r="AU1063">
            <v>0</v>
          </cell>
          <cell r="AW1063">
            <v>0</v>
          </cell>
        </row>
        <row r="1064">
          <cell r="B1064" t="str">
            <v>H1W4JMG000P-070</v>
          </cell>
          <cell r="C1064" t="str">
            <v>HATİLA ALTIN APLİK</v>
          </cell>
          <cell r="D1064" t="str">
            <v>HATILA GOLD WALL LAMP</v>
          </cell>
          <cell r="E1064" t="str">
            <v xml:space="preserve">METAL YOK GOLD YOK   </v>
          </cell>
          <cell r="F1064" t="str">
            <v>9405.19.90.00.00</v>
          </cell>
          <cell r="G1064" t="str">
            <v>APLİK</v>
          </cell>
          <cell r="H1064" t="str">
            <v/>
          </cell>
          <cell r="I1064" t="str">
            <v>İÇ</v>
          </cell>
          <cell r="J1064" t="str">
            <v>APLİK</v>
          </cell>
          <cell r="K1064" t="str">
            <v>HATİLA</v>
          </cell>
          <cell r="L1064" t="str">
            <v/>
          </cell>
          <cell r="M1064" t="str">
            <v/>
          </cell>
          <cell r="N1064" t="str">
            <v>HKA-210</v>
          </cell>
          <cell r="O1064" t="str">
            <v>HEKA</v>
          </cell>
          <cell r="P1064" t="str">
            <v>ADET</v>
          </cell>
          <cell r="Q1064" t="str">
            <v>G4</v>
          </cell>
          <cell r="R1064" t="str">
            <v>METAL</v>
          </cell>
          <cell r="S1064" t="str">
            <v>GOLD</v>
          </cell>
          <cell r="T1064" t="str">
            <v>YOK</v>
          </cell>
          <cell r="U1064" t="str">
            <v>YOK</v>
          </cell>
          <cell r="AD1064" t="str">
            <v>POLİGONAL</v>
          </cell>
          <cell r="AE1064" t="str">
            <v>05</v>
          </cell>
          <cell r="AF1064">
            <v>2</v>
          </cell>
          <cell r="AG1064" t="str">
            <v>ADET</v>
          </cell>
          <cell r="AH1064">
            <v>580</v>
          </cell>
          <cell r="AI1064" t="str">
            <v>CNY</v>
          </cell>
          <cell r="AJ1064">
            <v>22440</v>
          </cell>
          <cell r="AK1064" t="str">
            <v>TL</v>
          </cell>
          <cell r="AL1064">
            <v>1</v>
          </cell>
          <cell r="AM1064" t="str">
            <v>8684127510509</v>
          </cell>
          <cell r="AO1064">
            <v>0</v>
          </cell>
          <cell r="AQ1064">
            <v>0</v>
          </cell>
          <cell r="AS1064">
            <v>0</v>
          </cell>
          <cell r="AU1064">
            <v>0</v>
          </cell>
          <cell r="AW1064">
            <v>0</v>
          </cell>
        </row>
        <row r="1065">
          <cell r="B1065" t="str">
            <v>H1C4JMK000P-120</v>
          </cell>
          <cell r="C1065" t="str">
            <v>HATİLA KROM YEMEK MASASI SARKIT AVİZE</v>
          </cell>
          <cell r="D1065" t="str">
            <v>HATILA CHROME DINING ROOM PENDANT CHANDELIER</v>
          </cell>
          <cell r="E1065" t="str">
            <v xml:space="preserve">METAL YOK KROM YOK   </v>
          </cell>
          <cell r="F1065" t="str">
            <v>9405.19.90.00.00</v>
          </cell>
          <cell r="G1065" t="str">
            <v>AVİZE</v>
          </cell>
          <cell r="H1065" t="str">
            <v/>
          </cell>
          <cell r="I1065" t="str">
            <v>İÇ</v>
          </cell>
          <cell r="J1065" t="str">
            <v>AVİZE.AVİZ</v>
          </cell>
          <cell r="K1065" t="str">
            <v>HATİLA</v>
          </cell>
          <cell r="L1065" t="str">
            <v/>
          </cell>
          <cell r="M1065" t="str">
            <v/>
          </cell>
          <cell r="N1065" t="str">
            <v>HKA-211</v>
          </cell>
          <cell r="O1065" t="str">
            <v>HEKA</v>
          </cell>
          <cell r="P1065" t="str">
            <v>ADET</v>
          </cell>
          <cell r="Q1065" t="str">
            <v>G4</v>
          </cell>
          <cell r="R1065" t="str">
            <v>METAL</v>
          </cell>
          <cell r="S1065" t="str">
            <v>KROM</v>
          </cell>
          <cell r="T1065" t="str">
            <v>YOK</v>
          </cell>
          <cell r="U1065" t="str">
            <v>YOK</v>
          </cell>
          <cell r="AD1065" t="str">
            <v>POLİGONAL</v>
          </cell>
          <cell r="AE1065" t="str">
            <v>12</v>
          </cell>
          <cell r="AF1065">
            <v>0</v>
          </cell>
          <cell r="AG1065" t="str">
            <v>ADET</v>
          </cell>
          <cell r="AH1065">
            <v>2100</v>
          </cell>
          <cell r="AI1065" t="str">
            <v>CNY</v>
          </cell>
          <cell r="AJ1065">
            <v>85000</v>
          </cell>
          <cell r="AK1065" t="str">
            <v>TL</v>
          </cell>
          <cell r="AL1065">
            <v>1</v>
          </cell>
          <cell r="AM1065" t="str">
            <v>8684127510455</v>
          </cell>
          <cell r="AO1065">
            <v>0</v>
          </cell>
          <cell r="AQ1065">
            <v>0</v>
          </cell>
          <cell r="AS1065">
            <v>0</v>
          </cell>
          <cell r="AU1065">
            <v>0</v>
          </cell>
          <cell r="AW1065">
            <v>0</v>
          </cell>
        </row>
        <row r="1066">
          <cell r="B1066" t="str">
            <v>H1W1JMKWRB0-062</v>
          </cell>
          <cell r="C1066" t="str">
            <v>ARDIÇ KROM APLİK BÜYÜK</v>
          </cell>
          <cell r="D1066" t="str">
            <v>ARDIÇ CHROME WALL LAMP BIG</v>
          </cell>
          <cell r="E1066" t="str">
            <v>METAL MERMER KROM BEYAZ</v>
          </cell>
          <cell r="F1066" t="str">
            <v>9405.19.90.00.00</v>
          </cell>
          <cell r="G1066" t="str">
            <v>APLİK</v>
          </cell>
          <cell r="H1066" t="str">
            <v>T1W1113100-62</v>
          </cell>
          <cell r="I1066" t="str">
            <v>İÇ</v>
          </cell>
          <cell r="J1066" t="str">
            <v>APLİK</v>
          </cell>
          <cell r="K1066" t="str">
            <v>ARDIÇ</v>
          </cell>
          <cell r="L1066" t="str">
            <v/>
          </cell>
          <cell r="M1066" t="str">
            <v/>
          </cell>
          <cell r="N1066" t="str">
            <v>002-CR-B</v>
          </cell>
          <cell r="O1066" t="str">
            <v>HEKA</v>
          </cell>
          <cell r="P1066" t="str">
            <v>ADET</v>
          </cell>
          <cell r="Q1066" t="str">
            <v>E14</v>
          </cell>
          <cell r="R1066" t="str">
            <v>METAL</v>
          </cell>
          <cell r="S1066" t="str">
            <v>KROM</v>
          </cell>
          <cell r="T1066" t="str">
            <v>MERMER</v>
          </cell>
          <cell r="U1066" t="str">
            <v>BEYAZ</v>
          </cell>
          <cell r="AD1066" t="str">
            <v>N/A</v>
          </cell>
          <cell r="AE1066" t="str">
            <v>01</v>
          </cell>
          <cell r="AF1066">
            <v>11</v>
          </cell>
          <cell r="AG1066" t="str">
            <v>ADET</v>
          </cell>
          <cell r="AH1066">
            <v>500</v>
          </cell>
          <cell r="AI1066" t="str">
            <v>TL</v>
          </cell>
          <cell r="AJ1066">
            <v>5610</v>
          </cell>
          <cell r="AK1066" t="str">
            <v>TL</v>
          </cell>
          <cell r="AL1066">
            <v>1</v>
          </cell>
          <cell r="AM1066" t="str">
            <v>8684127510257</v>
          </cell>
          <cell r="AO1066">
            <v>0</v>
          </cell>
          <cell r="AQ1066">
            <v>62</v>
          </cell>
          <cell r="AR1066" t="str">
            <v>CM</v>
          </cell>
          <cell r="AS1066">
            <v>14</v>
          </cell>
          <cell r="AT1066" t="str">
            <v>CM</v>
          </cell>
          <cell r="AU1066">
            <v>0</v>
          </cell>
          <cell r="AW1066">
            <v>0</v>
          </cell>
        </row>
        <row r="1067">
          <cell r="B1067" t="str">
            <v>F1W6JMB0000-056</v>
          </cell>
          <cell r="C1067" t="str">
            <v>KAMELYA BAKIR LED APLİK</v>
          </cell>
          <cell r="D1067" t="str">
            <v>KAMELYA COPPER LED WALL LAMP</v>
          </cell>
          <cell r="E1067" t="str">
            <v xml:space="preserve">METAL YOK BAKIR YOK   </v>
          </cell>
          <cell r="F1067" t="str">
            <v/>
          </cell>
          <cell r="G1067" t="str">
            <v>APLİK</v>
          </cell>
          <cell r="H1067" t="str">
            <v/>
          </cell>
          <cell r="I1067" t="str">
            <v>İÇ</v>
          </cell>
          <cell r="J1067" t="str">
            <v>APLİK</v>
          </cell>
          <cell r="K1067" t="str">
            <v>KAMELYA</v>
          </cell>
          <cell r="L1067" t="str">
            <v/>
          </cell>
          <cell r="M1067" t="str">
            <v/>
          </cell>
          <cell r="N1067" t="str">
            <v/>
          </cell>
          <cell r="P1067" t="str">
            <v>ADET</v>
          </cell>
          <cell r="Q1067" t="str">
            <v>LED</v>
          </cell>
          <cell r="R1067" t="str">
            <v>METAL</v>
          </cell>
          <cell r="S1067" t="str">
            <v>BAKIR</v>
          </cell>
          <cell r="T1067" t="str">
            <v>YOK</v>
          </cell>
          <cell r="U1067" t="str">
            <v>YOK</v>
          </cell>
          <cell r="AD1067" t="str">
            <v>N/A</v>
          </cell>
          <cell r="AE1067" t="str">
            <v>02</v>
          </cell>
          <cell r="AF1067">
            <v>0</v>
          </cell>
          <cell r="AG1067" t="str">
            <v>ADET</v>
          </cell>
          <cell r="AH1067">
            <v>2750</v>
          </cell>
          <cell r="AI1067" t="str">
            <v>TL</v>
          </cell>
          <cell r="AJ1067">
            <v>7750</v>
          </cell>
          <cell r="AK1067" t="str">
            <v>TL</v>
          </cell>
          <cell r="AL1067">
            <v>1</v>
          </cell>
          <cell r="AM1067" t="str">
            <v>8684127509763</v>
          </cell>
          <cell r="AO1067">
            <v>0</v>
          </cell>
          <cell r="AQ1067">
            <v>0</v>
          </cell>
          <cell r="AS1067">
            <v>0</v>
          </cell>
          <cell r="AU1067">
            <v>0</v>
          </cell>
          <cell r="AW1067">
            <v>0</v>
          </cell>
        </row>
        <row r="1068">
          <cell r="B1068" t="str">
            <v>H1W4JMEERVR-025</v>
          </cell>
          <cell r="C1068" t="str">
            <v>BATUR KAHVERENGİ SARKIT 25 cm</v>
          </cell>
          <cell r="D1068" t="str">
            <v>BATUR BROWN PENDANT LAMP 25 cm</v>
          </cell>
          <cell r="E1068" t="str">
            <v xml:space="preserve">METAL CAM  ESKİTME KAHVERENGİ   </v>
          </cell>
          <cell r="F1068" t="str">
            <v>9405.19.90.00.00</v>
          </cell>
          <cell r="G1068" t="str">
            <v>AVİZE</v>
          </cell>
          <cell r="H1068" t="str">
            <v>H1A4112400-15</v>
          </cell>
          <cell r="I1068" t="str">
            <v>İÇ</v>
          </cell>
          <cell r="J1068" t="str">
            <v>AVİZE.SARK</v>
          </cell>
          <cell r="K1068" t="str">
            <v>BATUR</v>
          </cell>
          <cell r="L1068" t="str">
            <v/>
          </cell>
          <cell r="M1068" t="str">
            <v/>
          </cell>
          <cell r="N1068" t="str">
            <v>HKA-HB6</v>
          </cell>
          <cell r="O1068" t="str">
            <v>HEKA</v>
          </cell>
          <cell r="P1068" t="str">
            <v>ADET</v>
          </cell>
          <cell r="Q1068" t="str">
            <v>G4</v>
          </cell>
          <cell r="R1068" t="str">
            <v>METAL</v>
          </cell>
          <cell r="S1068" t="str">
            <v>ESKİTME</v>
          </cell>
          <cell r="T1068" t="str">
            <v>CAM</v>
          </cell>
          <cell r="U1068" t="str">
            <v>KAHVERENGİ</v>
          </cell>
          <cell r="AD1068" t="str">
            <v>DAİRE</v>
          </cell>
          <cell r="AE1068" t="str">
            <v>02</v>
          </cell>
          <cell r="AF1068">
            <v>0</v>
          </cell>
          <cell r="AG1068" t="str">
            <v>ADET</v>
          </cell>
          <cell r="AH1068">
            <v>75</v>
          </cell>
          <cell r="AI1068" t="str">
            <v>TL</v>
          </cell>
          <cell r="AJ1068">
            <v>3778</v>
          </cell>
          <cell r="AK1068" t="str">
            <v>TL</v>
          </cell>
          <cell r="AL1068">
            <v>1</v>
          </cell>
          <cell r="AO1068">
            <v>0</v>
          </cell>
          <cell r="AQ1068">
            <v>36</v>
          </cell>
          <cell r="AR1068" t="str">
            <v>CM</v>
          </cell>
          <cell r="AS1068">
            <v>15</v>
          </cell>
          <cell r="AT1068" t="str">
            <v>CM</v>
          </cell>
          <cell r="AU1068">
            <v>0</v>
          </cell>
          <cell r="AW1068">
            <v>0</v>
          </cell>
        </row>
        <row r="1069">
          <cell r="B1069" t="str">
            <v>H1W6JMEPRB0-045</v>
          </cell>
          <cell r="C1069" t="str">
            <v>DURBAN LED HORTUM ESKİTME APLİK</v>
          </cell>
          <cell r="D1069" t="str">
            <v>DURBAN LED HOSE BRUSHED BRASS WALL LAMP</v>
          </cell>
          <cell r="E1069" t="str">
            <v xml:space="preserve">METAL SİLİKON ESKİTME BEYAZ   </v>
          </cell>
          <cell r="F1069" t="str">
            <v>9405.11.90.00.00</v>
          </cell>
          <cell r="G1069" t="str">
            <v>APLİK</v>
          </cell>
          <cell r="H1069" t="str">
            <v/>
          </cell>
          <cell r="I1069" t="str">
            <v>İÇ</v>
          </cell>
          <cell r="J1069" t="str">
            <v>APLİK</v>
          </cell>
          <cell r="K1069" t="str">
            <v>DURBAN</v>
          </cell>
          <cell r="L1069" t="str">
            <v/>
          </cell>
          <cell r="M1069" t="str">
            <v/>
          </cell>
          <cell r="N1069" t="str">
            <v/>
          </cell>
          <cell r="P1069" t="str">
            <v>ADET</v>
          </cell>
          <cell r="Q1069" t="str">
            <v>LED</v>
          </cell>
          <cell r="R1069" t="str">
            <v>METAL</v>
          </cell>
          <cell r="S1069" t="str">
            <v>ESKİTME</v>
          </cell>
          <cell r="T1069" t="str">
            <v>SİLİKON</v>
          </cell>
          <cell r="U1069" t="str">
            <v>BEYAZ</v>
          </cell>
          <cell r="AD1069" t="str">
            <v>N/A</v>
          </cell>
          <cell r="AE1069" t="str">
            <v>03</v>
          </cell>
          <cell r="AF1069">
            <v>0</v>
          </cell>
          <cell r="AG1069" t="str">
            <v>ADET</v>
          </cell>
          <cell r="AH1069">
            <v>1100</v>
          </cell>
          <cell r="AI1069" t="str">
            <v>TL</v>
          </cell>
          <cell r="AJ1069">
            <v>3750</v>
          </cell>
          <cell r="AK1069" t="str">
            <v>TL</v>
          </cell>
          <cell r="AL1069">
            <v>1</v>
          </cell>
          <cell r="AM1069" t="str">
            <v>8684127510400</v>
          </cell>
          <cell r="AO1069">
            <v>0</v>
          </cell>
          <cell r="AQ1069">
            <v>9</v>
          </cell>
          <cell r="AS1069">
            <v>32</v>
          </cell>
          <cell r="AU1069">
            <v>0</v>
          </cell>
          <cell r="AW1069">
            <v>0</v>
          </cell>
        </row>
        <row r="1070">
          <cell r="B1070" t="str">
            <v>SNC-98-1</v>
          </cell>
          <cell r="C1070" t="str">
            <v>T35 BAL 4W DÜZ 2200K E14 LED AMPUL</v>
          </cell>
          <cell r="D1070" t="str">
            <v/>
          </cell>
          <cell r="E1070" t="str">
            <v/>
          </cell>
          <cell r="F1070" t="str">
            <v>8539.52.00.00.08</v>
          </cell>
          <cell r="G1070" t="str">
            <v>AMPUL</v>
          </cell>
          <cell r="H1070" t="str">
            <v/>
          </cell>
          <cell r="I1070" t="str">
            <v>İÇ</v>
          </cell>
          <cell r="J1070" t="str">
            <v>AMPUL</v>
          </cell>
          <cell r="K1070" t="str">
            <v/>
          </cell>
          <cell r="L1070" t="str">
            <v/>
          </cell>
          <cell r="M1070" t="str">
            <v/>
          </cell>
          <cell r="N1070" t="str">
            <v/>
          </cell>
          <cell r="P1070" t="str">
            <v>ADET</v>
          </cell>
          <cell r="AF1070">
            <v>0</v>
          </cell>
          <cell r="AG1070" t="str">
            <v>ADET</v>
          </cell>
          <cell r="AL1070">
            <v>0</v>
          </cell>
          <cell r="AO1070">
            <v>0</v>
          </cell>
          <cell r="AQ1070">
            <v>0</v>
          </cell>
          <cell r="AS1070">
            <v>0</v>
          </cell>
          <cell r="AU1070">
            <v>0</v>
          </cell>
          <cell r="AW1070">
            <v>0</v>
          </cell>
        </row>
        <row r="1071">
          <cell r="B1071" t="str">
            <v>SNC-214</v>
          </cell>
          <cell r="C1071" t="str">
            <v>G45 BAL 6W 2200K E27 LED AMPUL</v>
          </cell>
          <cell r="D1071" t="str">
            <v/>
          </cell>
          <cell r="E1071" t="str">
            <v/>
          </cell>
          <cell r="F1071" t="str">
            <v>8539.52.00.00.06</v>
          </cell>
          <cell r="G1071" t="str">
            <v>AMPUL</v>
          </cell>
          <cell r="H1071" t="str">
            <v/>
          </cell>
          <cell r="I1071" t="str">
            <v>İÇ</v>
          </cell>
          <cell r="J1071" t="str">
            <v>AMPUL</v>
          </cell>
          <cell r="K1071" t="str">
            <v/>
          </cell>
          <cell r="L1071" t="str">
            <v/>
          </cell>
          <cell r="M1071" t="str">
            <v>15.01.2024</v>
          </cell>
          <cell r="N1071" t="str">
            <v/>
          </cell>
          <cell r="P1071" t="str">
            <v>ADET</v>
          </cell>
          <cell r="AF1071">
            <v>4</v>
          </cell>
          <cell r="AG1071" t="str">
            <v>ADET</v>
          </cell>
          <cell r="AH1071">
            <v>15.5</v>
          </cell>
          <cell r="AI1071" t="str">
            <v>TL</v>
          </cell>
          <cell r="AL1071">
            <v>0</v>
          </cell>
          <cell r="AO1071">
            <v>0</v>
          </cell>
          <cell r="AQ1071">
            <v>0</v>
          </cell>
          <cell r="AS1071">
            <v>0</v>
          </cell>
          <cell r="AU1071">
            <v>0</v>
          </cell>
          <cell r="AW1071">
            <v>0</v>
          </cell>
        </row>
        <row r="1072">
          <cell r="B1072" t="str">
            <v>CM4G2P3M2B4G0</v>
          </cell>
          <cell r="C1072" t="str">
            <v>ERD-281 G4-9 220V 3-5W 3000K SMD LED AMPUL</v>
          </cell>
          <cell r="D1072" t="str">
            <v>ERD-281 G4-9 220V 3-5W 3000K SMD LED BULB</v>
          </cell>
          <cell r="E1072" t="str">
            <v>PLASTİK METAL ŞEFFAF SMD LED DIMMSIZ MISIR</v>
          </cell>
          <cell r="F1072" t="str">
            <v>8539.52.00.00.00</v>
          </cell>
          <cell r="G1072" t="str">
            <v>AMPUL</v>
          </cell>
          <cell r="H1072" t="str">
            <v>CG32232C80000</v>
          </cell>
          <cell r="I1072" t="str">
            <v>İÇ</v>
          </cell>
          <cell r="J1072" t="str">
            <v>AMPUL</v>
          </cell>
          <cell r="K1072" t="str">
            <v>ERD-281</v>
          </cell>
          <cell r="L1072" t="str">
            <v/>
          </cell>
          <cell r="M1072" t="str">
            <v/>
          </cell>
          <cell r="N1072" t="str">
            <v>ERD-281</v>
          </cell>
          <cell r="O1072" t="str">
            <v>HEKA</v>
          </cell>
          <cell r="P1072" t="str">
            <v>ADET</v>
          </cell>
          <cell r="Q1072" t="str">
            <v>G9</v>
          </cell>
          <cell r="R1072" t="str">
            <v>PLASTİK</v>
          </cell>
          <cell r="S1072" t="str">
            <v>ŞEFFAF</v>
          </cell>
          <cell r="T1072" t="str">
            <v>METAL</v>
          </cell>
          <cell r="V1072" t="str">
            <v>G</v>
          </cell>
          <cell r="W1072" t="str">
            <v>SMD LED</v>
          </cell>
          <cell r="X1072" t="str">
            <v>220V</v>
          </cell>
          <cell r="Y1072" t="str">
            <v>3 WATT</v>
          </cell>
          <cell r="Z1072" t="str">
            <v xml:space="preserve">2700 K </v>
          </cell>
          <cell r="AA1072" t="str">
            <v>DIMMSIZ</v>
          </cell>
          <cell r="AB1072" t="str">
            <v>301-400</v>
          </cell>
          <cell r="AC1072" t="str">
            <v>MISIR</v>
          </cell>
          <cell r="AD1072" t="str">
            <v>N/A</v>
          </cell>
          <cell r="AF1072">
            <v>0</v>
          </cell>
          <cell r="AG1072" t="str">
            <v>ADET</v>
          </cell>
          <cell r="AL1072">
            <v>1</v>
          </cell>
          <cell r="AM1072" t="str">
            <v>8684127510417</v>
          </cell>
          <cell r="AO1072">
            <v>0</v>
          </cell>
          <cell r="AQ1072">
            <v>1.5</v>
          </cell>
          <cell r="AR1072" t="str">
            <v>CM</v>
          </cell>
          <cell r="AS1072">
            <v>1.5</v>
          </cell>
          <cell r="AT1072" t="str">
            <v>CM</v>
          </cell>
          <cell r="AU1072">
            <v>0</v>
          </cell>
          <cell r="AW1072">
            <v>0</v>
          </cell>
        </row>
        <row r="1073">
          <cell r="B1073" t="str">
            <v>1FK4YKRSTMB-051</v>
          </cell>
          <cell r="C1073" t="str">
            <v>1 METRE SİYAH BAKIR TTR-2 KABLO 0,5 mm</v>
          </cell>
          <cell r="D1073" t="str">
            <v>1 METER BLACK COPPER TTR-2 CABLE 0.5 mm</v>
          </cell>
          <cell r="E1073" t="str">
            <v/>
          </cell>
          <cell r="F1073" t="str">
            <v/>
          </cell>
          <cell r="G1073" t="str">
            <v>ZPARCA</v>
          </cell>
          <cell r="H1073" t="str">
            <v/>
          </cell>
          <cell r="I1073" t="str">
            <v>İÇ</v>
          </cell>
          <cell r="J1073" t="str">
            <v>ZPARCA</v>
          </cell>
          <cell r="K1073" t="str">
            <v/>
          </cell>
          <cell r="L1073" t="str">
            <v/>
          </cell>
          <cell r="M1073" t="str">
            <v/>
          </cell>
          <cell r="N1073" t="str">
            <v/>
          </cell>
          <cell r="O1073" t="str">
            <v>HEKA</v>
          </cell>
          <cell r="P1073" t="str">
            <v>MT</v>
          </cell>
          <cell r="R1073" t="str">
            <v>KABLO</v>
          </cell>
          <cell r="S1073" t="str">
            <v>BAKIR</v>
          </cell>
          <cell r="T1073" t="str">
            <v>PLASTİK</v>
          </cell>
          <cell r="U1073" t="str">
            <v>SİYAH</v>
          </cell>
          <cell r="AF1073">
            <v>1489</v>
          </cell>
          <cell r="AG1073" t="str">
            <v>MT</v>
          </cell>
          <cell r="AJ1073">
            <v>110</v>
          </cell>
          <cell r="AK1073" t="str">
            <v>TL</v>
          </cell>
          <cell r="AL1073">
            <v>0</v>
          </cell>
          <cell r="AM1073" t="str">
            <v>1FK4YKRSTMB-051</v>
          </cell>
          <cell r="AO1073">
            <v>0</v>
          </cell>
          <cell r="AQ1073">
            <v>0.5</v>
          </cell>
          <cell r="AR1073" t="str">
            <v>MM</v>
          </cell>
          <cell r="AS1073">
            <v>0.5</v>
          </cell>
          <cell r="AT1073" t="str">
            <v>MM</v>
          </cell>
          <cell r="AU1073">
            <v>0</v>
          </cell>
          <cell r="AW1073">
            <v>0</v>
          </cell>
        </row>
        <row r="1074">
          <cell r="B1074" t="str">
            <v>1FK4YXRATMB-051</v>
          </cell>
          <cell r="C1074" t="str">
            <v>1 METRE SARI ÖRGÜLÜ BAKIR TTR-2 KABLO 0,5 mm</v>
          </cell>
          <cell r="D1074" t="str">
            <v>1 METER YELLOW BRAIDED COPPER TTR-2 CABLE 0.5 mm</v>
          </cell>
          <cell r="E1074" t="str">
            <v/>
          </cell>
          <cell r="F1074" t="str">
            <v/>
          </cell>
          <cell r="G1074" t="str">
            <v>ZPARCA</v>
          </cell>
          <cell r="H1074" t="str">
            <v/>
          </cell>
          <cell r="I1074" t="str">
            <v>İÇ</v>
          </cell>
          <cell r="J1074" t="str">
            <v>ZPARCA</v>
          </cell>
          <cell r="K1074" t="str">
            <v/>
          </cell>
          <cell r="L1074" t="str">
            <v/>
          </cell>
          <cell r="M1074" t="str">
            <v/>
          </cell>
          <cell r="N1074" t="str">
            <v/>
          </cell>
          <cell r="O1074" t="str">
            <v>HEKA</v>
          </cell>
          <cell r="P1074" t="str">
            <v>MT</v>
          </cell>
          <cell r="R1074" t="str">
            <v>KABLO</v>
          </cell>
          <cell r="S1074" t="str">
            <v>BAKIR</v>
          </cell>
          <cell r="T1074" t="str">
            <v>PLASTİK</v>
          </cell>
          <cell r="U1074" t="str">
            <v>SARI</v>
          </cell>
          <cell r="AF1074">
            <v>399</v>
          </cell>
          <cell r="AG1074" t="str">
            <v>MT</v>
          </cell>
          <cell r="AH1074">
            <v>12</v>
          </cell>
          <cell r="AI1074" t="str">
            <v>TL</v>
          </cell>
          <cell r="AJ1074">
            <v>143</v>
          </cell>
          <cell r="AK1074" t="str">
            <v>TL</v>
          </cell>
          <cell r="AL1074">
            <v>0</v>
          </cell>
          <cell r="AM1074" t="str">
            <v>1FK4YXRATMB-051</v>
          </cell>
          <cell r="AO1074">
            <v>0</v>
          </cell>
          <cell r="AQ1074">
            <v>0.5</v>
          </cell>
          <cell r="AR1074" t="str">
            <v>MM</v>
          </cell>
          <cell r="AS1074">
            <v>0.5</v>
          </cell>
          <cell r="AT1074" t="str">
            <v>MM</v>
          </cell>
          <cell r="AU1074">
            <v>0</v>
          </cell>
          <cell r="AW1074">
            <v>0</v>
          </cell>
        </row>
        <row r="1075">
          <cell r="B1075" t="str">
            <v>H1C6WRBJM3R-025</v>
          </cell>
          <cell r="C1075" t="str">
            <v>ASPENDOS TEKLİ MERMER MAT KROM SARKIT 25cm</v>
          </cell>
          <cell r="D1075" t="str">
            <v>ASPENDOS SINGLE MARBLE BRUSHED CHROME PENDANT 25cm</v>
          </cell>
          <cell r="E1075" t="str">
            <v>MERMER BEYAZ METAL MAT KROM</v>
          </cell>
          <cell r="F1075" t="str">
            <v>9405.11.90.00.00</v>
          </cell>
          <cell r="G1075" t="str">
            <v>AVİZE</v>
          </cell>
          <cell r="H1075" t="str">
            <v>H1A6314300-25</v>
          </cell>
          <cell r="I1075" t="str">
            <v>İÇ</v>
          </cell>
          <cell r="J1075" t="str">
            <v>AVİZE.SARK</v>
          </cell>
          <cell r="K1075" t="str">
            <v>ASPENDOS</v>
          </cell>
          <cell r="L1075" t="str">
            <v/>
          </cell>
          <cell r="M1075" t="str">
            <v/>
          </cell>
          <cell r="N1075" t="str">
            <v>MD1082071-25-P-BCR</v>
          </cell>
          <cell r="O1075" t="str">
            <v>HEKA</v>
          </cell>
          <cell r="P1075" t="str">
            <v>ADET</v>
          </cell>
          <cell r="Q1075" t="str">
            <v>LED</v>
          </cell>
          <cell r="R1075" t="str">
            <v>MERMER</v>
          </cell>
          <cell r="S1075" t="str">
            <v>BEYAZ</v>
          </cell>
          <cell r="T1075" t="str">
            <v>METAL</v>
          </cell>
          <cell r="U1075" t="str">
            <v>MAT KROM</v>
          </cell>
          <cell r="AD1075" t="str">
            <v>DAİRE</v>
          </cell>
          <cell r="AE1075" t="str">
            <v>01</v>
          </cell>
          <cell r="AF1075">
            <v>0</v>
          </cell>
          <cell r="AG1075" t="str">
            <v>ADET</v>
          </cell>
          <cell r="AH1075">
            <v>117</v>
          </cell>
          <cell r="AI1075" t="str">
            <v>CNY</v>
          </cell>
          <cell r="AJ1075">
            <v>6732</v>
          </cell>
          <cell r="AK1075" t="str">
            <v>TL</v>
          </cell>
          <cell r="AL1075">
            <v>1</v>
          </cell>
          <cell r="AO1075">
            <v>0</v>
          </cell>
          <cell r="AQ1075">
            <v>150</v>
          </cell>
          <cell r="AR1075" t="str">
            <v>CM</v>
          </cell>
          <cell r="AS1075">
            <v>25</v>
          </cell>
          <cell r="AT1075" t="str">
            <v>CM</v>
          </cell>
          <cell r="AU1075">
            <v>0</v>
          </cell>
          <cell r="AW1075">
            <v>0</v>
          </cell>
        </row>
        <row r="1076">
          <cell r="B1076" t="str">
            <v>CK5G3P3P2E5J1</v>
          </cell>
          <cell r="C1076" t="str">
            <v>ERD-284 GU10 220V 6W 3000K COB LED AMPUL</v>
          </cell>
          <cell r="D1076" t="str">
            <v>ERD-284 GU10 220V 6W 3000K COD LED BULB</v>
          </cell>
          <cell r="E1076" t="str">
            <v>PLASTİK PLASTİK ŞEFFAF SMD LED DIMMLİ KARMA</v>
          </cell>
          <cell r="F1076" t="str">
            <v>8539.52.00.00.00</v>
          </cell>
          <cell r="G1076" t="str">
            <v>AMPUL</v>
          </cell>
          <cell r="H1076" t="str">
            <v>CG52232D50000</v>
          </cell>
          <cell r="I1076" t="str">
            <v>İÇ</v>
          </cell>
          <cell r="J1076" t="str">
            <v>AMPUL</v>
          </cell>
          <cell r="K1076" t="str">
            <v>ERD-284</v>
          </cell>
          <cell r="L1076" t="str">
            <v/>
          </cell>
          <cell r="M1076" t="str">
            <v>30.01.2026</v>
          </cell>
          <cell r="N1076" t="str">
            <v>ERD-284</v>
          </cell>
          <cell r="O1076" t="str">
            <v>HEKA</v>
          </cell>
          <cell r="P1076" t="str">
            <v>ADET</v>
          </cell>
          <cell r="Q1076" t="str">
            <v>GU10</v>
          </cell>
          <cell r="R1076" t="str">
            <v>PLASTİK</v>
          </cell>
          <cell r="S1076" t="str">
            <v>ŞEFFAF</v>
          </cell>
          <cell r="T1076" t="str">
            <v>PLASTİK</v>
          </cell>
          <cell r="V1076" t="str">
            <v>G</v>
          </cell>
          <cell r="W1076" t="str">
            <v>COB LED</v>
          </cell>
          <cell r="X1076" t="str">
            <v>220V</v>
          </cell>
          <cell r="Y1076" t="str">
            <v>6 WATT</v>
          </cell>
          <cell r="Z1076" t="str">
            <v>3000 K</v>
          </cell>
          <cell r="AA1076" t="str">
            <v>DIMMLI</v>
          </cell>
          <cell r="AB1076" t="str">
            <v>301-400</v>
          </cell>
          <cell r="AC1076" t="str">
            <v>KARMA</v>
          </cell>
          <cell r="AD1076" t="str">
            <v>N/A</v>
          </cell>
          <cell r="AF1076">
            <v>9332</v>
          </cell>
          <cell r="AG1076" t="str">
            <v>ADET</v>
          </cell>
          <cell r="AH1076">
            <v>0.3</v>
          </cell>
          <cell r="AI1076" t="str">
            <v>USD</v>
          </cell>
          <cell r="AJ1076">
            <v>1.7</v>
          </cell>
          <cell r="AK1076" t="str">
            <v>USD</v>
          </cell>
          <cell r="AL1076">
            <v>1</v>
          </cell>
          <cell r="AM1076" t="str">
            <v xml:space="preserve">8684127510639
</v>
          </cell>
          <cell r="AN1076" t="str">
            <v>8684127510684</v>
          </cell>
          <cell r="AO1076">
            <v>0</v>
          </cell>
          <cell r="AQ1076">
            <v>5</v>
          </cell>
          <cell r="AR1076" t="str">
            <v>CM</v>
          </cell>
          <cell r="AS1076">
            <v>5</v>
          </cell>
          <cell r="AT1076" t="str">
            <v>CM</v>
          </cell>
          <cell r="AU1076">
            <v>0</v>
          </cell>
          <cell r="AW1076">
            <v>0</v>
          </cell>
        </row>
        <row r="1077">
          <cell r="B1077" t="str">
            <v>SNC-213</v>
          </cell>
          <cell r="C1077" t="str">
            <v>G45 BAL 6W 2200K E14 LED AMPUL</v>
          </cell>
          <cell r="D1077" t="str">
            <v/>
          </cell>
          <cell r="E1077" t="str">
            <v/>
          </cell>
          <cell r="F1077" t="str">
            <v>8539.52.00.00.07</v>
          </cell>
          <cell r="G1077" t="str">
            <v>AMPUL</v>
          </cell>
          <cell r="H1077" t="str">
            <v/>
          </cell>
          <cell r="I1077" t="str">
            <v>İÇ</v>
          </cell>
          <cell r="J1077" t="str">
            <v>AMPUL</v>
          </cell>
          <cell r="K1077" t="str">
            <v/>
          </cell>
          <cell r="L1077" t="str">
            <v/>
          </cell>
          <cell r="M1077" t="str">
            <v/>
          </cell>
          <cell r="N1077" t="str">
            <v/>
          </cell>
          <cell r="P1077" t="str">
            <v>ADET</v>
          </cell>
          <cell r="AF1077">
            <v>0</v>
          </cell>
          <cell r="AG1077" t="str">
            <v>ADET</v>
          </cell>
          <cell r="AL1077">
            <v>0</v>
          </cell>
          <cell r="AO1077">
            <v>0</v>
          </cell>
          <cell r="AQ1077">
            <v>0</v>
          </cell>
          <cell r="AS1077">
            <v>0</v>
          </cell>
          <cell r="AU1077">
            <v>0</v>
          </cell>
          <cell r="AW1077">
            <v>0</v>
          </cell>
        </row>
        <row r="1078">
          <cell r="B1078" t="str">
            <v>SNC-49</v>
          </cell>
          <cell r="C1078" t="str">
            <v>G45 ŞEFFAF 4W 2700K E14 LED AMPUL</v>
          </cell>
          <cell r="D1078" t="str">
            <v/>
          </cell>
          <cell r="E1078" t="str">
            <v/>
          </cell>
          <cell r="F1078" t="str">
            <v>8539.52.00.00.05</v>
          </cell>
          <cell r="G1078" t="str">
            <v>AMPUL</v>
          </cell>
          <cell r="H1078" t="str">
            <v/>
          </cell>
          <cell r="I1078" t="str">
            <v>İÇ</v>
          </cell>
          <cell r="J1078" t="str">
            <v>AMPUL</v>
          </cell>
          <cell r="K1078" t="str">
            <v/>
          </cell>
          <cell r="L1078" t="str">
            <v/>
          </cell>
          <cell r="M1078" t="str">
            <v/>
          </cell>
          <cell r="N1078" t="str">
            <v/>
          </cell>
          <cell r="P1078" t="str">
            <v>ADET</v>
          </cell>
          <cell r="AF1078">
            <v>0</v>
          </cell>
          <cell r="AG1078" t="str">
            <v>ADET</v>
          </cell>
          <cell r="AL1078">
            <v>0</v>
          </cell>
          <cell r="AO1078">
            <v>0</v>
          </cell>
          <cell r="AQ1078">
            <v>0</v>
          </cell>
          <cell r="AS1078">
            <v>0</v>
          </cell>
          <cell r="AU1078">
            <v>0</v>
          </cell>
          <cell r="AW1078">
            <v>0</v>
          </cell>
        </row>
        <row r="1079">
          <cell r="B1079" t="str">
            <v>1YC4YGCT000-010</v>
          </cell>
          <cell r="C1079" t="str">
            <v>DİŞLİ SOFT AVİZE CAMI 10 cm</v>
          </cell>
          <cell r="D1079" t="str">
            <v>THREADED OPAL CHANDELIER GLASS 10 cm</v>
          </cell>
          <cell r="E1079" t="str">
            <v/>
          </cell>
          <cell r="F1079" t="str">
            <v/>
          </cell>
          <cell r="G1079" t="str">
            <v>ZPARCA</v>
          </cell>
          <cell r="H1079" t="str">
            <v>200A-BAL</v>
          </cell>
          <cell r="I1079" t="str">
            <v>İÇ</v>
          </cell>
          <cell r="J1079" t="str">
            <v>ZPARCA</v>
          </cell>
          <cell r="K1079" t="str">
            <v/>
          </cell>
          <cell r="L1079" t="str">
            <v/>
          </cell>
          <cell r="M1079" t="str">
            <v/>
          </cell>
          <cell r="N1079" t="str">
            <v/>
          </cell>
          <cell r="O1079" t="str">
            <v>HEKA</v>
          </cell>
          <cell r="P1079" t="str">
            <v>ADET</v>
          </cell>
          <cell r="R1079" t="str">
            <v>CAM</v>
          </cell>
          <cell r="S1079" t="str">
            <v>OPAL</v>
          </cell>
          <cell r="AD1079" t="str">
            <v>KÜRE</v>
          </cell>
          <cell r="AF1079">
            <v>1286</v>
          </cell>
          <cell r="AG1079" t="str">
            <v>ADET</v>
          </cell>
          <cell r="AH1079">
            <v>6.3</v>
          </cell>
          <cell r="AI1079" t="str">
            <v>CNY</v>
          </cell>
          <cell r="AJ1079">
            <v>310</v>
          </cell>
          <cell r="AK1079" t="str">
            <v>TL</v>
          </cell>
          <cell r="AL1079">
            <v>1</v>
          </cell>
          <cell r="AM1079" t="str">
            <v>1YC4YGCT000-010</v>
          </cell>
          <cell r="AO1079">
            <v>0</v>
          </cell>
          <cell r="AQ1079">
            <v>10</v>
          </cell>
          <cell r="AR1079" t="str">
            <v>CM</v>
          </cell>
          <cell r="AS1079">
            <v>10</v>
          </cell>
          <cell r="AT1079" t="str">
            <v>CM</v>
          </cell>
          <cell r="AU1079">
            <v>0</v>
          </cell>
          <cell r="AW1079">
            <v>0</v>
          </cell>
        </row>
        <row r="1080">
          <cell r="B1080" t="str">
            <v>CK5G3A2P6D5H0</v>
          </cell>
          <cell r="C1080" t="str">
            <v>ERD-280 GU10 85V-265V 6W 3000K LED AMPUL 35mm</v>
          </cell>
          <cell r="D1080" t="str">
            <v>ERD-280 GU10 82V-265V 5W 3000K LED BULB 35mm</v>
          </cell>
          <cell r="E1080" t="str">
            <v>ALUMİNYUM FÜME PLASTİK COB  LED DIMMSIZ KARMA</v>
          </cell>
          <cell r="F1080" t="str">
            <v>8539.52.00.00.00</v>
          </cell>
          <cell r="G1080" t="str">
            <v>AMPUL</v>
          </cell>
          <cell r="H1080" t="str">
            <v>CF52241D40000</v>
          </cell>
          <cell r="I1080" t="str">
            <v>İÇ</v>
          </cell>
          <cell r="J1080" t="str">
            <v>AMPUL</v>
          </cell>
          <cell r="K1080" t="str">
            <v>ERD-280</v>
          </cell>
          <cell r="L1080" t="str">
            <v/>
          </cell>
          <cell r="M1080" t="str">
            <v/>
          </cell>
          <cell r="N1080" t="str">
            <v>XR10</v>
          </cell>
          <cell r="O1080" t="str">
            <v>HEKA</v>
          </cell>
          <cell r="P1080" t="str">
            <v>ADET</v>
          </cell>
          <cell r="Q1080" t="str">
            <v>GU10</v>
          </cell>
          <cell r="R1080" t="str">
            <v>ALUMİNYUM</v>
          </cell>
          <cell r="S1080" t="str">
            <v>FÜME</v>
          </cell>
          <cell r="T1080" t="str">
            <v>PLASTİK</v>
          </cell>
          <cell r="V1080" t="str">
            <v>G</v>
          </cell>
          <cell r="W1080" t="str">
            <v>COB LED</v>
          </cell>
          <cell r="X1080" t="str">
            <v>85V-265V</v>
          </cell>
          <cell r="Y1080" t="str">
            <v>5 WATT</v>
          </cell>
          <cell r="Z1080" t="str">
            <v>3000 K</v>
          </cell>
          <cell r="AA1080" t="str">
            <v>DIMMSIZ</v>
          </cell>
          <cell r="AB1080" t="str">
            <v>301-400</v>
          </cell>
          <cell r="AC1080" t="str">
            <v>KARMA</v>
          </cell>
          <cell r="AD1080" t="str">
            <v>N/A</v>
          </cell>
          <cell r="AF1080">
            <v>363</v>
          </cell>
          <cell r="AG1080" t="str">
            <v>ADET</v>
          </cell>
          <cell r="AH1080">
            <v>19</v>
          </cell>
          <cell r="AI1080" t="str">
            <v>TL</v>
          </cell>
          <cell r="AJ1080">
            <v>2.2999999999999998</v>
          </cell>
          <cell r="AK1080" t="str">
            <v>USD</v>
          </cell>
          <cell r="AL1080">
            <v>1</v>
          </cell>
          <cell r="AM1080" t="str">
            <v>8684127510424</v>
          </cell>
          <cell r="AO1080">
            <v>0</v>
          </cell>
          <cell r="AQ1080">
            <v>5</v>
          </cell>
          <cell r="AR1080" t="str">
            <v>CM</v>
          </cell>
          <cell r="AS1080">
            <v>5</v>
          </cell>
          <cell r="AT1080" t="str">
            <v>CM</v>
          </cell>
          <cell r="AU1080">
            <v>0</v>
          </cell>
          <cell r="AW1080">
            <v>0</v>
          </cell>
        </row>
        <row r="1081">
          <cell r="B1081" t="str">
            <v>1FK4YKRSTMB-033</v>
          </cell>
          <cell r="C1081" t="str">
            <v>1 METRE SİYAH BAKIR TTR-2 KABLO 0,32 mm</v>
          </cell>
          <cell r="D1081" t="str">
            <v>1 METER BLACK COPPER TTR-2 CABLE 0.32 mm</v>
          </cell>
          <cell r="E1081" t="str">
            <v/>
          </cell>
          <cell r="F1081" t="str">
            <v/>
          </cell>
          <cell r="G1081" t="str">
            <v>ZPARCA</v>
          </cell>
          <cell r="H1081" t="str">
            <v/>
          </cell>
          <cell r="I1081" t="str">
            <v>İÇ</v>
          </cell>
          <cell r="J1081" t="str">
            <v>ZPARCA</v>
          </cell>
          <cell r="K1081" t="str">
            <v/>
          </cell>
          <cell r="L1081" t="str">
            <v/>
          </cell>
          <cell r="M1081" t="str">
            <v/>
          </cell>
          <cell r="N1081" t="str">
            <v/>
          </cell>
          <cell r="O1081" t="str">
            <v>HEKA</v>
          </cell>
          <cell r="P1081" t="str">
            <v>MT</v>
          </cell>
          <cell r="R1081" t="str">
            <v>KABLO</v>
          </cell>
          <cell r="S1081" t="str">
            <v>BAKIR</v>
          </cell>
          <cell r="T1081" t="str">
            <v>PLASTİK</v>
          </cell>
          <cell r="U1081" t="str">
            <v>SİYAH</v>
          </cell>
          <cell r="AF1081">
            <v>888</v>
          </cell>
          <cell r="AG1081" t="str">
            <v>MT</v>
          </cell>
          <cell r="AH1081">
            <v>20</v>
          </cell>
          <cell r="AI1081" t="str">
            <v>TL</v>
          </cell>
          <cell r="AJ1081">
            <v>143</v>
          </cell>
          <cell r="AK1081" t="str">
            <v>TL</v>
          </cell>
          <cell r="AL1081">
            <v>0</v>
          </cell>
          <cell r="AM1081" t="str">
            <v>1FK4YKRSTMB-033</v>
          </cell>
          <cell r="AO1081">
            <v>0</v>
          </cell>
          <cell r="AQ1081">
            <v>0.32</v>
          </cell>
          <cell r="AR1081" t="str">
            <v>MM</v>
          </cell>
          <cell r="AS1081">
            <v>0.32</v>
          </cell>
          <cell r="AT1081" t="str">
            <v>MM</v>
          </cell>
          <cell r="AU1081">
            <v>0</v>
          </cell>
          <cell r="AW1081">
            <v>0</v>
          </cell>
        </row>
        <row r="1082">
          <cell r="B1082" t="str">
            <v>1FK4YXRSTMB-051</v>
          </cell>
          <cell r="C1082" t="str">
            <v>1 METRE SİYAH ÖRGÜLÜ BAKIR TTR-2 KABLO 0,5 mm</v>
          </cell>
          <cell r="D1082" t="str">
            <v>1 METER BLACK BRAIDED COPPER TTR-2 CABLE 0.5 mm</v>
          </cell>
          <cell r="E1082" t="str">
            <v/>
          </cell>
          <cell r="F1082" t="str">
            <v/>
          </cell>
          <cell r="G1082" t="str">
            <v>ZPARCA</v>
          </cell>
          <cell r="H1082" t="str">
            <v/>
          </cell>
          <cell r="I1082" t="str">
            <v>İÇ</v>
          </cell>
          <cell r="J1082" t="str">
            <v>ZPARCA</v>
          </cell>
          <cell r="K1082" t="str">
            <v/>
          </cell>
          <cell r="L1082" t="str">
            <v/>
          </cell>
          <cell r="M1082" t="str">
            <v/>
          </cell>
          <cell r="N1082" t="str">
            <v/>
          </cell>
          <cell r="O1082" t="str">
            <v>HEKA</v>
          </cell>
          <cell r="P1082" t="str">
            <v>MT</v>
          </cell>
          <cell r="R1082" t="str">
            <v>KABLO</v>
          </cell>
          <cell r="S1082" t="str">
            <v>BAKIR</v>
          </cell>
          <cell r="T1082" t="str">
            <v>PLASTİK</v>
          </cell>
          <cell r="U1082" t="str">
            <v>SİYAH</v>
          </cell>
          <cell r="AF1082">
            <v>6169</v>
          </cell>
          <cell r="AG1082" t="str">
            <v>MT</v>
          </cell>
          <cell r="AH1082">
            <v>12</v>
          </cell>
          <cell r="AI1082" t="str">
            <v>TL</v>
          </cell>
          <cell r="AJ1082">
            <v>143</v>
          </cell>
          <cell r="AK1082" t="str">
            <v>TL</v>
          </cell>
          <cell r="AL1082">
            <v>0</v>
          </cell>
          <cell r="AM1082" t="str">
            <v>1FK4YXRSTMB-051</v>
          </cell>
          <cell r="AO1082">
            <v>0</v>
          </cell>
          <cell r="AQ1082">
            <v>0.5</v>
          </cell>
          <cell r="AR1082" t="str">
            <v>MM</v>
          </cell>
          <cell r="AS1082">
            <v>0.5</v>
          </cell>
          <cell r="AT1082" t="str">
            <v>MM</v>
          </cell>
          <cell r="AU1082">
            <v>0</v>
          </cell>
          <cell r="AW1082">
            <v>0</v>
          </cell>
        </row>
        <row r="1083">
          <cell r="B1083" t="str">
            <v>T1F6JMELRBR-180</v>
          </cell>
          <cell r="C1083" t="str">
            <v>CULFA ESKİTME LED LAMBADER 55cm</v>
          </cell>
          <cell r="D1083" t="str">
            <v>CULFA BRUSHED BRASS  LED FLOOR LAMP 55cm</v>
          </cell>
          <cell r="E1083" t="str">
            <v>METAL PLEKSİ ESKİTME BEYAZ</v>
          </cell>
          <cell r="F1083" t="str">
            <v/>
          </cell>
          <cell r="G1083" t="str">
            <v>LAMBADER</v>
          </cell>
          <cell r="H1083" t="str">
            <v>T1A6118100-55</v>
          </cell>
          <cell r="I1083" t="str">
            <v>İÇ</v>
          </cell>
          <cell r="J1083" t="str">
            <v>LAMBADER</v>
          </cell>
          <cell r="K1083" t="str">
            <v>CULFA</v>
          </cell>
          <cell r="L1083" t="str">
            <v/>
          </cell>
          <cell r="M1083" t="str">
            <v/>
          </cell>
          <cell r="N1083" t="str">
            <v>18001/D550A-F</v>
          </cell>
          <cell r="O1083" t="str">
            <v>HEKA</v>
          </cell>
          <cell r="P1083" t="str">
            <v>ADET</v>
          </cell>
          <cell r="Q1083" t="str">
            <v>LED</v>
          </cell>
          <cell r="R1083" t="str">
            <v>METAL</v>
          </cell>
          <cell r="S1083" t="str">
            <v>ESKİTME</v>
          </cell>
          <cell r="T1083" t="str">
            <v>PLEKSİ</v>
          </cell>
          <cell r="U1083" t="str">
            <v>BEYAZ</v>
          </cell>
          <cell r="AD1083" t="str">
            <v>DAİRE</v>
          </cell>
          <cell r="AE1083" t="str">
            <v>01</v>
          </cell>
          <cell r="AF1083">
            <v>0</v>
          </cell>
          <cell r="AG1083" t="str">
            <v>ADET</v>
          </cell>
          <cell r="AJ1083">
            <v>7021</v>
          </cell>
          <cell r="AK1083" t="str">
            <v>TL</v>
          </cell>
          <cell r="AL1083">
            <v>0</v>
          </cell>
          <cell r="AM1083" t="str">
            <v>1234567890009</v>
          </cell>
          <cell r="AO1083">
            <v>0</v>
          </cell>
          <cell r="AQ1083">
            <v>0</v>
          </cell>
          <cell r="AR1083" t="str">
            <v>CM</v>
          </cell>
          <cell r="AS1083">
            <v>0</v>
          </cell>
          <cell r="AT1083" t="str">
            <v>CM</v>
          </cell>
          <cell r="AU1083">
            <v>0</v>
          </cell>
          <cell r="AW1083">
            <v>0</v>
          </cell>
        </row>
        <row r="1084">
          <cell r="B1084" t="str">
            <v>CK5G3P3P2E7J1</v>
          </cell>
          <cell r="C1084" t="str">
            <v>ERD-285 GU10 220V 6W 4000K COB LED AMPUL</v>
          </cell>
          <cell r="D1084" t="str">
            <v>ERD-285 GU10 220V 6W 4000K COD LED BULB</v>
          </cell>
          <cell r="E1084" t="str">
            <v>PLASTİK PLASTİK ŞEFFAF SMD LED DIMMLİ KARMA</v>
          </cell>
          <cell r="F1084" t="str">
            <v>8539.52.00.00.00</v>
          </cell>
          <cell r="G1084" t="str">
            <v>AMPUL</v>
          </cell>
          <cell r="H1084" t="str">
            <v>CG52232D70000</v>
          </cell>
          <cell r="I1084" t="str">
            <v>İÇ</v>
          </cell>
          <cell r="J1084" t="str">
            <v>AMPUL</v>
          </cell>
          <cell r="K1084" t="str">
            <v>ERD-285</v>
          </cell>
          <cell r="L1084" t="str">
            <v/>
          </cell>
          <cell r="M1084" t="str">
            <v>30.01.2026</v>
          </cell>
          <cell r="N1084" t="str">
            <v>ERD-285</v>
          </cell>
          <cell r="O1084" t="str">
            <v>HEKA</v>
          </cell>
          <cell r="P1084" t="str">
            <v>ADET</v>
          </cell>
          <cell r="Q1084" t="str">
            <v>GU10</v>
          </cell>
          <cell r="R1084" t="str">
            <v>PLASTİK</v>
          </cell>
          <cell r="S1084" t="str">
            <v>ŞEFFAF</v>
          </cell>
          <cell r="T1084" t="str">
            <v>PLASTİK</v>
          </cell>
          <cell r="V1084" t="str">
            <v>G</v>
          </cell>
          <cell r="W1084" t="str">
            <v>COB LED</v>
          </cell>
          <cell r="X1084" t="str">
            <v>220V</v>
          </cell>
          <cell r="Y1084" t="str">
            <v>6 WATT</v>
          </cell>
          <cell r="Z1084" t="str">
            <v>4000 K</v>
          </cell>
          <cell r="AA1084" t="str">
            <v>DIMMLI</v>
          </cell>
          <cell r="AB1084" t="str">
            <v>301-400</v>
          </cell>
          <cell r="AC1084" t="str">
            <v>KARMA</v>
          </cell>
          <cell r="AD1084" t="str">
            <v>N/A</v>
          </cell>
          <cell r="AF1084">
            <v>8</v>
          </cell>
          <cell r="AG1084" t="str">
            <v>ADET</v>
          </cell>
          <cell r="AH1084">
            <v>0.3</v>
          </cell>
          <cell r="AI1084" t="str">
            <v>USD</v>
          </cell>
          <cell r="AJ1084">
            <v>1.7</v>
          </cell>
          <cell r="AK1084" t="str">
            <v>USD</v>
          </cell>
          <cell r="AL1084">
            <v>1</v>
          </cell>
          <cell r="AM1084" t="str">
            <v>8684127510691</v>
          </cell>
          <cell r="AN1084" t="str">
            <v xml:space="preserve">8684127510646
</v>
          </cell>
          <cell r="AO1084">
            <v>0</v>
          </cell>
          <cell r="AQ1084">
            <v>5</v>
          </cell>
          <cell r="AR1084" t="str">
            <v>CM</v>
          </cell>
          <cell r="AS1084">
            <v>5</v>
          </cell>
          <cell r="AT1084" t="str">
            <v>CM</v>
          </cell>
          <cell r="AU1084">
            <v>0</v>
          </cell>
          <cell r="AW1084">
            <v>0</v>
          </cell>
        </row>
        <row r="1085">
          <cell r="B1085" t="str">
            <v>ERD-108F</v>
          </cell>
          <cell r="C1085" t="str">
            <v xml:space="preserve">*ERD-108* TEKLİ FÜME CAM AVİZE </v>
          </cell>
          <cell r="D1085" t="str">
            <v/>
          </cell>
          <cell r="E1085" t="str">
            <v/>
          </cell>
          <cell r="F1085" t="str">
            <v/>
          </cell>
          <cell r="G1085" t="str">
            <v>AVİZE</v>
          </cell>
          <cell r="H1085" t="str">
            <v>ERD-108</v>
          </cell>
          <cell r="I1085" t="str">
            <v>İÇ</v>
          </cell>
          <cell r="J1085" t="str">
            <v>AVİZE.SARK</v>
          </cell>
          <cell r="K1085" t="str">
            <v>ERD-108</v>
          </cell>
          <cell r="L1085" t="str">
            <v/>
          </cell>
          <cell r="M1085" t="str">
            <v/>
          </cell>
          <cell r="N1085" t="str">
            <v/>
          </cell>
          <cell r="O1085" t="str">
            <v>HEKA</v>
          </cell>
          <cell r="P1085" t="str">
            <v>ADET</v>
          </cell>
          <cell r="AF1085">
            <v>0</v>
          </cell>
          <cell r="AG1085" t="str">
            <v>ADET</v>
          </cell>
          <cell r="AH1085">
            <v>24</v>
          </cell>
          <cell r="AI1085" t="str">
            <v>TL</v>
          </cell>
          <cell r="AJ1085">
            <v>595</v>
          </cell>
          <cell r="AK1085" t="str">
            <v>TL</v>
          </cell>
          <cell r="AL1085">
            <v>0</v>
          </cell>
          <cell r="AM1085" t="str">
            <v>8680000000002</v>
          </cell>
          <cell r="AO1085">
            <v>0</v>
          </cell>
          <cell r="AQ1085">
            <v>0</v>
          </cell>
          <cell r="AS1085">
            <v>0</v>
          </cell>
          <cell r="AU1085">
            <v>0</v>
          </cell>
          <cell r="AW1085">
            <v>0</v>
          </cell>
        </row>
        <row r="1086">
          <cell r="B1086" t="str">
            <v>H1T6JRKLCTJ-022</v>
          </cell>
          <cell r="C1086" t="str">
            <v>PORCINO KIRMIZI MASA LAMBASI</v>
          </cell>
          <cell r="D1086" t="str">
            <v>PORCINO RED TABLE LAMP</v>
          </cell>
          <cell r="E1086" t="str">
            <v xml:space="preserve">METAL PLEKSİ KIRMIZI SOFT   </v>
          </cell>
          <cell r="F1086" t="str">
            <v/>
          </cell>
          <cell r="G1086" t="str">
            <v>MASA LAMBASI</v>
          </cell>
          <cell r="H1086" t="str">
            <v/>
          </cell>
          <cell r="I1086" t="str">
            <v>İÇ</v>
          </cell>
          <cell r="J1086" t="str">
            <v>MASAABAJ</v>
          </cell>
          <cell r="K1086" t="str">
            <v>PORCINO</v>
          </cell>
          <cell r="L1086" t="str">
            <v/>
          </cell>
          <cell r="M1086" t="str">
            <v/>
          </cell>
          <cell r="N1086" t="str">
            <v>5668665-R</v>
          </cell>
          <cell r="O1086" t="str">
            <v>LAMBAM</v>
          </cell>
          <cell r="P1086" t="str">
            <v>ADET</v>
          </cell>
          <cell r="Q1086" t="str">
            <v>LED</v>
          </cell>
          <cell r="R1086" t="str">
            <v>METAL</v>
          </cell>
          <cell r="S1086" t="str">
            <v>KIRMIZI</v>
          </cell>
          <cell r="T1086" t="str">
            <v>PLEKSİ</v>
          </cell>
          <cell r="U1086" t="str">
            <v>SOFT</v>
          </cell>
          <cell r="AD1086" t="str">
            <v>ŞARJLI</v>
          </cell>
          <cell r="AE1086" t="str">
            <v>02</v>
          </cell>
          <cell r="AF1086">
            <v>13</v>
          </cell>
          <cell r="AG1086" t="str">
            <v>ADET</v>
          </cell>
          <cell r="AH1086">
            <v>21</v>
          </cell>
          <cell r="AI1086" t="str">
            <v>CNY</v>
          </cell>
          <cell r="AJ1086">
            <v>1088</v>
          </cell>
          <cell r="AK1086" t="str">
            <v>TL</v>
          </cell>
          <cell r="AL1086">
            <v>0</v>
          </cell>
          <cell r="AM1086" t="str">
            <v>8684127510769</v>
          </cell>
          <cell r="AO1086">
            <v>0</v>
          </cell>
          <cell r="AQ1086">
            <v>0</v>
          </cell>
          <cell r="AS1086">
            <v>0</v>
          </cell>
          <cell r="AU1086">
            <v>0</v>
          </cell>
          <cell r="AW1086">
            <v>0</v>
          </cell>
        </row>
        <row r="1087">
          <cell r="B1087" t="str">
            <v>H1T6JRZLCTJ-022</v>
          </cell>
          <cell r="C1087" t="str">
            <v>PORCINO TURKUAZ MASA LAMBASI</v>
          </cell>
          <cell r="D1087" t="str">
            <v>PORCINO TURQUOISE TABLE LAMP</v>
          </cell>
          <cell r="E1087" t="str">
            <v xml:space="preserve">METAL PLEKSİ TURKUAZ SOFT    </v>
          </cell>
          <cell r="F1087" t="str">
            <v/>
          </cell>
          <cell r="G1087" t="str">
            <v>MASA LAMBASI</v>
          </cell>
          <cell r="H1087" t="str">
            <v/>
          </cell>
          <cell r="I1087" t="str">
            <v>İÇ</v>
          </cell>
          <cell r="J1087" t="str">
            <v>MASAABAJ</v>
          </cell>
          <cell r="K1087" t="str">
            <v>PORCINO</v>
          </cell>
          <cell r="L1087" t="str">
            <v/>
          </cell>
          <cell r="M1087" t="str">
            <v/>
          </cell>
          <cell r="N1087" t="str">
            <v>5668665-T</v>
          </cell>
          <cell r="O1087" t="str">
            <v>LAMBAM</v>
          </cell>
          <cell r="P1087" t="str">
            <v>ADET</v>
          </cell>
          <cell r="Q1087" t="str">
            <v>LED</v>
          </cell>
          <cell r="R1087" t="str">
            <v>METAL</v>
          </cell>
          <cell r="S1087" t="str">
            <v>TURKUAZ</v>
          </cell>
          <cell r="T1087" t="str">
            <v>PLEKSİ</v>
          </cell>
          <cell r="U1087" t="str">
            <v>SOFT</v>
          </cell>
          <cell r="AD1087" t="str">
            <v>ŞARJLI</v>
          </cell>
          <cell r="AE1087" t="str">
            <v>02</v>
          </cell>
          <cell r="AF1087">
            <v>2</v>
          </cell>
          <cell r="AG1087" t="str">
            <v>ADET</v>
          </cell>
          <cell r="AH1087">
            <v>21</v>
          </cell>
          <cell r="AI1087" t="str">
            <v>CNY</v>
          </cell>
          <cell r="AJ1087">
            <v>1088</v>
          </cell>
          <cell r="AK1087" t="str">
            <v>TL</v>
          </cell>
          <cell r="AL1087">
            <v>0</v>
          </cell>
          <cell r="AM1087" t="str">
            <v>8684127510783</v>
          </cell>
          <cell r="AO1087">
            <v>0</v>
          </cell>
          <cell r="AQ1087">
            <v>0</v>
          </cell>
          <cell r="AS1087">
            <v>0</v>
          </cell>
          <cell r="AU1087">
            <v>0</v>
          </cell>
          <cell r="AW1087">
            <v>0</v>
          </cell>
        </row>
        <row r="1088">
          <cell r="B1088" t="str">
            <v>8699089462804</v>
          </cell>
          <cell r="C1088" t="str">
            <v>Heka Led Ampul 6W 2500K E27 (Gün Işığı) - Erd-37</v>
          </cell>
          <cell r="D1088" t="str">
            <v/>
          </cell>
          <cell r="E1088" t="str">
            <v/>
          </cell>
          <cell r="F1088" t="str">
            <v/>
          </cell>
          <cell r="G1088" t="str">
            <v/>
          </cell>
          <cell r="H1088" t="str">
            <v/>
          </cell>
          <cell r="I1088" t="str">
            <v/>
          </cell>
          <cell r="J1088" t="str">
            <v/>
          </cell>
          <cell r="K1088" t="str">
            <v/>
          </cell>
          <cell r="L1088" t="str">
            <v/>
          </cell>
          <cell r="M1088" t="str">
            <v/>
          </cell>
          <cell r="N1088" t="str">
            <v/>
          </cell>
          <cell r="P1088" t="str">
            <v>ADET</v>
          </cell>
          <cell r="AG1088" t="str">
            <v>ADET</v>
          </cell>
          <cell r="AL1088">
            <v>0</v>
          </cell>
          <cell r="AO1088">
            <v>0</v>
          </cell>
          <cell r="AQ1088">
            <v>0</v>
          </cell>
          <cell r="AS1088">
            <v>0</v>
          </cell>
          <cell r="AU1088">
            <v>0</v>
          </cell>
          <cell r="AW1088">
            <v>0</v>
          </cell>
        </row>
        <row r="1089">
          <cell r="B1089" t="str">
            <v>H1C2JMGWRBR-015</v>
          </cell>
          <cell r="C1089" t="str">
            <v>SANTA BEYAZ MERMER SARKIT 15cm</v>
          </cell>
          <cell r="D1089" t="str">
            <v>SANTA WHITE MARBLE PENDANT 15cm</v>
          </cell>
          <cell r="E1089" t="str">
            <v>METAL MERMER GOLD BEYAZ</v>
          </cell>
          <cell r="F1089" t="str">
            <v>9405.19.90.00.00</v>
          </cell>
          <cell r="G1089" t="str">
            <v>AVİZE</v>
          </cell>
          <cell r="H1089" t="str">
            <v>T1A2321100-15</v>
          </cell>
          <cell r="I1089" t="str">
            <v>İÇ</v>
          </cell>
          <cell r="J1089" t="str">
            <v>AVİZE.SARK</v>
          </cell>
          <cell r="K1089" t="str">
            <v>SANTA</v>
          </cell>
          <cell r="L1089" t="str">
            <v/>
          </cell>
          <cell r="M1089" t="str">
            <v/>
          </cell>
          <cell r="N1089" t="str">
            <v>MD6350-15-WC</v>
          </cell>
          <cell r="O1089" t="str">
            <v>HEKA</v>
          </cell>
          <cell r="P1089" t="str">
            <v>ADET</v>
          </cell>
          <cell r="Q1089" t="str">
            <v>E27</v>
          </cell>
          <cell r="R1089" t="str">
            <v>METAL</v>
          </cell>
          <cell r="S1089" t="str">
            <v>GOLD</v>
          </cell>
          <cell r="T1089" t="str">
            <v>MERMER</v>
          </cell>
          <cell r="U1089" t="str">
            <v>BEYAZ</v>
          </cell>
          <cell r="AD1089" t="str">
            <v>DAİRE</v>
          </cell>
          <cell r="AE1089" t="str">
            <v>02</v>
          </cell>
          <cell r="AF1089">
            <v>0</v>
          </cell>
          <cell r="AG1089" t="str">
            <v>ADET</v>
          </cell>
          <cell r="AH1089">
            <v>120</v>
          </cell>
          <cell r="AI1089" t="str">
            <v>CNY</v>
          </cell>
          <cell r="AJ1089">
            <v>1200</v>
          </cell>
          <cell r="AK1089" t="str">
            <v>TL</v>
          </cell>
          <cell r="AL1089">
            <v>0</v>
          </cell>
          <cell r="AO1089">
            <v>0</v>
          </cell>
          <cell r="AQ1089">
            <v>14</v>
          </cell>
          <cell r="AR1089" t="str">
            <v>CM</v>
          </cell>
          <cell r="AS1089">
            <v>15</v>
          </cell>
          <cell r="AT1089" t="str">
            <v>CM</v>
          </cell>
          <cell r="AU1089">
            <v>0</v>
          </cell>
          <cell r="AW1089">
            <v>0</v>
          </cell>
        </row>
        <row r="1090">
          <cell r="B1090" t="str">
            <v>H1S5JRSLCT0-125</v>
          </cell>
          <cell r="C1090" t="str">
            <v>KOZA BEŞLİ SİYAH APLİK</v>
          </cell>
          <cell r="D1090" t="str">
            <v>KOZA QUINTET BLACK WALL LAMP</v>
          </cell>
          <cell r="E1090" t="str">
            <v xml:space="preserve">METAL PLEKSİ KOYU SİYAH SOFT   </v>
          </cell>
          <cell r="F1090" t="str">
            <v>9405.19.90.00.00</v>
          </cell>
          <cell r="G1090" t="str">
            <v>APLİK</v>
          </cell>
          <cell r="H1090" t="str">
            <v>T1S5A38400-04</v>
          </cell>
          <cell r="I1090" t="str">
            <v>İÇ</v>
          </cell>
          <cell r="J1090" t="str">
            <v>APLİK</v>
          </cell>
          <cell r="K1090" t="str">
            <v>KOZA</v>
          </cell>
          <cell r="L1090" t="str">
            <v/>
          </cell>
          <cell r="M1090" t="str">
            <v>05.05.2026</v>
          </cell>
          <cell r="N1090" t="str">
            <v>HKA-23017</v>
          </cell>
          <cell r="O1090" t="str">
            <v>HEKA</v>
          </cell>
          <cell r="P1090" t="str">
            <v>ADET</v>
          </cell>
          <cell r="Q1090" t="str">
            <v>GU10</v>
          </cell>
          <cell r="R1090" t="str">
            <v>METAL</v>
          </cell>
          <cell r="S1090" t="str">
            <v>SİYAH</v>
          </cell>
          <cell r="T1090" t="str">
            <v>PLEKSİ</v>
          </cell>
          <cell r="U1090" t="str">
            <v>SOFT</v>
          </cell>
          <cell r="AD1090" t="str">
            <v>N/A</v>
          </cell>
          <cell r="AE1090" t="str">
            <v>05</v>
          </cell>
          <cell r="AF1090">
            <v>7</v>
          </cell>
          <cell r="AG1090" t="str">
            <v>ADET</v>
          </cell>
          <cell r="AH1090">
            <v>64</v>
          </cell>
          <cell r="AI1090" t="str">
            <v>CNY</v>
          </cell>
          <cell r="AJ1090">
            <v>7140</v>
          </cell>
          <cell r="AK1090" t="str">
            <v>TL</v>
          </cell>
          <cell r="AL1090">
            <v>0</v>
          </cell>
          <cell r="AM1090" t="str">
            <v>8684127510974</v>
          </cell>
          <cell r="AO1090">
            <v>0</v>
          </cell>
          <cell r="AQ1090">
            <v>12</v>
          </cell>
          <cell r="AR1090" t="str">
            <v>CM</v>
          </cell>
          <cell r="AS1090">
            <v>22</v>
          </cell>
          <cell r="AT1090" t="str">
            <v>CM</v>
          </cell>
          <cell r="AU1090">
            <v>0</v>
          </cell>
          <cell r="AW1090">
            <v>0</v>
          </cell>
        </row>
        <row r="1091">
          <cell r="B1091" t="str">
            <v>H1W4JMEERVR-015</v>
          </cell>
          <cell r="C1091" t="str">
            <v>BATUR KAHVERENGİ SARKIT 15 cm</v>
          </cell>
          <cell r="D1091" t="str">
            <v>BATUR BROWN PENDANT LAMP 15 cm</v>
          </cell>
          <cell r="E1091" t="str">
            <v xml:space="preserve">METAL CAM  ESKİTME KAHVERENGİ   </v>
          </cell>
          <cell r="F1091" t="str">
            <v>9405.19.90.00.00</v>
          </cell>
          <cell r="G1091" t="str">
            <v>AVİZE</v>
          </cell>
          <cell r="H1091" t="str">
            <v>H1A4112400-15</v>
          </cell>
          <cell r="I1091" t="str">
            <v>İÇ</v>
          </cell>
          <cell r="J1091" t="str">
            <v>AVİZE.SARK</v>
          </cell>
          <cell r="K1091" t="str">
            <v>BATUR</v>
          </cell>
          <cell r="L1091" t="str">
            <v/>
          </cell>
          <cell r="M1091" t="str">
            <v/>
          </cell>
          <cell r="N1091" t="str">
            <v>HKA-HB1</v>
          </cell>
          <cell r="O1091" t="str">
            <v>HEKA</v>
          </cell>
          <cell r="P1091" t="str">
            <v>ADET</v>
          </cell>
          <cell r="Q1091" t="str">
            <v>G4</v>
          </cell>
          <cell r="R1091" t="str">
            <v>METAL</v>
          </cell>
          <cell r="S1091" t="str">
            <v>ESKİTME</v>
          </cell>
          <cell r="T1091" t="str">
            <v>CAM</v>
          </cell>
          <cell r="U1091" t="str">
            <v>KAHVERENGİ</v>
          </cell>
          <cell r="AD1091" t="str">
            <v>DAİRE</v>
          </cell>
          <cell r="AE1091" t="str">
            <v>02</v>
          </cell>
          <cell r="AF1091">
            <v>0</v>
          </cell>
          <cell r="AG1091" t="str">
            <v>ADET</v>
          </cell>
          <cell r="AH1091">
            <v>75</v>
          </cell>
          <cell r="AI1091" t="str">
            <v>TL</v>
          </cell>
          <cell r="AJ1091">
            <v>2462</v>
          </cell>
          <cell r="AK1091" t="str">
            <v>TL</v>
          </cell>
          <cell r="AL1091">
            <v>1</v>
          </cell>
          <cell r="AO1091">
            <v>0</v>
          </cell>
          <cell r="AQ1091">
            <v>36</v>
          </cell>
          <cell r="AR1091" t="str">
            <v>CM</v>
          </cell>
          <cell r="AS1091">
            <v>15</v>
          </cell>
          <cell r="AT1091" t="str">
            <v>CM</v>
          </cell>
          <cell r="AU1091">
            <v>0</v>
          </cell>
          <cell r="AW1091">
            <v>0</v>
          </cell>
        </row>
        <row r="1092">
          <cell r="B1092" t="str">
            <v>SNC-27</v>
          </cell>
          <cell r="C1092" t="str">
            <v>G45 ŞEFFAF 4W 2700K E27 LED AMPUL</v>
          </cell>
          <cell r="D1092" t="str">
            <v/>
          </cell>
          <cell r="E1092" t="str">
            <v/>
          </cell>
          <cell r="F1092" t="str">
            <v>8539.52.00.00.04</v>
          </cell>
          <cell r="G1092" t="str">
            <v>AMPUL</v>
          </cell>
          <cell r="H1092" t="str">
            <v/>
          </cell>
          <cell r="I1092" t="str">
            <v>İÇ</v>
          </cell>
          <cell r="J1092" t="str">
            <v>AMPUL</v>
          </cell>
          <cell r="K1092" t="str">
            <v/>
          </cell>
          <cell r="L1092" t="str">
            <v/>
          </cell>
          <cell r="M1092" t="str">
            <v/>
          </cell>
          <cell r="N1092" t="str">
            <v/>
          </cell>
          <cell r="P1092" t="str">
            <v>ADET</v>
          </cell>
          <cell r="AF1092">
            <v>0</v>
          </cell>
          <cell r="AG1092" t="str">
            <v>ADET</v>
          </cell>
          <cell r="AL1092">
            <v>0</v>
          </cell>
          <cell r="AO1092">
            <v>0</v>
          </cell>
          <cell r="AQ1092">
            <v>0</v>
          </cell>
          <cell r="AS1092">
            <v>0</v>
          </cell>
          <cell r="AU1092">
            <v>0</v>
          </cell>
          <cell r="AW1092">
            <v>0</v>
          </cell>
        </row>
        <row r="1093">
          <cell r="B1093" t="str">
            <v>SNC-28-1</v>
          </cell>
          <cell r="C1093" t="str">
            <v>A60 ŞEFFAF 4W 4000K E27 LED AMPUL</v>
          </cell>
          <cell r="D1093" t="str">
            <v/>
          </cell>
          <cell r="E1093" t="str">
            <v/>
          </cell>
          <cell r="F1093" t="str">
            <v>8539.52.00.00.02</v>
          </cell>
          <cell r="G1093" t="str">
            <v>AMPUL</v>
          </cell>
          <cell r="H1093" t="str">
            <v/>
          </cell>
          <cell r="I1093" t="str">
            <v>İÇ</v>
          </cell>
          <cell r="J1093" t="str">
            <v>AMPUL</v>
          </cell>
          <cell r="K1093" t="str">
            <v/>
          </cell>
          <cell r="L1093" t="str">
            <v/>
          </cell>
          <cell r="M1093" t="str">
            <v/>
          </cell>
          <cell r="N1093" t="str">
            <v/>
          </cell>
          <cell r="P1093" t="str">
            <v>ADET</v>
          </cell>
          <cell r="AF1093">
            <v>0</v>
          </cell>
          <cell r="AG1093" t="str">
            <v>ADET</v>
          </cell>
          <cell r="AL1093">
            <v>0</v>
          </cell>
          <cell r="AO1093">
            <v>0</v>
          </cell>
          <cell r="AQ1093">
            <v>0</v>
          </cell>
          <cell r="AS1093">
            <v>0</v>
          </cell>
          <cell r="AU1093">
            <v>0</v>
          </cell>
          <cell r="AW1093">
            <v>0</v>
          </cell>
        </row>
        <row r="1094">
          <cell r="B1094" t="str">
            <v>1FJ4LTRS000-020</v>
          </cell>
          <cell r="C1094" t="str">
            <v>BATUR SİYAH TESİSAT (15-20 cm CAMLAR İÇİN)</v>
          </cell>
          <cell r="D1094" t="str">
            <v>BATUR BLACK 15-20 cm FIXTURE</v>
          </cell>
          <cell r="E1094" t="str">
            <v/>
          </cell>
          <cell r="F1094" t="str">
            <v/>
          </cell>
          <cell r="G1094" t="str">
            <v>ZPARCA</v>
          </cell>
          <cell r="H1094" t="str">
            <v/>
          </cell>
          <cell r="I1094" t="str">
            <v>İÇ</v>
          </cell>
          <cell r="J1094" t="str">
            <v>ZPARCA</v>
          </cell>
          <cell r="K1094" t="str">
            <v>BATUR</v>
          </cell>
          <cell r="L1094" t="str">
            <v/>
          </cell>
          <cell r="M1094" t="str">
            <v>ÜRTM:15GÜN</v>
          </cell>
          <cell r="N1094" t="str">
            <v/>
          </cell>
          <cell r="O1094" t="str">
            <v>HEKA</v>
          </cell>
          <cell r="P1094" t="str">
            <v>ADET</v>
          </cell>
          <cell r="Q1094" t="str">
            <v>G4</v>
          </cell>
          <cell r="R1094" t="str">
            <v>METAL</v>
          </cell>
          <cell r="S1094" t="str">
            <v>ESKİTME</v>
          </cell>
          <cell r="AD1094" t="str">
            <v>DÜZ</v>
          </cell>
          <cell r="AF1094">
            <v>0</v>
          </cell>
          <cell r="AG1094" t="str">
            <v>ADET</v>
          </cell>
          <cell r="AH1094">
            <v>150</v>
          </cell>
          <cell r="AI1094" t="str">
            <v>TL</v>
          </cell>
          <cell r="AJ1094">
            <v>990</v>
          </cell>
          <cell r="AK1094" t="str">
            <v>TL</v>
          </cell>
          <cell r="AL1094">
            <v>1</v>
          </cell>
          <cell r="AM1094" t="str">
            <v>1FJ4LTRS000-020</v>
          </cell>
          <cell r="AO1094">
            <v>0</v>
          </cell>
          <cell r="AQ1094">
            <v>3.5</v>
          </cell>
          <cell r="AR1094" t="str">
            <v>CM</v>
          </cell>
          <cell r="AS1094">
            <v>3.5</v>
          </cell>
          <cell r="AT1094" t="str">
            <v>CM</v>
          </cell>
          <cell r="AU1094">
            <v>0</v>
          </cell>
          <cell r="AW1094">
            <v>0</v>
          </cell>
        </row>
        <row r="1095">
          <cell r="B1095" t="str">
            <v>H1C3JMEECTD-100</v>
          </cell>
          <cell r="C1095" t="str">
            <v>DEMET ESKİTME YEMEK MASASI AVİZESİ 8 Lİ</v>
          </cell>
          <cell r="D1095" t="str">
            <v>DEMET DINING TABLE BRUSHED BRASS CHANDELIER 8 BULB</v>
          </cell>
          <cell r="E1095" t="str">
            <v xml:space="preserve">METAL CAM  ESKİTME SOFT   </v>
          </cell>
          <cell r="F1095" t="str">
            <v>9405.19.90.00.00</v>
          </cell>
          <cell r="G1095" t="str">
            <v>AVİZE</v>
          </cell>
          <cell r="H1095" t="str">
            <v>H1A3112100-13</v>
          </cell>
          <cell r="I1095" t="str">
            <v>İÇ</v>
          </cell>
          <cell r="J1095" t="str">
            <v>AVİZE.AVİZ</v>
          </cell>
          <cell r="K1095" t="str">
            <v>DEMET</v>
          </cell>
          <cell r="L1095" t="str">
            <v/>
          </cell>
          <cell r="M1095" t="str">
            <v>ÜRTM:15GÜN</v>
          </cell>
          <cell r="N1095" t="str">
            <v>HK20008-1</v>
          </cell>
          <cell r="O1095" t="str">
            <v>HEKA</v>
          </cell>
          <cell r="P1095" t="str">
            <v>ADET</v>
          </cell>
          <cell r="Q1095" t="str">
            <v>G9</v>
          </cell>
          <cell r="R1095" t="str">
            <v>METAL</v>
          </cell>
          <cell r="S1095" t="str">
            <v>ESKİTME</v>
          </cell>
          <cell r="T1095" t="str">
            <v>CAM</v>
          </cell>
          <cell r="U1095" t="str">
            <v>SOFT</v>
          </cell>
          <cell r="AD1095" t="str">
            <v>DİKDÖRTGEN</v>
          </cell>
          <cell r="AE1095" t="str">
            <v>8</v>
          </cell>
          <cell r="AF1095">
            <v>0</v>
          </cell>
          <cell r="AG1095" t="str">
            <v>ADET</v>
          </cell>
          <cell r="AJ1095">
            <v>19200</v>
          </cell>
          <cell r="AK1095" t="str">
            <v>TL</v>
          </cell>
          <cell r="AL1095">
            <v>1</v>
          </cell>
          <cell r="AO1095">
            <v>0</v>
          </cell>
          <cell r="AQ1095">
            <v>0</v>
          </cell>
          <cell r="AR1095" t="str">
            <v>CM</v>
          </cell>
          <cell r="AS1095">
            <v>0</v>
          </cell>
          <cell r="AT1095" t="str">
            <v>CM</v>
          </cell>
          <cell r="AU1095">
            <v>0</v>
          </cell>
          <cell r="AW1095">
            <v>0</v>
          </cell>
        </row>
        <row r="1096">
          <cell r="B1096" t="str">
            <v>1FK4YKCSTMB-033</v>
          </cell>
          <cell r="C1096" t="str">
            <v>1 METRE ŞEFFAF BAKIR TTR-2 KABLO 0,32 mm</v>
          </cell>
          <cell r="D1096" t="str">
            <v>1 METER TRANSPARENT COPPER TTR-2 CABLE 0.32 mm</v>
          </cell>
          <cell r="E1096" t="str">
            <v/>
          </cell>
          <cell r="F1096" t="str">
            <v/>
          </cell>
          <cell r="G1096" t="str">
            <v>ZPARCA</v>
          </cell>
          <cell r="H1096" t="str">
            <v/>
          </cell>
          <cell r="I1096" t="str">
            <v>İÇ</v>
          </cell>
          <cell r="J1096" t="str">
            <v>ZPARCA</v>
          </cell>
          <cell r="K1096" t="str">
            <v/>
          </cell>
          <cell r="L1096" t="str">
            <v/>
          </cell>
          <cell r="M1096" t="str">
            <v/>
          </cell>
          <cell r="N1096" t="str">
            <v/>
          </cell>
          <cell r="O1096" t="str">
            <v>HEKA</v>
          </cell>
          <cell r="P1096" t="str">
            <v>MT</v>
          </cell>
          <cell r="R1096" t="str">
            <v>KABLO</v>
          </cell>
          <cell r="S1096" t="str">
            <v>BAKIR</v>
          </cell>
          <cell r="T1096" t="str">
            <v>PLASTİK</v>
          </cell>
          <cell r="U1096" t="str">
            <v>ŞEFFAF</v>
          </cell>
          <cell r="AF1096">
            <v>281</v>
          </cell>
          <cell r="AG1096" t="str">
            <v>MT</v>
          </cell>
          <cell r="AH1096">
            <v>20</v>
          </cell>
          <cell r="AI1096" t="str">
            <v>TL</v>
          </cell>
          <cell r="AJ1096">
            <v>143</v>
          </cell>
          <cell r="AK1096" t="str">
            <v>TL</v>
          </cell>
          <cell r="AL1096">
            <v>0</v>
          </cell>
          <cell r="AM1096" t="str">
            <v>1FK4YKCSTMB-033</v>
          </cell>
          <cell r="AO1096">
            <v>0</v>
          </cell>
          <cell r="AQ1096">
            <v>0.32</v>
          </cell>
          <cell r="AR1096" t="str">
            <v>MM</v>
          </cell>
          <cell r="AS1096">
            <v>0.32</v>
          </cell>
          <cell r="AT1096" t="str">
            <v>MM</v>
          </cell>
          <cell r="AU1096">
            <v>0</v>
          </cell>
          <cell r="AW1096">
            <v>0</v>
          </cell>
        </row>
        <row r="1097">
          <cell r="B1097" t="str">
            <v>H1W6JRSWRBR-035</v>
          </cell>
          <cell r="C1097" t="str">
            <v>EROS MERMER LED APLİK 35cm</v>
          </cell>
          <cell r="D1097" t="str">
            <v>EROS  MARBLE LED WALL LAMP 35cm</v>
          </cell>
          <cell r="E1097" t="str">
            <v xml:space="preserve">METAL MERMER SİYAH BEYAZ   </v>
          </cell>
          <cell r="F1097" t="str">
            <v/>
          </cell>
          <cell r="G1097" t="str">
            <v>APLİK</v>
          </cell>
          <cell r="H1097" t="str">
            <v/>
          </cell>
          <cell r="I1097" t="str">
            <v>İÇ</v>
          </cell>
          <cell r="J1097" t="str">
            <v>APLİK</v>
          </cell>
          <cell r="K1097" t="str">
            <v>EROS</v>
          </cell>
          <cell r="L1097" t="str">
            <v/>
          </cell>
          <cell r="M1097" t="str">
            <v/>
          </cell>
          <cell r="N1097" t="str">
            <v>HKA-620</v>
          </cell>
          <cell r="O1097" t="str">
            <v>HEKA</v>
          </cell>
          <cell r="P1097" t="str">
            <v>ADET</v>
          </cell>
          <cell r="Q1097" t="str">
            <v>LED</v>
          </cell>
          <cell r="R1097" t="str">
            <v>METAL</v>
          </cell>
          <cell r="S1097" t="str">
            <v>SİYAH</v>
          </cell>
          <cell r="T1097" t="str">
            <v>MERMER</v>
          </cell>
          <cell r="U1097" t="str">
            <v>BEYAZ</v>
          </cell>
          <cell r="AD1097" t="str">
            <v>DAİRE</v>
          </cell>
          <cell r="AE1097" t="str">
            <v>02</v>
          </cell>
          <cell r="AF1097">
            <v>0</v>
          </cell>
          <cell r="AG1097" t="str">
            <v>ADET</v>
          </cell>
          <cell r="AJ1097">
            <v>4165</v>
          </cell>
          <cell r="AK1097" t="str">
            <v>TL</v>
          </cell>
          <cell r="AL1097">
            <v>1</v>
          </cell>
          <cell r="AM1097" t="str">
            <v>8684127510561</v>
          </cell>
          <cell r="AO1097">
            <v>0</v>
          </cell>
          <cell r="AQ1097">
            <v>0</v>
          </cell>
          <cell r="AS1097">
            <v>0</v>
          </cell>
          <cell r="AU1097">
            <v>0</v>
          </cell>
          <cell r="AW1097">
            <v>0</v>
          </cell>
        </row>
        <row r="1098">
          <cell r="B1098" t="str">
            <v>F1C2AAWDRBR-048</v>
          </cell>
          <cell r="C1098" t="str">
            <v>PAPIRUS ORTA BOY WENGE SARKIT</v>
          </cell>
          <cell r="D1098" t="str">
            <v>PAPIRUS MEDIUM SIZE WENGE PENDANT</v>
          </cell>
          <cell r="E1098" t="str">
            <v xml:space="preserve">AHŞAP BETON WENGE BEYAZ   </v>
          </cell>
          <cell r="F1098" t="str">
            <v>9405.19.90.00.00</v>
          </cell>
          <cell r="G1098" t="str">
            <v>AVİZE</v>
          </cell>
          <cell r="H1098" t="str">
            <v>F1A2737600-48</v>
          </cell>
          <cell r="I1098" t="str">
            <v>İÇ</v>
          </cell>
          <cell r="J1098" t="str">
            <v>AVİZE.SARK</v>
          </cell>
          <cell r="K1098" t="str">
            <v>PAPIRUS</v>
          </cell>
          <cell r="L1098" t="str">
            <v/>
          </cell>
          <cell r="M1098" t="str">
            <v>ÜRTM:15GÜN</v>
          </cell>
          <cell r="N1098" t="str">
            <v>1019-WM</v>
          </cell>
          <cell r="O1098" t="str">
            <v>ISHI</v>
          </cell>
          <cell r="P1098" t="str">
            <v>ADET</v>
          </cell>
          <cell r="Q1098" t="str">
            <v>E27</v>
          </cell>
          <cell r="R1098" t="str">
            <v>AHŞAP</v>
          </cell>
          <cell r="S1098" t="str">
            <v>WENGE</v>
          </cell>
          <cell r="T1098" t="str">
            <v>BETON</v>
          </cell>
          <cell r="U1098" t="str">
            <v>BEYAZ</v>
          </cell>
          <cell r="AD1098" t="str">
            <v>DAİRE</v>
          </cell>
          <cell r="AE1098" t="str">
            <v>02</v>
          </cell>
          <cell r="AF1098">
            <v>2</v>
          </cell>
          <cell r="AG1098" t="str">
            <v>ADET</v>
          </cell>
          <cell r="AH1098">
            <v>1610</v>
          </cell>
          <cell r="AI1098" t="str">
            <v>TL</v>
          </cell>
          <cell r="AJ1098">
            <v>8482</v>
          </cell>
          <cell r="AK1098" t="str">
            <v>TL</v>
          </cell>
          <cell r="AL1098">
            <v>0</v>
          </cell>
          <cell r="AM1098" t="str">
            <v>8684127510585</v>
          </cell>
          <cell r="AO1098">
            <v>0</v>
          </cell>
          <cell r="AQ1098">
            <v>36</v>
          </cell>
          <cell r="AR1098" t="str">
            <v>CM</v>
          </cell>
          <cell r="AS1098">
            <v>48</v>
          </cell>
          <cell r="AT1098" t="str">
            <v>CM</v>
          </cell>
          <cell r="AU1098">
            <v>0</v>
          </cell>
          <cell r="AW1098">
            <v>0</v>
          </cell>
        </row>
        <row r="1099">
          <cell r="B1099" t="str">
            <v>H1W6ARSJMER-024</v>
          </cell>
          <cell r="C1099" t="str">
            <v>ÇARK DİŞLİ LED SİYAH APLİK 24cm</v>
          </cell>
          <cell r="D1099" t="str">
            <v>ÇARK GEAR LED BLACK WALL LAMP 24cm</v>
          </cell>
          <cell r="E1099" t="str">
            <v xml:space="preserve">AHŞAP METAL SİYAH ESKİTME   </v>
          </cell>
          <cell r="F1099" t="str">
            <v/>
          </cell>
          <cell r="G1099" t="str">
            <v>APLİK</v>
          </cell>
          <cell r="H1099" t="str">
            <v/>
          </cell>
          <cell r="I1099" t="str">
            <v>İÇ</v>
          </cell>
          <cell r="J1099" t="str">
            <v>APLİK</v>
          </cell>
          <cell r="K1099" t="str">
            <v>ÇARK</v>
          </cell>
          <cell r="L1099" t="str">
            <v/>
          </cell>
          <cell r="M1099" t="str">
            <v/>
          </cell>
          <cell r="N1099" t="str">
            <v/>
          </cell>
          <cell r="O1099" t="str">
            <v>HEKA</v>
          </cell>
          <cell r="P1099" t="str">
            <v>ADET</v>
          </cell>
          <cell r="Q1099" t="str">
            <v>LED</v>
          </cell>
          <cell r="R1099" t="str">
            <v>AHŞAP</v>
          </cell>
          <cell r="S1099" t="str">
            <v>SİYAH</v>
          </cell>
          <cell r="T1099" t="str">
            <v>METAL</v>
          </cell>
          <cell r="U1099" t="str">
            <v>ESKİTME</v>
          </cell>
          <cell r="AD1099" t="str">
            <v>DAİRE</v>
          </cell>
          <cell r="AF1099">
            <v>19</v>
          </cell>
          <cell r="AG1099" t="str">
            <v>ADET</v>
          </cell>
          <cell r="AJ1099">
            <v>1952</v>
          </cell>
          <cell r="AK1099" t="str">
            <v>TL</v>
          </cell>
          <cell r="AL1099">
            <v>0</v>
          </cell>
          <cell r="AM1099" t="str">
            <v>8123456789021</v>
          </cell>
          <cell r="AO1099">
            <v>0</v>
          </cell>
          <cell r="AQ1099">
            <v>0</v>
          </cell>
          <cell r="AS1099">
            <v>0</v>
          </cell>
          <cell r="AU1099">
            <v>0</v>
          </cell>
          <cell r="AW1099">
            <v>0</v>
          </cell>
        </row>
        <row r="1100">
          <cell r="B1100" t="str">
            <v>CD1D1C302E7I0</v>
          </cell>
          <cell r="C1100" t="str">
            <v>ERD-282 E14 220V 6W 4000K FİLAMENT LED AMPUL</v>
          </cell>
          <cell r="D1100" t="str">
            <v>ERD-282 E14 220V 6W 4000K FILAMENT LED BULB</v>
          </cell>
          <cell r="E1100" t="str">
            <v>CAM METAL ŞEFFAF FLAMENT DIMMSIZ C35 - DÜZ</v>
          </cell>
          <cell r="F1100" t="str">
            <v>8539.52.00.00.00</v>
          </cell>
          <cell r="G1100" t="str">
            <v>AMPUL</v>
          </cell>
          <cell r="H1100" t="str">
            <v>CE11132D80000</v>
          </cell>
          <cell r="I1100" t="str">
            <v>İÇ</v>
          </cell>
          <cell r="J1100" t="str">
            <v>AMPUL</v>
          </cell>
          <cell r="K1100" t="str">
            <v>ERD-282</v>
          </cell>
          <cell r="L1100" t="str">
            <v/>
          </cell>
          <cell r="M1100" t="str">
            <v>30.01.2026</v>
          </cell>
          <cell r="N1100" t="str">
            <v>ERD-282</v>
          </cell>
          <cell r="O1100" t="str">
            <v>HEKA</v>
          </cell>
          <cell r="P1100" t="str">
            <v>ADET</v>
          </cell>
          <cell r="Q1100" t="str">
            <v>E14</v>
          </cell>
          <cell r="R1100" t="str">
            <v>CAM</v>
          </cell>
          <cell r="S1100" t="str">
            <v>ŞEFFAF</v>
          </cell>
          <cell r="T1100" t="str">
            <v>METAL</v>
          </cell>
          <cell r="V1100" t="str">
            <v>D</v>
          </cell>
          <cell r="W1100" t="str">
            <v>FLAMENT</v>
          </cell>
          <cell r="X1100" t="str">
            <v>220V</v>
          </cell>
          <cell r="Y1100" t="str">
            <v>7 WATT</v>
          </cell>
          <cell r="Z1100" t="str">
            <v>4000 K</v>
          </cell>
          <cell r="AA1100" t="str">
            <v>DIMMSIZ</v>
          </cell>
          <cell r="AB1100" t="str">
            <v>801-900</v>
          </cell>
          <cell r="AC1100" t="str">
            <v>C35 - DÜZ</v>
          </cell>
          <cell r="AD1100" t="str">
            <v>N/A</v>
          </cell>
          <cell r="AF1100">
            <v>118</v>
          </cell>
          <cell r="AG1100" t="str">
            <v>ADET</v>
          </cell>
          <cell r="AH1100">
            <v>0.32600000000000001</v>
          </cell>
          <cell r="AI1100" t="str">
            <v>USD</v>
          </cell>
          <cell r="AJ1100">
            <v>1.7</v>
          </cell>
          <cell r="AK1100" t="str">
            <v>USD</v>
          </cell>
          <cell r="AL1100">
            <v>1</v>
          </cell>
          <cell r="AM1100" t="str">
            <v>8684127519182</v>
          </cell>
          <cell r="AN1100" t="str">
            <v>8684127519199</v>
          </cell>
          <cell r="AO1100">
            <v>0</v>
          </cell>
          <cell r="AQ1100">
            <v>3.5</v>
          </cell>
          <cell r="AR1100" t="str">
            <v>CM</v>
          </cell>
          <cell r="AS1100">
            <v>3.5</v>
          </cell>
          <cell r="AT1100" t="str">
            <v>CM</v>
          </cell>
          <cell r="AU1100">
            <v>0</v>
          </cell>
          <cell r="AW1100">
            <v>0</v>
          </cell>
        </row>
        <row r="1101">
          <cell r="B1101" t="str">
            <v>H1T6JRPLCTJ-022</v>
          </cell>
          <cell r="C1101" t="str">
            <v>PORCINO PEMBE MASA LAMBASI</v>
          </cell>
          <cell r="D1101" t="str">
            <v>PORCINO PINK TABLE LAMP</v>
          </cell>
          <cell r="E1101" t="str">
            <v xml:space="preserve">METAL PLEKSİ PEMBE SOFT   </v>
          </cell>
          <cell r="F1101" t="str">
            <v/>
          </cell>
          <cell r="G1101" t="str">
            <v>MASA LAMBASI</v>
          </cell>
          <cell r="H1101" t="str">
            <v/>
          </cell>
          <cell r="I1101" t="str">
            <v>İÇ</v>
          </cell>
          <cell r="J1101" t="str">
            <v>MASAABAJ</v>
          </cell>
          <cell r="K1101" t="str">
            <v>PORCINO</v>
          </cell>
          <cell r="L1101" t="str">
            <v/>
          </cell>
          <cell r="M1101" t="str">
            <v/>
          </cell>
          <cell r="N1101" t="str">
            <v>5668665-P</v>
          </cell>
          <cell r="O1101" t="str">
            <v>LAMBAM</v>
          </cell>
          <cell r="P1101" t="str">
            <v>ADET</v>
          </cell>
          <cell r="Q1101" t="str">
            <v>LED</v>
          </cell>
          <cell r="R1101" t="str">
            <v>METAL</v>
          </cell>
          <cell r="S1101" t="str">
            <v>PEMBE</v>
          </cell>
          <cell r="T1101" t="str">
            <v>PLEKSİ</v>
          </cell>
          <cell r="U1101" t="str">
            <v>SOFT</v>
          </cell>
          <cell r="AD1101" t="str">
            <v>ŞARJLI</v>
          </cell>
          <cell r="AE1101" t="str">
            <v>02</v>
          </cell>
          <cell r="AF1101">
            <v>0</v>
          </cell>
          <cell r="AG1101" t="str">
            <v>ADET</v>
          </cell>
          <cell r="AH1101">
            <v>21</v>
          </cell>
          <cell r="AI1101" t="str">
            <v>CNY</v>
          </cell>
          <cell r="AJ1101">
            <v>1088</v>
          </cell>
          <cell r="AK1101" t="str">
            <v>TL</v>
          </cell>
          <cell r="AL1101">
            <v>0</v>
          </cell>
          <cell r="AM1101" t="str">
            <v>8684127510790</v>
          </cell>
          <cell r="AO1101">
            <v>0</v>
          </cell>
          <cell r="AQ1101">
            <v>0</v>
          </cell>
          <cell r="AS1101">
            <v>0</v>
          </cell>
          <cell r="AU1101">
            <v>0</v>
          </cell>
          <cell r="AW1101">
            <v>0</v>
          </cell>
        </row>
        <row r="1102">
          <cell r="B1102" t="str">
            <v>1FJ4LTMB000-020</v>
          </cell>
          <cell r="C1102" t="str">
            <v>BATUR BAKIR TESİSAT (15-20 cm CAMLAR İÇİN)</v>
          </cell>
          <cell r="D1102" t="str">
            <v>BATUR COPPER FIXTURE for 15-20 cm GLASS GLOPE</v>
          </cell>
          <cell r="E1102" t="str">
            <v/>
          </cell>
          <cell r="F1102" t="str">
            <v/>
          </cell>
          <cell r="G1102" t="str">
            <v>ZPARCA</v>
          </cell>
          <cell r="H1102" t="str">
            <v/>
          </cell>
          <cell r="I1102" t="str">
            <v>İÇ</v>
          </cell>
          <cell r="J1102" t="str">
            <v>ZPARCA</v>
          </cell>
          <cell r="K1102" t="str">
            <v>BATUR</v>
          </cell>
          <cell r="L1102" t="str">
            <v/>
          </cell>
          <cell r="M1102" t="str">
            <v>ÜRTM:15GÜN</v>
          </cell>
          <cell r="N1102" t="str">
            <v/>
          </cell>
          <cell r="O1102" t="str">
            <v>HEKA</v>
          </cell>
          <cell r="P1102" t="str">
            <v>ADET</v>
          </cell>
          <cell r="Q1102" t="str">
            <v>G4</v>
          </cell>
          <cell r="R1102" t="str">
            <v>METAL</v>
          </cell>
          <cell r="S1102" t="str">
            <v>BAKIR</v>
          </cell>
          <cell r="AD1102" t="str">
            <v>DÜZ</v>
          </cell>
          <cell r="AF1102">
            <v>0</v>
          </cell>
          <cell r="AG1102" t="str">
            <v>ADET</v>
          </cell>
          <cell r="AJ1102">
            <v>772</v>
          </cell>
          <cell r="AK1102" t="str">
            <v>TL</v>
          </cell>
          <cell r="AL1102">
            <v>0</v>
          </cell>
          <cell r="AO1102">
            <v>0</v>
          </cell>
          <cell r="AQ1102">
            <v>3.5</v>
          </cell>
          <cell r="AR1102" t="str">
            <v>CM</v>
          </cell>
          <cell r="AS1102">
            <v>3.5</v>
          </cell>
          <cell r="AT1102" t="str">
            <v>CM</v>
          </cell>
          <cell r="AU1102">
            <v>0</v>
          </cell>
          <cell r="AW1102">
            <v>0</v>
          </cell>
        </row>
        <row r="1103">
          <cell r="B1103" t="str">
            <v>150-SEF-BALON-A-CAM</v>
          </cell>
          <cell r="C1103" t="str">
            <v>BALON  ŞEFFAF DİŞLİ APLİK CAM 15 cm</v>
          </cell>
          <cell r="D1103" t="str">
            <v>BALLOON TRANSPARENT TOOTHED WALL LAMP GLASS 15 cm</v>
          </cell>
          <cell r="E1103" t="str">
            <v/>
          </cell>
          <cell r="F1103" t="str">
            <v/>
          </cell>
          <cell r="G1103" t="str">
            <v>ZPARCA</v>
          </cell>
          <cell r="H1103" t="str">
            <v>150A-BAL</v>
          </cell>
          <cell r="I1103" t="str">
            <v>İÇ</v>
          </cell>
          <cell r="J1103" t="str">
            <v>ZPARCA</v>
          </cell>
          <cell r="K1103" t="str">
            <v/>
          </cell>
          <cell r="L1103" t="str">
            <v/>
          </cell>
          <cell r="M1103" t="str">
            <v/>
          </cell>
          <cell r="N1103" t="str">
            <v/>
          </cell>
          <cell r="O1103" t="str">
            <v>HEKA</v>
          </cell>
          <cell r="P1103" t="str">
            <v>ADET</v>
          </cell>
          <cell r="R1103" t="str">
            <v>CAM</v>
          </cell>
          <cell r="S1103" t="str">
            <v>ŞEFFAF</v>
          </cell>
          <cell r="AF1103">
            <v>0</v>
          </cell>
          <cell r="AG1103" t="str">
            <v>ADET</v>
          </cell>
          <cell r="AJ1103">
            <v>1785</v>
          </cell>
          <cell r="AK1103" t="str">
            <v>TL</v>
          </cell>
          <cell r="AL1103">
            <v>0</v>
          </cell>
          <cell r="AM1103" t="str">
            <v>150-SEF-BALON-A-CAM</v>
          </cell>
          <cell r="AO1103">
            <v>0</v>
          </cell>
          <cell r="AQ1103">
            <v>0</v>
          </cell>
          <cell r="AS1103">
            <v>0</v>
          </cell>
          <cell r="AU1103">
            <v>0</v>
          </cell>
          <cell r="AW1103">
            <v>0</v>
          </cell>
        </row>
        <row r="1104">
          <cell r="B1104" t="str">
            <v>H1W7JMEECS0-035</v>
          </cell>
          <cell r="C1104" t="str">
            <v>VİYANA ŞEFFAF DAMLA CAM ESKİTME PERİ LED APLİK</v>
          </cell>
          <cell r="D1104" t="str">
            <v>VIYANA CLEAR DROP GLASS BRUSHED BRASS FAIRY LED WALL LAMP</v>
          </cell>
          <cell r="E1104" t="str">
            <v>METAL CAM ESKİTME BAL</v>
          </cell>
          <cell r="F1104" t="str">
            <v>9405.19.90.00.00</v>
          </cell>
          <cell r="G1104" t="str">
            <v>APLİK</v>
          </cell>
          <cell r="H1104" t="str">
            <v>T1W1112300-25</v>
          </cell>
          <cell r="I1104" t="str">
            <v>İÇ</v>
          </cell>
          <cell r="J1104" t="str">
            <v>APLİK</v>
          </cell>
          <cell r="K1104" t="str">
            <v>VİYANA</v>
          </cell>
          <cell r="L1104" t="str">
            <v>Y</v>
          </cell>
          <cell r="M1104" t="str">
            <v>ÜRTM:15GÜN</v>
          </cell>
          <cell r="N1104" t="str">
            <v>HK20072-SP</v>
          </cell>
          <cell r="O1104" t="str">
            <v>HEKA</v>
          </cell>
          <cell r="P1104" t="str">
            <v>ADET</v>
          </cell>
          <cell r="Q1104" t="str">
            <v>PERİ LED</v>
          </cell>
          <cell r="R1104" t="str">
            <v>METAL</v>
          </cell>
          <cell r="S1104" t="str">
            <v>ESKİTME</v>
          </cell>
          <cell r="T1104" t="str">
            <v>CAM</v>
          </cell>
          <cell r="U1104" t="str">
            <v>ŞEFFAF</v>
          </cell>
          <cell r="AD1104" t="str">
            <v>N/A</v>
          </cell>
          <cell r="AE1104" t="str">
            <v>02</v>
          </cell>
          <cell r="AF1104">
            <v>0</v>
          </cell>
          <cell r="AG1104" t="str">
            <v>ADET</v>
          </cell>
          <cell r="AJ1104">
            <v>2100</v>
          </cell>
          <cell r="AK1104" t="str">
            <v>TL</v>
          </cell>
          <cell r="AL1104">
            <v>0</v>
          </cell>
          <cell r="AM1104" t="str">
            <v>8684127510837</v>
          </cell>
          <cell r="AO1104">
            <v>0</v>
          </cell>
          <cell r="AQ1104">
            <v>12</v>
          </cell>
          <cell r="AR1104" t="str">
            <v>CM</v>
          </cell>
          <cell r="AS1104">
            <v>23</v>
          </cell>
          <cell r="AT1104" t="str">
            <v>CM</v>
          </cell>
          <cell r="AU1104">
            <v>0</v>
          </cell>
          <cell r="AW1104">
            <v>0</v>
          </cell>
        </row>
        <row r="1105">
          <cell r="B1105" t="str">
            <v>H1C6JMPECS0-036</v>
          </cell>
          <cell r="C1105" t="str">
            <v>BARLAS TEKLİ PLATİN SARKIT</v>
          </cell>
          <cell r="D1105" t="str">
            <v>BARLAS SINGLE PLATINUM PENDANT</v>
          </cell>
          <cell r="E1105" t="str">
            <v xml:space="preserve">METAL CAM  PLATİN ŞEFFAF   </v>
          </cell>
          <cell r="F1105" t="str">
            <v/>
          </cell>
          <cell r="G1105" t="str">
            <v>AVİZE</v>
          </cell>
          <cell r="H1105" t="str">
            <v/>
          </cell>
          <cell r="I1105" t="str">
            <v>İÇ</v>
          </cell>
          <cell r="J1105" t="str">
            <v>AVİZE.SARK</v>
          </cell>
          <cell r="K1105" t="str">
            <v>BARLAS</v>
          </cell>
          <cell r="L1105" t="str">
            <v/>
          </cell>
          <cell r="M1105" t="str">
            <v/>
          </cell>
          <cell r="N1105" t="str">
            <v>HC26-1D-P</v>
          </cell>
          <cell r="O1105" t="str">
            <v>HEKA</v>
          </cell>
          <cell r="P1105" t="str">
            <v>ADET</v>
          </cell>
          <cell r="Q1105" t="str">
            <v>LED</v>
          </cell>
          <cell r="R1105" t="str">
            <v>METAL</v>
          </cell>
          <cell r="S1105" t="str">
            <v>PLATİN</v>
          </cell>
          <cell r="T1105" t="str">
            <v>CAM</v>
          </cell>
          <cell r="U1105" t="str">
            <v>ŞEFFAF</v>
          </cell>
          <cell r="AD1105" t="str">
            <v>N/A</v>
          </cell>
          <cell r="AE1105" t="str">
            <v>02</v>
          </cell>
          <cell r="AF1105">
            <v>0</v>
          </cell>
          <cell r="AG1105" t="str">
            <v>ADET</v>
          </cell>
          <cell r="AH1105">
            <v>98</v>
          </cell>
          <cell r="AI1105" t="str">
            <v>CNY</v>
          </cell>
          <cell r="AJ1105">
            <v>4701</v>
          </cell>
          <cell r="AK1105" t="str">
            <v>TL</v>
          </cell>
          <cell r="AL1105">
            <v>1</v>
          </cell>
          <cell r="AM1105" t="str">
            <v>8684127507929</v>
          </cell>
          <cell r="AO1105">
            <v>0.85</v>
          </cell>
          <cell r="AP1105" t="str">
            <v>KG</v>
          </cell>
          <cell r="AQ1105">
            <v>23</v>
          </cell>
          <cell r="AR1105" t="str">
            <v>CM</v>
          </cell>
          <cell r="AS1105">
            <v>10</v>
          </cell>
          <cell r="AT1105" t="str">
            <v>CM</v>
          </cell>
          <cell r="AU1105">
            <v>0</v>
          </cell>
          <cell r="AW1105">
            <v>0</v>
          </cell>
        </row>
        <row r="1106">
          <cell r="B1106" t="str">
            <v>H1C2JMEECS0-020</v>
          </cell>
          <cell r="C1106" t="str">
            <v>LANGE ŞEFFAF CAM ESKİTME E14 SARKIT 20cm</v>
          </cell>
          <cell r="D1106" t="str">
            <v>LANGE CLEAR GLASS BRUSHED BRASS E14 PENDANT 20cm</v>
          </cell>
          <cell r="E1106" t="str">
            <v xml:space="preserve">METAL CAM  ESKİTME ŞEFFAF   </v>
          </cell>
          <cell r="F1106" t="str">
            <v/>
          </cell>
          <cell r="G1106" t="str">
            <v>AVİZE</v>
          </cell>
          <cell r="H1106" t="str">
            <v/>
          </cell>
          <cell r="I1106" t="str">
            <v>İÇ</v>
          </cell>
          <cell r="J1106" t="str">
            <v>AVİZE.SARK</v>
          </cell>
          <cell r="K1106" t="str">
            <v>LANGE</v>
          </cell>
          <cell r="L1106" t="str">
            <v/>
          </cell>
          <cell r="M1106" t="str">
            <v/>
          </cell>
          <cell r="N1106" t="str">
            <v>HB-01xh-S</v>
          </cell>
          <cell r="O1106" t="str">
            <v>HEKA</v>
          </cell>
          <cell r="P1106" t="str">
            <v>ADET</v>
          </cell>
          <cell r="Q1106" t="str">
            <v>E14</v>
          </cell>
          <cell r="R1106" t="str">
            <v>METAL</v>
          </cell>
          <cell r="S1106" t="str">
            <v>ESKİTME</v>
          </cell>
          <cell r="T1106" t="str">
            <v>CAM</v>
          </cell>
          <cell r="U1106" t="str">
            <v>ŞEFFAF</v>
          </cell>
          <cell r="AD1106" t="str">
            <v>N/A</v>
          </cell>
          <cell r="AE1106" t="str">
            <v>01</v>
          </cell>
          <cell r="AF1106">
            <v>110</v>
          </cell>
          <cell r="AG1106" t="str">
            <v>ADET</v>
          </cell>
          <cell r="AH1106">
            <v>32</v>
          </cell>
          <cell r="AI1106" t="str">
            <v>CNY</v>
          </cell>
          <cell r="AJ1106">
            <v>2785</v>
          </cell>
          <cell r="AK1106" t="str">
            <v>TL</v>
          </cell>
          <cell r="AL1106">
            <v>1</v>
          </cell>
          <cell r="AM1106" t="str">
            <v>8684127508292</v>
          </cell>
          <cell r="AO1106">
            <v>0</v>
          </cell>
          <cell r="AQ1106">
            <v>0</v>
          </cell>
          <cell r="AS1106">
            <v>0</v>
          </cell>
          <cell r="AU1106">
            <v>0</v>
          </cell>
          <cell r="AW1106">
            <v>0</v>
          </cell>
        </row>
        <row r="1107">
          <cell r="B1107" t="str">
            <v>H1W1JMEWRBC-030</v>
          </cell>
          <cell r="C1107" t="str">
            <v>ARKAS TEKLİ BEYAZ MERMER E14 APLİK 30cm</v>
          </cell>
          <cell r="D1107" t="str">
            <v xml:space="preserve">ARKAS SINGLE WHITE MARBLE E14 WALL LAMP 30cm  </v>
          </cell>
          <cell r="E1107" t="str">
            <v xml:space="preserve">METAL MERMER ESKİTME BEYAZ   </v>
          </cell>
          <cell r="F1107" t="str">
            <v/>
          </cell>
          <cell r="G1107" t="str">
            <v>APLİK</v>
          </cell>
          <cell r="H1107" t="str">
            <v/>
          </cell>
          <cell r="I1107" t="str">
            <v>İÇ</v>
          </cell>
          <cell r="J1107" t="str">
            <v>APLİK</v>
          </cell>
          <cell r="K1107" t="str">
            <v>ARKAS</v>
          </cell>
          <cell r="L1107" t="str">
            <v/>
          </cell>
          <cell r="M1107" t="str">
            <v/>
          </cell>
          <cell r="N1107" t="str">
            <v>HKA-24048</v>
          </cell>
          <cell r="O1107" t="str">
            <v>HEKA</v>
          </cell>
          <cell r="P1107" t="str">
            <v>ADET</v>
          </cell>
          <cell r="Q1107" t="str">
            <v>E14</v>
          </cell>
          <cell r="R1107" t="str">
            <v>METAL</v>
          </cell>
          <cell r="S1107" t="str">
            <v>ESKİTME</v>
          </cell>
          <cell r="T1107" t="str">
            <v>MERMER</v>
          </cell>
          <cell r="U1107" t="str">
            <v>BEYAZ</v>
          </cell>
          <cell r="AD1107" t="str">
            <v>SİLİNDİR</v>
          </cell>
          <cell r="AE1107" t="str">
            <v>01</v>
          </cell>
          <cell r="AF1107">
            <v>41</v>
          </cell>
          <cell r="AG1107" t="str">
            <v>ADET</v>
          </cell>
          <cell r="AH1107">
            <v>180</v>
          </cell>
          <cell r="AI1107" t="str">
            <v>CNY</v>
          </cell>
          <cell r="AJ1107">
            <v>15150</v>
          </cell>
          <cell r="AK1107" t="str">
            <v>TL</v>
          </cell>
          <cell r="AL1107">
            <v>1</v>
          </cell>
          <cell r="AM1107" t="str">
            <v>8684127507349</v>
          </cell>
          <cell r="AO1107">
            <v>0</v>
          </cell>
          <cell r="AQ1107">
            <v>0</v>
          </cell>
          <cell r="AS1107">
            <v>0</v>
          </cell>
          <cell r="AU1107">
            <v>0</v>
          </cell>
          <cell r="AW1107">
            <v>0</v>
          </cell>
        </row>
        <row r="1108">
          <cell r="B1108" t="str">
            <v>H1W6JMEBRRR-025</v>
          </cell>
          <cell r="C1108" t="str">
            <v>ASENA AKRİLİK LED APLİK</v>
          </cell>
          <cell r="D1108" t="str">
            <v>ASENA ACRYLIC LED WALL LAMP</v>
          </cell>
          <cell r="E1108" t="str">
            <v xml:space="preserve">METAL AKRİLİK GOLD KREM   </v>
          </cell>
          <cell r="F1108" t="str">
            <v/>
          </cell>
          <cell r="G1108" t="str">
            <v>APLİK</v>
          </cell>
          <cell r="H1108" t="str">
            <v/>
          </cell>
          <cell r="I1108" t="str">
            <v>İÇ</v>
          </cell>
          <cell r="J1108" t="str">
            <v>APLİK</v>
          </cell>
          <cell r="K1108" t="str">
            <v>ASENA</v>
          </cell>
          <cell r="L1108" t="str">
            <v/>
          </cell>
          <cell r="M1108" t="str">
            <v/>
          </cell>
          <cell r="N1108" t="str">
            <v>HK-92</v>
          </cell>
          <cell r="O1108" t="str">
            <v>HEKA</v>
          </cell>
          <cell r="P1108" t="str">
            <v>ADET</v>
          </cell>
          <cell r="Q1108" t="str">
            <v>LED</v>
          </cell>
          <cell r="R1108" t="str">
            <v>METAL</v>
          </cell>
          <cell r="S1108" t="str">
            <v>GOLD</v>
          </cell>
          <cell r="T1108" t="str">
            <v>AKRİLİK</v>
          </cell>
          <cell r="U1108" t="str">
            <v>KREM</v>
          </cell>
          <cell r="AD1108" t="str">
            <v>DAİRE</v>
          </cell>
          <cell r="AE1108" t="str">
            <v>02</v>
          </cell>
          <cell r="AF1108">
            <v>6</v>
          </cell>
          <cell r="AG1108" t="str">
            <v>ADET</v>
          </cell>
          <cell r="AH1108">
            <v>120</v>
          </cell>
          <cell r="AI1108" t="str">
            <v>CNY</v>
          </cell>
          <cell r="AJ1108">
            <v>5100</v>
          </cell>
          <cell r="AK1108" t="str">
            <v>TL</v>
          </cell>
          <cell r="AL1108">
            <v>1</v>
          </cell>
          <cell r="AM1108" t="str">
            <v>8684127506892</v>
          </cell>
          <cell r="AO1108">
            <v>0</v>
          </cell>
          <cell r="AQ1108">
            <v>0</v>
          </cell>
          <cell r="AS1108">
            <v>0</v>
          </cell>
          <cell r="AU1108">
            <v>0</v>
          </cell>
          <cell r="AW1108">
            <v>0</v>
          </cell>
        </row>
        <row r="1109">
          <cell r="B1109" t="str">
            <v>H1C6JMPJMG0-016</v>
          </cell>
          <cell r="C1109" t="str">
            <v>EREBOS ALTIN  LED SARKIT</v>
          </cell>
          <cell r="D1109" t="str">
            <v>EREBOS GOLD LED PENDANT</v>
          </cell>
          <cell r="E1109" t="str">
            <v xml:space="preserve">METAL METAL PLATİN GOLD   </v>
          </cell>
          <cell r="F1109" t="str">
            <v/>
          </cell>
          <cell r="G1109" t="str">
            <v>AVİZE</v>
          </cell>
          <cell r="H1109" t="str">
            <v/>
          </cell>
          <cell r="I1109" t="str">
            <v>İÇ</v>
          </cell>
          <cell r="J1109" t="str">
            <v>AVİZE.SARK</v>
          </cell>
          <cell r="K1109" t="str">
            <v>EREBOS</v>
          </cell>
          <cell r="L1109" t="str">
            <v/>
          </cell>
          <cell r="M1109" t="str">
            <v/>
          </cell>
          <cell r="N1109" t="str">
            <v>9112-G</v>
          </cell>
          <cell r="O1109" t="str">
            <v>HEKA</v>
          </cell>
          <cell r="P1109" t="str">
            <v>ADET</v>
          </cell>
          <cell r="Q1109" t="str">
            <v>LED</v>
          </cell>
          <cell r="R1109" t="str">
            <v>METAL</v>
          </cell>
          <cell r="S1109" t="str">
            <v>PLATİN</v>
          </cell>
          <cell r="T1109" t="str">
            <v>METAL</v>
          </cell>
          <cell r="U1109" t="str">
            <v>GOLD</v>
          </cell>
          <cell r="AD1109" t="str">
            <v>N/A</v>
          </cell>
          <cell r="AE1109" t="str">
            <v>02</v>
          </cell>
          <cell r="AF1109">
            <v>0</v>
          </cell>
          <cell r="AG1109" t="str">
            <v>ADET</v>
          </cell>
          <cell r="AH1109">
            <v>108</v>
          </cell>
          <cell r="AI1109" t="str">
            <v>CNY</v>
          </cell>
          <cell r="AJ1109">
            <v>5415</v>
          </cell>
          <cell r="AK1109" t="str">
            <v>TL</v>
          </cell>
          <cell r="AL1109">
            <v>1</v>
          </cell>
          <cell r="AM1109" t="str">
            <v>8684127507004</v>
          </cell>
          <cell r="AO1109">
            <v>0</v>
          </cell>
          <cell r="AQ1109">
            <v>0</v>
          </cell>
          <cell r="AS1109">
            <v>0</v>
          </cell>
          <cell r="AU1109">
            <v>0</v>
          </cell>
          <cell r="AW1109">
            <v>0</v>
          </cell>
        </row>
        <row r="1110">
          <cell r="B1110" t="str">
            <v>H1C6JRSJRB0-013</v>
          </cell>
          <cell r="C1110" t="str">
            <v>MAYON BEYAZ LED SARKIT</v>
          </cell>
          <cell r="D1110" t="str">
            <v>MAYON WHITE LED PENDANT</v>
          </cell>
          <cell r="E1110" t="str">
            <v xml:space="preserve">METAL METAL SİYAH BEYAZ   </v>
          </cell>
          <cell r="F1110" t="str">
            <v/>
          </cell>
          <cell r="G1110" t="str">
            <v>AVİZE</v>
          </cell>
          <cell r="H1110" t="str">
            <v/>
          </cell>
          <cell r="I1110" t="str">
            <v>İÇ</v>
          </cell>
          <cell r="J1110" t="str">
            <v>AVİZE.SARK</v>
          </cell>
          <cell r="K1110" t="str">
            <v>MAYON</v>
          </cell>
          <cell r="L1110" t="str">
            <v/>
          </cell>
          <cell r="M1110" t="str">
            <v/>
          </cell>
          <cell r="N1110" t="str">
            <v>9126-W</v>
          </cell>
          <cell r="O1110" t="str">
            <v>HEKA</v>
          </cell>
          <cell r="P1110" t="str">
            <v>ADET</v>
          </cell>
          <cell r="Q1110" t="str">
            <v>LED</v>
          </cell>
          <cell r="R1110" t="str">
            <v>METAL</v>
          </cell>
          <cell r="S1110" t="str">
            <v>SİYAH</v>
          </cell>
          <cell r="T1110" t="str">
            <v>METAL</v>
          </cell>
          <cell r="U1110" t="str">
            <v>BEYAZ</v>
          </cell>
          <cell r="AD1110" t="str">
            <v>N/A</v>
          </cell>
          <cell r="AE1110" t="str">
            <v>02</v>
          </cell>
          <cell r="AF1110">
            <v>50</v>
          </cell>
          <cell r="AG1110" t="str">
            <v>ADET</v>
          </cell>
          <cell r="AH1110">
            <v>108</v>
          </cell>
          <cell r="AI1110" t="str">
            <v>CNY</v>
          </cell>
          <cell r="AJ1110">
            <v>5415</v>
          </cell>
          <cell r="AK1110" t="str">
            <v>TL</v>
          </cell>
          <cell r="AL1110">
            <v>1</v>
          </cell>
          <cell r="AM1110" t="str">
            <v>8684127507073</v>
          </cell>
          <cell r="AO1110">
            <v>0</v>
          </cell>
          <cell r="AQ1110">
            <v>0</v>
          </cell>
          <cell r="AS1110">
            <v>0</v>
          </cell>
          <cell r="AU1110">
            <v>0</v>
          </cell>
          <cell r="AW1110">
            <v>0</v>
          </cell>
        </row>
        <row r="1111">
          <cell r="B1111" t="str">
            <v>H1C6WRSJME0-040</v>
          </cell>
          <cell r="C1111" t="str">
            <v>HERA ESKİTME SİYAH MERMER SARKIT 40cm</v>
          </cell>
          <cell r="D1111" t="str">
            <v>HERA BRUSHED BRASS  BLACK MARBLE PENDANT 40cm</v>
          </cell>
          <cell r="E1111" t="str">
            <v xml:space="preserve">MERMER METAL SİYAH ESKİTME   </v>
          </cell>
          <cell r="F1111" t="str">
            <v/>
          </cell>
          <cell r="G1111" t="str">
            <v>AVİZE</v>
          </cell>
          <cell r="H1111" t="str">
            <v/>
          </cell>
          <cell r="I1111" t="str">
            <v>İÇ</v>
          </cell>
          <cell r="J1111" t="str">
            <v>AVİZE.SARK</v>
          </cell>
          <cell r="K1111" t="str">
            <v>HERA</v>
          </cell>
          <cell r="L1111" t="str">
            <v/>
          </cell>
          <cell r="M1111" t="str">
            <v/>
          </cell>
          <cell r="N1111" t="str">
            <v>HKA-24150</v>
          </cell>
          <cell r="O1111" t="str">
            <v>HEKA</v>
          </cell>
          <cell r="P1111" t="str">
            <v>ADET</v>
          </cell>
          <cell r="Q1111" t="str">
            <v>GU10</v>
          </cell>
          <cell r="R1111" t="str">
            <v>METAL</v>
          </cell>
          <cell r="S1111" t="str">
            <v>ESKİTME</v>
          </cell>
          <cell r="T1111" t="str">
            <v>MERMER</v>
          </cell>
          <cell r="U1111" t="str">
            <v>SİYAH</v>
          </cell>
          <cell r="AD1111" t="str">
            <v>N/A</v>
          </cell>
          <cell r="AE1111" t="str">
            <v>02</v>
          </cell>
          <cell r="AF1111">
            <v>0</v>
          </cell>
          <cell r="AG1111" t="str">
            <v>ADET</v>
          </cell>
          <cell r="AH1111">
            <v>88</v>
          </cell>
          <cell r="AI1111" t="str">
            <v>CNY</v>
          </cell>
          <cell r="AJ1111">
            <v>6950</v>
          </cell>
          <cell r="AK1111" t="str">
            <v>TL</v>
          </cell>
          <cell r="AL1111">
            <v>1</v>
          </cell>
          <cell r="AM1111" t="str">
            <v>8684127507141</v>
          </cell>
          <cell r="AO1111">
            <v>0</v>
          </cell>
          <cell r="AQ1111">
            <v>0</v>
          </cell>
          <cell r="AS1111">
            <v>0</v>
          </cell>
          <cell r="AU1111">
            <v>0</v>
          </cell>
          <cell r="AW1111">
            <v>0</v>
          </cell>
        </row>
        <row r="1112">
          <cell r="B1112" t="str">
            <v>H1C5JRVDRS0-035</v>
          </cell>
          <cell r="C1112" t="str">
            <v>KOVAK TEKLİ SİYAH BETON GU10 SARKIT</v>
          </cell>
          <cell r="D1112" t="str">
            <v>KOVAK SINGLE BLACK CONCRETE GU10 PENDANT</v>
          </cell>
          <cell r="E1112" t="str">
            <v xml:space="preserve">METAL BETON KAHVERENGİ SİYAH   </v>
          </cell>
          <cell r="F1112" t="str">
            <v/>
          </cell>
          <cell r="G1112" t="str">
            <v>AVİZE</v>
          </cell>
          <cell r="H1112" t="str">
            <v/>
          </cell>
          <cell r="I1112" t="str">
            <v>İÇ</v>
          </cell>
          <cell r="J1112" t="str">
            <v>AVİZE.SARK</v>
          </cell>
          <cell r="K1112" t="str">
            <v>KOVAK</v>
          </cell>
          <cell r="L1112" t="str">
            <v/>
          </cell>
          <cell r="M1112" t="str">
            <v/>
          </cell>
          <cell r="N1112" t="str">
            <v>HKA-117</v>
          </cell>
          <cell r="O1112" t="str">
            <v>HEKA</v>
          </cell>
          <cell r="P1112" t="str">
            <v>ADET</v>
          </cell>
          <cell r="Q1112" t="str">
            <v>GU10</v>
          </cell>
          <cell r="R1112" t="str">
            <v>METAL</v>
          </cell>
          <cell r="S1112" t="str">
            <v>KAHVERENGİ</v>
          </cell>
          <cell r="T1112" t="str">
            <v>BETON</v>
          </cell>
          <cell r="U1112" t="str">
            <v>SİYAH</v>
          </cell>
          <cell r="AD1112" t="str">
            <v>N/A</v>
          </cell>
          <cell r="AE1112" t="str">
            <v>01</v>
          </cell>
          <cell r="AF1112">
            <v>62</v>
          </cell>
          <cell r="AG1112" t="str">
            <v>ADET</v>
          </cell>
          <cell r="AJ1112">
            <v>5831</v>
          </cell>
          <cell r="AK1112" t="str">
            <v>TL</v>
          </cell>
          <cell r="AL1112">
            <v>1</v>
          </cell>
          <cell r="AM1112" t="str">
            <v>8684127507257</v>
          </cell>
          <cell r="AO1112">
            <v>1.5</v>
          </cell>
          <cell r="AP1112" t="str">
            <v>KG</v>
          </cell>
          <cell r="AQ1112">
            <v>6</v>
          </cell>
          <cell r="AR1112" t="str">
            <v>CM</v>
          </cell>
          <cell r="AS1112">
            <v>6</v>
          </cell>
          <cell r="AT1112" t="str">
            <v>CM</v>
          </cell>
          <cell r="AU1112">
            <v>0</v>
          </cell>
          <cell r="AW1112">
            <v>0</v>
          </cell>
        </row>
        <row r="1113">
          <cell r="B1113" t="str">
            <v>H1C3JMEWRBY-050</v>
          </cell>
          <cell r="C1113" t="str">
            <v>ADONIS TEKLİ BEYAZ MERMER LED SARKIT 50cm</v>
          </cell>
          <cell r="D1113" t="str">
            <v>ADONIS SINGLE WHITE MARBLE LED PENDANT 50cm</v>
          </cell>
          <cell r="E1113" t="str">
            <v xml:space="preserve">METAL MERMER ESKİTME BEYAZ   </v>
          </cell>
          <cell r="F1113" t="str">
            <v/>
          </cell>
          <cell r="G1113" t="str">
            <v>AVİZE</v>
          </cell>
          <cell r="H1113" t="str">
            <v/>
          </cell>
          <cell r="I1113" t="str">
            <v>İÇ</v>
          </cell>
          <cell r="J1113" t="str">
            <v>AVİZE.AVİZ</v>
          </cell>
          <cell r="K1113" t="str">
            <v>ADONIS</v>
          </cell>
          <cell r="L1113" t="str">
            <v/>
          </cell>
          <cell r="M1113" t="str">
            <v/>
          </cell>
          <cell r="N1113" t="str">
            <v>HKA-28</v>
          </cell>
          <cell r="O1113" t="str">
            <v>HEKA</v>
          </cell>
          <cell r="P1113" t="str">
            <v>ADET</v>
          </cell>
          <cell r="Q1113" t="str">
            <v>G9</v>
          </cell>
          <cell r="R1113" t="str">
            <v>METAL</v>
          </cell>
          <cell r="S1113" t="str">
            <v>ESKİTME</v>
          </cell>
          <cell r="T1113" t="str">
            <v>MERMER</v>
          </cell>
          <cell r="U1113" t="str">
            <v>BEYAZ</v>
          </cell>
          <cell r="AD1113" t="str">
            <v>KÜRE</v>
          </cell>
          <cell r="AE1113" t="str">
            <v>09</v>
          </cell>
          <cell r="AF1113">
            <v>0</v>
          </cell>
          <cell r="AG1113" t="str">
            <v>ADET</v>
          </cell>
          <cell r="AH1113">
            <v>650</v>
          </cell>
          <cell r="AI1113" t="str">
            <v>CNY</v>
          </cell>
          <cell r="AJ1113">
            <v>32487</v>
          </cell>
          <cell r="AK1113" t="str">
            <v>TL</v>
          </cell>
          <cell r="AL1113">
            <v>1</v>
          </cell>
          <cell r="AM1113" t="str">
            <v>8684127507325</v>
          </cell>
          <cell r="AO1113">
            <v>0</v>
          </cell>
          <cell r="AQ1113">
            <v>0</v>
          </cell>
          <cell r="AS1113">
            <v>0</v>
          </cell>
          <cell r="AU1113">
            <v>0</v>
          </cell>
          <cell r="AW1113">
            <v>0</v>
          </cell>
        </row>
        <row r="1114">
          <cell r="B1114" t="str">
            <v>H1W6JMEWRBD-037</v>
          </cell>
          <cell r="C1114" t="str">
            <v>EKHO MERMER ESKİTME APLİK</v>
          </cell>
          <cell r="D1114" t="str">
            <v>EKHO MARBLE BRUSHED BRASS WALL LAMP</v>
          </cell>
          <cell r="E1114" t="str">
            <v xml:space="preserve">METAL MERMER ESKİTME BEYAZ   </v>
          </cell>
          <cell r="F1114" t="str">
            <v/>
          </cell>
          <cell r="G1114" t="str">
            <v>AVİZE</v>
          </cell>
          <cell r="H1114" t="str">
            <v/>
          </cell>
          <cell r="I1114" t="str">
            <v>İÇ</v>
          </cell>
          <cell r="J1114" t="str">
            <v>APLİK</v>
          </cell>
          <cell r="K1114" t="str">
            <v>EKHO</v>
          </cell>
          <cell r="L1114" t="str">
            <v/>
          </cell>
          <cell r="M1114" t="str">
            <v/>
          </cell>
          <cell r="N1114" t="str">
            <v>HKA-24382</v>
          </cell>
          <cell r="O1114" t="str">
            <v>HEKA</v>
          </cell>
          <cell r="P1114" t="str">
            <v>ADET</v>
          </cell>
          <cell r="Q1114" t="str">
            <v>LED</v>
          </cell>
          <cell r="R1114" t="str">
            <v>METAL</v>
          </cell>
          <cell r="S1114" t="str">
            <v>ESKİTME</v>
          </cell>
          <cell r="T1114" t="str">
            <v>MERMER</v>
          </cell>
          <cell r="U1114" t="str">
            <v>BEYAZ</v>
          </cell>
          <cell r="AD1114" t="str">
            <v>DAİRE</v>
          </cell>
          <cell r="AF1114">
            <v>73</v>
          </cell>
          <cell r="AG1114" t="str">
            <v>ADET</v>
          </cell>
          <cell r="AH1114">
            <v>180</v>
          </cell>
          <cell r="AI1114" t="str">
            <v>CNY</v>
          </cell>
          <cell r="AJ1114">
            <v>13950</v>
          </cell>
          <cell r="AK1114" t="str">
            <v>TL</v>
          </cell>
          <cell r="AL1114">
            <v>1</v>
          </cell>
          <cell r="AM1114" t="str">
            <v>8684127507431</v>
          </cell>
          <cell r="AO1114">
            <v>0</v>
          </cell>
          <cell r="AQ1114">
            <v>0</v>
          </cell>
          <cell r="AS1114">
            <v>0</v>
          </cell>
          <cell r="AU1114">
            <v>0</v>
          </cell>
          <cell r="AW1114">
            <v>0</v>
          </cell>
        </row>
        <row r="1115">
          <cell r="B1115" t="str">
            <v>H1W4JMK000P-070</v>
          </cell>
          <cell r="C1115" t="str">
            <v>HATİLA KROM APLİK</v>
          </cell>
          <cell r="D1115" t="str">
            <v>HATILA CHROME WALL LAMP</v>
          </cell>
          <cell r="E1115" t="str">
            <v xml:space="preserve">METAL YOK KROM YOK   </v>
          </cell>
          <cell r="F1115" t="str">
            <v>9405.19.90.00.00</v>
          </cell>
          <cell r="G1115" t="str">
            <v>APLİK</v>
          </cell>
          <cell r="H1115" t="str">
            <v/>
          </cell>
          <cell r="I1115" t="str">
            <v>İÇ</v>
          </cell>
          <cell r="J1115" t="str">
            <v>APLİK</v>
          </cell>
          <cell r="K1115" t="str">
            <v>HATİLA</v>
          </cell>
          <cell r="L1115" t="str">
            <v/>
          </cell>
          <cell r="M1115" t="str">
            <v/>
          </cell>
          <cell r="N1115" t="str">
            <v>HKA-207</v>
          </cell>
          <cell r="O1115" t="str">
            <v>HEKA</v>
          </cell>
          <cell r="P1115" t="str">
            <v>ADET</v>
          </cell>
          <cell r="Q1115" t="str">
            <v>G4</v>
          </cell>
          <cell r="R1115" t="str">
            <v>METAL</v>
          </cell>
          <cell r="S1115" t="str">
            <v>KROM</v>
          </cell>
          <cell r="T1115" t="str">
            <v>YOK</v>
          </cell>
          <cell r="U1115" t="str">
            <v>YOK</v>
          </cell>
          <cell r="AD1115" t="str">
            <v>POLİGONAL</v>
          </cell>
          <cell r="AE1115" t="str">
            <v>05</v>
          </cell>
          <cell r="AF1115">
            <v>2</v>
          </cell>
          <cell r="AG1115" t="str">
            <v>ADET</v>
          </cell>
          <cell r="AH1115">
            <v>580</v>
          </cell>
          <cell r="AI1115" t="str">
            <v>CNY</v>
          </cell>
          <cell r="AJ1115">
            <v>22440</v>
          </cell>
          <cell r="AK1115" t="str">
            <v>TL</v>
          </cell>
          <cell r="AL1115">
            <v>1</v>
          </cell>
          <cell r="AM1115" t="str">
            <v>8684127510493</v>
          </cell>
          <cell r="AO1115">
            <v>0</v>
          </cell>
          <cell r="AQ1115">
            <v>0</v>
          </cell>
          <cell r="AS1115">
            <v>0</v>
          </cell>
          <cell r="AU1115">
            <v>0</v>
          </cell>
          <cell r="AW1115">
            <v>0</v>
          </cell>
        </row>
        <row r="1116">
          <cell r="B1116" t="str">
            <v>H1C6JRSLCSL-057</v>
          </cell>
          <cell r="C1116" t="str">
            <v>MADRİD MEŞALE TEKLİ SİYAH SARKIT</v>
          </cell>
          <cell r="D1116" t="str">
            <v>MADRİD TORCH SINGLE BLACK PENDANT LAMP</v>
          </cell>
          <cell r="E1116" t="str">
            <v>METAL PLEKSİ BLACK ŞEFFAF</v>
          </cell>
          <cell r="F1116" t="str">
            <v>9405.11.90.00.00</v>
          </cell>
          <cell r="G1116" t="str">
            <v>AVİZE</v>
          </cell>
          <cell r="H1116" t="str">
            <v>T1A6111100-01</v>
          </cell>
          <cell r="I1116" t="str">
            <v>İÇ</v>
          </cell>
          <cell r="J1116" t="str">
            <v>AVİZE.SARK</v>
          </cell>
          <cell r="K1116" t="str">
            <v>MADRİD</v>
          </cell>
          <cell r="L1116" t="str">
            <v/>
          </cell>
          <cell r="M1116" t="str">
            <v>30.01.2026</v>
          </cell>
          <cell r="N1116" t="str">
            <v>HKA-24063</v>
          </cell>
          <cell r="O1116" t="str">
            <v>HEKA</v>
          </cell>
          <cell r="P1116" t="str">
            <v>ADET</v>
          </cell>
          <cell r="Q1116" t="str">
            <v>LED</v>
          </cell>
          <cell r="R1116" t="str">
            <v>METAL</v>
          </cell>
          <cell r="S1116" t="str">
            <v>SİYAH</v>
          </cell>
          <cell r="T1116" t="str">
            <v>PLEKSİ</v>
          </cell>
          <cell r="U1116" t="str">
            <v>ŞEFFAF</v>
          </cell>
          <cell r="AD1116" t="str">
            <v>DÜZ</v>
          </cell>
          <cell r="AF1116">
            <v>2</v>
          </cell>
          <cell r="AG1116" t="str">
            <v>ADET</v>
          </cell>
          <cell r="AH1116">
            <v>53</v>
          </cell>
          <cell r="AI1116" t="str">
            <v>CNY</v>
          </cell>
          <cell r="AJ1116">
            <v>3975</v>
          </cell>
          <cell r="AK1116" t="str">
            <v>TL</v>
          </cell>
          <cell r="AL1116">
            <v>1</v>
          </cell>
          <cell r="AM1116" t="str">
            <v>8684127510431</v>
          </cell>
          <cell r="AO1116">
            <v>0</v>
          </cell>
          <cell r="AQ1116">
            <v>0</v>
          </cell>
          <cell r="AR1116" t="str">
            <v>CM</v>
          </cell>
          <cell r="AS1116">
            <v>57</v>
          </cell>
          <cell r="AT1116" t="str">
            <v>CM</v>
          </cell>
          <cell r="AU1116">
            <v>0</v>
          </cell>
          <cell r="AW1116">
            <v>0</v>
          </cell>
        </row>
        <row r="1117">
          <cell r="B1117" t="str">
            <v>250-CAM-KAHVE</v>
          </cell>
          <cell r="C1117" t="str">
            <v>BATUR DİŞLİ KAHVERENGİ CAM 25 cm</v>
          </cell>
          <cell r="D1117" t="str">
            <v>THREADED BROWN GLASS 25 cm</v>
          </cell>
          <cell r="E1117" t="str">
            <v/>
          </cell>
          <cell r="F1117" t="str">
            <v/>
          </cell>
          <cell r="G1117" t="str">
            <v>AVİZE</v>
          </cell>
          <cell r="H1117" t="str">
            <v>150A-BAL</v>
          </cell>
          <cell r="I1117" t="str">
            <v>İÇ</v>
          </cell>
          <cell r="J1117" t="str">
            <v>AVİZE.SARK</v>
          </cell>
          <cell r="K1117" t="str">
            <v>BATUR</v>
          </cell>
          <cell r="L1117" t="str">
            <v/>
          </cell>
          <cell r="M1117" t="str">
            <v/>
          </cell>
          <cell r="N1117" t="str">
            <v>HB-6</v>
          </cell>
          <cell r="O1117" t="str">
            <v>HEKA</v>
          </cell>
          <cell r="P1117" t="str">
            <v>ADET</v>
          </cell>
          <cell r="R1117" t="str">
            <v>CAM</v>
          </cell>
          <cell r="S1117" t="str">
            <v>KAHVERENGİ</v>
          </cell>
          <cell r="AF1117">
            <v>1</v>
          </cell>
          <cell r="AG1117" t="str">
            <v>ADET</v>
          </cell>
          <cell r="AH1117">
            <v>36.5</v>
          </cell>
          <cell r="AI1117" t="str">
            <v>CNY</v>
          </cell>
          <cell r="AJ1117">
            <v>2628</v>
          </cell>
          <cell r="AK1117" t="str">
            <v>TL</v>
          </cell>
          <cell r="AL1117">
            <v>1</v>
          </cell>
          <cell r="AM1117" t="str">
            <v>250-CAM-KAHVE</v>
          </cell>
          <cell r="AO1117">
            <v>0</v>
          </cell>
          <cell r="AQ1117">
            <v>0</v>
          </cell>
          <cell r="AS1117">
            <v>0</v>
          </cell>
          <cell r="AU1117">
            <v>0</v>
          </cell>
          <cell r="AW1117">
            <v>0</v>
          </cell>
        </row>
        <row r="1118">
          <cell r="B1118" t="str">
            <v>H1C2JMEECB0-035</v>
          </cell>
          <cell r="C1118" t="str">
            <v>HARRY BUZLU CAM ESKİTME E27 SARKIT 35cm</v>
          </cell>
          <cell r="D1118" t="str">
            <v>HARRY FROSTED GLASS BRUSHED BRASS E27 PENDANT 35cm</v>
          </cell>
          <cell r="E1118" t="str">
            <v xml:space="preserve">METAL CAM  ESKİTME BUZLU   </v>
          </cell>
          <cell r="F1118" t="str">
            <v/>
          </cell>
          <cell r="G1118" t="str">
            <v>AVİZE</v>
          </cell>
          <cell r="H1118" t="str">
            <v/>
          </cell>
          <cell r="I1118" t="str">
            <v>İÇ</v>
          </cell>
          <cell r="J1118" t="str">
            <v>AVİZE.SARK</v>
          </cell>
          <cell r="K1118" t="str">
            <v>HARRY</v>
          </cell>
          <cell r="L1118" t="str">
            <v/>
          </cell>
          <cell r="M1118" t="str">
            <v/>
          </cell>
          <cell r="N1118" t="str">
            <v>HB-02B</v>
          </cell>
          <cell r="O1118" t="str">
            <v>HEKA</v>
          </cell>
          <cell r="P1118" t="str">
            <v>ADET</v>
          </cell>
          <cell r="Q1118" t="str">
            <v>E27</v>
          </cell>
          <cell r="R1118" t="str">
            <v>METAL</v>
          </cell>
          <cell r="S1118" t="str">
            <v>ESKİTME</v>
          </cell>
          <cell r="T1118" t="str">
            <v>CAM</v>
          </cell>
          <cell r="U1118" t="str">
            <v>BUZLU</v>
          </cell>
          <cell r="AD1118" t="str">
            <v>N/A</v>
          </cell>
          <cell r="AE1118" t="str">
            <v>01</v>
          </cell>
          <cell r="AF1118">
            <v>9</v>
          </cell>
          <cell r="AG1118" t="str">
            <v>ADET</v>
          </cell>
          <cell r="AH1118">
            <v>47</v>
          </cell>
          <cell r="AI1118" t="str">
            <v>CNY</v>
          </cell>
          <cell r="AJ1118">
            <v>3570</v>
          </cell>
          <cell r="AK1118" t="str">
            <v>TL</v>
          </cell>
          <cell r="AL1118">
            <v>1</v>
          </cell>
          <cell r="AM1118" t="str">
            <v>8684127508353</v>
          </cell>
          <cell r="AO1118">
            <v>0</v>
          </cell>
          <cell r="AQ1118">
            <v>0</v>
          </cell>
          <cell r="AS1118">
            <v>0</v>
          </cell>
          <cell r="AU1118">
            <v>0</v>
          </cell>
          <cell r="AW1118">
            <v>0</v>
          </cell>
        </row>
        <row r="1119">
          <cell r="B1119" t="str">
            <v>H1C6JMGBRRR-040</v>
          </cell>
          <cell r="C1119" t="str">
            <v>ASENA TEKLİ AKRİLİK LED SARKIT 40cm</v>
          </cell>
          <cell r="D1119" t="str">
            <v>ASENA ACRYLIC LED PENDANT 40cm</v>
          </cell>
          <cell r="E1119" t="str">
            <v xml:space="preserve">METAL AKRİLİK GOLD KREM   </v>
          </cell>
          <cell r="F1119" t="str">
            <v/>
          </cell>
          <cell r="G1119" t="str">
            <v>AVİZE</v>
          </cell>
          <cell r="H1119" t="str">
            <v/>
          </cell>
          <cell r="I1119" t="str">
            <v>İÇ</v>
          </cell>
          <cell r="J1119" t="str">
            <v>AVİZE.SARK</v>
          </cell>
          <cell r="K1119" t="str">
            <v>ASENA</v>
          </cell>
          <cell r="L1119" t="str">
            <v/>
          </cell>
          <cell r="M1119" t="str">
            <v/>
          </cell>
          <cell r="N1119" t="str">
            <v>HK-94</v>
          </cell>
          <cell r="O1119" t="str">
            <v>HEKA</v>
          </cell>
          <cell r="P1119" t="str">
            <v>ADET</v>
          </cell>
          <cell r="Q1119" t="str">
            <v>LED</v>
          </cell>
          <cell r="R1119" t="str">
            <v>METAL</v>
          </cell>
          <cell r="S1119" t="str">
            <v>GOLD</v>
          </cell>
          <cell r="T1119" t="str">
            <v>AKRİLİK</v>
          </cell>
          <cell r="U1119" t="str">
            <v>KREM</v>
          </cell>
          <cell r="AD1119" t="str">
            <v>DAİRE</v>
          </cell>
          <cell r="AF1119">
            <v>11</v>
          </cell>
          <cell r="AG1119" t="str">
            <v>ADET</v>
          </cell>
          <cell r="AH1119">
            <v>192</v>
          </cell>
          <cell r="AI1119" t="str">
            <v>CNY</v>
          </cell>
          <cell r="AJ1119">
            <v>7820</v>
          </cell>
          <cell r="AK1119" t="str">
            <v>TL</v>
          </cell>
          <cell r="AL1119">
            <v>1</v>
          </cell>
          <cell r="AM1119" t="str">
            <v>8684127506939</v>
          </cell>
          <cell r="AO1119">
            <v>0</v>
          </cell>
          <cell r="AQ1119">
            <v>0</v>
          </cell>
          <cell r="AS1119">
            <v>0</v>
          </cell>
          <cell r="AU1119">
            <v>0</v>
          </cell>
          <cell r="AW1119">
            <v>0</v>
          </cell>
        </row>
        <row r="1120">
          <cell r="B1120" t="str">
            <v>H1C6JMGBRRE-050</v>
          </cell>
          <cell r="C1120" t="str">
            <v>ASENA TEKLİ  YATAY AKRİLİK LED SARKIT 50cm</v>
          </cell>
          <cell r="D1120" t="str">
            <v>ASENA ACRYLIC HORIZONTAL LED PENDANT 50cm</v>
          </cell>
          <cell r="E1120" t="str">
            <v xml:space="preserve">METAL AKRİLİK GOLD KREM   </v>
          </cell>
          <cell r="F1120" t="str">
            <v/>
          </cell>
          <cell r="G1120" t="str">
            <v>AVİZE</v>
          </cell>
          <cell r="H1120" t="str">
            <v/>
          </cell>
          <cell r="I1120" t="str">
            <v>İÇ</v>
          </cell>
          <cell r="J1120" t="str">
            <v>AVİZE.SARK</v>
          </cell>
          <cell r="K1120" t="str">
            <v>ASENA</v>
          </cell>
          <cell r="L1120" t="str">
            <v/>
          </cell>
          <cell r="M1120" t="str">
            <v/>
          </cell>
          <cell r="N1120" t="str">
            <v>HK-97</v>
          </cell>
          <cell r="O1120" t="str">
            <v>HEKA</v>
          </cell>
          <cell r="P1120" t="str">
            <v>ADET</v>
          </cell>
          <cell r="Q1120" t="str">
            <v>LED</v>
          </cell>
          <cell r="R1120" t="str">
            <v>METAL</v>
          </cell>
          <cell r="S1120" t="str">
            <v>GOLD</v>
          </cell>
          <cell r="T1120" t="str">
            <v>AKRİLİK</v>
          </cell>
          <cell r="U1120" t="str">
            <v>KREM</v>
          </cell>
          <cell r="AD1120" t="str">
            <v>ELİPS</v>
          </cell>
          <cell r="AE1120" t="str">
            <v>02</v>
          </cell>
          <cell r="AF1120">
            <v>0</v>
          </cell>
          <cell r="AG1120" t="str">
            <v>ADET</v>
          </cell>
          <cell r="AH1120">
            <v>264</v>
          </cell>
          <cell r="AI1120" t="str">
            <v>CNY</v>
          </cell>
          <cell r="AJ1120">
            <v>11220</v>
          </cell>
          <cell r="AK1120" t="str">
            <v>TL</v>
          </cell>
          <cell r="AL1120">
            <v>1</v>
          </cell>
          <cell r="AM1120" t="str">
            <v>8684127506960</v>
          </cell>
          <cell r="AO1120">
            <v>0</v>
          </cell>
          <cell r="AQ1120">
            <v>0</v>
          </cell>
          <cell r="AS1120">
            <v>0</v>
          </cell>
          <cell r="AU1120">
            <v>0</v>
          </cell>
          <cell r="AW1120">
            <v>0</v>
          </cell>
        </row>
        <row r="1121">
          <cell r="B1121" t="str">
            <v>H1C6JMEWRB0-021</v>
          </cell>
          <cell r="C1121" t="str">
            <v>APOLLON ESKİTME LED MERMER SARKIT 21cm</v>
          </cell>
          <cell r="D1121" t="str">
            <v>APOLLON  BRUSHED BRASS LED MARBLE  PENDANT 21cm</v>
          </cell>
          <cell r="E1121" t="str">
            <v xml:space="preserve">METAL MERMER ESKİTME BEYAZ   </v>
          </cell>
          <cell r="F1121" t="str">
            <v/>
          </cell>
          <cell r="G1121" t="str">
            <v>AVİZE</v>
          </cell>
          <cell r="H1121" t="str">
            <v/>
          </cell>
          <cell r="I1121" t="str">
            <v>İÇ</v>
          </cell>
          <cell r="J1121" t="str">
            <v>AVİZE.SARK</v>
          </cell>
          <cell r="K1121" t="str">
            <v>APOLLON</v>
          </cell>
          <cell r="L1121" t="str">
            <v/>
          </cell>
          <cell r="M1121" t="str">
            <v/>
          </cell>
          <cell r="N1121" t="str">
            <v>HKA-108</v>
          </cell>
          <cell r="O1121" t="str">
            <v>HEKA</v>
          </cell>
          <cell r="P1121" t="str">
            <v>ADET</v>
          </cell>
          <cell r="Q1121" t="str">
            <v>LED</v>
          </cell>
          <cell r="R1121" t="str">
            <v>METAL</v>
          </cell>
          <cell r="S1121" t="str">
            <v>ESKİTME</v>
          </cell>
          <cell r="T1121" t="str">
            <v>MERMER</v>
          </cell>
          <cell r="U1121" t="str">
            <v>BEYAZ</v>
          </cell>
          <cell r="AD1121" t="str">
            <v>N/A</v>
          </cell>
          <cell r="AF1121">
            <v>0</v>
          </cell>
          <cell r="AG1121" t="str">
            <v>ADET</v>
          </cell>
          <cell r="AH1121">
            <v>380</v>
          </cell>
          <cell r="AI1121" t="str">
            <v>CNY</v>
          </cell>
          <cell r="AJ1121">
            <v>15192</v>
          </cell>
          <cell r="AK1121" t="str">
            <v>TL</v>
          </cell>
          <cell r="AL1121">
            <v>1</v>
          </cell>
          <cell r="AM1121" t="str">
            <v>8684127507103</v>
          </cell>
          <cell r="AO1121">
            <v>0</v>
          </cell>
          <cell r="AQ1121">
            <v>0</v>
          </cell>
          <cell r="AS1121">
            <v>0</v>
          </cell>
          <cell r="AU1121">
            <v>0</v>
          </cell>
          <cell r="AW1121">
            <v>0</v>
          </cell>
        </row>
        <row r="1122">
          <cell r="B1122" t="str">
            <v>H1C6JMEWRB0-011</v>
          </cell>
          <cell r="C1122" t="str">
            <v>APOLLON ESKİTME LED MERMER SARKIT 11cm</v>
          </cell>
          <cell r="D1122" t="str">
            <v>APOLLON  BRUSHED BRASS LED MARBLE  PENDANT 11cm</v>
          </cell>
          <cell r="E1122" t="str">
            <v xml:space="preserve">METAL MERMER ESKİTME BEYAZ   </v>
          </cell>
          <cell r="F1122" t="str">
            <v/>
          </cell>
          <cell r="G1122" t="str">
            <v>AVİZE</v>
          </cell>
          <cell r="H1122" t="str">
            <v/>
          </cell>
          <cell r="I1122" t="str">
            <v>İÇ</v>
          </cell>
          <cell r="J1122" t="str">
            <v>AVİZE.SARK</v>
          </cell>
          <cell r="K1122" t="str">
            <v>APOLLON</v>
          </cell>
          <cell r="L1122" t="str">
            <v/>
          </cell>
          <cell r="M1122" t="str">
            <v/>
          </cell>
          <cell r="N1122" t="str">
            <v>HKA-109</v>
          </cell>
          <cell r="O1122" t="str">
            <v>HEKA</v>
          </cell>
          <cell r="P1122" t="str">
            <v>ADET</v>
          </cell>
          <cell r="Q1122" t="str">
            <v>LED</v>
          </cell>
          <cell r="R1122" t="str">
            <v>METAL</v>
          </cell>
          <cell r="S1122" t="str">
            <v>ESKİTME</v>
          </cell>
          <cell r="T1122" t="str">
            <v>MERMER</v>
          </cell>
          <cell r="U1122" t="str">
            <v>BEYAZ</v>
          </cell>
          <cell r="AD1122" t="str">
            <v>N/A</v>
          </cell>
          <cell r="AF1122">
            <v>0</v>
          </cell>
          <cell r="AG1122" t="str">
            <v>ADET</v>
          </cell>
          <cell r="AH1122">
            <v>330</v>
          </cell>
          <cell r="AI1122" t="str">
            <v>CNY</v>
          </cell>
          <cell r="AJ1122">
            <v>13192</v>
          </cell>
          <cell r="AK1122" t="str">
            <v>TL</v>
          </cell>
          <cell r="AL1122">
            <v>1</v>
          </cell>
          <cell r="AM1122" t="str">
            <v>8684127507110</v>
          </cell>
          <cell r="AO1122">
            <v>0</v>
          </cell>
          <cell r="AQ1122">
            <v>0</v>
          </cell>
          <cell r="AS1122">
            <v>0</v>
          </cell>
          <cell r="AU1122">
            <v>0</v>
          </cell>
          <cell r="AW1122">
            <v>0</v>
          </cell>
        </row>
        <row r="1123">
          <cell r="B1123" t="str">
            <v>H1C3WRBJMEY-030</v>
          </cell>
          <cell r="C1123" t="str">
            <v>ALBASTI TEKLİ BEYAZ MERMER SARKIT 30cm</v>
          </cell>
          <cell r="D1123" t="str">
            <v>ALBASTI SINGLE WHITE MARBLE PENDANT 30cm</v>
          </cell>
          <cell r="E1123" t="str">
            <v xml:space="preserve">MERMER METAL BEYAZ ESKİTME   </v>
          </cell>
          <cell r="F1123" t="str">
            <v/>
          </cell>
          <cell r="G1123" t="str">
            <v>AVİZE</v>
          </cell>
          <cell r="H1123" t="str">
            <v/>
          </cell>
          <cell r="I1123" t="str">
            <v>İÇ</v>
          </cell>
          <cell r="J1123" t="str">
            <v>AVİZE.AVİZ</v>
          </cell>
          <cell r="K1123" t="str">
            <v>ALBASTI</v>
          </cell>
          <cell r="L1123" t="str">
            <v/>
          </cell>
          <cell r="M1123" t="str">
            <v/>
          </cell>
          <cell r="N1123" t="str">
            <v>HKA-23</v>
          </cell>
          <cell r="O1123" t="str">
            <v>HEKA</v>
          </cell>
          <cell r="P1123" t="str">
            <v>ADET</v>
          </cell>
          <cell r="Q1123" t="str">
            <v>G9</v>
          </cell>
          <cell r="R1123" t="str">
            <v>MERMER</v>
          </cell>
          <cell r="S1123" t="str">
            <v>BEYAZ</v>
          </cell>
          <cell r="T1123" t="str">
            <v>METAL</v>
          </cell>
          <cell r="U1123" t="str">
            <v>ESKİTME</v>
          </cell>
          <cell r="AD1123" t="str">
            <v>KÜRE</v>
          </cell>
          <cell r="AE1123" t="str">
            <v>07</v>
          </cell>
          <cell r="AF1123">
            <v>6</v>
          </cell>
          <cell r="AG1123" t="str">
            <v>ADET</v>
          </cell>
          <cell r="AH1123">
            <v>580</v>
          </cell>
          <cell r="AI1123" t="str">
            <v>CNY</v>
          </cell>
          <cell r="AJ1123">
            <v>25500</v>
          </cell>
          <cell r="AK1123" t="str">
            <v>TL</v>
          </cell>
          <cell r="AL1123">
            <v>1</v>
          </cell>
          <cell r="AM1123" t="str">
            <v>8684127507288</v>
          </cell>
          <cell r="AO1123">
            <v>0</v>
          </cell>
          <cell r="AQ1123">
            <v>0</v>
          </cell>
          <cell r="AS1123">
            <v>0</v>
          </cell>
          <cell r="AU1123">
            <v>0</v>
          </cell>
          <cell r="AW1123">
            <v>0</v>
          </cell>
        </row>
        <row r="1124">
          <cell r="B1124" t="str">
            <v>H1C3WRBJMEY-040</v>
          </cell>
          <cell r="C1124" t="str">
            <v>ALBASTI TEKLİ BEYAZ MERMER SARKIT 40cm</v>
          </cell>
          <cell r="D1124" t="str">
            <v>ALBASTI SINGLE WHITE MARBLE PENDANT 40cm</v>
          </cell>
          <cell r="E1124" t="str">
            <v xml:space="preserve">MERMER METAL BEYAZ ESKİTME   </v>
          </cell>
          <cell r="F1124" t="str">
            <v/>
          </cell>
          <cell r="G1124" t="str">
            <v>AVİZE</v>
          </cell>
          <cell r="H1124" t="str">
            <v/>
          </cell>
          <cell r="I1124" t="str">
            <v>İÇ</v>
          </cell>
          <cell r="J1124" t="str">
            <v>AVİZE.AVİZ</v>
          </cell>
          <cell r="K1124" t="str">
            <v>ALBASTI</v>
          </cell>
          <cell r="L1124" t="str">
            <v/>
          </cell>
          <cell r="M1124" t="str">
            <v/>
          </cell>
          <cell r="N1124" t="str">
            <v>HKA-24</v>
          </cell>
          <cell r="O1124" t="str">
            <v>HEKA</v>
          </cell>
          <cell r="P1124" t="str">
            <v>ADET</v>
          </cell>
          <cell r="Q1124" t="str">
            <v>G9</v>
          </cell>
          <cell r="R1124" t="str">
            <v>MERMER</v>
          </cell>
          <cell r="S1124" t="str">
            <v>BEYAZ</v>
          </cell>
          <cell r="T1124" t="str">
            <v>METAL</v>
          </cell>
          <cell r="U1124" t="str">
            <v>ESKİTME</v>
          </cell>
          <cell r="AD1124" t="str">
            <v>KÜRE</v>
          </cell>
          <cell r="AE1124" t="str">
            <v>09</v>
          </cell>
          <cell r="AF1124">
            <v>0</v>
          </cell>
          <cell r="AG1124" t="str">
            <v>ADET</v>
          </cell>
          <cell r="AH1124">
            <v>850</v>
          </cell>
          <cell r="AI1124" t="str">
            <v>CNY</v>
          </cell>
          <cell r="AJ1124">
            <v>38420</v>
          </cell>
          <cell r="AK1124" t="str">
            <v>TL</v>
          </cell>
          <cell r="AL1124">
            <v>1</v>
          </cell>
          <cell r="AM1124" t="str">
            <v>8684127507295</v>
          </cell>
          <cell r="AO1124">
            <v>0</v>
          </cell>
          <cell r="AQ1124">
            <v>0</v>
          </cell>
          <cell r="AS1124">
            <v>0</v>
          </cell>
          <cell r="AU1124">
            <v>0</v>
          </cell>
          <cell r="AW1124">
            <v>0</v>
          </cell>
        </row>
        <row r="1125">
          <cell r="B1125" t="str">
            <v>MJ08-B</v>
          </cell>
          <cell r="C1125" t="str">
            <v xml:space="preserve">RİGA BÜYÜK BAL RENK CAMI </v>
          </cell>
          <cell r="D1125" t="str">
            <v/>
          </cell>
          <cell r="E1125" t="str">
            <v/>
          </cell>
          <cell r="F1125" t="str">
            <v/>
          </cell>
          <cell r="G1125" t="str">
            <v/>
          </cell>
          <cell r="H1125" t="str">
            <v/>
          </cell>
          <cell r="I1125" t="str">
            <v>İÇ</v>
          </cell>
          <cell r="J1125" t="str">
            <v/>
          </cell>
          <cell r="K1125" t="str">
            <v/>
          </cell>
          <cell r="L1125" t="str">
            <v/>
          </cell>
          <cell r="M1125" t="str">
            <v/>
          </cell>
          <cell r="N1125" t="str">
            <v/>
          </cell>
          <cell r="P1125" t="str">
            <v>ADET</v>
          </cell>
          <cell r="AF1125">
            <v>0</v>
          </cell>
          <cell r="AG1125" t="str">
            <v>ADET</v>
          </cell>
          <cell r="AL1125">
            <v>0</v>
          </cell>
          <cell r="AM1125" t="str">
            <v>MJ08-B</v>
          </cell>
          <cell r="AO1125">
            <v>0</v>
          </cell>
          <cell r="AQ1125">
            <v>0</v>
          </cell>
          <cell r="AS1125">
            <v>0</v>
          </cell>
          <cell r="AU1125">
            <v>0</v>
          </cell>
          <cell r="AW1125">
            <v>0</v>
          </cell>
        </row>
        <row r="1126">
          <cell r="B1126" t="str">
            <v>H1C6JMEWRBK-030</v>
          </cell>
          <cell r="C1126" t="str">
            <v>DUHA ESKİTME KARE MERMER SARKIT 30cm</v>
          </cell>
          <cell r="D1126" t="str">
            <v>DUHA BRUSHED BRASS SQUARE MARBLE PENDANT LAMP 30cm</v>
          </cell>
          <cell r="E1126" t="str">
            <v xml:space="preserve">METAL MERMER ESKİTME BEYAZ   </v>
          </cell>
          <cell r="F1126" t="str">
            <v/>
          </cell>
          <cell r="G1126" t="str">
            <v>AVİZE</v>
          </cell>
          <cell r="H1126" t="str">
            <v/>
          </cell>
          <cell r="I1126" t="str">
            <v>İÇ</v>
          </cell>
          <cell r="J1126" t="str">
            <v>AVİZE.SARK</v>
          </cell>
          <cell r="K1126" t="str">
            <v>DUHA</v>
          </cell>
          <cell r="L1126" t="str">
            <v/>
          </cell>
          <cell r="M1126" t="str">
            <v/>
          </cell>
          <cell r="N1126" t="str">
            <v>HKA-219</v>
          </cell>
          <cell r="O1126" t="str">
            <v>HEKA</v>
          </cell>
          <cell r="P1126" t="str">
            <v>ADET</v>
          </cell>
          <cell r="Q1126" t="str">
            <v>LED</v>
          </cell>
          <cell r="R1126" t="str">
            <v>METAL</v>
          </cell>
          <cell r="S1126" t="str">
            <v>ESKİTME</v>
          </cell>
          <cell r="T1126" t="str">
            <v>MERMER</v>
          </cell>
          <cell r="U1126" t="str">
            <v>BEYAZ</v>
          </cell>
          <cell r="AD1126" t="str">
            <v>KARE</v>
          </cell>
          <cell r="AF1126">
            <v>66</v>
          </cell>
          <cell r="AG1126" t="str">
            <v>ADET</v>
          </cell>
          <cell r="AH1126">
            <v>150</v>
          </cell>
          <cell r="AI1126" t="str">
            <v>CNY</v>
          </cell>
          <cell r="AJ1126">
            <v>7497</v>
          </cell>
          <cell r="AK1126" t="str">
            <v>TL</v>
          </cell>
          <cell r="AL1126">
            <v>1</v>
          </cell>
          <cell r="AM1126" t="str">
            <v>8684127508476</v>
          </cell>
          <cell r="AO1126">
            <v>0</v>
          </cell>
          <cell r="AQ1126">
            <v>0</v>
          </cell>
          <cell r="AS1126">
            <v>0</v>
          </cell>
          <cell r="AU1126">
            <v>0</v>
          </cell>
          <cell r="AW1126">
            <v>0</v>
          </cell>
        </row>
        <row r="1127">
          <cell r="B1127" t="str">
            <v>H1C2ERVJMER-050</v>
          </cell>
          <cell r="C1127" t="str">
            <v>KARATAY KAHVERENGİ CAM SARKIT 50cm</v>
          </cell>
          <cell r="D1127" t="str">
            <v>KARATAY BROWN COLOR GLASS PENDANT 50cm</v>
          </cell>
          <cell r="E1127" t="str">
            <v xml:space="preserve">CAM  METAL KAHVERENGİ ESKİTME   </v>
          </cell>
          <cell r="F1127" t="str">
            <v>9405.19.50.00.19</v>
          </cell>
          <cell r="G1127" t="str">
            <v>AVİZE</v>
          </cell>
          <cell r="H1127" t="str">
            <v>T1A2231100-25</v>
          </cell>
          <cell r="I1127" t="str">
            <v>İÇ</v>
          </cell>
          <cell r="J1127" t="str">
            <v>AVİZE.SARK</v>
          </cell>
          <cell r="K1127" t="str">
            <v>KARATAY</v>
          </cell>
          <cell r="L1127" t="str">
            <v/>
          </cell>
          <cell r="M1127" t="str">
            <v/>
          </cell>
          <cell r="N1127" t="str">
            <v>HB-5</v>
          </cell>
          <cell r="O1127" t="str">
            <v>HEKA</v>
          </cell>
          <cell r="P1127" t="str">
            <v>ADET</v>
          </cell>
          <cell r="Q1127" t="str">
            <v>E27</v>
          </cell>
          <cell r="R1127" t="str">
            <v>CAM</v>
          </cell>
          <cell r="S1127" t="str">
            <v>KAHVERENGİ</v>
          </cell>
          <cell r="T1127" t="str">
            <v>METAL</v>
          </cell>
          <cell r="U1127" t="str">
            <v>ESKİTME</v>
          </cell>
          <cell r="AD1127" t="str">
            <v>DAİRE</v>
          </cell>
          <cell r="AE1127" t="str">
            <v>01</v>
          </cell>
          <cell r="AF1127">
            <v>5</v>
          </cell>
          <cell r="AG1127" t="str">
            <v>ADET</v>
          </cell>
          <cell r="AH1127">
            <v>185</v>
          </cell>
          <cell r="AI1127" t="str">
            <v>CNY</v>
          </cell>
          <cell r="AJ1127">
            <v>21500</v>
          </cell>
          <cell r="AK1127" t="str">
            <v>TL</v>
          </cell>
          <cell r="AL1127">
            <v>1</v>
          </cell>
          <cell r="AM1127" t="str">
            <v>8684127510295</v>
          </cell>
          <cell r="AO1127">
            <v>0</v>
          </cell>
          <cell r="AQ1127">
            <v>45</v>
          </cell>
          <cell r="AR1127" t="str">
            <v>CM</v>
          </cell>
          <cell r="AS1127">
            <v>25</v>
          </cell>
          <cell r="AT1127" t="str">
            <v>CM</v>
          </cell>
          <cell r="AU1127">
            <v>0</v>
          </cell>
          <cell r="AW1127">
            <v>0</v>
          </cell>
        </row>
        <row r="1128">
          <cell r="B1128" t="str">
            <v>H1W2JRSECT0-065</v>
          </cell>
          <cell r="C1128" t="str">
            <v>DEKO SİYAH &amp; ESKİTME ÜÇ CAMLI APLİK</v>
          </cell>
          <cell r="D1128" t="str">
            <v>DEKO BLACK &amp; BRUSHED BRASS THREE GLASS WALL LAMP</v>
          </cell>
          <cell r="E1128" t="str">
            <v xml:space="preserve">METAL CAM  SİYAH SOFT   </v>
          </cell>
          <cell r="F1128" t="str">
            <v/>
          </cell>
          <cell r="G1128" t="str">
            <v>APLİK</v>
          </cell>
          <cell r="H1128" t="str">
            <v/>
          </cell>
          <cell r="I1128" t="str">
            <v>İÇ</v>
          </cell>
          <cell r="J1128" t="str">
            <v>APLİK</v>
          </cell>
          <cell r="K1128" t="str">
            <v>DEKO</v>
          </cell>
          <cell r="L1128" t="str">
            <v/>
          </cell>
          <cell r="M1128" t="str">
            <v/>
          </cell>
          <cell r="N1128" t="str">
            <v/>
          </cell>
          <cell r="P1128" t="str">
            <v>ADET</v>
          </cell>
          <cell r="Q1128" t="str">
            <v>E27</v>
          </cell>
          <cell r="R1128" t="str">
            <v>METAL</v>
          </cell>
          <cell r="S1128" t="str">
            <v>SİYAH</v>
          </cell>
          <cell r="T1128" t="str">
            <v>CAM</v>
          </cell>
          <cell r="U1128" t="str">
            <v>SOFT</v>
          </cell>
          <cell r="AD1128" t="str">
            <v>N/A</v>
          </cell>
          <cell r="AE1128" t="str">
            <v>04</v>
          </cell>
          <cell r="AF1128">
            <v>0</v>
          </cell>
          <cell r="AG1128" t="str">
            <v>ADET</v>
          </cell>
          <cell r="AH1128">
            <v>750</v>
          </cell>
          <cell r="AI1128" t="str">
            <v>TL</v>
          </cell>
          <cell r="AJ1128">
            <v>1700</v>
          </cell>
          <cell r="AK1128" t="str">
            <v>TL</v>
          </cell>
          <cell r="AL1128">
            <v>0</v>
          </cell>
          <cell r="AO1128">
            <v>1.8</v>
          </cell>
          <cell r="AP1128" t="str">
            <v>KG</v>
          </cell>
          <cell r="AQ1128">
            <v>23</v>
          </cell>
          <cell r="AS1128">
            <v>25</v>
          </cell>
          <cell r="AU1128">
            <v>0</v>
          </cell>
          <cell r="AW1128">
            <v>0</v>
          </cell>
        </row>
        <row r="1129">
          <cell r="B1129" t="str">
            <v>SNC-25</v>
          </cell>
          <cell r="C1129" t="str">
            <v>C35 ŞEFFAF DÜZ 220V 4W 2700K E14 LED AMPUL</v>
          </cell>
          <cell r="D1129" t="str">
            <v/>
          </cell>
          <cell r="E1129" t="str">
            <v/>
          </cell>
          <cell r="F1129" t="str">
            <v>8539.52.00.00.14</v>
          </cell>
          <cell r="G1129" t="str">
            <v>AMPUL</v>
          </cell>
          <cell r="H1129" t="str">
            <v/>
          </cell>
          <cell r="I1129" t="str">
            <v>İÇ</v>
          </cell>
          <cell r="J1129" t="str">
            <v>AMPUL</v>
          </cell>
          <cell r="K1129" t="str">
            <v/>
          </cell>
          <cell r="L1129" t="str">
            <v/>
          </cell>
          <cell r="M1129" t="str">
            <v/>
          </cell>
          <cell r="N1129" t="str">
            <v/>
          </cell>
          <cell r="O1129" t="str">
            <v>HEKA</v>
          </cell>
          <cell r="P1129" t="str">
            <v>ADET</v>
          </cell>
          <cell r="AF1129">
            <v>0</v>
          </cell>
          <cell r="AG1129" t="str">
            <v>ADET</v>
          </cell>
          <cell r="AL1129">
            <v>0</v>
          </cell>
          <cell r="AO1129">
            <v>0</v>
          </cell>
          <cell r="AQ1129">
            <v>0</v>
          </cell>
          <cell r="AS1129">
            <v>0</v>
          </cell>
          <cell r="AU1129">
            <v>0</v>
          </cell>
          <cell r="AW1129">
            <v>0</v>
          </cell>
        </row>
        <row r="1130">
          <cell r="B1130" t="str">
            <v>SNC-31</v>
          </cell>
          <cell r="C1130" t="str">
            <v>ST64 BAL 4W 2200K E27 LED AMPUL</v>
          </cell>
          <cell r="D1130" t="str">
            <v/>
          </cell>
          <cell r="E1130" t="str">
            <v/>
          </cell>
          <cell r="F1130" t="str">
            <v>8539.52.00.00.00</v>
          </cell>
          <cell r="G1130" t="str">
            <v>AMPUL</v>
          </cell>
          <cell r="H1130" t="str">
            <v/>
          </cell>
          <cell r="I1130" t="str">
            <v>İÇ</v>
          </cell>
          <cell r="J1130" t="str">
            <v>AMPUL</v>
          </cell>
          <cell r="K1130" t="str">
            <v/>
          </cell>
          <cell r="L1130" t="str">
            <v/>
          </cell>
          <cell r="M1130" t="str">
            <v/>
          </cell>
          <cell r="N1130" t="str">
            <v/>
          </cell>
          <cell r="P1130" t="str">
            <v>ADET</v>
          </cell>
          <cell r="AF1130">
            <v>0</v>
          </cell>
          <cell r="AG1130" t="str">
            <v>ADET</v>
          </cell>
          <cell r="AL1130">
            <v>0</v>
          </cell>
          <cell r="AO1130">
            <v>0</v>
          </cell>
          <cell r="AQ1130">
            <v>0</v>
          </cell>
          <cell r="AS1130">
            <v>0</v>
          </cell>
          <cell r="AU1130">
            <v>0</v>
          </cell>
          <cell r="AW1130">
            <v>0</v>
          </cell>
        </row>
        <row r="1131">
          <cell r="B1131" t="str">
            <v>1FJ4LTME000-020</v>
          </cell>
          <cell r="C1131" t="str">
            <v>BATUR ESKİTME TESİSAT  (15-20 cm CAMLAR İÇİN)</v>
          </cell>
          <cell r="D1131" t="str">
            <v>BATUR BRUSHED BRASS 15-20 cm FIXTURE</v>
          </cell>
          <cell r="E1131" t="str">
            <v/>
          </cell>
          <cell r="F1131" t="str">
            <v/>
          </cell>
          <cell r="G1131" t="str">
            <v>ZPARCA</v>
          </cell>
          <cell r="H1131" t="str">
            <v/>
          </cell>
          <cell r="I1131" t="str">
            <v>İÇ</v>
          </cell>
          <cell r="J1131" t="str">
            <v>ZPARCA</v>
          </cell>
          <cell r="K1131" t="str">
            <v>BATUR</v>
          </cell>
          <cell r="L1131" t="str">
            <v/>
          </cell>
          <cell r="M1131" t="str">
            <v>ÜRTM:15GÜN</v>
          </cell>
          <cell r="N1131" t="str">
            <v/>
          </cell>
          <cell r="O1131" t="str">
            <v>HEKA</v>
          </cell>
          <cell r="P1131" t="str">
            <v>ADET</v>
          </cell>
          <cell r="Q1131" t="str">
            <v>G4</v>
          </cell>
          <cell r="R1131" t="str">
            <v>METAL</v>
          </cell>
          <cell r="S1131" t="str">
            <v>ESKİTME</v>
          </cell>
          <cell r="AD1131" t="str">
            <v>DÜZ</v>
          </cell>
          <cell r="AF1131">
            <v>38</v>
          </cell>
          <cell r="AG1131" t="str">
            <v>ADET</v>
          </cell>
          <cell r="AH1131">
            <v>150</v>
          </cell>
          <cell r="AI1131" t="str">
            <v>TL</v>
          </cell>
          <cell r="AJ1131">
            <v>1050</v>
          </cell>
          <cell r="AK1131" t="str">
            <v>TL</v>
          </cell>
          <cell r="AL1131">
            <v>1</v>
          </cell>
          <cell r="AM1131" t="str">
            <v>8684127512015</v>
          </cell>
          <cell r="AO1131">
            <v>0</v>
          </cell>
          <cell r="AQ1131">
            <v>3.5</v>
          </cell>
          <cell r="AR1131" t="str">
            <v>CM</v>
          </cell>
          <cell r="AS1131">
            <v>3.5</v>
          </cell>
          <cell r="AT1131" t="str">
            <v>CM</v>
          </cell>
          <cell r="AU1131">
            <v>0</v>
          </cell>
          <cell r="AW1131">
            <v>0</v>
          </cell>
        </row>
        <row r="1132">
          <cell r="B1132" t="str">
            <v>150-CAM-KAHVE</v>
          </cell>
          <cell r="C1132" t="str">
            <v>BATUR DİŞLİ KAHVERENGİ CAM 15 cm</v>
          </cell>
          <cell r="D1132" t="str">
            <v>THREADED BROWN GLASS 15 cm</v>
          </cell>
          <cell r="E1132" t="str">
            <v/>
          </cell>
          <cell r="F1132" t="str">
            <v/>
          </cell>
          <cell r="G1132" t="str">
            <v>AVİZE</v>
          </cell>
          <cell r="H1132" t="str">
            <v>150A-BAL</v>
          </cell>
          <cell r="I1132" t="str">
            <v>İÇ</v>
          </cell>
          <cell r="J1132" t="str">
            <v>AVİZE.SARK</v>
          </cell>
          <cell r="K1132" t="str">
            <v>BATUR</v>
          </cell>
          <cell r="L1132" t="str">
            <v/>
          </cell>
          <cell r="M1132" t="str">
            <v/>
          </cell>
          <cell r="N1132" t="str">
            <v>HB-1</v>
          </cell>
          <cell r="O1132" t="str">
            <v>HEKA</v>
          </cell>
          <cell r="P1132" t="str">
            <v>ADET</v>
          </cell>
          <cell r="R1132" t="str">
            <v>CAM</v>
          </cell>
          <cell r="S1132" t="str">
            <v>KAHVERENGİ</v>
          </cell>
          <cell r="AF1132">
            <v>74</v>
          </cell>
          <cell r="AG1132" t="str">
            <v>ADET</v>
          </cell>
          <cell r="AH1132">
            <v>9</v>
          </cell>
          <cell r="AI1132" t="str">
            <v>CNY</v>
          </cell>
          <cell r="AJ1132">
            <v>1412</v>
          </cell>
          <cell r="AK1132" t="str">
            <v>TL</v>
          </cell>
          <cell r="AL1132">
            <v>1</v>
          </cell>
          <cell r="AM1132" t="str">
            <v>150-CAM-KAHVE</v>
          </cell>
          <cell r="AO1132">
            <v>0</v>
          </cell>
          <cell r="AQ1132">
            <v>0</v>
          </cell>
          <cell r="AS1132">
            <v>0</v>
          </cell>
          <cell r="AU1132">
            <v>0</v>
          </cell>
          <cell r="AW1132">
            <v>0</v>
          </cell>
        </row>
        <row r="1133">
          <cell r="B1133" t="str">
            <v>H1W4JMEERVR-020</v>
          </cell>
          <cell r="C1133" t="str">
            <v>BATUR KAHVERENGİ SARKIT 20 cm</v>
          </cell>
          <cell r="D1133" t="str">
            <v>BATUR BROWN PENDANT LAMP 20 cm</v>
          </cell>
          <cell r="E1133" t="str">
            <v xml:space="preserve">METAL CAM  ESKİTME KAHVERENGİ   </v>
          </cell>
          <cell r="F1133" t="str">
            <v>9405.19.90.00.00</v>
          </cell>
          <cell r="G1133" t="str">
            <v>AVİZE</v>
          </cell>
          <cell r="H1133" t="str">
            <v>H1A4112400-15</v>
          </cell>
          <cell r="I1133" t="str">
            <v>İÇ</v>
          </cell>
          <cell r="J1133" t="str">
            <v>AVİZE.SARK</v>
          </cell>
          <cell r="K1133" t="str">
            <v>BATUR</v>
          </cell>
          <cell r="L1133" t="str">
            <v/>
          </cell>
          <cell r="M1133" t="str">
            <v/>
          </cell>
          <cell r="N1133" t="str">
            <v>HKA-HB2</v>
          </cell>
          <cell r="O1133" t="str">
            <v>HEKA</v>
          </cell>
          <cell r="P1133" t="str">
            <v>ADET</v>
          </cell>
          <cell r="Q1133" t="str">
            <v>G4</v>
          </cell>
          <cell r="R1133" t="str">
            <v>METAL</v>
          </cell>
          <cell r="S1133" t="str">
            <v>ESKİTME</v>
          </cell>
          <cell r="T1133" t="str">
            <v>CAM</v>
          </cell>
          <cell r="U1133" t="str">
            <v>KAHVERENGİ</v>
          </cell>
          <cell r="AD1133" t="str">
            <v>DAİRE</v>
          </cell>
          <cell r="AE1133" t="str">
            <v>02</v>
          </cell>
          <cell r="AF1133">
            <v>0</v>
          </cell>
          <cell r="AG1133" t="str">
            <v>ADET</v>
          </cell>
          <cell r="AH1133">
            <v>75</v>
          </cell>
          <cell r="AI1133" t="str">
            <v>TL</v>
          </cell>
          <cell r="AJ1133">
            <v>3120</v>
          </cell>
          <cell r="AK1133" t="str">
            <v>TL</v>
          </cell>
          <cell r="AL1133">
            <v>1</v>
          </cell>
          <cell r="AO1133">
            <v>0</v>
          </cell>
          <cell r="AQ1133">
            <v>36</v>
          </cell>
          <cell r="AR1133" t="str">
            <v>CM</v>
          </cell>
          <cell r="AS1133">
            <v>15</v>
          </cell>
          <cell r="AT1133" t="str">
            <v>CM</v>
          </cell>
          <cell r="AU1133">
            <v>0</v>
          </cell>
          <cell r="AW1133">
            <v>0</v>
          </cell>
        </row>
        <row r="1134">
          <cell r="B1134" t="str">
            <v>H1W3ECSJME0-018</v>
          </cell>
          <cell r="C1134" t="str">
            <v>ASPAR TEK AKRİLİK ESKİTME APLİK</v>
          </cell>
          <cell r="D1134" t="str">
            <v>ASPAR SINGLE ACRYLIC BRUSHED BRASS WALL LAMP</v>
          </cell>
          <cell r="E1134" t="str">
            <v xml:space="preserve">AKRİLİK  METAL ŞEFFAF ESKİTME   </v>
          </cell>
          <cell r="F1134" t="str">
            <v/>
          </cell>
          <cell r="G1134" t="str">
            <v>APLİK</v>
          </cell>
          <cell r="H1134" t="str">
            <v/>
          </cell>
          <cell r="I1134" t="str">
            <v>İÇ</v>
          </cell>
          <cell r="J1134" t="str">
            <v>APLİK</v>
          </cell>
          <cell r="K1134" t="str">
            <v>ASPAR</v>
          </cell>
          <cell r="L1134" t="str">
            <v/>
          </cell>
          <cell r="M1134" t="str">
            <v>ÜRTM 3 GÜN</v>
          </cell>
          <cell r="N1134" t="str">
            <v>HKA-79-W</v>
          </cell>
          <cell r="O1134" t="str">
            <v>HEKA</v>
          </cell>
          <cell r="P1134" t="str">
            <v>ADET</v>
          </cell>
          <cell r="Q1134" t="str">
            <v>G9</v>
          </cell>
          <cell r="R1134" t="str">
            <v>AKRİLİK</v>
          </cell>
          <cell r="S1134" t="str">
            <v>ŞEFFAF</v>
          </cell>
          <cell r="T1134" t="str">
            <v>METAL</v>
          </cell>
          <cell r="U1134" t="str">
            <v>ESKİTME</v>
          </cell>
          <cell r="AD1134" t="str">
            <v>KÜRE</v>
          </cell>
          <cell r="AE1134" t="str">
            <v>01</v>
          </cell>
          <cell r="AF1134">
            <v>2</v>
          </cell>
          <cell r="AG1134" t="str">
            <v>ADET</v>
          </cell>
          <cell r="AJ1134">
            <v>5355</v>
          </cell>
          <cell r="AK1134" t="str">
            <v>TL</v>
          </cell>
          <cell r="AL1134">
            <v>1</v>
          </cell>
          <cell r="AM1134" t="str">
            <v>8684127510530</v>
          </cell>
          <cell r="AO1134">
            <v>0</v>
          </cell>
          <cell r="AQ1134">
            <v>0</v>
          </cell>
          <cell r="AS1134">
            <v>0</v>
          </cell>
          <cell r="AU1134">
            <v>0</v>
          </cell>
          <cell r="AW1134">
            <v>0</v>
          </cell>
        </row>
        <row r="1135">
          <cell r="B1135" t="str">
            <v>SNC-23</v>
          </cell>
          <cell r="C1135" t="str">
            <v>T35 ŞEFFAF KIVRIK 4W 2700K E14 LED AMPUL</v>
          </cell>
          <cell r="D1135" t="str">
            <v/>
          </cell>
          <cell r="E1135" t="str">
            <v/>
          </cell>
          <cell r="F1135" t="str">
            <v>8539.52.00.00.12</v>
          </cell>
          <cell r="G1135" t="str">
            <v/>
          </cell>
          <cell r="H1135" t="str">
            <v/>
          </cell>
          <cell r="I1135" t="str">
            <v>İÇ</v>
          </cell>
          <cell r="J1135" t="str">
            <v/>
          </cell>
          <cell r="K1135" t="str">
            <v/>
          </cell>
          <cell r="L1135" t="str">
            <v/>
          </cell>
          <cell r="M1135" t="str">
            <v/>
          </cell>
          <cell r="N1135" t="str">
            <v/>
          </cell>
          <cell r="P1135" t="str">
            <v>ADET</v>
          </cell>
          <cell r="AF1135">
            <v>0</v>
          </cell>
          <cell r="AG1135" t="str">
            <v>ADET</v>
          </cell>
          <cell r="AL1135">
            <v>0</v>
          </cell>
          <cell r="AO1135">
            <v>0</v>
          </cell>
          <cell r="AQ1135">
            <v>0</v>
          </cell>
          <cell r="AS1135">
            <v>0</v>
          </cell>
          <cell r="AU1135">
            <v>0</v>
          </cell>
          <cell r="AW1135">
            <v>0</v>
          </cell>
        </row>
        <row r="1136">
          <cell r="B1136" t="str">
            <v>SNC-50</v>
          </cell>
          <cell r="C1136" t="str">
            <v>A60 BAL 4W 2700K E27 LED AMPUL</v>
          </cell>
          <cell r="D1136" t="str">
            <v/>
          </cell>
          <cell r="E1136" t="str">
            <v/>
          </cell>
          <cell r="F1136" t="str">
            <v>8539.52.00.00.01</v>
          </cell>
          <cell r="G1136" t="str">
            <v>AMPUL</v>
          </cell>
          <cell r="H1136" t="str">
            <v/>
          </cell>
          <cell r="I1136" t="str">
            <v>İÇ</v>
          </cell>
          <cell r="J1136" t="str">
            <v>AMPUL</v>
          </cell>
          <cell r="K1136" t="str">
            <v/>
          </cell>
          <cell r="L1136" t="str">
            <v/>
          </cell>
          <cell r="M1136" t="str">
            <v/>
          </cell>
          <cell r="N1136" t="str">
            <v/>
          </cell>
          <cell r="P1136" t="str">
            <v>ADET</v>
          </cell>
          <cell r="AF1136">
            <v>0</v>
          </cell>
          <cell r="AG1136" t="str">
            <v>ADET</v>
          </cell>
          <cell r="AH1136">
            <v>14.25</v>
          </cell>
          <cell r="AI1136" t="str">
            <v>TL</v>
          </cell>
          <cell r="AL1136">
            <v>0</v>
          </cell>
          <cell r="AO1136">
            <v>0</v>
          </cell>
          <cell r="AQ1136">
            <v>0</v>
          </cell>
          <cell r="AS1136">
            <v>0</v>
          </cell>
          <cell r="AU1136">
            <v>0</v>
          </cell>
          <cell r="AW1136">
            <v>0</v>
          </cell>
        </row>
        <row r="1137">
          <cell r="B1137" t="str">
            <v>1FJ4LTRS000-025</v>
          </cell>
          <cell r="C1137" t="str">
            <v>BATUR SİYAH TESİSAT (25 cm CAMLAR İÇİN)</v>
          </cell>
          <cell r="D1137" t="str">
            <v>BATUR BLACK 25-30 cm FIXTURE</v>
          </cell>
          <cell r="E1137" t="str">
            <v/>
          </cell>
          <cell r="F1137" t="str">
            <v/>
          </cell>
          <cell r="G1137" t="str">
            <v>ZPARCA</v>
          </cell>
          <cell r="H1137" t="str">
            <v/>
          </cell>
          <cell r="I1137" t="str">
            <v>İÇ</v>
          </cell>
          <cell r="J1137" t="str">
            <v>ZPARCA</v>
          </cell>
          <cell r="K1137" t="str">
            <v>BATUR</v>
          </cell>
          <cell r="L1137" t="str">
            <v/>
          </cell>
          <cell r="M1137" t="str">
            <v>ÜRTM:15GÜN</v>
          </cell>
          <cell r="N1137" t="str">
            <v/>
          </cell>
          <cell r="O1137" t="str">
            <v>HEKA</v>
          </cell>
          <cell r="P1137" t="str">
            <v>ADET</v>
          </cell>
          <cell r="Q1137" t="str">
            <v>G4</v>
          </cell>
          <cell r="R1137" t="str">
            <v>METAL</v>
          </cell>
          <cell r="S1137" t="str">
            <v>ESKİTME</v>
          </cell>
          <cell r="AD1137" t="str">
            <v>DÜZ</v>
          </cell>
          <cell r="AF1137">
            <v>0</v>
          </cell>
          <cell r="AG1137" t="str">
            <v>ADET</v>
          </cell>
          <cell r="AH1137">
            <v>100</v>
          </cell>
          <cell r="AI1137" t="str">
            <v>TL</v>
          </cell>
          <cell r="AJ1137">
            <v>1050</v>
          </cell>
          <cell r="AK1137" t="str">
            <v>TL</v>
          </cell>
          <cell r="AL1137">
            <v>1</v>
          </cell>
          <cell r="AM1137" t="str">
            <v>1FJ4LTRS000-025</v>
          </cell>
          <cell r="AO1137">
            <v>0</v>
          </cell>
          <cell r="AQ1137">
            <v>3.5</v>
          </cell>
          <cell r="AR1137" t="str">
            <v>CM</v>
          </cell>
          <cell r="AS1137">
            <v>3.5</v>
          </cell>
          <cell r="AT1137" t="str">
            <v>CM</v>
          </cell>
          <cell r="AU1137">
            <v>0</v>
          </cell>
          <cell r="AW1137">
            <v>0</v>
          </cell>
        </row>
        <row r="1138">
          <cell r="B1138" t="str">
            <v>1YC4YGCT000-008</v>
          </cell>
          <cell r="C1138" t="str">
            <v>DİŞLİ SOFT AVİZE CAMI 8 cm</v>
          </cell>
          <cell r="D1138" t="str">
            <v>THREADED OPAL CHANDELIER GLASS  8 cm</v>
          </cell>
          <cell r="E1138" t="str">
            <v/>
          </cell>
          <cell r="F1138" t="str">
            <v/>
          </cell>
          <cell r="G1138" t="str">
            <v>ZPARCA</v>
          </cell>
          <cell r="H1138" t="str">
            <v>200A-BAL</v>
          </cell>
          <cell r="I1138" t="str">
            <v>İÇ</v>
          </cell>
          <cell r="J1138" t="str">
            <v>ZPARCA</v>
          </cell>
          <cell r="K1138" t="str">
            <v/>
          </cell>
          <cell r="L1138" t="str">
            <v/>
          </cell>
          <cell r="M1138" t="str">
            <v/>
          </cell>
          <cell r="N1138" t="str">
            <v/>
          </cell>
          <cell r="O1138" t="str">
            <v>HEKA</v>
          </cell>
          <cell r="P1138" t="str">
            <v>ADET</v>
          </cell>
          <cell r="R1138" t="str">
            <v>CAM</v>
          </cell>
          <cell r="S1138" t="str">
            <v>OPAL</v>
          </cell>
          <cell r="AD1138" t="str">
            <v>KÜRE</v>
          </cell>
          <cell r="AF1138">
            <v>819</v>
          </cell>
          <cell r="AG1138" t="str">
            <v>ADET</v>
          </cell>
          <cell r="AH1138">
            <v>6.1</v>
          </cell>
          <cell r="AI1138" t="str">
            <v>CNY</v>
          </cell>
          <cell r="AJ1138">
            <v>285</v>
          </cell>
          <cell r="AK1138" t="str">
            <v>TL</v>
          </cell>
          <cell r="AL1138">
            <v>0</v>
          </cell>
          <cell r="AM1138" t="str">
            <v>1YC4YGCT000-008</v>
          </cell>
          <cell r="AO1138">
            <v>0</v>
          </cell>
          <cell r="AQ1138">
            <v>8</v>
          </cell>
          <cell r="AR1138" t="str">
            <v>CM</v>
          </cell>
          <cell r="AS1138">
            <v>8</v>
          </cell>
          <cell r="AT1138" t="str">
            <v>CM</v>
          </cell>
          <cell r="AU1138">
            <v>0</v>
          </cell>
          <cell r="AW1138">
            <v>0</v>
          </cell>
        </row>
        <row r="1139">
          <cell r="B1139" t="str">
            <v>H1F6JMEERLR-167</v>
          </cell>
          <cell r="C1139" t="str">
            <v>VİYANA BAL CAM LAMBADER (ML-1 CAMLI)</v>
          </cell>
          <cell r="D1139" t="str">
            <v>VIYANA AMBER GLASS FLOOR LAMP</v>
          </cell>
          <cell r="E1139" t="str">
            <v xml:space="preserve">METAL CAM  ESKİTME BAL   </v>
          </cell>
          <cell r="F1139" t="str">
            <v>9405.11.90.00.00</v>
          </cell>
          <cell r="G1139" t="str">
            <v>LAMBADER</v>
          </cell>
          <cell r="H1139" t="str">
            <v>T1A6231100-30</v>
          </cell>
          <cell r="I1139" t="str">
            <v>İÇ</v>
          </cell>
          <cell r="J1139" t="str">
            <v>LAMBADER</v>
          </cell>
          <cell r="K1139" t="str">
            <v>VİYANA</v>
          </cell>
          <cell r="L1139" t="str">
            <v/>
          </cell>
          <cell r="M1139" t="str">
            <v>ÜRTM:15GÜN</v>
          </cell>
          <cell r="N1139" t="str">
            <v>ML1-1</v>
          </cell>
          <cell r="O1139" t="str">
            <v>HEKA</v>
          </cell>
          <cell r="P1139" t="str">
            <v>ADET</v>
          </cell>
          <cell r="Q1139" t="str">
            <v>PERİ LED</v>
          </cell>
          <cell r="R1139" t="str">
            <v>METAL</v>
          </cell>
          <cell r="S1139" t="str">
            <v>ESKİTME</v>
          </cell>
          <cell r="T1139" t="str">
            <v>CAM</v>
          </cell>
          <cell r="U1139" t="str">
            <v>BAL</v>
          </cell>
          <cell r="AD1139" t="str">
            <v>DAİRE</v>
          </cell>
          <cell r="AF1139">
            <v>0</v>
          </cell>
          <cell r="AG1139" t="str">
            <v>ADET</v>
          </cell>
          <cell r="AJ1139">
            <v>13275</v>
          </cell>
          <cell r="AK1139" t="str">
            <v>TL</v>
          </cell>
          <cell r="AL1139">
            <v>1</v>
          </cell>
          <cell r="AM1139" t="str">
            <v>8684127510554</v>
          </cell>
          <cell r="AO1139">
            <v>0</v>
          </cell>
          <cell r="AQ1139">
            <v>0</v>
          </cell>
          <cell r="AR1139" t="str">
            <v>CM</v>
          </cell>
          <cell r="AS1139">
            <v>0</v>
          </cell>
          <cell r="AT1139" t="str">
            <v>CM</v>
          </cell>
          <cell r="AU1139">
            <v>0</v>
          </cell>
          <cell r="AW1139">
            <v>0</v>
          </cell>
        </row>
        <row r="1140">
          <cell r="B1140" t="str">
            <v>F1F5JMG0000-165</v>
          </cell>
          <cell r="C1140" t="str">
            <v>AYDOS ALTIN YAPRAK LAMBADER</v>
          </cell>
          <cell r="D1140" t="str">
            <v>AYDOS GOLD LEAF FLOOR LAMP</v>
          </cell>
          <cell r="E1140" t="str">
            <v xml:space="preserve">METAL YOK GOLD YOK   </v>
          </cell>
          <cell r="F1140" t="str">
            <v/>
          </cell>
          <cell r="G1140" t="str">
            <v>LAMBADER</v>
          </cell>
          <cell r="H1140" t="str">
            <v/>
          </cell>
          <cell r="I1140" t="str">
            <v>İÇ</v>
          </cell>
          <cell r="J1140" t="str">
            <v>LAMBADER</v>
          </cell>
          <cell r="K1140" t="str">
            <v>AYDOS</v>
          </cell>
          <cell r="L1140" t="str">
            <v/>
          </cell>
          <cell r="M1140" t="str">
            <v/>
          </cell>
          <cell r="N1140" t="str">
            <v/>
          </cell>
          <cell r="O1140" t="str">
            <v>LIGHTIST</v>
          </cell>
          <cell r="P1140" t="str">
            <v>ADET</v>
          </cell>
          <cell r="Q1140" t="str">
            <v>GU10</v>
          </cell>
          <cell r="R1140" t="str">
            <v>METAL</v>
          </cell>
          <cell r="S1140" t="str">
            <v>GOLD</v>
          </cell>
          <cell r="T1140" t="str">
            <v>YOK</v>
          </cell>
          <cell r="U1140" t="str">
            <v>YOK</v>
          </cell>
          <cell r="AE1140" t="str">
            <v>06</v>
          </cell>
          <cell r="AF1140">
            <v>1</v>
          </cell>
          <cell r="AG1140" t="str">
            <v>ADET</v>
          </cell>
          <cell r="AH1140">
            <v>12500</v>
          </cell>
          <cell r="AI1140" t="str">
            <v>TL</v>
          </cell>
          <cell r="AJ1140">
            <v>27500</v>
          </cell>
          <cell r="AK1140" t="str">
            <v>TL</v>
          </cell>
          <cell r="AL1140">
            <v>0</v>
          </cell>
          <cell r="AM1140" t="str">
            <v>8684127514699</v>
          </cell>
          <cell r="AO1140">
            <v>0</v>
          </cell>
          <cell r="AQ1140">
            <v>0</v>
          </cell>
          <cell r="AS1140">
            <v>0</v>
          </cell>
          <cell r="AU1140">
            <v>0</v>
          </cell>
          <cell r="AW1140">
            <v>0</v>
          </cell>
        </row>
        <row r="1141">
          <cell r="B1141" t="str">
            <v>CA2E1C3M2E7O0</v>
          </cell>
          <cell r="C1141" t="str">
            <v>ERD-283 E27 220V 6W 4000K FİLAMENT LED AMPUL</v>
          </cell>
          <cell r="D1141" t="str">
            <v>ERD-283 E27 220V 6W 4000K FILAMENT LED BULB</v>
          </cell>
          <cell r="E1141" t="str">
            <v>CAM METAL ŞEFFAF FLAMENT DIMMSIZ A60</v>
          </cell>
          <cell r="F1141" t="str">
            <v>8539.52.00.00.00</v>
          </cell>
          <cell r="G1141" t="str">
            <v>AMPUL</v>
          </cell>
          <cell r="H1141" t="str">
            <v>CE21132D80000</v>
          </cell>
          <cell r="I1141" t="str">
            <v>İÇ</v>
          </cell>
          <cell r="J1141" t="str">
            <v>AMPUL</v>
          </cell>
          <cell r="K1141" t="str">
            <v>ERD-283</v>
          </cell>
          <cell r="L1141" t="str">
            <v/>
          </cell>
          <cell r="M1141" t="str">
            <v>30.01.2026</v>
          </cell>
          <cell r="N1141" t="str">
            <v>ERD-283</v>
          </cell>
          <cell r="O1141" t="str">
            <v>HEKA</v>
          </cell>
          <cell r="P1141" t="str">
            <v>ADET</v>
          </cell>
          <cell r="Q1141" t="str">
            <v>E27</v>
          </cell>
          <cell r="R1141" t="str">
            <v>CAM</v>
          </cell>
          <cell r="S1141" t="str">
            <v>ŞEFFAF</v>
          </cell>
          <cell r="T1141" t="str">
            <v>METAL</v>
          </cell>
          <cell r="V1141" t="str">
            <v>E</v>
          </cell>
          <cell r="W1141" t="str">
            <v>FLAMENT</v>
          </cell>
          <cell r="X1141" t="str">
            <v>220V</v>
          </cell>
          <cell r="Y1141" t="str">
            <v>6 WATT</v>
          </cell>
          <cell r="Z1141" t="str">
            <v>4000 K</v>
          </cell>
          <cell r="AA1141" t="str">
            <v>DIMMSIZ</v>
          </cell>
          <cell r="AB1141" t="str">
            <v>601-700</v>
          </cell>
          <cell r="AC1141" t="str">
            <v>A60</v>
          </cell>
          <cell r="AD1141" t="str">
            <v>N/A</v>
          </cell>
          <cell r="AF1141">
            <v>0</v>
          </cell>
          <cell r="AG1141" t="str">
            <v>ADET</v>
          </cell>
          <cell r="AH1141">
            <v>0.36199999999999999</v>
          </cell>
          <cell r="AI1141" t="str">
            <v>USD</v>
          </cell>
          <cell r="AJ1141">
            <v>1.9</v>
          </cell>
          <cell r="AK1141" t="str">
            <v>USD</v>
          </cell>
          <cell r="AL1141">
            <v>1</v>
          </cell>
          <cell r="AM1141" t="str">
            <v>8684127510622</v>
          </cell>
          <cell r="AN1141" t="str">
            <v>8684127510677</v>
          </cell>
          <cell r="AO1141">
            <v>0</v>
          </cell>
          <cell r="AQ1141">
            <v>6</v>
          </cell>
          <cell r="AR1141" t="str">
            <v>CM</v>
          </cell>
          <cell r="AS1141">
            <v>6</v>
          </cell>
          <cell r="AT1141" t="str">
            <v>CM</v>
          </cell>
          <cell r="AU1141">
            <v>0</v>
          </cell>
          <cell r="AW1141">
            <v>0</v>
          </cell>
        </row>
        <row r="1142">
          <cell r="B1142" t="str">
            <v>CK1G2P3M2D8H1</v>
          </cell>
          <cell r="C1142" t="str">
            <v>ERD-500 MISIR ŞEFFAF 5W 6500K E14 LED AMPUL</v>
          </cell>
          <cell r="D1142" t="str">
            <v>ERD-500 CORN CLEAR 5W 6500K E14 LED BULB</v>
          </cell>
          <cell r="E1142" t="str">
            <v>PLASTİK METAL ŞEFFAF SMD LED DIMMSIZ MISIR</v>
          </cell>
          <cell r="F1142" t="str">
            <v>8539.52.00.00.00</v>
          </cell>
          <cell r="G1142" t="str">
            <v>AMPUL</v>
          </cell>
          <cell r="H1142" t="str">
            <v>CG12232C50000</v>
          </cell>
          <cell r="I1142" t="str">
            <v>İÇ</v>
          </cell>
          <cell r="J1142" t="str">
            <v>AMPUL</v>
          </cell>
          <cell r="K1142" t="str">
            <v>ERD-500</v>
          </cell>
          <cell r="L1142" t="str">
            <v/>
          </cell>
          <cell r="M1142" t="str">
            <v xml:space="preserve"> </v>
          </cell>
          <cell r="N1142" t="str">
            <v>ERD-500</v>
          </cell>
          <cell r="O1142" t="str">
            <v>HEKA</v>
          </cell>
          <cell r="P1142" t="str">
            <v>ADET</v>
          </cell>
          <cell r="Q1142" t="str">
            <v>E14</v>
          </cell>
          <cell r="R1142" t="str">
            <v>PLASTİK</v>
          </cell>
          <cell r="S1142" t="str">
            <v>ŞEFFAF</v>
          </cell>
          <cell r="T1142" t="str">
            <v>METAL</v>
          </cell>
          <cell r="V1142" t="str">
            <v>G</v>
          </cell>
          <cell r="W1142" t="str">
            <v>SMD LED</v>
          </cell>
          <cell r="X1142" t="str">
            <v>220V</v>
          </cell>
          <cell r="Y1142" t="str">
            <v>5 WATT</v>
          </cell>
          <cell r="Z1142" t="str">
            <v>3000 K</v>
          </cell>
          <cell r="AA1142" t="str">
            <v>DIMMSIZ</v>
          </cell>
          <cell r="AB1142" t="str">
            <v>301-400</v>
          </cell>
          <cell r="AC1142" t="str">
            <v>MISIR</v>
          </cell>
          <cell r="AD1142" t="str">
            <v>N/A</v>
          </cell>
          <cell r="AF1142">
            <v>0</v>
          </cell>
          <cell r="AG1142" t="str">
            <v>ADET</v>
          </cell>
          <cell r="AH1142">
            <v>1.7</v>
          </cell>
          <cell r="AI1142" t="str">
            <v>CNY</v>
          </cell>
          <cell r="AJ1142">
            <v>29.9</v>
          </cell>
          <cell r="AK1142" t="str">
            <v>TL</v>
          </cell>
          <cell r="AL1142">
            <v>1</v>
          </cell>
          <cell r="AO1142">
            <v>0</v>
          </cell>
          <cell r="AQ1142">
            <v>1.5</v>
          </cell>
          <cell r="AR1142" t="str">
            <v>CM</v>
          </cell>
          <cell r="AS1142">
            <v>1.5</v>
          </cell>
          <cell r="AT1142" t="str">
            <v>CM</v>
          </cell>
          <cell r="AU1142">
            <v>0</v>
          </cell>
          <cell r="AW1142">
            <v>0</v>
          </cell>
        </row>
        <row r="1143">
          <cell r="B1143" t="str">
            <v>H1C3JRSECTD-155</v>
          </cell>
          <cell r="C1143" t="str">
            <v>DEMET SİYAH YEMEK MASASI AVİZESİ 13 LÜ</v>
          </cell>
          <cell r="D1143" t="str">
            <v>DEMET DINING TABLE BLACK CHANDELIER 13 BULB</v>
          </cell>
          <cell r="E1143" t="str">
            <v xml:space="preserve">METAL CAM  SİYAH SOFT   </v>
          </cell>
          <cell r="F1143" t="str">
            <v>9405.19.90.00.00</v>
          </cell>
          <cell r="G1143" t="str">
            <v>AVİZE</v>
          </cell>
          <cell r="H1143" t="str">
            <v>H1A3112100-13</v>
          </cell>
          <cell r="I1143" t="str">
            <v>İÇ</v>
          </cell>
          <cell r="J1143" t="str">
            <v>AVİZE.AVİZ</v>
          </cell>
          <cell r="K1143" t="str">
            <v>DEMET</v>
          </cell>
          <cell r="L1143" t="str">
            <v>Ç</v>
          </cell>
          <cell r="M1143" t="str">
            <v>ÜRTM:15GÜN</v>
          </cell>
          <cell r="N1143" t="str">
            <v>HK20010S</v>
          </cell>
          <cell r="O1143" t="str">
            <v>HEKA</v>
          </cell>
          <cell r="P1143" t="str">
            <v>ADET</v>
          </cell>
          <cell r="Q1143" t="str">
            <v>G9</v>
          </cell>
          <cell r="R1143" t="str">
            <v>METAL</v>
          </cell>
          <cell r="S1143" t="str">
            <v>SİYAH</v>
          </cell>
          <cell r="T1143" t="str">
            <v>CAM</v>
          </cell>
          <cell r="U1143" t="str">
            <v>SOFT</v>
          </cell>
          <cell r="AD1143" t="str">
            <v>DİKDÖRTGEN</v>
          </cell>
          <cell r="AE1143" t="str">
            <v>13</v>
          </cell>
          <cell r="AF1143">
            <v>2</v>
          </cell>
          <cell r="AG1143" t="str">
            <v>ADET</v>
          </cell>
          <cell r="AH1143">
            <v>1500</v>
          </cell>
          <cell r="AI1143" t="str">
            <v>TL</v>
          </cell>
          <cell r="AJ1143">
            <v>9750</v>
          </cell>
          <cell r="AK1143" t="str">
            <v>TL</v>
          </cell>
          <cell r="AL1143">
            <v>0</v>
          </cell>
          <cell r="AM1143" t="str">
            <v>8684127511995</v>
          </cell>
          <cell r="AO1143">
            <v>0</v>
          </cell>
          <cell r="AQ1143">
            <v>25</v>
          </cell>
          <cell r="AR1143" t="str">
            <v>CM</v>
          </cell>
          <cell r="AS1143">
            <v>30</v>
          </cell>
          <cell r="AT1143" t="str">
            <v>CM</v>
          </cell>
          <cell r="AU1143">
            <v>0</v>
          </cell>
          <cell r="AW1143">
            <v>0</v>
          </cell>
        </row>
        <row r="1144">
          <cell r="B1144" t="str">
            <v>1FJ4LTMB000-025</v>
          </cell>
          <cell r="C1144" t="str">
            <v>BATUR BAKIR TESİSAT (25 cm CAMLAR İÇİN)</v>
          </cell>
          <cell r="D1144" t="str">
            <v>BATUR COPPER FIXTURE for 25 cm GLASS GLOPE</v>
          </cell>
          <cell r="E1144" t="str">
            <v/>
          </cell>
          <cell r="F1144" t="str">
            <v/>
          </cell>
          <cell r="G1144" t="str">
            <v>ZPARCA</v>
          </cell>
          <cell r="H1144" t="str">
            <v/>
          </cell>
          <cell r="I1144" t="str">
            <v>İÇ</v>
          </cell>
          <cell r="J1144" t="str">
            <v>ZPARCA</v>
          </cell>
          <cell r="K1144" t="str">
            <v>BATUR</v>
          </cell>
          <cell r="L1144" t="str">
            <v/>
          </cell>
          <cell r="M1144" t="str">
            <v>ÜRTM:15GÜN</v>
          </cell>
          <cell r="N1144" t="str">
            <v/>
          </cell>
          <cell r="O1144" t="str">
            <v>HEKA</v>
          </cell>
          <cell r="P1144" t="str">
            <v>ADET</v>
          </cell>
          <cell r="Q1144" t="str">
            <v>G4</v>
          </cell>
          <cell r="R1144" t="str">
            <v>METAL</v>
          </cell>
          <cell r="S1144" t="str">
            <v>BAKIR</v>
          </cell>
          <cell r="AD1144" t="str">
            <v>DÜZ</v>
          </cell>
          <cell r="AF1144">
            <v>0</v>
          </cell>
          <cell r="AG1144" t="str">
            <v>ADET</v>
          </cell>
          <cell r="AJ1144">
            <v>857</v>
          </cell>
          <cell r="AK1144" t="str">
            <v>TL</v>
          </cell>
          <cell r="AL1144">
            <v>0</v>
          </cell>
          <cell r="AO1144">
            <v>0</v>
          </cell>
          <cell r="AQ1144">
            <v>3.5</v>
          </cell>
          <cell r="AR1144" t="str">
            <v>CM</v>
          </cell>
          <cell r="AS1144">
            <v>3.5</v>
          </cell>
          <cell r="AT1144" t="str">
            <v>CM</v>
          </cell>
          <cell r="AU1144">
            <v>0</v>
          </cell>
          <cell r="AW1144">
            <v>0</v>
          </cell>
        </row>
        <row r="1145">
          <cell r="B1145" t="str">
            <v>H1W7JMEERL0-035</v>
          </cell>
          <cell r="C1145" t="str">
            <v>VİYANA BAL DAMLA CAM ESKİTME PERİ LED APLİK</v>
          </cell>
          <cell r="D1145" t="str">
            <v>VIYANA AMBER DROP GLASS BRUSHED BRASS FAIRY LED WALL LAMP</v>
          </cell>
          <cell r="E1145" t="str">
            <v>METAL CAM ESKİTME BAL</v>
          </cell>
          <cell r="F1145" t="str">
            <v>9405.19.90.00.00</v>
          </cell>
          <cell r="G1145" t="str">
            <v>APLİK</v>
          </cell>
          <cell r="H1145" t="str">
            <v>T1W1112300-25</v>
          </cell>
          <cell r="I1145" t="str">
            <v>İÇ</v>
          </cell>
          <cell r="J1145" t="str">
            <v>APLİK</v>
          </cell>
          <cell r="K1145" t="str">
            <v>VİYANA</v>
          </cell>
          <cell r="L1145" t="str">
            <v>ÇY</v>
          </cell>
          <cell r="M1145" t="str">
            <v>ÜRTM:15GÜN</v>
          </cell>
          <cell r="N1145" t="str">
            <v>HK20072-P</v>
          </cell>
          <cell r="O1145" t="str">
            <v>HEKA</v>
          </cell>
          <cell r="P1145" t="str">
            <v>ADET</v>
          </cell>
          <cell r="Q1145" t="str">
            <v>PERİ LED</v>
          </cell>
          <cell r="R1145" t="str">
            <v>METAL</v>
          </cell>
          <cell r="S1145" t="str">
            <v>ESKİTME</v>
          </cell>
          <cell r="T1145" t="str">
            <v>CAM</v>
          </cell>
          <cell r="U1145" t="str">
            <v>BAL</v>
          </cell>
          <cell r="AD1145" t="str">
            <v>N/A</v>
          </cell>
          <cell r="AE1145" t="str">
            <v>02</v>
          </cell>
          <cell r="AF1145">
            <v>0</v>
          </cell>
          <cell r="AG1145" t="str">
            <v>ADET</v>
          </cell>
          <cell r="AJ1145">
            <v>2100</v>
          </cell>
          <cell r="AK1145" t="str">
            <v>TL</v>
          </cell>
          <cell r="AL1145">
            <v>0</v>
          </cell>
          <cell r="AM1145" t="str">
            <v>8684127510820</v>
          </cell>
          <cell r="AO1145">
            <v>0</v>
          </cell>
          <cell r="AQ1145">
            <v>12</v>
          </cell>
          <cell r="AR1145" t="str">
            <v>CM</v>
          </cell>
          <cell r="AS1145">
            <v>23</v>
          </cell>
          <cell r="AT1145" t="str">
            <v>CM</v>
          </cell>
          <cell r="AU1145">
            <v>0</v>
          </cell>
          <cell r="AW1145">
            <v>0</v>
          </cell>
        </row>
        <row r="1146">
          <cell r="B1146" t="str">
            <v>H1C6JMKLCSL-057</v>
          </cell>
          <cell r="C1146" t="str">
            <v>MADRİD MEŞALE TEKLİ KROM SARKIT</v>
          </cell>
          <cell r="D1146" t="str">
            <v>MADRİD TORCH SINGLE CHROME PENDANT LAMP</v>
          </cell>
          <cell r="E1146" t="str">
            <v>METAL PLEKSİ KROM ŞEFFAF</v>
          </cell>
          <cell r="F1146" t="str">
            <v>9405.11.90.00.00</v>
          </cell>
          <cell r="G1146" t="str">
            <v>AVİZE</v>
          </cell>
          <cell r="H1146" t="str">
            <v>T1A6111100-01</v>
          </cell>
          <cell r="I1146" t="str">
            <v>İÇ</v>
          </cell>
          <cell r="J1146" t="str">
            <v>AVİZE.SARK</v>
          </cell>
          <cell r="K1146" t="str">
            <v>MADRİD</v>
          </cell>
          <cell r="L1146" t="str">
            <v/>
          </cell>
          <cell r="M1146" t="str">
            <v>05.05.2026</v>
          </cell>
          <cell r="N1146" t="str">
            <v>HKA-24064</v>
          </cell>
          <cell r="O1146" t="str">
            <v>HEKA</v>
          </cell>
          <cell r="P1146" t="str">
            <v>ADET</v>
          </cell>
          <cell r="Q1146" t="str">
            <v>LED</v>
          </cell>
          <cell r="R1146" t="str">
            <v>METAL</v>
          </cell>
          <cell r="S1146" t="str">
            <v>KROM</v>
          </cell>
          <cell r="T1146" t="str">
            <v>PLEKSİ</v>
          </cell>
          <cell r="U1146" t="str">
            <v>ŞEFFAF</v>
          </cell>
          <cell r="AD1146" t="str">
            <v>DÜZ</v>
          </cell>
          <cell r="AF1146">
            <v>1</v>
          </cell>
          <cell r="AG1146" t="str">
            <v>ADET</v>
          </cell>
          <cell r="AH1146">
            <v>53</v>
          </cell>
          <cell r="AI1146" t="str">
            <v>CNY</v>
          </cell>
          <cell r="AJ1146">
            <v>3975</v>
          </cell>
          <cell r="AK1146" t="str">
            <v>TL</v>
          </cell>
          <cell r="AL1146">
            <v>1</v>
          </cell>
          <cell r="AM1146" t="str">
            <v>8684127510448</v>
          </cell>
          <cell r="AO1146">
            <v>0</v>
          </cell>
          <cell r="AQ1146">
            <v>0</v>
          </cell>
          <cell r="AR1146" t="str">
            <v>CM</v>
          </cell>
          <cell r="AS1146">
            <v>57</v>
          </cell>
          <cell r="AT1146" t="str">
            <v>CM</v>
          </cell>
          <cell r="AU1146">
            <v>0</v>
          </cell>
          <cell r="AW1146">
            <v>0</v>
          </cell>
        </row>
        <row r="1147">
          <cell r="B1147" t="str">
            <v>H1C2ERVJMER-025</v>
          </cell>
          <cell r="C1147" t="str">
            <v>KARATAY KAHVERENGİ CAM SARKIT 25cm</v>
          </cell>
          <cell r="D1147" t="str">
            <v>KARATAY BROWN COLOR GLASS PENDANT 25cm</v>
          </cell>
          <cell r="E1147" t="str">
            <v xml:space="preserve">CAM  METAL KAHVERENGİ ESKİTME   </v>
          </cell>
          <cell r="F1147" t="str">
            <v>9405.19.50.00.19</v>
          </cell>
          <cell r="G1147" t="str">
            <v>AVİZE</v>
          </cell>
          <cell r="H1147" t="str">
            <v>T1A2231100-25</v>
          </cell>
          <cell r="I1147" t="str">
            <v>İÇ</v>
          </cell>
          <cell r="J1147" t="str">
            <v>AVİZE.SARK</v>
          </cell>
          <cell r="K1147" t="str">
            <v>KARATAY</v>
          </cell>
          <cell r="L1147" t="str">
            <v/>
          </cell>
          <cell r="M1147" t="str">
            <v/>
          </cell>
          <cell r="N1147" t="str">
            <v>HB-3</v>
          </cell>
          <cell r="O1147" t="str">
            <v>HEKA</v>
          </cell>
          <cell r="P1147" t="str">
            <v>ADET</v>
          </cell>
          <cell r="Q1147" t="str">
            <v>E27</v>
          </cell>
          <cell r="R1147" t="str">
            <v>CAM</v>
          </cell>
          <cell r="S1147" t="str">
            <v>KAHVERENGİ</v>
          </cell>
          <cell r="T1147" t="str">
            <v>METAL</v>
          </cell>
          <cell r="U1147" t="str">
            <v>ESKİTME</v>
          </cell>
          <cell r="AD1147" t="str">
            <v>DAİRE</v>
          </cell>
          <cell r="AE1147" t="str">
            <v>01</v>
          </cell>
          <cell r="AF1147">
            <v>3</v>
          </cell>
          <cell r="AG1147" t="str">
            <v>ADET</v>
          </cell>
          <cell r="AH1147">
            <v>29</v>
          </cell>
          <cell r="AI1147" t="str">
            <v>CNY</v>
          </cell>
          <cell r="AJ1147">
            <v>4450</v>
          </cell>
          <cell r="AK1147" t="str">
            <v>TL</v>
          </cell>
          <cell r="AL1147">
            <v>1</v>
          </cell>
          <cell r="AM1147" t="str">
            <v>8684127510271</v>
          </cell>
          <cell r="AO1147">
            <v>0</v>
          </cell>
          <cell r="AQ1147">
            <v>45</v>
          </cell>
          <cell r="AR1147" t="str">
            <v>CM</v>
          </cell>
          <cell r="AS1147">
            <v>25</v>
          </cell>
          <cell r="AT1147" t="str">
            <v>CM</v>
          </cell>
          <cell r="AU1147">
            <v>0</v>
          </cell>
          <cell r="AW1147">
            <v>0</v>
          </cell>
        </row>
        <row r="1148">
          <cell r="B1148" t="str">
            <v>H1C2ERVJMER-035</v>
          </cell>
          <cell r="C1148" t="str">
            <v>KARATAY KAHVERENGİ CAM SARKIT 35cm</v>
          </cell>
          <cell r="D1148" t="str">
            <v>KARATAY BROWN COLOR GLASS PENDANT 35cm</v>
          </cell>
          <cell r="E1148" t="str">
            <v xml:space="preserve">CAM  METAL KAHVERENGİ ESKİTME   </v>
          </cell>
          <cell r="F1148" t="str">
            <v>9405.19.50.00.19</v>
          </cell>
          <cell r="G1148" t="str">
            <v>AVİZE</v>
          </cell>
          <cell r="H1148" t="str">
            <v>T1A2231100-25</v>
          </cell>
          <cell r="I1148" t="str">
            <v>İÇ</v>
          </cell>
          <cell r="J1148" t="str">
            <v>AVİZE.SARK</v>
          </cell>
          <cell r="K1148" t="str">
            <v>KARATAY</v>
          </cell>
          <cell r="L1148" t="str">
            <v/>
          </cell>
          <cell r="M1148" t="str">
            <v/>
          </cell>
          <cell r="N1148" t="str">
            <v>HB-4</v>
          </cell>
          <cell r="O1148" t="str">
            <v>HEKA</v>
          </cell>
          <cell r="P1148" t="str">
            <v>ADET</v>
          </cell>
          <cell r="Q1148" t="str">
            <v>E27</v>
          </cell>
          <cell r="R1148" t="str">
            <v>CAM</v>
          </cell>
          <cell r="S1148" t="str">
            <v>KAHVERENGİ</v>
          </cell>
          <cell r="T1148" t="str">
            <v>METAL</v>
          </cell>
          <cell r="U1148" t="str">
            <v>ESKİTME</v>
          </cell>
          <cell r="AD1148" t="str">
            <v>DAİRE</v>
          </cell>
          <cell r="AE1148" t="str">
            <v>01</v>
          </cell>
          <cell r="AF1148">
            <v>37</v>
          </cell>
          <cell r="AG1148" t="str">
            <v>ADET</v>
          </cell>
          <cell r="AH1148">
            <v>50</v>
          </cell>
          <cell r="AI1148" t="str">
            <v>CNY</v>
          </cell>
          <cell r="AJ1148">
            <v>6650</v>
          </cell>
          <cell r="AK1148" t="str">
            <v>TL</v>
          </cell>
          <cell r="AL1148">
            <v>1</v>
          </cell>
          <cell r="AM1148" t="str">
            <v>8684127510288</v>
          </cell>
          <cell r="AO1148">
            <v>0</v>
          </cell>
          <cell r="AQ1148">
            <v>45</v>
          </cell>
          <cell r="AR1148" t="str">
            <v>CM</v>
          </cell>
          <cell r="AS1148">
            <v>25</v>
          </cell>
          <cell r="AT1148" t="str">
            <v>CM</v>
          </cell>
          <cell r="AU1148">
            <v>0</v>
          </cell>
          <cell r="AW1148">
            <v>0</v>
          </cell>
        </row>
        <row r="1149">
          <cell r="B1149" t="str">
            <v>F1W6JMB000R-040</v>
          </cell>
          <cell r="C1149" t="str">
            <v>RİO BAKIR RENK APLİK 40 cm</v>
          </cell>
          <cell r="D1149" t="str">
            <v>RIO COPPER  WALL LAMP 40 cm</v>
          </cell>
          <cell r="E1149" t="str">
            <v xml:space="preserve">METAL YOK BAKIR YOK   </v>
          </cell>
          <cell r="F1149" t="str">
            <v/>
          </cell>
          <cell r="G1149" t="str">
            <v>APLİK</v>
          </cell>
          <cell r="H1149" t="str">
            <v/>
          </cell>
          <cell r="I1149" t="str">
            <v>İÇ</v>
          </cell>
          <cell r="J1149" t="str">
            <v>APLİK</v>
          </cell>
          <cell r="K1149" t="str">
            <v>RIO</v>
          </cell>
          <cell r="L1149" t="str">
            <v/>
          </cell>
          <cell r="M1149" t="str">
            <v/>
          </cell>
          <cell r="N1149" t="str">
            <v/>
          </cell>
          <cell r="P1149" t="str">
            <v>ADET</v>
          </cell>
          <cell r="Q1149" t="str">
            <v>LED</v>
          </cell>
          <cell r="R1149" t="str">
            <v>METAL</v>
          </cell>
          <cell r="S1149" t="str">
            <v>BAKIR</v>
          </cell>
          <cell r="T1149" t="str">
            <v>YOK</v>
          </cell>
          <cell r="U1149" t="str">
            <v>YOK</v>
          </cell>
          <cell r="AD1149" t="str">
            <v>DAİRE</v>
          </cell>
          <cell r="AE1149" t="str">
            <v>02</v>
          </cell>
          <cell r="AF1149">
            <v>0</v>
          </cell>
          <cell r="AG1149" t="str">
            <v>ADET</v>
          </cell>
          <cell r="AH1149">
            <v>2000</v>
          </cell>
          <cell r="AI1149" t="str">
            <v>TL</v>
          </cell>
          <cell r="AJ1149">
            <v>4500</v>
          </cell>
          <cell r="AK1149" t="str">
            <v>TL</v>
          </cell>
          <cell r="AL1149">
            <v>0</v>
          </cell>
          <cell r="AM1149" t="str">
            <v>8684127510516</v>
          </cell>
          <cell r="AO1149">
            <v>0</v>
          </cell>
          <cell r="AQ1149">
            <v>0</v>
          </cell>
          <cell r="AS1149">
            <v>0</v>
          </cell>
          <cell r="AU1149">
            <v>0</v>
          </cell>
          <cell r="AW1149">
            <v>0</v>
          </cell>
        </row>
        <row r="1150">
          <cell r="B1150" t="str">
            <v>1FJ4LTME000-025</v>
          </cell>
          <cell r="C1150" t="str">
            <v>BATUR ESKİTME TESİSAT  (25 cm CAMLAR İÇİN)</v>
          </cell>
          <cell r="D1150" t="str">
            <v>BATUR BRUSHED BRASS 25-30 cm FIXTURE</v>
          </cell>
          <cell r="E1150" t="str">
            <v/>
          </cell>
          <cell r="F1150" t="str">
            <v/>
          </cell>
          <cell r="G1150" t="str">
            <v>ZPARCA</v>
          </cell>
          <cell r="H1150" t="str">
            <v/>
          </cell>
          <cell r="I1150" t="str">
            <v>İÇ</v>
          </cell>
          <cell r="J1150" t="str">
            <v>ZPARCA</v>
          </cell>
          <cell r="K1150" t="str">
            <v>BATUR</v>
          </cell>
          <cell r="L1150" t="str">
            <v/>
          </cell>
          <cell r="M1150" t="str">
            <v>ÜRTM:15GÜN</v>
          </cell>
          <cell r="N1150" t="str">
            <v/>
          </cell>
          <cell r="O1150" t="str">
            <v>HEKA</v>
          </cell>
          <cell r="P1150" t="str">
            <v>ADET</v>
          </cell>
          <cell r="Q1150" t="str">
            <v>G4</v>
          </cell>
          <cell r="R1150" t="str">
            <v>METAL</v>
          </cell>
          <cell r="S1150" t="str">
            <v>ESKİTME</v>
          </cell>
          <cell r="AD1150" t="str">
            <v>DÜZ</v>
          </cell>
          <cell r="AF1150">
            <v>14</v>
          </cell>
          <cell r="AG1150" t="str">
            <v>ADET</v>
          </cell>
          <cell r="AH1150">
            <v>150</v>
          </cell>
          <cell r="AI1150" t="str">
            <v>TL</v>
          </cell>
          <cell r="AJ1150">
            <v>1150</v>
          </cell>
          <cell r="AK1150" t="str">
            <v>TL</v>
          </cell>
          <cell r="AL1150">
            <v>1</v>
          </cell>
          <cell r="AM1150" t="str">
            <v>1FJ4LTME000-025</v>
          </cell>
          <cell r="AO1150">
            <v>0</v>
          </cell>
          <cell r="AQ1150">
            <v>3.5</v>
          </cell>
          <cell r="AR1150" t="str">
            <v>CM</v>
          </cell>
          <cell r="AS1150">
            <v>3.5</v>
          </cell>
          <cell r="AT1150" t="str">
            <v>CM</v>
          </cell>
          <cell r="AU1150">
            <v>0</v>
          </cell>
          <cell r="AW1150">
            <v>0</v>
          </cell>
        </row>
        <row r="1151">
          <cell r="B1151" t="str">
            <v>1FJ4LTMK000-020</v>
          </cell>
          <cell r="C1151" t="str">
            <v>BATUR KROM TESİSAT (15-20 cm CAMLAR İÇİN)</v>
          </cell>
          <cell r="D1151" t="str">
            <v>BATUR CHROME 15-20 cm FIXTURE</v>
          </cell>
          <cell r="E1151" t="str">
            <v/>
          </cell>
          <cell r="F1151" t="str">
            <v/>
          </cell>
          <cell r="G1151" t="str">
            <v>ZPARCA</v>
          </cell>
          <cell r="H1151" t="str">
            <v/>
          </cell>
          <cell r="I1151" t="str">
            <v>İÇ</v>
          </cell>
          <cell r="J1151" t="str">
            <v>ZPARCA</v>
          </cell>
          <cell r="K1151" t="str">
            <v>BATUR</v>
          </cell>
          <cell r="L1151" t="str">
            <v/>
          </cell>
          <cell r="M1151" t="str">
            <v>ÜRTM:15GÜN</v>
          </cell>
          <cell r="N1151" t="str">
            <v/>
          </cell>
          <cell r="O1151" t="str">
            <v>HEKA</v>
          </cell>
          <cell r="P1151" t="str">
            <v>ADET</v>
          </cell>
          <cell r="Q1151" t="str">
            <v>G4</v>
          </cell>
          <cell r="R1151" t="str">
            <v>METAL</v>
          </cell>
          <cell r="S1151" t="str">
            <v>ESKİTME</v>
          </cell>
          <cell r="AD1151" t="str">
            <v>DÜZ</v>
          </cell>
          <cell r="AF1151">
            <v>0</v>
          </cell>
          <cell r="AG1151" t="str">
            <v>ADET</v>
          </cell>
          <cell r="AH1151">
            <v>100</v>
          </cell>
          <cell r="AI1151" t="str">
            <v>TL</v>
          </cell>
          <cell r="AJ1151">
            <v>1050</v>
          </cell>
          <cell r="AK1151" t="str">
            <v>TL</v>
          </cell>
          <cell r="AL1151">
            <v>1</v>
          </cell>
          <cell r="AM1151" t="str">
            <v>8684127512008</v>
          </cell>
          <cell r="AO1151">
            <v>0</v>
          </cell>
          <cell r="AQ1151">
            <v>3.5</v>
          </cell>
          <cell r="AR1151" t="str">
            <v>CM</v>
          </cell>
          <cell r="AS1151">
            <v>3.5</v>
          </cell>
          <cell r="AT1151" t="str">
            <v>CM</v>
          </cell>
          <cell r="AU1151">
            <v>0</v>
          </cell>
          <cell r="AW1151">
            <v>0</v>
          </cell>
        </row>
        <row r="1152">
          <cell r="B1152" t="str">
            <v>1HT4DTME000-081</v>
          </cell>
          <cell r="C1152" t="str">
            <v>DİKDÖRTGENTEPSİ ESKİTME 80x20cm -10 DELİKLİ MADRİD</v>
          </cell>
          <cell r="D1152" t="str">
            <v>BRUSHED BRASS RECTANGLE TRAY 100x20cm (10 HOLE FOR MADRID MODEL)</v>
          </cell>
          <cell r="E1152" t="str">
            <v>METAL ESKİTME YOK YOK</v>
          </cell>
          <cell r="F1152" t="str">
            <v/>
          </cell>
          <cell r="G1152" t="str">
            <v>TEPSİ</v>
          </cell>
          <cell r="H1152" t="str">
            <v/>
          </cell>
          <cell r="I1152" t="str">
            <v>İÇ</v>
          </cell>
          <cell r="J1152" t="str">
            <v>ZPARCA</v>
          </cell>
          <cell r="K1152" t="str">
            <v>HEKA</v>
          </cell>
          <cell r="L1152" t="str">
            <v/>
          </cell>
          <cell r="M1152" t="str">
            <v>ÜRTM:7GÜN</v>
          </cell>
          <cell r="N1152" t="str">
            <v/>
          </cell>
          <cell r="O1152" t="str">
            <v>HEKA</v>
          </cell>
          <cell r="P1152" t="str">
            <v>ADET</v>
          </cell>
          <cell r="R1152" t="str">
            <v>METAL</v>
          </cell>
          <cell r="S1152" t="str">
            <v>ESKİTME</v>
          </cell>
          <cell r="AF1152">
            <v>1</v>
          </cell>
          <cell r="AG1152" t="str">
            <v>ADET</v>
          </cell>
          <cell r="AJ1152">
            <v>3950</v>
          </cell>
          <cell r="AK1152" t="str">
            <v>TL</v>
          </cell>
          <cell r="AL1152">
            <v>1</v>
          </cell>
          <cell r="AM1152" t="str">
            <v>1HT4DTME000-081</v>
          </cell>
          <cell r="AO1152">
            <v>0</v>
          </cell>
          <cell r="AQ1152">
            <v>0</v>
          </cell>
          <cell r="AS1152">
            <v>0</v>
          </cell>
          <cell r="AU1152">
            <v>0</v>
          </cell>
          <cell r="AW1152">
            <v>0</v>
          </cell>
        </row>
        <row r="1153">
          <cell r="B1153" t="str">
            <v>1YC4YGCT000-013</v>
          </cell>
          <cell r="C1153" t="str">
            <v>DİŞLİ SOFT AVİZE CAMI 13 cm</v>
          </cell>
          <cell r="D1153" t="str">
            <v>THREADED OPAL CHANDELIER GLASS 13 cm</v>
          </cell>
          <cell r="E1153" t="str">
            <v/>
          </cell>
          <cell r="F1153" t="str">
            <v/>
          </cell>
          <cell r="G1153" t="str">
            <v>ZPARCA</v>
          </cell>
          <cell r="H1153" t="str">
            <v>200A-BAL</v>
          </cell>
          <cell r="I1153" t="str">
            <v>İÇ</v>
          </cell>
          <cell r="J1153" t="str">
            <v>ZPARCA</v>
          </cell>
          <cell r="K1153" t="str">
            <v/>
          </cell>
          <cell r="L1153" t="str">
            <v/>
          </cell>
          <cell r="M1153" t="str">
            <v/>
          </cell>
          <cell r="N1153" t="str">
            <v/>
          </cell>
          <cell r="O1153" t="str">
            <v>HEKA</v>
          </cell>
          <cell r="P1153" t="str">
            <v>ADET</v>
          </cell>
          <cell r="R1153" t="str">
            <v>CAM</v>
          </cell>
          <cell r="S1153" t="str">
            <v>OPAL</v>
          </cell>
          <cell r="AD1153" t="str">
            <v>KÜRE</v>
          </cell>
          <cell r="AF1153">
            <v>0</v>
          </cell>
          <cell r="AG1153" t="str">
            <v>ADET</v>
          </cell>
          <cell r="AH1153">
            <v>6.3</v>
          </cell>
          <cell r="AI1153" t="str">
            <v>CNY</v>
          </cell>
          <cell r="AJ1153">
            <v>286</v>
          </cell>
          <cell r="AK1153" t="str">
            <v>TL</v>
          </cell>
          <cell r="AL1153">
            <v>1</v>
          </cell>
          <cell r="AO1153">
            <v>0</v>
          </cell>
          <cell r="AQ1153">
            <v>10</v>
          </cell>
          <cell r="AR1153" t="str">
            <v>CM</v>
          </cell>
          <cell r="AS1153">
            <v>10</v>
          </cell>
          <cell r="AT1153" t="str">
            <v>CM</v>
          </cell>
          <cell r="AU1153">
            <v>0</v>
          </cell>
          <cell r="AW1153">
            <v>0</v>
          </cell>
        </row>
        <row r="1154">
          <cell r="B1154" t="str">
            <v>T1W6JMELRBR-055</v>
          </cell>
          <cell r="C1154" t="str">
            <v>CULFA ESKİTME LED APLİK 55cm</v>
          </cell>
          <cell r="D1154" t="str">
            <v>CULFA BRUSHED BRASS  LED WALL LAMP 55cm</v>
          </cell>
          <cell r="E1154" t="str">
            <v>METAL PLEKSİ ESKİTME BEYAZ</v>
          </cell>
          <cell r="F1154" t="str">
            <v/>
          </cell>
          <cell r="G1154" t="str">
            <v>APLİK</v>
          </cell>
          <cell r="H1154" t="str">
            <v>T1A6118100-55</v>
          </cell>
          <cell r="I1154" t="str">
            <v>İÇ</v>
          </cell>
          <cell r="J1154" t="str">
            <v>APLİK</v>
          </cell>
          <cell r="K1154" t="str">
            <v>CULFA</v>
          </cell>
          <cell r="L1154" t="str">
            <v/>
          </cell>
          <cell r="M1154" t="str">
            <v/>
          </cell>
          <cell r="N1154" t="str">
            <v>18001/D550A-W</v>
          </cell>
          <cell r="O1154" t="str">
            <v>HEKA</v>
          </cell>
          <cell r="P1154" t="str">
            <v>ADET</v>
          </cell>
          <cell r="Q1154" t="str">
            <v>LED</v>
          </cell>
          <cell r="R1154" t="str">
            <v>METAL</v>
          </cell>
          <cell r="S1154" t="str">
            <v>ESKİTME</v>
          </cell>
          <cell r="T1154" t="str">
            <v>PLEKSİ</v>
          </cell>
          <cell r="U1154" t="str">
            <v>BEYAZ</v>
          </cell>
          <cell r="AD1154" t="str">
            <v>DAİRE</v>
          </cell>
          <cell r="AE1154" t="str">
            <v>01</v>
          </cell>
          <cell r="AF1154">
            <v>1</v>
          </cell>
          <cell r="AG1154" t="str">
            <v>ADET</v>
          </cell>
          <cell r="AH1154">
            <v>335</v>
          </cell>
          <cell r="AI1154" t="str">
            <v>CNY</v>
          </cell>
          <cell r="AJ1154">
            <v>2550</v>
          </cell>
          <cell r="AK1154" t="str">
            <v>TL</v>
          </cell>
          <cell r="AL1154">
            <v>1</v>
          </cell>
          <cell r="AO1154">
            <v>0</v>
          </cell>
          <cell r="AQ1154">
            <v>0</v>
          </cell>
          <cell r="AR1154" t="str">
            <v>CM</v>
          </cell>
          <cell r="AS1154">
            <v>0</v>
          </cell>
          <cell r="AT1154" t="str">
            <v>CM</v>
          </cell>
          <cell r="AU1154">
            <v>0</v>
          </cell>
          <cell r="AW1154">
            <v>0</v>
          </cell>
        </row>
        <row r="1155">
          <cell r="B1155" t="str">
            <v>T1T6JMELRBR-055</v>
          </cell>
          <cell r="C1155" t="str">
            <v>CULFA ESKİTME LED MASA LAMBASI 55cm</v>
          </cell>
          <cell r="D1155" t="str">
            <v>CULFA BRUSHED BRASS  LED TABLE LAMP 55cm</v>
          </cell>
          <cell r="E1155" t="str">
            <v>METAL PLEKSİ ESKİTME BEYAZ</v>
          </cell>
          <cell r="F1155" t="str">
            <v/>
          </cell>
          <cell r="G1155" t="str">
            <v>MASAABAJ</v>
          </cell>
          <cell r="H1155" t="str">
            <v>T1A6118100-55</v>
          </cell>
          <cell r="I1155" t="str">
            <v>İÇ</v>
          </cell>
          <cell r="J1155" t="str">
            <v>MASAABAJ</v>
          </cell>
          <cell r="K1155" t="str">
            <v>CULFA</v>
          </cell>
          <cell r="L1155" t="str">
            <v/>
          </cell>
          <cell r="M1155" t="str">
            <v/>
          </cell>
          <cell r="N1155" t="str">
            <v>18001/D550A-T</v>
          </cell>
          <cell r="O1155" t="str">
            <v>HEKA</v>
          </cell>
          <cell r="P1155" t="str">
            <v>ADET</v>
          </cell>
          <cell r="Q1155" t="str">
            <v>LED</v>
          </cell>
          <cell r="R1155" t="str">
            <v>METAL</v>
          </cell>
          <cell r="S1155" t="str">
            <v>ESKİTME</v>
          </cell>
          <cell r="T1155" t="str">
            <v>PLEKSİ</v>
          </cell>
          <cell r="U1155" t="str">
            <v>BEYAZ</v>
          </cell>
          <cell r="AD1155" t="str">
            <v>DAİRE</v>
          </cell>
          <cell r="AE1155" t="str">
            <v>01</v>
          </cell>
          <cell r="AF1155">
            <v>1</v>
          </cell>
          <cell r="AG1155" t="str">
            <v>ADET</v>
          </cell>
          <cell r="AH1155">
            <v>335</v>
          </cell>
          <cell r="AI1155" t="str">
            <v>CNY</v>
          </cell>
          <cell r="AJ1155">
            <v>2550</v>
          </cell>
          <cell r="AK1155" t="str">
            <v>TL</v>
          </cell>
          <cell r="AL1155">
            <v>1</v>
          </cell>
          <cell r="AO1155">
            <v>0</v>
          </cell>
          <cell r="AQ1155">
            <v>0</v>
          </cell>
          <cell r="AR1155" t="str">
            <v>CM</v>
          </cell>
          <cell r="AS1155">
            <v>0</v>
          </cell>
          <cell r="AT1155" t="str">
            <v>CM</v>
          </cell>
          <cell r="AU1155">
            <v>0</v>
          </cell>
          <cell r="AW1155">
            <v>0</v>
          </cell>
        </row>
        <row r="1156">
          <cell r="B1156" t="str">
            <v>H1W6ARSJMER-018</v>
          </cell>
          <cell r="C1156" t="str">
            <v>ÇARK DİŞLİ LED SİYAH APLİK 18cm</v>
          </cell>
          <cell r="D1156" t="str">
            <v>ÇARK GEAR LED BLACK WALL LAMP 18cm</v>
          </cell>
          <cell r="E1156" t="str">
            <v xml:space="preserve">AHŞAP METAL SİYAH ESKİTME   </v>
          </cell>
          <cell r="F1156" t="str">
            <v/>
          </cell>
          <cell r="G1156" t="str">
            <v>APLİK</v>
          </cell>
          <cell r="H1156" t="str">
            <v/>
          </cell>
          <cell r="I1156" t="str">
            <v>İÇ</v>
          </cell>
          <cell r="J1156" t="str">
            <v>APLİK</v>
          </cell>
          <cell r="K1156" t="str">
            <v>ÇARK</v>
          </cell>
          <cell r="L1156" t="str">
            <v/>
          </cell>
          <cell r="M1156" t="str">
            <v/>
          </cell>
          <cell r="N1156" t="str">
            <v/>
          </cell>
          <cell r="O1156" t="str">
            <v>HEKA</v>
          </cell>
          <cell r="P1156" t="str">
            <v>ADET</v>
          </cell>
          <cell r="Q1156" t="str">
            <v>LED</v>
          </cell>
          <cell r="R1156" t="str">
            <v>AHŞAP</v>
          </cell>
          <cell r="S1156" t="str">
            <v>SİYAH</v>
          </cell>
          <cell r="T1156" t="str">
            <v>METAL</v>
          </cell>
          <cell r="U1156" t="str">
            <v>ESKİTME</v>
          </cell>
          <cell r="AD1156" t="str">
            <v>DAİRE</v>
          </cell>
          <cell r="AF1156">
            <v>30</v>
          </cell>
          <cell r="AG1156" t="str">
            <v>ADET</v>
          </cell>
          <cell r="AJ1156">
            <v>1614</v>
          </cell>
          <cell r="AK1156" t="str">
            <v>TL</v>
          </cell>
          <cell r="AL1156">
            <v>0</v>
          </cell>
          <cell r="AM1156" t="str">
            <v>8123456789014</v>
          </cell>
          <cell r="AO1156">
            <v>0</v>
          </cell>
          <cell r="AQ1156">
            <v>0</v>
          </cell>
          <cell r="AS1156">
            <v>0</v>
          </cell>
          <cell r="AU1156">
            <v>0</v>
          </cell>
          <cell r="AW1156">
            <v>0</v>
          </cell>
        </row>
        <row r="1157">
          <cell r="B1157" t="str">
            <v>H1C6JMKERF0-028</v>
          </cell>
          <cell r="C1157" t="str">
            <v>VİYANA FÜME DAMLA CAM KROM SARKIT 28cm</v>
          </cell>
          <cell r="D1157" t="str">
            <v>VIYANA SMOKY DROP GLASS CHROME PENDANT 28cm</v>
          </cell>
          <cell r="E1157" t="str">
            <v xml:space="preserve">METAL CAM  KROM FÜME   </v>
          </cell>
          <cell r="F1157" t="str">
            <v>9405.11.90.00.00</v>
          </cell>
          <cell r="G1157" t="str">
            <v>AVİZE</v>
          </cell>
          <cell r="H1157" t="str">
            <v>T1A6231100-20</v>
          </cell>
          <cell r="I1157" t="str">
            <v>İÇ</v>
          </cell>
          <cell r="J1157" t="str">
            <v>AVİZE.SARK</v>
          </cell>
          <cell r="K1157" t="str">
            <v>VİYANA</v>
          </cell>
          <cell r="L1157" t="str">
            <v/>
          </cell>
          <cell r="M1157" t="str">
            <v/>
          </cell>
          <cell r="N1157" t="str">
            <v/>
          </cell>
          <cell r="O1157" t="str">
            <v>HEKA</v>
          </cell>
          <cell r="P1157" t="str">
            <v>ADET</v>
          </cell>
          <cell r="Q1157" t="str">
            <v>LED</v>
          </cell>
          <cell r="R1157" t="str">
            <v>METAL</v>
          </cell>
          <cell r="S1157" t="str">
            <v>KROM</v>
          </cell>
          <cell r="T1157" t="str">
            <v>CAM</v>
          </cell>
          <cell r="U1157" t="str">
            <v>FÜME</v>
          </cell>
          <cell r="AE1157" t="str">
            <v>01</v>
          </cell>
          <cell r="AF1157">
            <v>0</v>
          </cell>
          <cell r="AG1157" t="str">
            <v>ADET</v>
          </cell>
          <cell r="AJ1157">
            <v>3927</v>
          </cell>
          <cell r="AK1157" t="str">
            <v>TL</v>
          </cell>
          <cell r="AL1157">
            <v>0</v>
          </cell>
          <cell r="AM1157" t="str">
            <v>8684127510745</v>
          </cell>
          <cell r="AO1157">
            <v>0</v>
          </cell>
          <cell r="AQ1157">
            <v>0</v>
          </cell>
          <cell r="AR1157" t="str">
            <v>CM</v>
          </cell>
          <cell r="AS1157">
            <v>0</v>
          </cell>
          <cell r="AT1157" t="str">
            <v>CM</v>
          </cell>
          <cell r="AU1157">
            <v>0</v>
          </cell>
          <cell r="AW1157">
            <v>0</v>
          </cell>
        </row>
        <row r="1158">
          <cell r="B1158" t="str">
            <v>200-SEF-BALON-S-CAM</v>
          </cell>
          <cell r="C1158" t="str">
            <v>BALON  ŞEFFAF DİŞLİ SARKIT CAM 20 cm</v>
          </cell>
          <cell r="D1158" t="str">
            <v>BALLOON TRANSPARENT TOOTHED PENDANT LAMP GLASS 20 cm</v>
          </cell>
          <cell r="E1158" t="str">
            <v/>
          </cell>
          <cell r="F1158" t="str">
            <v/>
          </cell>
          <cell r="G1158" t="str">
            <v>ZPARCA</v>
          </cell>
          <cell r="H1158" t="str">
            <v>150A-BAL</v>
          </cell>
          <cell r="I1158" t="str">
            <v>İÇ</v>
          </cell>
          <cell r="J1158" t="str">
            <v>ZPARCA</v>
          </cell>
          <cell r="K1158" t="str">
            <v/>
          </cell>
          <cell r="L1158" t="str">
            <v/>
          </cell>
          <cell r="M1158" t="str">
            <v/>
          </cell>
          <cell r="N1158" t="str">
            <v/>
          </cell>
          <cell r="O1158" t="str">
            <v>HEKA</v>
          </cell>
          <cell r="P1158" t="str">
            <v>ADET</v>
          </cell>
          <cell r="R1158" t="str">
            <v>CAM</v>
          </cell>
          <cell r="S1158" t="str">
            <v>ŞEFFAF</v>
          </cell>
          <cell r="AF1158">
            <v>0</v>
          </cell>
          <cell r="AG1158" t="str">
            <v>ADET</v>
          </cell>
          <cell r="AJ1158">
            <v>1666</v>
          </cell>
          <cell r="AK1158" t="str">
            <v>TL</v>
          </cell>
          <cell r="AL1158">
            <v>0</v>
          </cell>
          <cell r="AM1158" t="str">
            <v>200-SEF-S-CAM</v>
          </cell>
          <cell r="AO1158">
            <v>0</v>
          </cell>
          <cell r="AQ1158">
            <v>0</v>
          </cell>
          <cell r="AS1158">
            <v>0</v>
          </cell>
          <cell r="AU1158">
            <v>0</v>
          </cell>
          <cell r="AW1158">
            <v>0</v>
          </cell>
        </row>
        <row r="1159">
          <cell r="B1159" t="str">
            <v>H1W6JMEWRBP-093</v>
          </cell>
          <cell r="C1159" t="str">
            <v xml:space="preserve">ANVERS DOKUZ BEYAZ MERMERLİ ESKİTME APLİK </v>
          </cell>
          <cell r="D1159" t="str">
            <v xml:space="preserve">ANVERS NİNE MARBLE BRUSHED BRASS WALL LAMP </v>
          </cell>
          <cell r="E1159" t="str">
            <v xml:space="preserve">METAL MERMER ESKİTME BEYAZ   </v>
          </cell>
          <cell r="F1159" t="str">
            <v>9405.11.90.00.00</v>
          </cell>
          <cell r="G1159" t="str">
            <v>APLİK</v>
          </cell>
          <cell r="H1159" t="str">
            <v/>
          </cell>
          <cell r="I1159" t="str">
            <v>İÇ</v>
          </cell>
          <cell r="J1159" t="str">
            <v>APLİK</v>
          </cell>
          <cell r="K1159" t="str">
            <v>ANVERS</v>
          </cell>
          <cell r="L1159" t="str">
            <v/>
          </cell>
          <cell r="M1159" t="str">
            <v/>
          </cell>
          <cell r="N1159" t="str">
            <v>HKA-23026</v>
          </cell>
          <cell r="O1159" t="str">
            <v>HEKA</v>
          </cell>
          <cell r="P1159" t="str">
            <v>ADET</v>
          </cell>
          <cell r="Q1159" t="str">
            <v>LED</v>
          </cell>
          <cell r="R1159" t="str">
            <v>METAL</v>
          </cell>
          <cell r="S1159" t="str">
            <v>ESKİTME</v>
          </cell>
          <cell r="T1159" t="str">
            <v>MERMER</v>
          </cell>
          <cell r="U1159" t="str">
            <v>BEYAZ</v>
          </cell>
          <cell r="AD1159" t="str">
            <v>POLİGONAL</v>
          </cell>
          <cell r="AF1159">
            <v>18</v>
          </cell>
          <cell r="AG1159" t="str">
            <v>ADET</v>
          </cell>
          <cell r="AH1159">
            <v>290</v>
          </cell>
          <cell r="AI1159" t="str">
            <v>CNY</v>
          </cell>
          <cell r="AJ1159">
            <v>20500</v>
          </cell>
          <cell r="AK1159" t="str">
            <v>TL</v>
          </cell>
          <cell r="AL1159">
            <v>0</v>
          </cell>
          <cell r="AM1159" t="str">
            <v>8684127511520</v>
          </cell>
          <cell r="AO1159">
            <v>5.0999999999999996</v>
          </cell>
          <cell r="AP1159" t="str">
            <v>KG</v>
          </cell>
          <cell r="AQ1159">
            <v>9</v>
          </cell>
          <cell r="AR1159" t="str">
            <v>CM</v>
          </cell>
          <cell r="AS1159">
            <v>13</v>
          </cell>
          <cell r="AT1159" t="str">
            <v>CM</v>
          </cell>
          <cell r="AU1159">
            <v>0</v>
          </cell>
          <cell r="AW1159">
            <v>0</v>
          </cell>
        </row>
        <row r="1160">
          <cell r="B1160" t="str">
            <v>H1C3JMEWRBY-015</v>
          </cell>
          <cell r="C1160" t="str">
            <v>DELTA BEYAZ MERMERLİ ESKİTME SARKIT  15cm</v>
          </cell>
          <cell r="D1160" t="str">
            <v>DELTA WHITE MARBLE BRUSHED BRASS PENDANT LAMP 15cm</v>
          </cell>
          <cell r="E1160" t="str">
            <v xml:space="preserve">METAL MERMER ESKİTME BEYAZ   </v>
          </cell>
          <cell r="F1160" t="str">
            <v/>
          </cell>
          <cell r="G1160" t="str">
            <v>AVİZE</v>
          </cell>
          <cell r="H1160" t="str">
            <v/>
          </cell>
          <cell r="I1160" t="str">
            <v>İÇ</v>
          </cell>
          <cell r="J1160" t="str">
            <v>AVİZE.SARK</v>
          </cell>
          <cell r="K1160" t="str">
            <v>DELTA</v>
          </cell>
          <cell r="L1160" t="str">
            <v/>
          </cell>
          <cell r="M1160" t="str">
            <v/>
          </cell>
          <cell r="N1160" t="str">
            <v>HKA-23031</v>
          </cell>
          <cell r="O1160" t="str">
            <v>HEKA</v>
          </cell>
          <cell r="P1160" t="str">
            <v>ADET</v>
          </cell>
          <cell r="Q1160" t="str">
            <v>LED</v>
          </cell>
          <cell r="R1160" t="str">
            <v>METAL</v>
          </cell>
          <cell r="S1160" t="str">
            <v>ESKİTME</v>
          </cell>
          <cell r="T1160" t="str">
            <v>MERMER</v>
          </cell>
          <cell r="U1160" t="str">
            <v>BEYAZ</v>
          </cell>
          <cell r="AD1160" t="str">
            <v>KÜRE</v>
          </cell>
          <cell r="AE1160" t="str">
            <v>02</v>
          </cell>
          <cell r="AF1160">
            <v>0</v>
          </cell>
          <cell r="AG1160" t="str">
            <v>ADET</v>
          </cell>
          <cell r="AH1160">
            <v>320</v>
          </cell>
          <cell r="AI1160" t="str">
            <v>CNY</v>
          </cell>
          <cell r="AJ1160">
            <v>16320</v>
          </cell>
          <cell r="AK1160" t="str">
            <v>TL</v>
          </cell>
          <cell r="AL1160">
            <v>0</v>
          </cell>
          <cell r="AM1160" t="str">
            <v>8684127511575</v>
          </cell>
          <cell r="AO1160">
            <v>0</v>
          </cell>
          <cell r="AP1160" t="str">
            <v>KG</v>
          </cell>
          <cell r="AQ1160">
            <v>0</v>
          </cell>
          <cell r="AR1160" t="str">
            <v>CM</v>
          </cell>
          <cell r="AS1160">
            <v>0</v>
          </cell>
          <cell r="AT1160" t="str">
            <v>CM</v>
          </cell>
          <cell r="AU1160">
            <v>0</v>
          </cell>
          <cell r="AW1160">
            <v>0</v>
          </cell>
        </row>
        <row r="1161">
          <cell r="B1161" t="str">
            <v>H1W6JMEWRBD-060</v>
          </cell>
          <cell r="C1161" t="str">
            <v>POLARİS BEYAZ MERMERLİ ESKİTME APLİK  60cm</v>
          </cell>
          <cell r="D1161" t="str">
            <v>POLARIS WHITE MARBLE BRUSHED BRASS WALL LAMP 60cm</v>
          </cell>
          <cell r="E1161" t="str">
            <v xml:space="preserve">METAL MERMER ESKİTME BEYAZ   </v>
          </cell>
          <cell r="F1161" t="str">
            <v/>
          </cell>
          <cell r="G1161" t="str">
            <v>APLİK</v>
          </cell>
          <cell r="H1161" t="str">
            <v/>
          </cell>
          <cell r="I1161" t="str">
            <v>İÇ</v>
          </cell>
          <cell r="J1161" t="str">
            <v>APLİK</v>
          </cell>
          <cell r="K1161" t="str">
            <v>POLARİS</v>
          </cell>
          <cell r="L1161" t="str">
            <v/>
          </cell>
          <cell r="M1161" t="str">
            <v/>
          </cell>
          <cell r="N1161" t="str">
            <v>HKA-23038</v>
          </cell>
          <cell r="O1161" t="str">
            <v>HEKA</v>
          </cell>
          <cell r="P1161" t="str">
            <v>ADET</v>
          </cell>
          <cell r="Q1161" t="str">
            <v>LED</v>
          </cell>
          <cell r="R1161" t="str">
            <v>METAL</v>
          </cell>
          <cell r="S1161" t="str">
            <v>ESKİTME</v>
          </cell>
          <cell r="T1161" t="str">
            <v>MERMER</v>
          </cell>
          <cell r="U1161" t="str">
            <v>BEYAZ</v>
          </cell>
          <cell r="AE1161" t="str">
            <v>01</v>
          </cell>
          <cell r="AF1161">
            <v>7</v>
          </cell>
          <cell r="AG1161" t="str">
            <v>ADET</v>
          </cell>
          <cell r="AH1161">
            <v>240</v>
          </cell>
          <cell r="AI1161" t="str">
            <v>CNY</v>
          </cell>
          <cell r="AJ1161">
            <v>27475</v>
          </cell>
          <cell r="AK1161" t="str">
            <v>TL</v>
          </cell>
          <cell r="AL1161">
            <v>0</v>
          </cell>
          <cell r="AM1161" t="str">
            <v>8684127511599</v>
          </cell>
          <cell r="AO1161">
            <v>0</v>
          </cell>
          <cell r="AQ1161">
            <v>0</v>
          </cell>
          <cell r="AR1161" t="str">
            <v>CM</v>
          </cell>
          <cell r="AS1161">
            <v>0</v>
          </cell>
          <cell r="AT1161" t="str">
            <v>CM</v>
          </cell>
          <cell r="AU1161">
            <v>0</v>
          </cell>
          <cell r="AW1161">
            <v>0</v>
          </cell>
        </row>
        <row r="1162">
          <cell r="B1162" t="str">
            <v>H1C6JMEWRBD-060</v>
          </cell>
          <cell r="C1162" t="str">
            <v>GAMA BEYAZ MERMERLİ ESKİTME SARKIT  20x60cm</v>
          </cell>
          <cell r="D1162" t="str">
            <v>GAMA WHITE MARBLE BRUSHED BRASS PENDANT LAMP 20x60cm</v>
          </cell>
          <cell r="E1162" t="str">
            <v xml:space="preserve">METAL MERMER ESKİTME BEYAZ   </v>
          </cell>
          <cell r="F1162" t="str">
            <v>9405.11.90.00.00</v>
          </cell>
          <cell r="G1162" t="str">
            <v>AVİZE</v>
          </cell>
          <cell r="H1162" t="str">
            <v/>
          </cell>
          <cell r="I1162" t="str">
            <v>İÇ</v>
          </cell>
          <cell r="J1162" t="str">
            <v>AVİZE.SARK</v>
          </cell>
          <cell r="K1162" t="str">
            <v>GAMA</v>
          </cell>
          <cell r="L1162" t="str">
            <v/>
          </cell>
          <cell r="M1162" t="str">
            <v/>
          </cell>
          <cell r="N1162" t="str">
            <v>HKA-23040</v>
          </cell>
          <cell r="O1162" t="str">
            <v>HEKA</v>
          </cell>
          <cell r="P1162" t="str">
            <v>ADET</v>
          </cell>
          <cell r="Q1162" t="str">
            <v>LED</v>
          </cell>
          <cell r="R1162" t="str">
            <v>METAL</v>
          </cell>
          <cell r="S1162" t="str">
            <v>ESKİTME</v>
          </cell>
          <cell r="T1162" t="str">
            <v>MERMER</v>
          </cell>
          <cell r="U1162" t="str">
            <v>BEYAZ</v>
          </cell>
          <cell r="AD1162" t="str">
            <v>N/A</v>
          </cell>
          <cell r="AF1162">
            <v>5</v>
          </cell>
          <cell r="AG1162" t="str">
            <v>ADET</v>
          </cell>
          <cell r="AH1162">
            <v>480</v>
          </cell>
          <cell r="AI1162" t="str">
            <v>CNY</v>
          </cell>
          <cell r="AJ1162">
            <v>36300</v>
          </cell>
          <cell r="AK1162" t="str">
            <v>TL</v>
          </cell>
          <cell r="AL1162">
            <v>2</v>
          </cell>
          <cell r="AM1162" t="str">
            <v>8684127511612</v>
          </cell>
          <cell r="AO1162">
            <v>0</v>
          </cell>
          <cell r="AQ1162">
            <v>0</v>
          </cell>
          <cell r="AS1162">
            <v>0</v>
          </cell>
          <cell r="AU1162">
            <v>0</v>
          </cell>
          <cell r="AW1162">
            <v>0</v>
          </cell>
        </row>
        <row r="1163">
          <cell r="B1163" t="str">
            <v>H1C6VRVECS0-095</v>
          </cell>
          <cell r="C1163" t="str">
            <v>LABRANDA 7 BAL CAMLI KAHVERENGİ DERİ KEMER AVİ</v>
          </cell>
          <cell r="D1163" t="str">
            <v>LABRANDA  7 AMBER GLASS BROWN LEATHER BELT CHANDELIER</v>
          </cell>
          <cell r="E1163" t="str">
            <v xml:space="preserve">DERİ CAM  KAHVERENGİ ŞEFFAF   </v>
          </cell>
          <cell r="F1163" t="str">
            <v/>
          </cell>
          <cell r="G1163" t="str">
            <v>AVİZE</v>
          </cell>
          <cell r="H1163" t="str">
            <v/>
          </cell>
          <cell r="I1163" t="str">
            <v>İÇ</v>
          </cell>
          <cell r="J1163" t="str">
            <v>AVİZE.AVİZ</v>
          </cell>
          <cell r="K1163" t="str">
            <v>LABRANDA</v>
          </cell>
          <cell r="L1163" t="str">
            <v/>
          </cell>
          <cell r="M1163" t="str">
            <v>30.01.2026</v>
          </cell>
          <cell r="N1163" t="str">
            <v>HKA-23087</v>
          </cell>
          <cell r="O1163" t="str">
            <v>HEKA</v>
          </cell>
          <cell r="P1163" t="str">
            <v>ADET</v>
          </cell>
          <cell r="Q1163" t="str">
            <v>LED</v>
          </cell>
          <cell r="R1163" t="str">
            <v>DERİ</v>
          </cell>
          <cell r="S1163" t="str">
            <v>KAHVERENGİ</v>
          </cell>
          <cell r="T1163" t="str">
            <v>CAM</v>
          </cell>
          <cell r="U1163" t="str">
            <v>ŞEFFAF</v>
          </cell>
          <cell r="AF1163">
            <v>12</v>
          </cell>
          <cell r="AG1163" t="str">
            <v>ADET</v>
          </cell>
          <cell r="AH1163">
            <v>350</v>
          </cell>
          <cell r="AI1163" t="str">
            <v>CNY</v>
          </cell>
          <cell r="AJ1163">
            <v>29400</v>
          </cell>
          <cell r="AK1163" t="str">
            <v>TL</v>
          </cell>
          <cell r="AL1163">
            <v>1</v>
          </cell>
          <cell r="AM1163" t="str">
            <v>8684127511827</v>
          </cell>
          <cell r="AO1163">
            <v>0</v>
          </cell>
          <cell r="AQ1163">
            <v>0</v>
          </cell>
          <cell r="AS1163">
            <v>0</v>
          </cell>
          <cell r="AU1163">
            <v>0</v>
          </cell>
          <cell r="AW1163">
            <v>0</v>
          </cell>
        </row>
        <row r="1164">
          <cell r="B1164" t="str">
            <v>H1F6JRVERL0-163</v>
          </cell>
          <cell r="C1164" t="str">
            <v>LABRANDA 6 BAL CAMLI KAHVERENGİ LED LAMBADER</v>
          </cell>
          <cell r="D1164" t="str">
            <v xml:space="preserve">LABRANDA  6 AMBER GLASS BROWN LED FLOOR LAMP </v>
          </cell>
          <cell r="E1164" t="str">
            <v xml:space="preserve">METAL CAM  KAHVERENGİ BAL   </v>
          </cell>
          <cell r="F1164" t="str">
            <v/>
          </cell>
          <cell r="G1164" t="str">
            <v>LAMBADER</v>
          </cell>
          <cell r="H1164" t="str">
            <v/>
          </cell>
          <cell r="I1164" t="str">
            <v>İÇ</v>
          </cell>
          <cell r="J1164" t="str">
            <v>LAMBADER</v>
          </cell>
          <cell r="K1164" t="str">
            <v>LABRANDA</v>
          </cell>
          <cell r="L1164" t="str">
            <v>Y</v>
          </cell>
          <cell r="M1164" t="str">
            <v>15.02.2026</v>
          </cell>
          <cell r="N1164" t="str">
            <v>HKA-24088</v>
          </cell>
          <cell r="O1164" t="str">
            <v>HEKA</v>
          </cell>
          <cell r="P1164" t="str">
            <v>ADET</v>
          </cell>
          <cell r="Q1164" t="str">
            <v>LED</v>
          </cell>
          <cell r="R1164" t="str">
            <v>METAL</v>
          </cell>
          <cell r="S1164" t="str">
            <v>KAHVERENGİ</v>
          </cell>
          <cell r="T1164" t="str">
            <v>CAM</v>
          </cell>
          <cell r="U1164" t="str">
            <v>BAL</v>
          </cell>
          <cell r="AF1164">
            <v>1</v>
          </cell>
          <cell r="AG1164" t="str">
            <v>ADET</v>
          </cell>
          <cell r="AH1164">
            <v>450</v>
          </cell>
          <cell r="AI1164" t="str">
            <v>CNY</v>
          </cell>
          <cell r="AJ1164">
            <v>33800</v>
          </cell>
          <cell r="AK1164" t="str">
            <v>TL</v>
          </cell>
          <cell r="AL1164">
            <v>1</v>
          </cell>
          <cell r="AM1164" t="str">
            <v>8684127511841</v>
          </cell>
          <cell r="AO1164">
            <v>0</v>
          </cell>
          <cell r="AQ1164">
            <v>0</v>
          </cell>
          <cell r="AS1164">
            <v>0</v>
          </cell>
          <cell r="AU1164">
            <v>0</v>
          </cell>
          <cell r="AW1164">
            <v>0</v>
          </cell>
        </row>
        <row r="1165">
          <cell r="B1165" t="str">
            <v>H1W6JRSERLF-010</v>
          </cell>
          <cell r="C1165" t="str">
            <v>LABRANDA TEKLİ  BAL CAMLI SİYAH LED APLİK 10cm</v>
          </cell>
          <cell r="D1165" t="str">
            <v>LABRANDA  SINGLE AMBER GLASS BLACK LED WALL LAMP 10cm</v>
          </cell>
          <cell r="E1165" t="str">
            <v xml:space="preserve">METAL CAM  SİYAH BAL   </v>
          </cell>
          <cell r="F1165" t="str">
            <v/>
          </cell>
          <cell r="G1165" t="str">
            <v>APLİK</v>
          </cell>
          <cell r="H1165" t="str">
            <v/>
          </cell>
          <cell r="I1165" t="str">
            <v>İÇ</v>
          </cell>
          <cell r="J1165" t="str">
            <v>APLİK</v>
          </cell>
          <cell r="K1165" t="str">
            <v>LABRANDA</v>
          </cell>
          <cell r="L1165" t="str">
            <v/>
          </cell>
          <cell r="M1165" t="str">
            <v>05.05.2026</v>
          </cell>
          <cell r="N1165" t="str">
            <v>HKA-23097</v>
          </cell>
          <cell r="O1165" t="str">
            <v>HEKA</v>
          </cell>
          <cell r="P1165" t="str">
            <v>ADET</v>
          </cell>
          <cell r="Q1165" t="str">
            <v>LED</v>
          </cell>
          <cell r="R1165" t="str">
            <v>METAL</v>
          </cell>
          <cell r="S1165" t="str">
            <v>SİYAH</v>
          </cell>
          <cell r="T1165" t="str">
            <v>CAM</v>
          </cell>
          <cell r="U1165" t="str">
            <v>BAL</v>
          </cell>
          <cell r="AF1165">
            <v>44</v>
          </cell>
          <cell r="AG1165" t="str">
            <v>ADET</v>
          </cell>
          <cell r="AH1165">
            <v>45</v>
          </cell>
          <cell r="AI1165" t="str">
            <v>CNY</v>
          </cell>
          <cell r="AJ1165">
            <v>2713</v>
          </cell>
          <cell r="AK1165" t="str">
            <v>TL</v>
          </cell>
          <cell r="AL1165">
            <v>0</v>
          </cell>
          <cell r="AM1165" t="str">
            <v>8684127511865</v>
          </cell>
          <cell r="AO1165">
            <v>0.1</v>
          </cell>
          <cell r="AP1165" t="str">
            <v>KG</v>
          </cell>
          <cell r="AQ1165">
            <v>13</v>
          </cell>
          <cell r="AR1165" t="str">
            <v>CM</v>
          </cell>
          <cell r="AS1165">
            <v>12</v>
          </cell>
          <cell r="AT1165" t="str">
            <v>CM</v>
          </cell>
          <cell r="AU1165">
            <v>0</v>
          </cell>
          <cell r="AW1165">
            <v>0</v>
          </cell>
        </row>
        <row r="1166">
          <cell r="B1166" t="str">
            <v>H1W6JRSERLF-017</v>
          </cell>
          <cell r="C1166" t="str">
            <v>LABRANDA TEKLİ  BAL CAMLI SİYAH LED APLİK 17cm</v>
          </cell>
          <cell r="D1166" t="str">
            <v>LABRANDA  SINGLE AMBER GLASS BLACK LED WALL LAMP 17cm</v>
          </cell>
          <cell r="E1166" t="str">
            <v xml:space="preserve">METAL CAM  SİYAH BAL   </v>
          </cell>
          <cell r="F1166" t="str">
            <v/>
          </cell>
          <cell r="G1166" t="str">
            <v>APLİK</v>
          </cell>
          <cell r="H1166" t="str">
            <v/>
          </cell>
          <cell r="I1166" t="str">
            <v>İÇ</v>
          </cell>
          <cell r="J1166" t="str">
            <v>APLİK</v>
          </cell>
          <cell r="K1166" t="str">
            <v>LABRANDA</v>
          </cell>
          <cell r="L1166" t="str">
            <v/>
          </cell>
          <cell r="M1166" t="str">
            <v>05.05.2026</v>
          </cell>
          <cell r="N1166" t="str">
            <v>HKA-23103</v>
          </cell>
          <cell r="O1166" t="str">
            <v>HEKA</v>
          </cell>
          <cell r="P1166" t="str">
            <v>ADET</v>
          </cell>
          <cell r="Q1166" t="str">
            <v>LED</v>
          </cell>
          <cell r="R1166" t="str">
            <v>METAL</v>
          </cell>
          <cell r="S1166" t="str">
            <v>SİYAH</v>
          </cell>
          <cell r="T1166" t="str">
            <v>CAM</v>
          </cell>
          <cell r="U1166" t="str">
            <v>BAL</v>
          </cell>
          <cell r="AF1166">
            <v>28</v>
          </cell>
          <cell r="AG1166" t="str">
            <v>ADET</v>
          </cell>
          <cell r="AH1166">
            <v>65</v>
          </cell>
          <cell r="AI1166" t="str">
            <v>CNY</v>
          </cell>
          <cell r="AJ1166">
            <v>3930</v>
          </cell>
          <cell r="AK1166" t="str">
            <v>TL</v>
          </cell>
          <cell r="AL1166">
            <v>1</v>
          </cell>
          <cell r="AM1166" t="str">
            <v>8684127511919</v>
          </cell>
          <cell r="AO1166">
            <v>0</v>
          </cell>
          <cell r="AQ1166">
            <v>0</v>
          </cell>
          <cell r="AS1166">
            <v>0</v>
          </cell>
          <cell r="AU1166">
            <v>0</v>
          </cell>
          <cell r="AW1166">
            <v>0</v>
          </cell>
        </row>
        <row r="1167">
          <cell r="B1167" t="str">
            <v>H1C6BCSJMGG-030</v>
          </cell>
          <cell r="C1167" t="str">
            <v>KARDAL ŞEFFAF AKRİLİK GOLD LED SARKIT 30cm</v>
          </cell>
          <cell r="D1167" t="str">
            <v>KARDAL CLEAR ACRYLIC GOLD LED PENDANT LAMP 30cm</v>
          </cell>
          <cell r="E1167" t="str">
            <v xml:space="preserve">AKRiLİK METAL ŞEFFAF GOLD   </v>
          </cell>
          <cell r="F1167" t="str">
            <v>9405.11.40.00.00</v>
          </cell>
          <cell r="G1167" t="str">
            <v>AVİZE</v>
          </cell>
          <cell r="H1167" t="str">
            <v/>
          </cell>
          <cell r="I1167" t="str">
            <v>İÇ</v>
          </cell>
          <cell r="J1167" t="str">
            <v>AVİZE.SARK</v>
          </cell>
          <cell r="K1167" t="str">
            <v>KARDAL</v>
          </cell>
          <cell r="L1167" t="str">
            <v/>
          </cell>
          <cell r="M1167" t="str">
            <v/>
          </cell>
          <cell r="N1167" t="str">
            <v>HKA-23105</v>
          </cell>
          <cell r="O1167" t="str">
            <v>HEKA</v>
          </cell>
          <cell r="P1167" t="str">
            <v>ADET</v>
          </cell>
          <cell r="Q1167" t="str">
            <v>LED</v>
          </cell>
          <cell r="R1167" t="str">
            <v>AKRİLİK</v>
          </cell>
          <cell r="S1167" t="str">
            <v>ŞEFFAF</v>
          </cell>
          <cell r="T1167" t="str">
            <v>METAL</v>
          </cell>
          <cell r="U1167" t="str">
            <v>GOLD</v>
          </cell>
          <cell r="AD1167" t="str">
            <v>KAYA</v>
          </cell>
          <cell r="AF1167">
            <v>80</v>
          </cell>
          <cell r="AG1167" t="str">
            <v>ADET</v>
          </cell>
          <cell r="AH1167">
            <v>241</v>
          </cell>
          <cell r="AI1167" t="str">
            <v>CNY</v>
          </cell>
          <cell r="AJ1167">
            <v>12291</v>
          </cell>
          <cell r="AK1167" t="str">
            <v>TL</v>
          </cell>
          <cell r="AL1167">
            <v>0</v>
          </cell>
          <cell r="AM1167" t="str">
            <v>8684127511933</v>
          </cell>
          <cell r="AO1167">
            <v>0</v>
          </cell>
          <cell r="AQ1167">
            <v>0</v>
          </cell>
          <cell r="AS1167">
            <v>0</v>
          </cell>
          <cell r="AU1167">
            <v>0</v>
          </cell>
          <cell r="AW1167">
            <v>0</v>
          </cell>
        </row>
        <row r="1168">
          <cell r="B1168" t="str">
            <v>H1C6WRBJRSR-030</v>
          </cell>
          <cell r="C1168" t="str">
            <v>ASPENDOS TEKLİ MERMER SİYAH SARKIT 30cm</v>
          </cell>
          <cell r="D1168" t="str">
            <v>ASPENDOS SINGLE MARBLE BLACK PENDANT 30cm</v>
          </cell>
          <cell r="E1168" t="str">
            <v xml:space="preserve">MERMER METAL BEYAZ SİYAH   </v>
          </cell>
          <cell r="F1168" t="str">
            <v>9405.11.90.00.00</v>
          </cell>
          <cell r="G1168" t="str">
            <v>AVİZE</v>
          </cell>
          <cell r="H1168" t="str">
            <v>H1A6314300-20</v>
          </cell>
          <cell r="I1168" t="str">
            <v>İÇ</v>
          </cell>
          <cell r="J1168" t="str">
            <v>AVİZE.SARK</v>
          </cell>
          <cell r="K1168" t="str">
            <v>ASPENDOS</v>
          </cell>
          <cell r="L1168" t="str">
            <v/>
          </cell>
          <cell r="M1168" t="str">
            <v/>
          </cell>
          <cell r="N1168" t="str">
            <v>MD1082071-30-S</v>
          </cell>
          <cell r="O1168" t="str">
            <v>HEKA</v>
          </cell>
          <cell r="P1168" t="str">
            <v>ADET</v>
          </cell>
          <cell r="Q1168" t="str">
            <v>LED</v>
          </cell>
          <cell r="R1168" t="str">
            <v>MERMER</v>
          </cell>
          <cell r="S1168" t="str">
            <v>BEYAZ</v>
          </cell>
          <cell r="T1168" t="str">
            <v>METAL</v>
          </cell>
          <cell r="U1168" t="str">
            <v>SİYAH</v>
          </cell>
          <cell r="AD1168" t="str">
            <v>DAİRE</v>
          </cell>
          <cell r="AE1168" t="str">
            <v>01</v>
          </cell>
          <cell r="AF1168">
            <v>0</v>
          </cell>
          <cell r="AG1168" t="str">
            <v>ADET</v>
          </cell>
          <cell r="AH1168">
            <v>135</v>
          </cell>
          <cell r="AI1168" t="str">
            <v>CNY</v>
          </cell>
          <cell r="AJ1168">
            <v>7752</v>
          </cell>
          <cell r="AK1168" t="str">
            <v>TL</v>
          </cell>
          <cell r="AL1168">
            <v>1</v>
          </cell>
          <cell r="AO1168">
            <v>0</v>
          </cell>
          <cell r="AQ1168">
            <v>150</v>
          </cell>
          <cell r="AR1168" t="str">
            <v>CM</v>
          </cell>
          <cell r="AS1168">
            <v>30</v>
          </cell>
          <cell r="AT1168" t="str">
            <v>CM</v>
          </cell>
          <cell r="AU1168">
            <v>0</v>
          </cell>
          <cell r="AW1168">
            <v>0</v>
          </cell>
        </row>
        <row r="1169">
          <cell r="B1169" t="str">
            <v>H1W6BRFJMGG-030</v>
          </cell>
          <cell r="C1169" t="str">
            <v>KARDAL FÜME AKRİLİK GOLD LED APLİK 30cm</v>
          </cell>
          <cell r="D1169" t="str">
            <v>KARDAL SMOKY ACRYLIC GOLD LED WALL LAMP 30cm</v>
          </cell>
          <cell r="E1169" t="str">
            <v xml:space="preserve">AKRiLİK METAL FÜME GOLD   </v>
          </cell>
          <cell r="F1169" t="str">
            <v>9405.11.40.00.00</v>
          </cell>
          <cell r="G1169" t="str">
            <v>APLİK</v>
          </cell>
          <cell r="H1169" t="str">
            <v/>
          </cell>
          <cell r="I1169" t="str">
            <v>İÇ</v>
          </cell>
          <cell r="J1169" t="str">
            <v>APLİK</v>
          </cell>
          <cell r="K1169" t="str">
            <v>KARDAL</v>
          </cell>
          <cell r="L1169" t="str">
            <v/>
          </cell>
          <cell r="M1169" t="str">
            <v>ÜRTM;5 GÜN</v>
          </cell>
          <cell r="N1169" t="str">
            <v>HKA-23111</v>
          </cell>
          <cell r="O1169" t="str">
            <v>HEKA</v>
          </cell>
          <cell r="P1169" t="str">
            <v>ADET</v>
          </cell>
          <cell r="Q1169" t="str">
            <v>LED</v>
          </cell>
          <cell r="R1169" t="str">
            <v>AKRİLİK</v>
          </cell>
          <cell r="S1169" t="str">
            <v>FÜME</v>
          </cell>
          <cell r="T1169" t="str">
            <v>METAL</v>
          </cell>
          <cell r="U1169" t="str">
            <v>GOLD</v>
          </cell>
          <cell r="AD1169" t="str">
            <v>KAYA</v>
          </cell>
          <cell r="AF1169">
            <v>1</v>
          </cell>
          <cell r="AG1169" t="str">
            <v>ADET</v>
          </cell>
          <cell r="AH1169">
            <v>245</v>
          </cell>
          <cell r="AI1169" t="str">
            <v>CNY</v>
          </cell>
          <cell r="AJ1169">
            <v>12291</v>
          </cell>
          <cell r="AK1169" t="str">
            <v>TL</v>
          </cell>
          <cell r="AL1169">
            <v>0</v>
          </cell>
          <cell r="AM1169" t="str">
            <v>8684127512206</v>
          </cell>
          <cell r="AO1169">
            <v>0</v>
          </cell>
          <cell r="AQ1169">
            <v>0</v>
          </cell>
          <cell r="AS1169">
            <v>0</v>
          </cell>
          <cell r="AU1169">
            <v>0</v>
          </cell>
          <cell r="AW1169">
            <v>0</v>
          </cell>
        </row>
        <row r="1170">
          <cell r="B1170" t="str">
            <v>L1T6AACJMKJ-055</v>
          </cell>
          <cell r="C1170" t="str">
            <v>SOLARIX DİMMERLİ ŞARJLI CEVİZ AHŞAP MASA LAMBASI</v>
          </cell>
          <cell r="D1170" t="str">
            <v>SOLARIX DIMMABLE RECHARGEABLE WALNUT WOODEN TABLE LAMP</v>
          </cell>
          <cell r="E1170" t="str">
            <v>AHŞAP METAL CEVİZ KROM</v>
          </cell>
          <cell r="F1170" t="str">
            <v/>
          </cell>
          <cell r="G1170" t="str">
            <v>MASAABAJ</v>
          </cell>
          <cell r="H1170" t="str">
            <v/>
          </cell>
          <cell r="I1170" t="str">
            <v>İÇ</v>
          </cell>
          <cell r="J1170" t="str">
            <v>MASAKAMP</v>
          </cell>
          <cell r="K1170" t="str">
            <v>SOLARIX</v>
          </cell>
          <cell r="L1170" t="str">
            <v>NET</v>
          </cell>
          <cell r="M1170" t="str">
            <v/>
          </cell>
          <cell r="N1170" t="str">
            <v>HKA-24032</v>
          </cell>
          <cell r="O1170" t="str">
            <v>LAMBAM</v>
          </cell>
          <cell r="P1170" t="str">
            <v>ADET</v>
          </cell>
          <cell r="Q1170" t="str">
            <v>LED</v>
          </cell>
          <cell r="R1170" t="str">
            <v>AHŞAP</v>
          </cell>
          <cell r="S1170" t="str">
            <v>CEVİZ</v>
          </cell>
          <cell r="T1170" t="str">
            <v>METAL</v>
          </cell>
          <cell r="U1170" t="str">
            <v>KROM</v>
          </cell>
          <cell r="AD1170" t="str">
            <v>ŞARJLI</v>
          </cell>
          <cell r="AF1170">
            <v>152</v>
          </cell>
          <cell r="AG1170" t="str">
            <v>ADET</v>
          </cell>
          <cell r="AH1170">
            <v>58</v>
          </cell>
          <cell r="AI1170" t="str">
            <v>CNY</v>
          </cell>
          <cell r="AJ1170">
            <v>2475</v>
          </cell>
          <cell r="AK1170" t="str">
            <v>TL</v>
          </cell>
          <cell r="AL1170">
            <v>0</v>
          </cell>
          <cell r="AM1170" t="str">
            <v>8684127512053</v>
          </cell>
          <cell r="AO1170">
            <v>0</v>
          </cell>
          <cell r="AQ1170">
            <v>55</v>
          </cell>
          <cell r="AR1170" t="str">
            <v>CM</v>
          </cell>
          <cell r="AS1170">
            <v>12</v>
          </cell>
          <cell r="AT1170" t="str">
            <v>CM</v>
          </cell>
          <cell r="AU1170">
            <v>0</v>
          </cell>
          <cell r="AW1170">
            <v>0</v>
          </cell>
        </row>
        <row r="1171">
          <cell r="B1171" t="str">
            <v>CK5G3P3P2E8J1</v>
          </cell>
          <cell r="C1171" t="str">
            <v>ERD-286 GU10 220V 6W 6500K COB LED AMPUL</v>
          </cell>
          <cell r="D1171" t="str">
            <v>ERD-286 GU10 220V 6W 6500K COD LED BULB</v>
          </cell>
          <cell r="E1171" t="str">
            <v>PLASTİK PLASTİK ŞEFFAF SMD LED DIMMLİ KARMA</v>
          </cell>
          <cell r="F1171" t="str">
            <v>8539.52.00.00.00</v>
          </cell>
          <cell r="G1171" t="str">
            <v>AMPUL</v>
          </cell>
          <cell r="H1171" t="str">
            <v>CG52232D80000</v>
          </cell>
          <cell r="I1171" t="str">
            <v>İÇ</v>
          </cell>
          <cell r="J1171" t="str">
            <v>AMPUL</v>
          </cell>
          <cell r="K1171" t="str">
            <v>ERD-286</v>
          </cell>
          <cell r="L1171" t="str">
            <v/>
          </cell>
          <cell r="M1171" t="str">
            <v/>
          </cell>
          <cell r="N1171" t="str">
            <v>ERD-286</v>
          </cell>
          <cell r="O1171" t="str">
            <v>HEKA</v>
          </cell>
          <cell r="P1171" t="str">
            <v>ADET</v>
          </cell>
          <cell r="Q1171" t="str">
            <v>GU10</v>
          </cell>
          <cell r="R1171" t="str">
            <v>PLASTİK</v>
          </cell>
          <cell r="S1171" t="str">
            <v>ŞEFFAF</v>
          </cell>
          <cell r="T1171" t="str">
            <v>PLASTİK</v>
          </cell>
          <cell r="V1171" t="str">
            <v>G</v>
          </cell>
          <cell r="W1171" t="str">
            <v>COB LED</v>
          </cell>
          <cell r="X1171" t="str">
            <v>220V</v>
          </cell>
          <cell r="Y1171" t="str">
            <v>6 WATT</v>
          </cell>
          <cell r="Z1171" t="str">
            <v>6500 K</v>
          </cell>
          <cell r="AA1171" t="str">
            <v>DIMMLI</v>
          </cell>
          <cell r="AB1171" t="str">
            <v>301-400</v>
          </cell>
          <cell r="AC1171" t="str">
            <v>KARMA</v>
          </cell>
          <cell r="AD1171" t="str">
            <v>N/A</v>
          </cell>
          <cell r="AF1171">
            <v>103</v>
          </cell>
          <cell r="AG1171" t="str">
            <v>ADET</v>
          </cell>
          <cell r="AH1171">
            <v>0.38900000000000001</v>
          </cell>
          <cell r="AI1171" t="str">
            <v>USD</v>
          </cell>
          <cell r="AJ1171">
            <v>1.7</v>
          </cell>
          <cell r="AK1171" t="str">
            <v>USD</v>
          </cell>
          <cell r="AL1171">
            <v>1</v>
          </cell>
          <cell r="AM1171" t="str">
            <v>8684127510653</v>
          </cell>
          <cell r="AN1171" t="str">
            <v>8684127510707</v>
          </cell>
          <cell r="AO1171">
            <v>0</v>
          </cell>
          <cell r="AQ1171">
            <v>5</v>
          </cell>
          <cell r="AR1171" t="str">
            <v>CM</v>
          </cell>
          <cell r="AS1171">
            <v>5</v>
          </cell>
          <cell r="AT1171" t="str">
            <v>CM</v>
          </cell>
          <cell r="AU1171">
            <v>0</v>
          </cell>
          <cell r="AW1171">
            <v>0</v>
          </cell>
        </row>
        <row r="1172">
          <cell r="B1172" t="str">
            <v>H1T6JRALCTJ-022</v>
          </cell>
          <cell r="C1172" t="str">
            <v>PORCINO SARI MASA LAMBASI</v>
          </cell>
          <cell r="D1172" t="str">
            <v>PORCINO YELLOW TABLE LAMP</v>
          </cell>
          <cell r="E1172" t="str">
            <v xml:space="preserve">METAL PLEKSİ SARI SOFT   </v>
          </cell>
          <cell r="F1172" t="str">
            <v/>
          </cell>
          <cell r="G1172" t="str">
            <v>MASA LAMBASI</v>
          </cell>
          <cell r="H1172" t="str">
            <v/>
          </cell>
          <cell r="I1172" t="str">
            <v>İÇ</v>
          </cell>
          <cell r="J1172" t="str">
            <v>MASAABAJ</v>
          </cell>
          <cell r="K1172" t="str">
            <v>PORCINO</v>
          </cell>
          <cell r="L1172" t="str">
            <v/>
          </cell>
          <cell r="M1172" t="str">
            <v/>
          </cell>
          <cell r="N1172" t="str">
            <v>5668665-Y</v>
          </cell>
          <cell r="O1172" t="str">
            <v>LAMBAM</v>
          </cell>
          <cell r="P1172" t="str">
            <v>ADET</v>
          </cell>
          <cell r="Q1172" t="str">
            <v>LED</v>
          </cell>
          <cell r="R1172" t="str">
            <v>METAL</v>
          </cell>
          <cell r="S1172" t="str">
            <v>SARI</v>
          </cell>
          <cell r="T1172" t="str">
            <v>PLEKSİ</v>
          </cell>
          <cell r="U1172" t="str">
            <v>SOFT</v>
          </cell>
          <cell r="AD1172" t="str">
            <v>ŞARJLI</v>
          </cell>
          <cell r="AE1172" t="str">
            <v>02</v>
          </cell>
          <cell r="AF1172">
            <v>9</v>
          </cell>
          <cell r="AG1172" t="str">
            <v>ADET</v>
          </cell>
          <cell r="AH1172">
            <v>21</v>
          </cell>
          <cell r="AI1172" t="str">
            <v>CNY</v>
          </cell>
          <cell r="AJ1172">
            <v>1088</v>
          </cell>
          <cell r="AK1172" t="str">
            <v>TL</v>
          </cell>
          <cell r="AL1172">
            <v>0</v>
          </cell>
          <cell r="AM1172" t="str">
            <v>8684127510752</v>
          </cell>
          <cell r="AO1172">
            <v>0</v>
          </cell>
          <cell r="AQ1172">
            <v>0</v>
          </cell>
          <cell r="AS1172">
            <v>0</v>
          </cell>
          <cell r="AU1172">
            <v>0</v>
          </cell>
          <cell r="AW1172">
            <v>0</v>
          </cell>
        </row>
        <row r="1173">
          <cell r="B1173" t="str">
            <v>H1T6JRYLCTJ-022</v>
          </cell>
          <cell r="C1173" t="str">
            <v>PORCINO YEŞİL MASA LAMBASI</v>
          </cell>
          <cell r="D1173" t="str">
            <v>PORCINO GREEN TABLE LAMP</v>
          </cell>
          <cell r="E1173" t="str">
            <v xml:space="preserve">METAL PLEKSİ YEŞİL SOFT   </v>
          </cell>
          <cell r="F1173" t="str">
            <v/>
          </cell>
          <cell r="G1173" t="str">
            <v>MASA LAMBASI</v>
          </cell>
          <cell r="H1173" t="str">
            <v/>
          </cell>
          <cell r="I1173" t="str">
            <v>İÇ</v>
          </cell>
          <cell r="J1173" t="str">
            <v>MASAABAJ</v>
          </cell>
          <cell r="K1173" t="str">
            <v>PORCINO</v>
          </cell>
          <cell r="L1173" t="str">
            <v/>
          </cell>
          <cell r="M1173" t="str">
            <v/>
          </cell>
          <cell r="N1173" t="str">
            <v>5668665-GN</v>
          </cell>
          <cell r="O1173" t="str">
            <v>LAMBAM</v>
          </cell>
          <cell r="P1173" t="str">
            <v>ADET</v>
          </cell>
          <cell r="Q1173" t="str">
            <v>LED</v>
          </cell>
          <cell r="R1173" t="str">
            <v>METAL</v>
          </cell>
          <cell r="S1173" t="str">
            <v>YEŞİL</v>
          </cell>
          <cell r="T1173" t="str">
            <v>PLEKSİ</v>
          </cell>
          <cell r="U1173" t="str">
            <v>SOFT</v>
          </cell>
          <cell r="AD1173" t="str">
            <v>ŞARJLI</v>
          </cell>
          <cell r="AE1173" t="str">
            <v>02</v>
          </cell>
          <cell r="AF1173">
            <v>0</v>
          </cell>
          <cell r="AG1173" t="str">
            <v>ADET</v>
          </cell>
          <cell r="AH1173">
            <v>21</v>
          </cell>
          <cell r="AI1173" t="str">
            <v>CNY</v>
          </cell>
          <cell r="AJ1173">
            <v>1088</v>
          </cell>
          <cell r="AK1173" t="str">
            <v>TL</v>
          </cell>
          <cell r="AL1173">
            <v>0</v>
          </cell>
          <cell r="AM1173" t="str">
            <v>8684127510776</v>
          </cell>
          <cell r="AO1173">
            <v>0</v>
          </cell>
          <cell r="AQ1173">
            <v>0</v>
          </cell>
          <cell r="AS1173">
            <v>0</v>
          </cell>
          <cell r="AU1173">
            <v>0</v>
          </cell>
          <cell r="AW1173">
            <v>0</v>
          </cell>
        </row>
        <row r="1174">
          <cell r="B1174" t="str">
            <v>TİCİMAX.BKOM01</v>
          </cell>
          <cell r="C1174" t="str">
            <v>Banka Komisyonu</v>
          </cell>
          <cell r="D1174" t="str">
            <v/>
          </cell>
          <cell r="E1174" t="str">
            <v/>
          </cell>
          <cell r="F1174" t="str">
            <v/>
          </cell>
          <cell r="G1174" t="str">
            <v/>
          </cell>
          <cell r="H1174" t="str">
            <v/>
          </cell>
          <cell r="I1174" t="str">
            <v/>
          </cell>
          <cell r="J1174" t="str">
            <v/>
          </cell>
          <cell r="K1174" t="str">
            <v/>
          </cell>
          <cell r="L1174" t="str">
            <v/>
          </cell>
          <cell r="M1174" t="str">
            <v/>
          </cell>
          <cell r="N1174" t="str">
            <v/>
          </cell>
          <cell r="P1174" t="str">
            <v>ADET</v>
          </cell>
          <cell r="AG1174" t="str">
            <v>ADET</v>
          </cell>
          <cell r="AL1174">
            <v>0</v>
          </cell>
          <cell r="AO1174">
            <v>0</v>
          </cell>
          <cell r="AQ1174">
            <v>0</v>
          </cell>
          <cell r="AS1174">
            <v>0</v>
          </cell>
          <cell r="AU1174">
            <v>0</v>
          </cell>
          <cell r="AW1174">
            <v>0</v>
          </cell>
        </row>
        <row r="1175">
          <cell r="B1175" t="str">
            <v>H1C3JMEERLZ-047</v>
          </cell>
          <cell r="C1175" t="str">
            <v>AHTAPOT ONİKİ SPİRAL KOLLU ESKİTME AVİZE</v>
          </cell>
          <cell r="D1175" t="str">
            <v>AHTAPOT TWELVE SPIRAL SLEEVES BRUSHED BRASS CHANDELIER</v>
          </cell>
          <cell r="E1175" t="str">
            <v xml:space="preserve">METAL CAM  ESKİTME BAL   </v>
          </cell>
          <cell r="F1175" t="str">
            <v/>
          </cell>
          <cell r="G1175" t="str">
            <v>AVİZE</v>
          </cell>
          <cell r="H1175" t="str">
            <v/>
          </cell>
          <cell r="I1175" t="str">
            <v>AVİZE</v>
          </cell>
          <cell r="J1175" t="str">
            <v>AVİZE.SARK</v>
          </cell>
          <cell r="K1175" t="str">
            <v>AHTAPOT</v>
          </cell>
          <cell r="L1175" t="str">
            <v/>
          </cell>
          <cell r="M1175" t="str">
            <v/>
          </cell>
          <cell r="N1175" t="str">
            <v>HKA-230081</v>
          </cell>
          <cell r="O1175" t="str">
            <v>HEKA</v>
          </cell>
          <cell r="P1175" t="str">
            <v>ADET</v>
          </cell>
          <cell r="Q1175" t="str">
            <v>G9</v>
          </cell>
          <cell r="R1175" t="str">
            <v>METAL</v>
          </cell>
          <cell r="S1175" t="str">
            <v>ESKİTME</v>
          </cell>
          <cell r="T1175" t="str">
            <v>CAM</v>
          </cell>
          <cell r="U1175" t="str">
            <v>BAL</v>
          </cell>
          <cell r="AD1175" t="str">
            <v>KOLLU</v>
          </cell>
          <cell r="AE1175" t="str">
            <v>12</v>
          </cell>
          <cell r="AF1175">
            <v>7</v>
          </cell>
          <cell r="AG1175" t="str">
            <v>ADET</v>
          </cell>
          <cell r="AJ1175">
            <v>10115</v>
          </cell>
          <cell r="AK1175" t="str">
            <v>TL</v>
          </cell>
          <cell r="AL1175">
            <v>1</v>
          </cell>
          <cell r="AM1175" t="str">
            <v>8684127511018</v>
          </cell>
          <cell r="AO1175">
            <v>0</v>
          </cell>
          <cell r="AQ1175">
            <v>25</v>
          </cell>
          <cell r="AR1175" t="str">
            <v>CM</v>
          </cell>
          <cell r="AS1175">
            <v>47</v>
          </cell>
          <cell r="AT1175" t="str">
            <v>CM</v>
          </cell>
          <cell r="AU1175">
            <v>0</v>
          </cell>
          <cell r="AW1175">
            <v>0</v>
          </cell>
        </row>
        <row r="1176">
          <cell r="B1176" t="str">
            <v>DEK-HAL-0007</v>
          </cell>
          <cell r="C1176" t="str">
            <v>ÇUBUK APLİK AYDINLATMA</v>
          </cell>
          <cell r="D1176" t="str">
            <v/>
          </cell>
          <cell r="E1176" t="str">
            <v/>
          </cell>
          <cell r="F1176" t="str">
            <v>8539.52.00.00.00</v>
          </cell>
          <cell r="G1176" t="str">
            <v/>
          </cell>
          <cell r="H1176" t="str">
            <v/>
          </cell>
          <cell r="I1176" t="str">
            <v>İÇ</v>
          </cell>
          <cell r="J1176" t="str">
            <v/>
          </cell>
          <cell r="K1176" t="str">
            <v/>
          </cell>
          <cell r="L1176" t="str">
            <v/>
          </cell>
          <cell r="M1176" t="str">
            <v/>
          </cell>
          <cell r="N1176" t="str">
            <v/>
          </cell>
          <cell r="P1176" t="str">
            <v>ADET</v>
          </cell>
          <cell r="AF1176">
            <v>0</v>
          </cell>
          <cell r="AG1176" t="str">
            <v>ADET</v>
          </cell>
          <cell r="AL1176">
            <v>0</v>
          </cell>
          <cell r="AO1176">
            <v>0</v>
          </cell>
          <cell r="AQ1176">
            <v>0</v>
          </cell>
          <cell r="AS1176">
            <v>0</v>
          </cell>
          <cell r="AU1176">
            <v>0</v>
          </cell>
          <cell r="AW1176">
            <v>0</v>
          </cell>
        </row>
        <row r="1177">
          <cell r="B1177" t="str">
            <v>DEK-HAL-0009</v>
          </cell>
          <cell r="C1177" t="str">
            <v>ADAMS AYDINLATMA</v>
          </cell>
          <cell r="D1177" t="str">
            <v/>
          </cell>
          <cell r="E1177" t="str">
            <v/>
          </cell>
          <cell r="F1177" t="str">
            <v>8539.52.00.00.00</v>
          </cell>
          <cell r="G1177" t="str">
            <v/>
          </cell>
          <cell r="H1177" t="str">
            <v/>
          </cell>
          <cell r="I1177" t="str">
            <v>İÇ</v>
          </cell>
          <cell r="J1177" t="str">
            <v/>
          </cell>
          <cell r="K1177" t="str">
            <v/>
          </cell>
          <cell r="L1177" t="str">
            <v/>
          </cell>
          <cell r="M1177" t="str">
            <v/>
          </cell>
          <cell r="N1177" t="str">
            <v/>
          </cell>
          <cell r="P1177" t="str">
            <v>ADET</v>
          </cell>
          <cell r="AF1177">
            <v>0</v>
          </cell>
          <cell r="AG1177" t="str">
            <v>ADET</v>
          </cell>
          <cell r="AL1177">
            <v>0</v>
          </cell>
          <cell r="AO1177">
            <v>0</v>
          </cell>
          <cell r="AQ1177">
            <v>0</v>
          </cell>
          <cell r="AS1177">
            <v>0</v>
          </cell>
          <cell r="AU1177">
            <v>0</v>
          </cell>
          <cell r="AW1177">
            <v>0</v>
          </cell>
        </row>
        <row r="1178">
          <cell r="B1178" t="str">
            <v>H1W6JMEBCSC-043</v>
          </cell>
          <cell r="C1178" t="str">
            <v>ALABANDA İKİLİ ŞEFFAF AKRİLİK ESKİTME LED APLİK</v>
          </cell>
          <cell r="D1178" t="str">
            <v>ALABANDA DOUBLE CLEAR ACRYLIC BRUSHED BRASS LED WALL LAMP</v>
          </cell>
          <cell r="E1178" t="str">
            <v xml:space="preserve">METAL AKRİLİK ESKİTME ŞEFFAF   </v>
          </cell>
          <cell r="F1178" t="str">
            <v/>
          </cell>
          <cell r="G1178" t="str">
            <v>APLİK</v>
          </cell>
          <cell r="H1178" t="str">
            <v/>
          </cell>
          <cell r="I1178" t="str">
            <v>İÇ</v>
          </cell>
          <cell r="J1178" t="str">
            <v>APLİK</v>
          </cell>
          <cell r="K1178" t="str">
            <v>ALABANDA</v>
          </cell>
          <cell r="L1178" t="str">
            <v/>
          </cell>
          <cell r="M1178" t="str">
            <v/>
          </cell>
          <cell r="N1178" t="str">
            <v>HKA-23073</v>
          </cell>
          <cell r="O1178" t="str">
            <v>HEKA</v>
          </cell>
          <cell r="P1178" t="str">
            <v>ADET</v>
          </cell>
          <cell r="Q1178" t="str">
            <v>LED</v>
          </cell>
          <cell r="R1178" t="str">
            <v>METAL</v>
          </cell>
          <cell r="S1178" t="str">
            <v>ESKİTME</v>
          </cell>
          <cell r="T1178" t="str">
            <v>AKRİLİK</v>
          </cell>
          <cell r="U1178" t="str">
            <v>ŞEFFAF</v>
          </cell>
          <cell r="AD1178" t="str">
            <v>SİLİNDİR</v>
          </cell>
          <cell r="AF1178">
            <v>49</v>
          </cell>
          <cell r="AG1178" t="str">
            <v>ADET</v>
          </cell>
          <cell r="AH1178">
            <v>75</v>
          </cell>
          <cell r="AI1178" t="str">
            <v>CNY</v>
          </cell>
          <cell r="AJ1178">
            <v>6058</v>
          </cell>
          <cell r="AK1178" t="str">
            <v>TL</v>
          </cell>
          <cell r="AL1178">
            <v>1</v>
          </cell>
          <cell r="AM1178" t="str">
            <v>8684127511162</v>
          </cell>
          <cell r="AO1178">
            <v>5</v>
          </cell>
          <cell r="AP1178" t="str">
            <v>KG</v>
          </cell>
          <cell r="AQ1178">
            <v>43</v>
          </cell>
          <cell r="AR1178" t="str">
            <v>CM</v>
          </cell>
          <cell r="AS1178">
            <v>6</v>
          </cell>
          <cell r="AT1178" t="str">
            <v>CM</v>
          </cell>
          <cell r="AU1178">
            <v>0</v>
          </cell>
          <cell r="AW1178">
            <v>0</v>
          </cell>
        </row>
        <row r="1179">
          <cell r="B1179" t="str">
            <v>H1C6CRSBRFR-023</v>
          </cell>
          <cell r="C1179" t="str">
            <v>BUMİN FÜME AKRİLİK SİYAH ALÜMİNYUM LED SARKIT 23cm</v>
          </cell>
          <cell r="D1179" t="str">
            <v>BUMIN SMOKY ACRYLIC BLACK ALUMINUM LED PENDANT 23cm</v>
          </cell>
          <cell r="E1179" t="str">
            <v xml:space="preserve">ALUMİNYUM AKRİLİK SİYAH FÜME   </v>
          </cell>
          <cell r="F1179" t="str">
            <v/>
          </cell>
          <cell r="G1179" t="str">
            <v>AVİZE</v>
          </cell>
          <cell r="H1179" t="str">
            <v/>
          </cell>
          <cell r="I1179" t="str">
            <v>İÇ</v>
          </cell>
          <cell r="J1179" t="str">
            <v>AVİZE.SARK</v>
          </cell>
          <cell r="K1179" t="str">
            <v>BUMİN</v>
          </cell>
          <cell r="L1179" t="str">
            <v/>
          </cell>
          <cell r="M1179" t="str">
            <v/>
          </cell>
          <cell r="N1179" t="str">
            <v>HKA-23075</v>
          </cell>
          <cell r="O1179" t="str">
            <v>HEKA</v>
          </cell>
          <cell r="P1179" t="str">
            <v>ADET</v>
          </cell>
          <cell r="Q1179" t="str">
            <v>LED</v>
          </cell>
          <cell r="R1179" t="str">
            <v>ALUMİNYUM</v>
          </cell>
          <cell r="S1179" t="str">
            <v>SİYAH</v>
          </cell>
          <cell r="T1179" t="str">
            <v>AKRİLİK</v>
          </cell>
          <cell r="U1179" t="str">
            <v>FÜME</v>
          </cell>
          <cell r="AD1179" t="str">
            <v>DAİRE</v>
          </cell>
          <cell r="AE1179" t="str">
            <v>02</v>
          </cell>
          <cell r="AF1179">
            <v>2</v>
          </cell>
          <cell r="AG1179" t="str">
            <v>ADET</v>
          </cell>
          <cell r="AH1179">
            <v>125</v>
          </cell>
          <cell r="AI1179" t="str">
            <v>CNY</v>
          </cell>
          <cell r="AJ1179">
            <v>8475</v>
          </cell>
          <cell r="AK1179" t="str">
            <v>TL</v>
          </cell>
          <cell r="AL1179">
            <v>1</v>
          </cell>
          <cell r="AM1179" t="str">
            <v>8684127511186</v>
          </cell>
          <cell r="AO1179">
            <v>1.35</v>
          </cell>
          <cell r="AP1179" t="str">
            <v>KG</v>
          </cell>
          <cell r="AQ1179">
            <v>23</v>
          </cell>
          <cell r="AR1179" t="str">
            <v>CM</v>
          </cell>
          <cell r="AS1179">
            <v>23</v>
          </cell>
          <cell r="AT1179" t="str">
            <v>CM</v>
          </cell>
          <cell r="AU1179">
            <v>0</v>
          </cell>
          <cell r="AW1179">
            <v>0</v>
          </cell>
        </row>
        <row r="1180">
          <cell r="B1180" t="str">
            <v>H1W6KMEPRBP-053</v>
          </cell>
          <cell r="C1180" t="str">
            <v>MARSİS PASLANMAZ ESKİTME BÜYÜK LED APLİK</v>
          </cell>
          <cell r="D1180" t="str">
            <v>MARSIS STAINLESS BRUSHED BRASS BIG LED WALL LAMP</v>
          </cell>
          <cell r="E1180" t="str">
            <v xml:space="preserve">PASLANMAZ SİLİKON ESKİTME BEYAZ   </v>
          </cell>
          <cell r="F1180" t="str">
            <v>9405.11.90.00.00</v>
          </cell>
          <cell r="G1180" t="str">
            <v>APLİK</v>
          </cell>
          <cell r="H1180" t="str">
            <v/>
          </cell>
          <cell r="I1180" t="str">
            <v>İÇ</v>
          </cell>
          <cell r="J1180" t="str">
            <v>APLİK</v>
          </cell>
          <cell r="K1180" t="str">
            <v>MARSİS</v>
          </cell>
          <cell r="L1180" t="str">
            <v/>
          </cell>
          <cell r="M1180" t="str">
            <v/>
          </cell>
          <cell r="N1180" t="str">
            <v>HKA-23093</v>
          </cell>
          <cell r="O1180" t="str">
            <v>HEKA</v>
          </cell>
          <cell r="P1180" t="str">
            <v>ADET</v>
          </cell>
          <cell r="Q1180" t="str">
            <v>LED</v>
          </cell>
          <cell r="R1180" t="str">
            <v>PASLANMAZ</v>
          </cell>
          <cell r="S1180" t="str">
            <v>ESKİTME</v>
          </cell>
          <cell r="T1180" t="str">
            <v>SİLİKON</v>
          </cell>
          <cell r="U1180" t="str">
            <v>BEYAZ</v>
          </cell>
          <cell r="AD1180" t="str">
            <v>POLİGONAL</v>
          </cell>
          <cell r="AF1180">
            <v>16</v>
          </cell>
          <cell r="AG1180" t="str">
            <v>ADET</v>
          </cell>
          <cell r="AH1180">
            <v>515</v>
          </cell>
          <cell r="AI1180" t="str">
            <v>CNY</v>
          </cell>
          <cell r="AJ1180">
            <v>28800</v>
          </cell>
          <cell r="AK1180" t="str">
            <v>TL</v>
          </cell>
          <cell r="AL1180">
            <v>1</v>
          </cell>
          <cell r="AM1180" t="str">
            <v>8684127511315</v>
          </cell>
          <cell r="AO1180">
            <v>3</v>
          </cell>
          <cell r="AP1180" t="str">
            <v>KG</v>
          </cell>
          <cell r="AQ1180">
            <v>35</v>
          </cell>
          <cell r="AR1180" t="str">
            <v>CM</v>
          </cell>
          <cell r="AS1180">
            <v>9.5</v>
          </cell>
          <cell r="AT1180" t="str">
            <v>CM</v>
          </cell>
          <cell r="AU1180">
            <v>0</v>
          </cell>
          <cell r="AW1180">
            <v>0</v>
          </cell>
        </row>
        <row r="1181">
          <cell r="B1181" t="str">
            <v>200-SEF-BALON-A-CAM</v>
          </cell>
          <cell r="C1181" t="str">
            <v>BALON  ŞEFFAF DİŞLİ APLİK CAM 20 cm</v>
          </cell>
          <cell r="D1181" t="str">
            <v>BALLOON TRANSPARENT TOOTHED WALL LAMP GLASS 20 cm</v>
          </cell>
          <cell r="E1181" t="str">
            <v/>
          </cell>
          <cell r="F1181" t="str">
            <v/>
          </cell>
          <cell r="G1181" t="str">
            <v>ZPARCA</v>
          </cell>
          <cell r="H1181" t="str">
            <v>150A-BAL</v>
          </cell>
          <cell r="I1181" t="str">
            <v>İÇ</v>
          </cell>
          <cell r="J1181" t="str">
            <v>ZPARCA</v>
          </cell>
          <cell r="K1181" t="str">
            <v/>
          </cell>
          <cell r="L1181" t="str">
            <v/>
          </cell>
          <cell r="M1181" t="str">
            <v/>
          </cell>
          <cell r="N1181" t="str">
            <v/>
          </cell>
          <cell r="O1181" t="str">
            <v>HEKA</v>
          </cell>
          <cell r="P1181" t="str">
            <v>ADET</v>
          </cell>
          <cell r="R1181" t="str">
            <v>CAM</v>
          </cell>
          <cell r="S1181" t="str">
            <v>ŞEFFAF</v>
          </cell>
          <cell r="AF1181">
            <v>0</v>
          </cell>
          <cell r="AG1181" t="str">
            <v>ADET</v>
          </cell>
          <cell r="AJ1181">
            <v>950</v>
          </cell>
          <cell r="AK1181" t="str">
            <v>TL</v>
          </cell>
          <cell r="AL1181">
            <v>0</v>
          </cell>
          <cell r="AM1181" t="str">
            <v>200-SEF-BALON-A-CAM</v>
          </cell>
          <cell r="AO1181">
            <v>0</v>
          </cell>
          <cell r="AQ1181">
            <v>0</v>
          </cell>
          <cell r="AS1181">
            <v>0</v>
          </cell>
          <cell r="AU1181">
            <v>0</v>
          </cell>
          <cell r="AW1181">
            <v>0</v>
          </cell>
        </row>
        <row r="1182">
          <cell r="B1182" t="str">
            <v>1YC4YGCT000-020</v>
          </cell>
          <cell r="C1182" t="str">
            <v>DİŞLİ SOFT AVİZE CAMI 20 cm</v>
          </cell>
          <cell r="D1182" t="str">
            <v>THREADED OPAL CHANDELIER GLASS 20 cm</v>
          </cell>
          <cell r="E1182" t="str">
            <v/>
          </cell>
          <cell r="F1182" t="str">
            <v/>
          </cell>
          <cell r="G1182" t="str">
            <v>ZPARCA</v>
          </cell>
          <cell r="H1182" t="str">
            <v>200A-BAL</v>
          </cell>
          <cell r="I1182" t="str">
            <v>İÇ</v>
          </cell>
          <cell r="J1182" t="str">
            <v>ZPARCA</v>
          </cell>
          <cell r="K1182" t="str">
            <v/>
          </cell>
          <cell r="L1182" t="str">
            <v/>
          </cell>
          <cell r="M1182" t="str">
            <v/>
          </cell>
          <cell r="N1182" t="str">
            <v/>
          </cell>
          <cell r="O1182" t="str">
            <v>HEKA</v>
          </cell>
          <cell r="P1182" t="str">
            <v>ADET</v>
          </cell>
          <cell r="R1182" t="str">
            <v>CAM</v>
          </cell>
          <cell r="S1182" t="str">
            <v>OPAL</v>
          </cell>
          <cell r="AD1182" t="str">
            <v>KÜRE</v>
          </cell>
          <cell r="AF1182">
            <v>0</v>
          </cell>
          <cell r="AG1182" t="str">
            <v>ADET</v>
          </cell>
          <cell r="AH1182">
            <v>6.3</v>
          </cell>
          <cell r="AI1182" t="str">
            <v>CNY</v>
          </cell>
          <cell r="AJ1182">
            <v>120</v>
          </cell>
          <cell r="AK1182" t="str">
            <v>TL</v>
          </cell>
          <cell r="AL1182">
            <v>1</v>
          </cell>
          <cell r="AO1182">
            <v>0</v>
          </cell>
          <cell r="AQ1182">
            <v>10</v>
          </cell>
          <cell r="AR1182" t="str">
            <v>CM</v>
          </cell>
          <cell r="AS1182">
            <v>10</v>
          </cell>
          <cell r="AT1182" t="str">
            <v>CM</v>
          </cell>
          <cell r="AU1182">
            <v>0</v>
          </cell>
          <cell r="AW1182">
            <v>0</v>
          </cell>
        </row>
        <row r="1183">
          <cell r="B1183" t="str">
            <v>H1C6JMEWRBY-024</v>
          </cell>
          <cell r="C1183" t="str">
            <v>MİNTAKA BEYAZ MERMER KÜRE ESKİTME SARKIT</v>
          </cell>
          <cell r="D1183" t="str">
            <v>MINTAKA WHITE MARBLE GLOBE BURSHED BRASS PENDANT</v>
          </cell>
          <cell r="E1183" t="str">
            <v xml:space="preserve">METAL AKRİLİK ESKİTME BEYAZ   </v>
          </cell>
          <cell r="F1183" t="str">
            <v/>
          </cell>
          <cell r="G1183" t="str">
            <v>AVİZE</v>
          </cell>
          <cell r="H1183" t="str">
            <v/>
          </cell>
          <cell r="I1183" t="str">
            <v>İÇ</v>
          </cell>
          <cell r="J1183" t="str">
            <v>AVİZE.SARK</v>
          </cell>
          <cell r="K1183" t="str">
            <v>MİNTAKA</v>
          </cell>
          <cell r="L1183" t="str">
            <v>Y</v>
          </cell>
          <cell r="M1183" t="str">
            <v/>
          </cell>
          <cell r="N1183" t="str">
            <v>HKA-23019</v>
          </cell>
          <cell r="O1183" t="str">
            <v>HEKA</v>
          </cell>
          <cell r="P1183" t="str">
            <v>ADET</v>
          </cell>
          <cell r="Q1183" t="str">
            <v>LED</v>
          </cell>
          <cell r="R1183" t="str">
            <v>METAL</v>
          </cell>
          <cell r="S1183" t="str">
            <v>ESKİTME</v>
          </cell>
          <cell r="T1183" t="str">
            <v>MERMER</v>
          </cell>
          <cell r="U1183" t="str">
            <v>BEYAZ</v>
          </cell>
          <cell r="AD1183" t="str">
            <v>KÜRE</v>
          </cell>
          <cell r="AF1183">
            <v>53</v>
          </cell>
          <cell r="AG1183" t="str">
            <v>ADET</v>
          </cell>
          <cell r="AH1183">
            <v>210</v>
          </cell>
          <cell r="AI1183" t="str">
            <v>CNY</v>
          </cell>
          <cell r="AJ1183">
            <v>15450</v>
          </cell>
          <cell r="AK1183" t="str">
            <v>TL</v>
          </cell>
          <cell r="AL1183">
            <v>0</v>
          </cell>
          <cell r="AM1183" t="str">
            <v>8684127511452</v>
          </cell>
          <cell r="AO1183">
            <v>2.2000000000000002</v>
          </cell>
          <cell r="AP1183" t="str">
            <v>KG</v>
          </cell>
          <cell r="AQ1183">
            <v>16</v>
          </cell>
          <cell r="AR1183" t="str">
            <v>CM</v>
          </cell>
          <cell r="AS1183">
            <v>24</v>
          </cell>
          <cell r="AT1183" t="str">
            <v>CM</v>
          </cell>
          <cell r="AU1183">
            <v>0</v>
          </cell>
          <cell r="AW1183">
            <v>0</v>
          </cell>
        </row>
        <row r="1184">
          <cell r="B1184" t="str">
            <v>H1W3JMEWRBY-013</v>
          </cell>
          <cell r="C1184" t="str">
            <v>MEİSSA  BEYAZ MERMER  ESKİTME APLİK 13cm</v>
          </cell>
          <cell r="D1184" t="str">
            <v>MEISSA WHITE MARBLE BURSHED BRASS WALL LAMP 13 cm</v>
          </cell>
          <cell r="E1184" t="str">
            <v xml:space="preserve">METAL MERMER ESKİTME BEYAZ   </v>
          </cell>
          <cell r="F1184" t="str">
            <v>9405.19.90.00.00</v>
          </cell>
          <cell r="G1184" t="str">
            <v>APLİK</v>
          </cell>
          <cell r="H1184" t="str">
            <v/>
          </cell>
          <cell r="I1184" t="str">
            <v>İÇ</v>
          </cell>
          <cell r="J1184" t="str">
            <v>APLİK</v>
          </cell>
          <cell r="K1184" t="str">
            <v>MEİSSA</v>
          </cell>
          <cell r="L1184" t="str">
            <v>Y</v>
          </cell>
          <cell r="M1184" t="str">
            <v/>
          </cell>
          <cell r="N1184" t="str">
            <v>HKA-23021</v>
          </cell>
          <cell r="O1184" t="str">
            <v>HEKA</v>
          </cell>
          <cell r="P1184" t="str">
            <v>ADET</v>
          </cell>
          <cell r="Q1184" t="str">
            <v>G9</v>
          </cell>
          <cell r="R1184" t="str">
            <v>METAL</v>
          </cell>
          <cell r="S1184" t="str">
            <v>ESKİTME</v>
          </cell>
          <cell r="T1184" t="str">
            <v>MERMER</v>
          </cell>
          <cell r="U1184" t="str">
            <v>BEYAZ</v>
          </cell>
          <cell r="AD1184" t="str">
            <v>KÜRE</v>
          </cell>
          <cell r="AE1184" t="str">
            <v>01</v>
          </cell>
          <cell r="AF1184">
            <v>41</v>
          </cell>
          <cell r="AG1184" t="str">
            <v>ADET</v>
          </cell>
          <cell r="AH1184">
            <v>105</v>
          </cell>
          <cell r="AI1184" t="str">
            <v>CNY</v>
          </cell>
          <cell r="AJ1184">
            <v>8750</v>
          </cell>
          <cell r="AK1184" t="str">
            <v>TL</v>
          </cell>
          <cell r="AL1184">
            <v>1</v>
          </cell>
          <cell r="AM1184" t="str">
            <v>8684127511476</v>
          </cell>
          <cell r="AO1184">
            <v>1.5</v>
          </cell>
          <cell r="AP1184" t="str">
            <v>KG</v>
          </cell>
          <cell r="AQ1184">
            <v>8</v>
          </cell>
          <cell r="AR1184" t="str">
            <v>CM</v>
          </cell>
          <cell r="AS1184">
            <v>13</v>
          </cell>
          <cell r="AT1184" t="str">
            <v>CM</v>
          </cell>
          <cell r="AU1184">
            <v>0</v>
          </cell>
          <cell r="AW1184">
            <v>0</v>
          </cell>
        </row>
        <row r="1185">
          <cell r="B1185" t="str">
            <v>SNC-HX-001</v>
          </cell>
          <cell r="C1185" t="str">
            <v>HX-001 ÖZEL SÜS AYDINLATMA</v>
          </cell>
          <cell r="D1185" t="str">
            <v/>
          </cell>
          <cell r="E1185" t="str">
            <v/>
          </cell>
          <cell r="F1185" t="str">
            <v>8539.52.00.00.00</v>
          </cell>
          <cell r="G1185" t="str">
            <v>AKSESUAR</v>
          </cell>
          <cell r="H1185" t="str">
            <v/>
          </cell>
          <cell r="I1185" t="str">
            <v>İÇ</v>
          </cell>
          <cell r="J1185" t="str">
            <v>AKSESUAR</v>
          </cell>
          <cell r="K1185" t="str">
            <v/>
          </cell>
          <cell r="L1185" t="str">
            <v/>
          </cell>
          <cell r="M1185" t="str">
            <v/>
          </cell>
          <cell r="N1185" t="str">
            <v/>
          </cell>
          <cell r="P1185" t="str">
            <v>ADET</v>
          </cell>
          <cell r="AF1185">
            <v>0</v>
          </cell>
          <cell r="AG1185" t="str">
            <v>ADET</v>
          </cell>
          <cell r="AL1185">
            <v>0</v>
          </cell>
          <cell r="AO1185">
            <v>0</v>
          </cell>
          <cell r="AQ1185">
            <v>0</v>
          </cell>
          <cell r="AS1185">
            <v>0</v>
          </cell>
          <cell r="AU1185">
            <v>0</v>
          </cell>
          <cell r="AW1185">
            <v>0</v>
          </cell>
        </row>
        <row r="1186">
          <cell r="B1186" t="str">
            <v>SNC-HX-004</v>
          </cell>
          <cell r="C1186" t="str">
            <v>HX-004 ÖZEL SÜS AYDINLATMA</v>
          </cell>
          <cell r="D1186" t="str">
            <v/>
          </cell>
          <cell r="E1186" t="str">
            <v/>
          </cell>
          <cell r="F1186" t="str">
            <v>8539.52.00.00.00</v>
          </cell>
          <cell r="G1186" t="str">
            <v>AKSESUAR</v>
          </cell>
          <cell r="H1186" t="str">
            <v/>
          </cell>
          <cell r="I1186" t="str">
            <v>İÇ</v>
          </cell>
          <cell r="J1186" t="str">
            <v>AKSESUAR</v>
          </cell>
          <cell r="K1186" t="str">
            <v/>
          </cell>
          <cell r="L1186" t="str">
            <v/>
          </cell>
          <cell r="M1186" t="str">
            <v/>
          </cell>
          <cell r="N1186" t="str">
            <v/>
          </cell>
          <cell r="P1186" t="str">
            <v>ADET</v>
          </cell>
          <cell r="AF1186">
            <v>0</v>
          </cell>
          <cell r="AG1186" t="str">
            <v>ADET</v>
          </cell>
          <cell r="AL1186">
            <v>0</v>
          </cell>
          <cell r="AO1186">
            <v>0</v>
          </cell>
          <cell r="AQ1186">
            <v>0</v>
          </cell>
          <cell r="AS1186">
            <v>0</v>
          </cell>
          <cell r="AU1186">
            <v>0</v>
          </cell>
          <cell r="AW1186">
            <v>0</v>
          </cell>
        </row>
        <row r="1187">
          <cell r="B1187" t="str">
            <v>DEK-HAL-0003</v>
          </cell>
          <cell r="C1187" t="str">
            <v>FELICE AYDINLATMA 2M</v>
          </cell>
          <cell r="D1187" t="str">
            <v/>
          </cell>
          <cell r="E1187" t="str">
            <v/>
          </cell>
          <cell r="F1187" t="str">
            <v>8539.52.00.00.00</v>
          </cell>
          <cell r="G1187" t="str">
            <v/>
          </cell>
          <cell r="H1187" t="str">
            <v/>
          </cell>
          <cell r="I1187" t="str">
            <v>İÇ</v>
          </cell>
          <cell r="J1187" t="str">
            <v/>
          </cell>
          <cell r="K1187" t="str">
            <v/>
          </cell>
          <cell r="L1187" t="str">
            <v/>
          </cell>
          <cell r="M1187" t="str">
            <v/>
          </cell>
          <cell r="N1187" t="str">
            <v/>
          </cell>
          <cell r="P1187" t="str">
            <v>ADET</v>
          </cell>
          <cell r="AF1187">
            <v>0</v>
          </cell>
          <cell r="AG1187" t="str">
            <v>ADET</v>
          </cell>
          <cell r="AL1187">
            <v>0</v>
          </cell>
          <cell r="AO1187">
            <v>0</v>
          </cell>
          <cell r="AQ1187">
            <v>0</v>
          </cell>
          <cell r="AS1187">
            <v>0</v>
          </cell>
          <cell r="AU1187">
            <v>0</v>
          </cell>
          <cell r="AW1187">
            <v>0</v>
          </cell>
        </row>
        <row r="1188">
          <cell r="B1188" t="str">
            <v>DEK-HAL-0005</v>
          </cell>
          <cell r="C1188" t="str">
            <v>MELSIKA AYDINLATMA</v>
          </cell>
          <cell r="D1188" t="str">
            <v/>
          </cell>
          <cell r="E1188" t="str">
            <v/>
          </cell>
          <cell r="F1188" t="str">
            <v>8539.52.00.00.00</v>
          </cell>
          <cell r="G1188" t="str">
            <v/>
          </cell>
          <cell r="H1188" t="str">
            <v/>
          </cell>
          <cell r="I1188" t="str">
            <v>İÇ</v>
          </cell>
          <cell r="J1188" t="str">
            <v/>
          </cell>
          <cell r="K1188" t="str">
            <v/>
          </cell>
          <cell r="L1188" t="str">
            <v/>
          </cell>
          <cell r="M1188" t="str">
            <v/>
          </cell>
          <cell r="N1188" t="str">
            <v/>
          </cell>
          <cell r="P1188" t="str">
            <v>ADET</v>
          </cell>
          <cell r="AF1188">
            <v>0</v>
          </cell>
          <cell r="AG1188" t="str">
            <v>ADET</v>
          </cell>
          <cell r="AL1188">
            <v>0</v>
          </cell>
          <cell r="AO1188">
            <v>0</v>
          </cell>
          <cell r="AQ1188">
            <v>0</v>
          </cell>
          <cell r="AS1188">
            <v>0</v>
          </cell>
          <cell r="AU1188">
            <v>0</v>
          </cell>
          <cell r="AW1188">
            <v>0</v>
          </cell>
        </row>
        <row r="1189">
          <cell r="B1189" t="str">
            <v>H1C6CMGBCSR-018</v>
          </cell>
          <cell r="C1189" t="str">
            <v>BUMİN ŞEFFAF AKRİLİK ALTIN ALÜMİNYUM LED SARKIT 18</v>
          </cell>
          <cell r="D1189" t="str">
            <v>BUMIN CLEAR ACRYLIC GOLD ALUMINUM LED PENDANT 18cm</v>
          </cell>
          <cell r="E1189" t="str">
            <v xml:space="preserve">ALUMİNYUM AKRİLİK GOLD ŞEFFAF   </v>
          </cell>
          <cell r="F1189" t="str">
            <v/>
          </cell>
          <cell r="G1189" t="str">
            <v>AVİZE</v>
          </cell>
          <cell r="H1189" t="str">
            <v/>
          </cell>
          <cell r="I1189" t="str">
            <v>İÇ</v>
          </cell>
          <cell r="J1189" t="str">
            <v>AVİZE.SARK</v>
          </cell>
          <cell r="K1189" t="str">
            <v>BUMİN</v>
          </cell>
          <cell r="L1189" t="str">
            <v/>
          </cell>
          <cell r="M1189" t="str">
            <v/>
          </cell>
          <cell r="N1189" t="str">
            <v>HKA-23079</v>
          </cell>
          <cell r="O1189" t="str">
            <v>HEKA</v>
          </cell>
          <cell r="P1189" t="str">
            <v>ADET</v>
          </cell>
          <cell r="Q1189" t="str">
            <v>LED</v>
          </cell>
          <cell r="R1189" t="str">
            <v>ALUMİNYUM</v>
          </cell>
          <cell r="S1189" t="str">
            <v>GOLD</v>
          </cell>
          <cell r="T1189" t="str">
            <v>AKRİLİK</v>
          </cell>
          <cell r="U1189" t="str">
            <v>ŞEFFAF</v>
          </cell>
          <cell r="AD1189" t="str">
            <v>DAİRE</v>
          </cell>
          <cell r="AE1189" t="str">
            <v>02</v>
          </cell>
          <cell r="AF1189">
            <v>33</v>
          </cell>
          <cell r="AG1189" t="str">
            <v>ADET</v>
          </cell>
          <cell r="AH1189">
            <v>100</v>
          </cell>
          <cell r="AI1189" t="str">
            <v>CNY</v>
          </cell>
          <cell r="AJ1189">
            <v>6375</v>
          </cell>
          <cell r="AK1189" t="str">
            <v>TL</v>
          </cell>
          <cell r="AL1189">
            <v>1</v>
          </cell>
          <cell r="AM1189" t="str">
            <v>8684127511209</v>
          </cell>
          <cell r="AO1189">
            <v>1.08</v>
          </cell>
          <cell r="AP1189" t="str">
            <v>KG</v>
          </cell>
          <cell r="AQ1189">
            <v>18</v>
          </cell>
          <cell r="AR1189" t="str">
            <v>CM</v>
          </cell>
          <cell r="AS1189">
            <v>18</v>
          </cell>
          <cell r="AT1189" t="str">
            <v>CM</v>
          </cell>
          <cell r="AU1189">
            <v>0</v>
          </cell>
          <cell r="AW1189">
            <v>0</v>
          </cell>
        </row>
        <row r="1190">
          <cell r="B1190" t="str">
            <v>H1C6CMGBRLR-023</v>
          </cell>
          <cell r="C1190" t="str">
            <v>BUMİN BAL AKRİLİK ALTIN ALÜMİNYUM LED SARKIT 23cm</v>
          </cell>
          <cell r="D1190" t="str">
            <v>BUMIN AMBER ACRYLIC GOLD ALUMINUM LED PENDANT 23cm</v>
          </cell>
          <cell r="E1190" t="str">
            <v>ALUMİNYUM AKRİLİK GOLD BAL</v>
          </cell>
          <cell r="F1190" t="str">
            <v/>
          </cell>
          <cell r="G1190" t="str">
            <v>AVİZE</v>
          </cell>
          <cell r="H1190" t="str">
            <v/>
          </cell>
          <cell r="I1190" t="str">
            <v>İÇ</v>
          </cell>
          <cell r="J1190" t="str">
            <v>AVİZE.SARK</v>
          </cell>
          <cell r="K1190" t="str">
            <v>BUMİN</v>
          </cell>
          <cell r="L1190" t="str">
            <v/>
          </cell>
          <cell r="M1190" t="str">
            <v/>
          </cell>
          <cell r="N1190" t="str">
            <v>HKA-23077</v>
          </cell>
          <cell r="O1190" t="str">
            <v>HEKA</v>
          </cell>
          <cell r="P1190" t="str">
            <v>ADET</v>
          </cell>
          <cell r="Q1190" t="str">
            <v>LED</v>
          </cell>
          <cell r="R1190" t="str">
            <v>ALUMİNYUM</v>
          </cell>
          <cell r="S1190" t="str">
            <v>GOLD</v>
          </cell>
          <cell r="T1190" t="str">
            <v>AKRİLİK</v>
          </cell>
          <cell r="U1190" t="str">
            <v>BAL</v>
          </cell>
          <cell r="AD1190" t="str">
            <v>DAİRE</v>
          </cell>
          <cell r="AE1190" t="str">
            <v>02</v>
          </cell>
          <cell r="AF1190">
            <v>2</v>
          </cell>
          <cell r="AG1190" t="str">
            <v>ADET</v>
          </cell>
          <cell r="AH1190">
            <v>125</v>
          </cell>
          <cell r="AI1190" t="str">
            <v>CNY</v>
          </cell>
          <cell r="AJ1190">
            <v>8475</v>
          </cell>
          <cell r="AK1190" t="str">
            <v>TL</v>
          </cell>
          <cell r="AL1190">
            <v>1</v>
          </cell>
          <cell r="AM1190" t="str">
            <v>8684127511223</v>
          </cell>
          <cell r="AO1190">
            <v>1.35</v>
          </cell>
          <cell r="AP1190" t="str">
            <v>KG</v>
          </cell>
          <cell r="AQ1190">
            <v>23</v>
          </cell>
          <cell r="AR1190" t="str">
            <v>CM</v>
          </cell>
          <cell r="AS1190">
            <v>23</v>
          </cell>
          <cell r="AT1190" t="str">
            <v>CM</v>
          </cell>
          <cell r="AU1190">
            <v>0</v>
          </cell>
          <cell r="AW1190">
            <v>0</v>
          </cell>
        </row>
        <row r="1191">
          <cell r="B1191" t="str">
            <v>H1W6JMPERFY-075</v>
          </cell>
          <cell r="C1191" t="str">
            <v>TOMRİS FÜME CAM PLATİN LED İKİ TOPLU APLİK</v>
          </cell>
          <cell r="D1191" t="str">
            <v>TOMRIS SMOKY GLASS PLATINUM DOUBLE BALLS LED WALL LAMP</v>
          </cell>
          <cell r="E1191" t="str">
            <v xml:space="preserve">METAL CAM  PLATİN FÜME   </v>
          </cell>
          <cell r="F1191" t="str">
            <v>9405.11.90.00.00</v>
          </cell>
          <cell r="G1191" t="str">
            <v>APLİK</v>
          </cell>
          <cell r="H1191" t="str">
            <v/>
          </cell>
          <cell r="I1191" t="str">
            <v>İÇ</v>
          </cell>
          <cell r="J1191" t="str">
            <v>APLİK</v>
          </cell>
          <cell r="K1191" t="str">
            <v>TOMRİS</v>
          </cell>
          <cell r="L1191" t="str">
            <v/>
          </cell>
          <cell r="M1191" t="str">
            <v/>
          </cell>
          <cell r="N1191" t="str">
            <v>HKA-23084</v>
          </cell>
          <cell r="O1191" t="str">
            <v>HEKA</v>
          </cell>
          <cell r="P1191" t="str">
            <v>ADET</v>
          </cell>
          <cell r="Q1191" t="str">
            <v>LED</v>
          </cell>
          <cell r="R1191" t="str">
            <v>METAL</v>
          </cell>
          <cell r="S1191" t="str">
            <v>PLATİN</v>
          </cell>
          <cell r="T1191" t="str">
            <v>CAM</v>
          </cell>
          <cell r="U1191" t="str">
            <v>FÜME</v>
          </cell>
          <cell r="AD1191" t="str">
            <v>KÜRE</v>
          </cell>
          <cell r="AF1191">
            <v>61</v>
          </cell>
          <cell r="AG1191" t="str">
            <v>ADET</v>
          </cell>
          <cell r="AH1191">
            <v>158</v>
          </cell>
          <cell r="AI1191" t="str">
            <v>CNY</v>
          </cell>
          <cell r="AJ1191">
            <v>11900</v>
          </cell>
          <cell r="AK1191" t="str">
            <v>TL</v>
          </cell>
          <cell r="AL1191">
            <v>1</v>
          </cell>
          <cell r="AM1191" t="str">
            <v>8684127511278</v>
          </cell>
          <cell r="AO1191">
            <v>14</v>
          </cell>
          <cell r="AP1191" t="str">
            <v>KG</v>
          </cell>
          <cell r="AQ1191">
            <v>13</v>
          </cell>
          <cell r="AR1191" t="str">
            <v>CM</v>
          </cell>
          <cell r="AS1191">
            <v>75</v>
          </cell>
          <cell r="AT1191" t="str">
            <v>CM</v>
          </cell>
          <cell r="AU1191">
            <v>0</v>
          </cell>
          <cell r="AW1191">
            <v>0</v>
          </cell>
        </row>
        <row r="1192">
          <cell r="B1192" t="str">
            <v>H1C6KMEPRBP-054</v>
          </cell>
          <cell r="C1192" t="str">
            <v>MARSİS 2 SIRALI PASLANMAZ ESKİTME SALON LED AVİZE</v>
          </cell>
          <cell r="D1192" t="str">
            <v>MARSIS TWO ROW STAINLESS BRUSHED BRASS LIVING ROOM LED CHANDELIER</v>
          </cell>
          <cell r="E1192" t="str">
            <v xml:space="preserve">PASLANMAZ SİLİKON ESKİTME BEYAZ   </v>
          </cell>
          <cell r="F1192" t="str">
            <v/>
          </cell>
          <cell r="G1192" t="str">
            <v>AVİZE</v>
          </cell>
          <cell r="H1192" t="str">
            <v/>
          </cell>
          <cell r="I1192" t="str">
            <v>İÇ</v>
          </cell>
          <cell r="J1192" t="str">
            <v>AVİZE.AVİZ</v>
          </cell>
          <cell r="K1192" t="str">
            <v>MARSİS</v>
          </cell>
          <cell r="L1192" t="str">
            <v>Y</v>
          </cell>
          <cell r="M1192" t="str">
            <v>30.01.2026</v>
          </cell>
          <cell r="N1192" t="str">
            <v>HKA-23091</v>
          </cell>
          <cell r="O1192" t="str">
            <v>HEKA</v>
          </cell>
          <cell r="P1192" t="str">
            <v>ADET</v>
          </cell>
          <cell r="Q1192" t="str">
            <v>LED</v>
          </cell>
          <cell r="R1192" t="str">
            <v>PASLANMAZ</v>
          </cell>
          <cell r="S1192" t="str">
            <v>ESKİTME</v>
          </cell>
          <cell r="T1192" t="str">
            <v>SİLİKON</v>
          </cell>
          <cell r="U1192" t="str">
            <v>BEYAZ</v>
          </cell>
          <cell r="AD1192" t="str">
            <v>POLİGONAL</v>
          </cell>
          <cell r="AF1192">
            <v>0</v>
          </cell>
          <cell r="AG1192" t="str">
            <v>ADET</v>
          </cell>
          <cell r="AH1192">
            <v>1012</v>
          </cell>
          <cell r="AI1192" t="str">
            <v>CNY</v>
          </cell>
          <cell r="AJ1192">
            <v>59200</v>
          </cell>
          <cell r="AK1192" t="str">
            <v>TL</v>
          </cell>
          <cell r="AL1192">
            <v>1</v>
          </cell>
          <cell r="AM1192" t="str">
            <v>8684127511292</v>
          </cell>
          <cell r="AO1192">
            <v>6</v>
          </cell>
          <cell r="AP1192" t="str">
            <v>KG</v>
          </cell>
          <cell r="AQ1192">
            <v>77</v>
          </cell>
          <cell r="AR1192" t="str">
            <v>CM</v>
          </cell>
          <cell r="AS1192">
            <v>54</v>
          </cell>
          <cell r="AT1192" t="str">
            <v>CM</v>
          </cell>
          <cell r="AU1192">
            <v>0</v>
          </cell>
          <cell r="AW1192">
            <v>0</v>
          </cell>
        </row>
        <row r="1193">
          <cell r="B1193" t="str">
            <v>ZCY-ERD-0763</v>
          </cell>
          <cell r="C1193" t="str">
            <v>15 LİK GRİFLİ ŞEFFAF CAM</v>
          </cell>
          <cell r="D1193" t="str">
            <v/>
          </cell>
          <cell r="E1193" t="str">
            <v/>
          </cell>
          <cell r="F1193" t="str">
            <v/>
          </cell>
          <cell r="G1193" t="str">
            <v>ZPARCA</v>
          </cell>
          <cell r="H1193" t="str">
            <v>ZCY-ERD-0760</v>
          </cell>
          <cell r="I1193" t="str">
            <v>İÇ</v>
          </cell>
          <cell r="J1193" t="str">
            <v>ZPARCA</v>
          </cell>
          <cell r="K1193" t="str">
            <v/>
          </cell>
          <cell r="L1193" t="str">
            <v/>
          </cell>
          <cell r="M1193" t="str">
            <v/>
          </cell>
          <cell r="N1193" t="str">
            <v/>
          </cell>
          <cell r="P1193" t="str">
            <v>ADET</v>
          </cell>
          <cell r="AF1193">
            <v>0</v>
          </cell>
          <cell r="AG1193" t="str">
            <v>ADET</v>
          </cell>
          <cell r="AL1193">
            <v>0</v>
          </cell>
          <cell r="AO1193">
            <v>0</v>
          </cell>
          <cell r="AQ1193">
            <v>0</v>
          </cell>
          <cell r="AS1193">
            <v>0</v>
          </cell>
          <cell r="AU1193">
            <v>0</v>
          </cell>
          <cell r="AW1193">
            <v>0</v>
          </cell>
        </row>
        <row r="1194">
          <cell r="B1194" t="str">
            <v>ZCY-ERD-0765</v>
          </cell>
          <cell r="C1194" t="str">
            <v>15 LİK GRİFLİ BAL CAM</v>
          </cell>
          <cell r="D1194" t="str">
            <v/>
          </cell>
          <cell r="E1194" t="str">
            <v/>
          </cell>
          <cell r="F1194" t="str">
            <v/>
          </cell>
          <cell r="G1194" t="str">
            <v>ZPARCA</v>
          </cell>
          <cell r="H1194" t="str">
            <v>ZCY-ERD-0760</v>
          </cell>
          <cell r="I1194" t="str">
            <v>İÇ</v>
          </cell>
          <cell r="J1194" t="str">
            <v>ZPARCA</v>
          </cell>
          <cell r="K1194" t="str">
            <v/>
          </cell>
          <cell r="L1194" t="str">
            <v/>
          </cell>
          <cell r="M1194" t="str">
            <v/>
          </cell>
          <cell r="N1194" t="str">
            <v/>
          </cell>
          <cell r="P1194" t="str">
            <v>ADET</v>
          </cell>
          <cell r="AF1194">
            <v>0</v>
          </cell>
          <cell r="AG1194" t="str">
            <v>ADET</v>
          </cell>
          <cell r="AL1194">
            <v>0</v>
          </cell>
          <cell r="AO1194">
            <v>0</v>
          </cell>
          <cell r="AQ1194">
            <v>0</v>
          </cell>
          <cell r="AS1194">
            <v>0</v>
          </cell>
          <cell r="AU1194">
            <v>0</v>
          </cell>
          <cell r="AW1194">
            <v>0</v>
          </cell>
        </row>
        <row r="1195">
          <cell r="B1195" t="str">
            <v>300-TUR-E-BALON-A-CAM</v>
          </cell>
          <cell r="C1195" t="str">
            <v>ELİPS BALON TURKUAZ  DİŞLİ APLİK CAM 30 cm</v>
          </cell>
          <cell r="D1195" t="str">
            <v>ELLIPSE BALLOON TURQUOISE TOOTHED WALL LAMP GLASS 30 cm</v>
          </cell>
          <cell r="E1195" t="str">
            <v/>
          </cell>
          <cell r="F1195" t="str">
            <v/>
          </cell>
          <cell r="G1195" t="str">
            <v>ZPARCA</v>
          </cell>
          <cell r="H1195" t="str">
            <v>150A-BAL</v>
          </cell>
          <cell r="I1195" t="str">
            <v>İÇ</v>
          </cell>
          <cell r="J1195" t="str">
            <v>ZPARCA</v>
          </cell>
          <cell r="K1195" t="str">
            <v/>
          </cell>
          <cell r="L1195" t="str">
            <v/>
          </cell>
          <cell r="M1195" t="str">
            <v/>
          </cell>
          <cell r="N1195" t="str">
            <v/>
          </cell>
          <cell r="O1195" t="str">
            <v>HEKA</v>
          </cell>
          <cell r="P1195" t="str">
            <v>ADET</v>
          </cell>
          <cell r="R1195" t="str">
            <v>CAM</v>
          </cell>
          <cell r="S1195" t="str">
            <v>ŞEFFAF</v>
          </cell>
          <cell r="AF1195">
            <v>0</v>
          </cell>
          <cell r="AG1195" t="str">
            <v>ADET</v>
          </cell>
          <cell r="AJ1195">
            <v>1250</v>
          </cell>
          <cell r="AK1195" t="str">
            <v>TL</v>
          </cell>
          <cell r="AL1195">
            <v>0</v>
          </cell>
          <cell r="AM1195" t="str">
            <v>300-TUR-E-BALON-A-CAM</v>
          </cell>
          <cell r="AO1195">
            <v>0</v>
          </cell>
          <cell r="AQ1195">
            <v>0</v>
          </cell>
          <cell r="AS1195">
            <v>0</v>
          </cell>
          <cell r="AU1195">
            <v>0</v>
          </cell>
          <cell r="AW1195">
            <v>0</v>
          </cell>
        </row>
        <row r="1196">
          <cell r="B1196" t="str">
            <v>250-SEF-E-BALON-S-CAM</v>
          </cell>
          <cell r="C1196" t="str">
            <v>ELİPS BALON  ŞEFFAF DİŞLİ SARKIT CAM 25 cm</v>
          </cell>
          <cell r="D1196" t="str">
            <v>ELLIPSE BALLOON TRANSPARENT TOOTHED PENDANT  LAMP GLASS 25 cm</v>
          </cell>
          <cell r="E1196" t="str">
            <v/>
          </cell>
          <cell r="F1196" t="str">
            <v/>
          </cell>
          <cell r="G1196" t="str">
            <v>ZPARCA</v>
          </cell>
          <cell r="H1196" t="str">
            <v>150A-BAL</v>
          </cell>
          <cell r="I1196" t="str">
            <v>İÇ</v>
          </cell>
          <cell r="J1196" t="str">
            <v>ZPARCA</v>
          </cell>
          <cell r="K1196" t="str">
            <v/>
          </cell>
          <cell r="L1196" t="str">
            <v/>
          </cell>
          <cell r="M1196" t="str">
            <v/>
          </cell>
          <cell r="N1196" t="str">
            <v/>
          </cell>
          <cell r="O1196" t="str">
            <v>HEKA</v>
          </cell>
          <cell r="P1196" t="str">
            <v>ADET</v>
          </cell>
          <cell r="R1196" t="str">
            <v>CAM</v>
          </cell>
          <cell r="S1196" t="str">
            <v>ŞEFFAF</v>
          </cell>
          <cell r="AF1196">
            <v>0</v>
          </cell>
          <cell r="AG1196" t="str">
            <v>ADET</v>
          </cell>
          <cell r="AJ1196">
            <v>875</v>
          </cell>
          <cell r="AK1196" t="str">
            <v>TL</v>
          </cell>
          <cell r="AL1196">
            <v>0</v>
          </cell>
          <cell r="AM1196" t="str">
            <v>250-SEF-E-BALON-S-CAM</v>
          </cell>
          <cell r="AO1196">
            <v>0</v>
          </cell>
          <cell r="AQ1196">
            <v>0</v>
          </cell>
          <cell r="AS1196">
            <v>0</v>
          </cell>
          <cell r="AU1196">
            <v>0</v>
          </cell>
          <cell r="AW1196">
            <v>0</v>
          </cell>
        </row>
        <row r="1197">
          <cell r="B1197" t="str">
            <v>H1C6JMEWRBD-061</v>
          </cell>
          <cell r="C1197" t="str">
            <v>TETA BEYAZ MERMERLİ ESKİTME SARKIT  25x60cm</v>
          </cell>
          <cell r="D1197" t="str">
            <v>TETA WHITE MARBLE BRUSHED BRASS PENDANT LAMP 25x60cm</v>
          </cell>
          <cell r="E1197" t="str">
            <v xml:space="preserve">METAL MERMER ESKİTME BEYAZ   </v>
          </cell>
          <cell r="F1197" t="str">
            <v/>
          </cell>
          <cell r="G1197" t="str">
            <v>AVİZE</v>
          </cell>
          <cell r="H1197" t="str">
            <v/>
          </cell>
          <cell r="I1197" t="str">
            <v>İÇ</v>
          </cell>
          <cell r="J1197" t="str">
            <v>AVİZE.SARK</v>
          </cell>
          <cell r="K1197" t="str">
            <v>TETA</v>
          </cell>
          <cell r="L1197" t="str">
            <v/>
          </cell>
          <cell r="M1197" t="str">
            <v/>
          </cell>
          <cell r="N1197" t="str">
            <v>HKA-23045</v>
          </cell>
          <cell r="O1197" t="str">
            <v>HEKA</v>
          </cell>
          <cell r="P1197" t="str">
            <v>ADET</v>
          </cell>
          <cell r="Q1197" t="str">
            <v>LED</v>
          </cell>
          <cell r="R1197" t="str">
            <v>METAL</v>
          </cell>
          <cell r="S1197" t="str">
            <v>ESKİTME</v>
          </cell>
          <cell r="T1197" t="str">
            <v>MERMER</v>
          </cell>
          <cell r="U1197" t="str">
            <v>BEYAZ</v>
          </cell>
          <cell r="AD1197" t="str">
            <v>N/A</v>
          </cell>
          <cell r="AF1197">
            <v>14</v>
          </cell>
          <cell r="AG1197" t="str">
            <v>ADET</v>
          </cell>
          <cell r="AH1197">
            <v>850</v>
          </cell>
          <cell r="AI1197" t="str">
            <v>CNY</v>
          </cell>
          <cell r="AJ1197">
            <v>69750</v>
          </cell>
          <cell r="AK1197" t="str">
            <v>TL</v>
          </cell>
          <cell r="AL1197">
            <v>0</v>
          </cell>
          <cell r="AM1197" t="str">
            <v>8684127511667</v>
          </cell>
          <cell r="AO1197">
            <v>0</v>
          </cell>
          <cell r="AQ1197">
            <v>0</v>
          </cell>
          <cell r="AS1197">
            <v>0</v>
          </cell>
          <cell r="AU1197">
            <v>0</v>
          </cell>
          <cell r="AW1197">
            <v>0</v>
          </cell>
        </row>
        <row r="1198">
          <cell r="B1198" t="str">
            <v>H1W6JMEWRBC-052</v>
          </cell>
          <cell r="C1198" t="str">
            <v>ORKOS BEYAZ MERMERLİ ESKİTME APLİK  52cm</v>
          </cell>
          <cell r="D1198" t="str">
            <v>ORKOS WHITE MARBLE BRUSHED BRASS WALL LAMP 52cm</v>
          </cell>
          <cell r="E1198" t="str">
            <v xml:space="preserve">METAL MERMER ESKİTME BEYAZ   </v>
          </cell>
          <cell r="F1198" t="str">
            <v/>
          </cell>
          <cell r="G1198" t="str">
            <v>APLİK</v>
          </cell>
          <cell r="H1198" t="str">
            <v/>
          </cell>
          <cell r="I1198" t="str">
            <v>İÇ</v>
          </cell>
          <cell r="J1198" t="str">
            <v>APLİK</v>
          </cell>
          <cell r="K1198" t="str">
            <v>ORKOS</v>
          </cell>
          <cell r="L1198" t="str">
            <v/>
          </cell>
          <cell r="M1198" t="str">
            <v>25.10.2024</v>
          </cell>
          <cell r="N1198" t="str">
            <v>HKA-23047</v>
          </cell>
          <cell r="O1198" t="str">
            <v>HEKA</v>
          </cell>
          <cell r="P1198" t="str">
            <v>ADET</v>
          </cell>
          <cell r="Q1198" t="str">
            <v>LED</v>
          </cell>
          <cell r="R1198" t="str">
            <v>METAL</v>
          </cell>
          <cell r="S1198" t="str">
            <v>ESKİTME</v>
          </cell>
          <cell r="T1198" t="str">
            <v>MERMER</v>
          </cell>
          <cell r="U1198" t="str">
            <v>BEYAZ</v>
          </cell>
          <cell r="AD1198" t="str">
            <v>DAİRE</v>
          </cell>
          <cell r="AF1198">
            <v>1</v>
          </cell>
          <cell r="AG1198" t="str">
            <v>ADET</v>
          </cell>
          <cell r="AH1198">
            <v>200</v>
          </cell>
          <cell r="AI1198" t="str">
            <v>CNY</v>
          </cell>
          <cell r="AJ1198">
            <v>16800</v>
          </cell>
          <cell r="AK1198" t="str">
            <v>TL</v>
          </cell>
          <cell r="AL1198">
            <v>0</v>
          </cell>
          <cell r="AM1198" t="str">
            <v>8684127511681</v>
          </cell>
          <cell r="AO1198">
            <v>0</v>
          </cell>
          <cell r="AQ1198">
            <v>0</v>
          </cell>
          <cell r="AS1198">
            <v>0</v>
          </cell>
          <cell r="AU1198">
            <v>0</v>
          </cell>
          <cell r="AW1198">
            <v>0</v>
          </cell>
        </row>
        <row r="1199">
          <cell r="B1199" t="str">
            <v>H1W3JMEECTY-032</v>
          </cell>
          <cell r="C1199" t="str">
            <v xml:space="preserve">MADRA İKİ OPAL CAMLI ESKİTME APLİK </v>
          </cell>
          <cell r="D1199" t="str">
            <v>MADRA DOUBLE OPAL GLASS BRUSHED BRASS WALL LAMP</v>
          </cell>
          <cell r="E1199" t="str">
            <v xml:space="preserve">METAL CAM  ESKİTME SOFT   </v>
          </cell>
          <cell r="F1199" t="str">
            <v/>
          </cell>
          <cell r="G1199" t="str">
            <v>APLİK</v>
          </cell>
          <cell r="H1199" t="str">
            <v/>
          </cell>
          <cell r="I1199" t="str">
            <v>İÇ</v>
          </cell>
          <cell r="J1199" t="str">
            <v>APLİK</v>
          </cell>
          <cell r="K1199" t="str">
            <v>MADRA</v>
          </cell>
          <cell r="L1199" t="str">
            <v>Y</v>
          </cell>
          <cell r="M1199" t="str">
            <v/>
          </cell>
          <cell r="N1199" t="str">
            <v>HKA-23065</v>
          </cell>
          <cell r="O1199" t="str">
            <v>HEKA</v>
          </cell>
          <cell r="P1199" t="str">
            <v>ADET</v>
          </cell>
          <cell r="Q1199" t="str">
            <v>G9</v>
          </cell>
          <cell r="R1199" t="str">
            <v>METAL</v>
          </cell>
          <cell r="S1199" t="str">
            <v>ESKİTME</v>
          </cell>
          <cell r="T1199" t="str">
            <v>CAM</v>
          </cell>
          <cell r="U1199" t="str">
            <v>OPAL</v>
          </cell>
          <cell r="AD1199" t="str">
            <v>KÜRE</v>
          </cell>
          <cell r="AE1199" t="str">
            <v>01</v>
          </cell>
          <cell r="AF1199">
            <v>94</v>
          </cell>
          <cell r="AG1199" t="str">
            <v>ADET</v>
          </cell>
          <cell r="AH1199">
            <v>58</v>
          </cell>
          <cell r="AI1199" t="str">
            <v>CNY</v>
          </cell>
          <cell r="AJ1199">
            <v>4600</v>
          </cell>
          <cell r="AK1199" t="str">
            <v>TL</v>
          </cell>
          <cell r="AL1199">
            <v>0</v>
          </cell>
          <cell r="AM1199" t="str">
            <v>8684127511759</v>
          </cell>
          <cell r="AO1199">
            <v>0</v>
          </cell>
          <cell r="AQ1199">
            <v>0</v>
          </cell>
          <cell r="AS1199">
            <v>0</v>
          </cell>
          <cell r="AU1199">
            <v>0</v>
          </cell>
          <cell r="AW1199">
            <v>0</v>
          </cell>
        </row>
        <row r="1200">
          <cell r="B1200" t="str">
            <v>H1C3JRSERLZ-047</v>
          </cell>
          <cell r="C1200" t="str">
            <v>AHTAPOT ONİKİ SPİRAL KOLLU SİYAH AVİZE</v>
          </cell>
          <cell r="D1200" t="str">
            <v>AHTAPOT TWELVE SPIRAL SLEEVES BLACK CHANDELIER</v>
          </cell>
          <cell r="E1200" t="str">
            <v xml:space="preserve">METAL CAM  SİYAH BAL   </v>
          </cell>
          <cell r="F1200" t="str">
            <v/>
          </cell>
          <cell r="G1200" t="str">
            <v>AVİZE</v>
          </cell>
          <cell r="H1200" t="str">
            <v/>
          </cell>
          <cell r="I1200" t="str">
            <v>AVİZE</v>
          </cell>
          <cell r="J1200" t="str">
            <v>AVİZE.SARK</v>
          </cell>
          <cell r="K1200" t="str">
            <v>AHTAPOT</v>
          </cell>
          <cell r="L1200" t="str">
            <v/>
          </cell>
          <cell r="M1200" t="str">
            <v/>
          </cell>
          <cell r="N1200" t="str">
            <v>HKA-230080</v>
          </cell>
          <cell r="O1200" t="str">
            <v>HEKA</v>
          </cell>
          <cell r="P1200" t="str">
            <v>ADET</v>
          </cell>
          <cell r="Q1200" t="str">
            <v>G9</v>
          </cell>
          <cell r="R1200" t="str">
            <v>METAL</v>
          </cell>
          <cell r="S1200" t="str">
            <v>SİYAH</v>
          </cell>
          <cell r="T1200" t="str">
            <v>CAM</v>
          </cell>
          <cell r="U1200" t="str">
            <v>BAL</v>
          </cell>
          <cell r="AD1200" t="str">
            <v>KOLLU</v>
          </cell>
          <cell r="AE1200" t="str">
            <v>12</v>
          </cell>
          <cell r="AF1200">
            <v>9</v>
          </cell>
          <cell r="AG1200" t="str">
            <v>ADET</v>
          </cell>
          <cell r="AJ1200">
            <v>10115</v>
          </cell>
          <cell r="AK1200" t="str">
            <v>TL</v>
          </cell>
          <cell r="AL1200">
            <v>1</v>
          </cell>
          <cell r="AM1200" t="str">
            <v>8684127511001</v>
          </cell>
          <cell r="AO1200">
            <v>0</v>
          </cell>
          <cell r="AQ1200">
            <v>25</v>
          </cell>
          <cell r="AR1200" t="str">
            <v>CM</v>
          </cell>
          <cell r="AS1200">
            <v>47</v>
          </cell>
          <cell r="AT1200" t="str">
            <v>CM</v>
          </cell>
          <cell r="AU1200">
            <v>0</v>
          </cell>
          <cell r="AW1200">
            <v>0</v>
          </cell>
        </row>
        <row r="1201">
          <cell r="B1201" t="str">
            <v>DEK-HAL-0006</v>
          </cell>
          <cell r="C1201" t="str">
            <v>VENEZIA AYDINLATMA</v>
          </cell>
          <cell r="D1201" t="str">
            <v/>
          </cell>
          <cell r="E1201" t="str">
            <v/>
          </cell>
          <cell r="F1201" t="str">
            <v>8539.52.00.00.00</v>
          </cell>
          <cell r="G1201" t="str">
            <v/>
          </cell>
          <cell r="H1201" t="str">
            <v/>
          </cell>
          <cell r="I1201" t="str">
            <v>İÇ</v>
          </cell>
          <cell r="J1201" t="str">
            <v/>
          </cell>
          <cell r="K1201" t="str">
            <v/>
          </cell>
          <cell r="L1201" t="str">
            <v/>
          </cell>
          <cell r="M1201" t="str">
            <v/>
          </cell>
          <cell r="N1201" t="str">
            <v/>
          </cell>
          <cell r="P1201" t="str">
            <v>ADET</v>
          </cell>
          <cell r="AF1201">
            <v>0</v>
          </cell>
          <cell r="AG1201" t="str">
            <v>ADET</v>
          </cell>
          <cell r="AL1201">
            <v>0</v>
          </cell>
          <cell r="AO1201">
            <v>0</v>
          </cell>
          <cell r="AQ1201">
            <v>0</v>
          </cell>
          <cell r="AS1201">
            <v>0</v>
          </cell>
          <cell r="AU1201">
            <v>0</v>
          </cell>
          <cell r="AW1201">
            <v>0</v>
          </cell>
        </row>
        <row r="1202">
          <cell r="B1202" t="str">
            <v>DEK-HAL-0008</v>
          </cell>
          <cell r="C1202" t="str">
            <v>YNC CAM AYDINLATMA</v>
          </cell>
          <cell r="D1202" t="str">
            <v/>
          </cell>
          <cell r="E1202" t="str">
            <v/>
          </cell>
          <cell r="F1202" t="str">
            <v>8539.52.00.00.00</v>
          </cell>
          <cell r="G1202" t="str">
            <v/>
          </cell>
          <cell r="H1202" t="str">
            <v/>
          </cell>
          <cell r="I1202" t="str">
            <v>İÇ</v>
          </cell>
          <cell r="J1202" t="str">
            <v/>
          </cell>
          <cell r="K1202" t="str">
            <v/>
          </cell>
          <cell r="L1202" t="str">
            <v/>
          </cell>
          <cell r="M1202" t="str">
            <v/>
          </cell>
          <cell r="N1202" t="str">
            <v/>
          </cell>
          <cell r="P1202" t="str">
            <v>ADET</v>
          </cell>
          <cell r="AF1202">
            <v>0</v>
          </cell>
          <cell r="AG1202" t="str">
            <v>ADET</v>
          </cell>
          <cell r="AL1202">
            <v>0</v>
          </cell>
          <cell r="AO1202">
            <v>0</v>
          </cell>
          <cell r="AQ1202">
            <v>0</v>
          </cell>
          <cell r="AS1202">
            <v>0</v>
          </cell>
          <cell r="AU1202">
            <v>0</v>
          </cell>
          <cell r="AW1202">
            <v>0</v>
          </cell>
        </row>
        <row r="1203">
          <cell r="B1203" t="str">
            <v>H1W6JMEBCSC-023</v>
          </cell>
          <cell r="C1203" t="str">
            <v>ALABANDA TEKLİ ŞEFFAF AKRİLİK ESKİTME LED APLİK</v>
          </cell>
          <cell r="D1203" t="str">
            <v>ALABANDA SİNGLE CLEAR ACRYLIC BRUSHED BRASS LED WALL LAMP</v>
          </cell>
          <cell r="E1203" t="str">
            <v xml:space="preserve">METAL AKRİLİK ESKİTME ŞEFFAF   </v>
          </cell>
          <cell r="F1203" t="str">
            <v/>
          </cell>
          <cell r="G1203" t="str">
            <v>APLİK</v>
          </cell>
          <cell r="H1203" t="str">
            <v/>
          </cell>
          <cell r="I1203" t="str">
            <v>İÇ</v>
          </cell>
          <cell r="J1203" t="str">
            <v>APLİK</v>
          </cell>
          <cell r="K1203" t="str">
            <v>ALABANDA</v>
          </cell>
          <cell r="L1203" t="str">
            <v/>
          </cell>
          <cell r="M1203" t="str">
            <v/>
          </cell>
          <cell r="N1203" t="str">
            <v>HKA-23072</v>
          </cell>
          <cell r="O1203" t="str">
            <v>HEKA</v>
          </cell>
          <cell r="P1203" t="str">
            <v>ADET</v>
          </cell>
          <cell r="Q1203" t="str">
            <v>LED</v>
          </cell>
          <cell r="R1203" t="str">
            <v>METAL</v>
          </cell>
          <cell r="S1203" t="str">
            <v>ESKİTME</v>
          </cell>
          <cell r="T1203" t="str">
            <v>AKRİLİK</v>
          </cell>
          <cell r="U1203" t="str">
            <v>ŞEFFAF</v>
          </cell>
          <cell r="AD1203" t="str">
            <v>SİLİNDİR</v>
          </cell>
          <cell r="AF1203">
            <v>51</v>
          </cell>
          <cell r="AG1203" t="str">
            <v>ADET</v>
          </cell>
          <cell r="AH1203">
            <v>45</v>
          </cell>
          <cell r="AI1203" t="str">
            <v>CNY</v>
          </cell>
          <cell r="AJ1203">
            <v>3365</v>
          </cell>
          <cell r="AK1203" t="str">
            <v>TL</v>
          </cell>
          <cell r="AL1203">
            <v>1</v>
          </cell>
          <cell r="AM1203" t="str">
            <v>8684127511155</v>
          </cell>
          <cell r="AO1203">
            <v>4.5</v>
          </cell>
          <cell r="AP1203" t="str">
            <v>KG</v>
          </cell>
          <cell r="AQ1203">
            <v>23</v>
          </cell>
          <cell r="AR1203" t="str">
            <v>CM</v>
          </cell>
          <cell r="AS1203">
            <v>6</v>
          </cell>
          <cell r="AT1203" t="str">
            <v>CM</v>
          </cell>
          <cell r="AU1203">
            <v>0</v>
          </cell>
          <cell r="AW1203">
            <v>0</v>
          </cell>
        </row>
        <row r="1204">
          <cell r="B1204" t="str">
            <v>H1W6JMEBCSC-062</v>
          </cell>
          <cell r="C1204" t="str">
            <v>ALABANDA ÜÇLÜ ŞEFFAF AKRİLİK ESKİTME LED APLİK</v>
          </cell>
          <cell r="D1204" t="str">
            <v>ALABANDA TRIPLE CLEAR ACRYLIC BRUSHED BRASS LED WALL LAMP</v>
          </cell>
          <cell r="E1204" t="str">
            <v xml:space="preserve">METAL AKRİLİK ESKİTME ŞEFFAF   </v>
          </cell>
          <cell r="F1204" t="str">
            <v/>
          </cell>
          <cell r="G1204" t="str">
            <v>APLİK</v>
          </cell>
          <cell r="H1204" t="str">
            <v/>
          </cell>
          <cell r="I1204" t="str">
            <v>İÇ</v>
          </cell>
          <cell r="J1204" t="str">
            <v>APLİK</v>
          </cell>
          <cell r="K1204" t="str">
            <v>ALABANDA</v>
          </cell>
          <cell r="L1204" t="str">
            <v/>
          </cell>
          <cell r="M1204" t="str">
            <v/>
          </cell>
          <cell r="N1204" t="str">
            <v>HKA-23074</v>
          </cell>
          <cell r="O1204" t="str">
            <v>HEKA</v>
          </cell>
          <cell r="P1204" t="str">
            <v>ADET</v>
          </cell>
          <cell r="Q1204" t="str">
            <v>LED</v>
          </cell>
          <cell r="R1204" t="str">
            <v>METAL</v>
          </cell>
          <cell r="S1204" t="str">
            <v>ESKİTME</v>
          </cell>
          <cell r="T1204" t="str">
            <v>AKRİLİK</v>
          </cell>
          <cell r="U1204" t="str">
            <v>ŞEFFAF</v>
          </cell>
          <cell r="AD1204" t="str">
            <v>SİLİNDİR</v>
          </cell>
          <cell r="AF1204">
            <v>51</v>
          </cell>
          <cell r="AG1204" t="str">
            <v>ADET</v>
          </cell>
          <cell r="AH1204">
            <v>95</v>
          </cell>
          <cell r="AI1204" t="str">
            <v>CNY</v>
          </cell>
          <cell r="AJ1204">
            <v>8950</v>
          </cell>
          <cell r="AK1204" t="str">
            <v>TL</v>
          </cell>
          <cell r="AL1204">
            <v>1</v>
          </cell>
          <cell r="AM1204" t="str">
            <v>8684127511179</v>
          </cell>
          <cell r="AO1204">
            <v>11</v>
          </cell>
          <cell r="AP1204" t="str">
            <v>KG</v>
          </cell>
          <cell r="AQ1204">
            <v>62</v>
          </cell>
          <cell r="AR1204" t="str">
            <v>CM</v>
          </cell>
          <cell r="AS1204">
            <v>6</v>
          </cell>
          <cell r="AT1204" t="str">
            <v>CM</v>
          </cell>
          <cell r="AU1204">
            <v>0</v>
          </cell>
          <cell r="AW1204">
            <v>0</v>
          </cell>
        </row>
        <row r="1205">
          <cell r="B1205" t="str">
            <v>H1W6KMEPRBP-038</v>
          </cell>
          <cell r="C1205" t="str">
            <v>MARSİS PASLANMAZ ESKİTME KÜÇÜK LED APLİK</v>
          </cell>
          <cell r="D1205" t="str">
            <v>MARSIS STAINLESS BRUSHED BRASS SMALL LED WALL LAMP</v>
          </cell>
          <cell r="E1205" t="str">
            <v xml:space="preserve">PASLANMAZ SİLİKON ESKİTME BEYAZ   </v>
          </cell>
          <cell r="F1205" t="str">
            <v/>
          </cell>
          <cell r="G1205" t="str">
            <v>APLİK</v>
          </cell>
          <cell r="H1205" t="str">
            <v/>
          </cell>
          <cell r="I1205" t="str">
            <v>İÇ</v>
          </cell>
          <cell r="J1205" t="str">
            <v>APLİK</v>
          </cell>
          <cell r="K1205" t="str">
            <v>MARSİS</v>
          </cell>
          <cell r="L1205" t="str">
            <v/>
          </cell>
          <cell r="M1205" t="str">
            <v>28.02.2026</v>
          </cell>
          <cell r="N1205" t="str">
            <v>HKA-23094</v>
          </cell>
          <cell r="O1205" t="str">
            <v>HEKA</v>
          </cell>
          <cell r="P1205" t="str">
            <v>ADET</v>
          </cell>
          <cell r="Q1205" t="str">
            <v>LED</v>
          </cell>
          <cell r="R1205" t="str">
            <v>PASLANMAZ</v>
          </cell>
          <cell r="S1205" t="str">
            <v>ESKİTME</v>
          </cell>
          <cell r="T1205" t="str">
            <v>SİLİKON</v>
          </cell>
          <cell r="U1205" t="str">
            <v>BEYAZ</v>
          </cell>
          <cell r="AD1205" t="str">
            <v>POLİGONAL</v>
          </cell>
          <cell r="AF1205">
            <v>39</v>
          </cell>
          <cell r="AG1205" t="str">
            <v>ADET</v>
          </cell>
          <cell r="AH1205">
            <v>450</v>
          </cell>
          <cell r="AI1205" t="str">
            <v>CNY</v>
          </cell>
          <cell r="AJ1205">
            <v>25200</v>
          </cell>
          <cell r="AK1205" t="str">
            <v>TL</v>
          </cell>
          <cell r="AL1205">
            <v>1</v>
          </cell>
          <cell r="AM1205" t="str">
            <v>8684127511322</v>
          </cell>
          <cell r="AO1205">
            <v>2.2000000000000002</v>
          </cell>
          <cell r="AP1205" t="str">
            <v>KG</v>
          </cell>
          <cell r="AQ1205">
            <v>56</v>
          </cell>
          <cell r="AR1205" t="str">
            <v>CM</v>
          </cell>
          <cell r="AS1205">
            <v>9.5</v>
          </cell>
          <cell r="AT1205" t="str">
            <v>CM</v>
          </cell>
          <cell r="AU1205">
            <v>0</v>
          </cell>
          <cell r="AW1205">
            <v>0</v>
          </cell>
        </row>
        <row r="1206">
          <cell r="B1206" t="str">
            <v>1YC4YGCT000-015</v>
          </cell>
          <cell r="C1206" t="str">
            <v>DİŞLİ SOFT AVİZE CAMI 15 cm</v>
          </cell>
          <cell r="D1206" t="str">
            <v>THREADED OPAL CHANDELIER GLASS 15 cm</v>
          </cell>
          <cell r="E1206" t="str">
            <v/>
          </cell>
          <cell r="F1206" t="str">
            <v/>
          </cell>
          <cell r="G1206" t="str">
            <v>ZPARCA</v>
          </cell>
          <cell r="H1206" t="str">
            <v>200A-BAL</v>
          </cell>
          <cell r="I1206" t="str">
            <v>İÇ</v>
          </cell>
          <cell r="J1206" t="str">
            <v>ZPARCA</v>
          </cell>
          <cell r="K1206" t="str">
            <v/>
          </cell>
          <cell r="L1206" t="str">
            <v/>
          </cell>
          <cell r="M1206" t="str">
            <v/>
          </cell>
          <cell r="N1206" t="str">
            <v/>
          </cell>
          <cell r="O1206" t="str">
            <v>HEKA</v>
          </cell>
          <cell r="P1206" t="str">
            <v>ADET</v>
          </cell>
          <cell r="R1206" t="str">
            <v>CAM</v>
          </cell>
          <cell r="S1206" t="str">
            <v>OPAL</v>
          </cell>
          <cell r="AD1206" t="str">
            <v>KÜRE</v>
          </cell>
          <cell r="AF1206">
            <v>0</v>
          </cell>
          <cell r="AG1206" t="str">
            <v>ADET</v>
          </cell>
          <cell r="AH1206">
            <v>6.3</v>
          </cell>
          <cell r="AI1206" t="str">
            <v>CNY</v>
          </cell>
          <cell r="AJ1206">
            <v>120</v>
          </cell>
          <cell r="AK1206" t="str">
            <v>TL</v>
          </cell>
          <cell r="AL1206">
            <v>1</v>
          </cell>
          <cell r="AO1206">
            <v>0</v>
          </cell>
          <cell r="AQ1206">
            <v>10</v>
          </cell>
          <cell r="AR1206" t="str">
            <v>CM</v>
          </cell>
          <cell r="AS1206">
            <v>10</v>
          </cell>
          <cell r="AT1206" t="str">
            <v>CM</v>
          </cell>
          <cell r="AU1206">
            <v>0</v>
          </cell>
          <cell r="AW1206">
            <v>0</v>
          </cell>
        </row>
        <row r="1207">
          <cell r="B1207" t="str">
            <v>H1W3JRSECT0-090</v>
          </cell>
          <cell r="C1207" t="str">
            <v>PONTUS ALTI CAMLI SİYAH APLİK</v>
          </cell>
          <cell r="D1207" t="str">
            <v>PONTUS 6 GLASS BLACK WALL LAMP</v>
          </cell>
          <cell r="E1207" t="str">
            <v>METAL CAM SİYAH SOFT</v>
          </cell>
          <cell r="F1207" t="str">
            <v>9405.19.90.00.00</v>
          </cell>
          <cell r="G1207" t="str">
            <v>APLİK</v>
          </cell>
          <cell r="H1207" t="str">
            <v>H1W3112100-06</v>
          </cell>
          <cell r="I1207" t="str">
            <v>İÇ</v>
          </cell>
          <cell r="J1207" t="str">
            <v>APLİK</v>
          </cell>
          <cell r="K1207" t="str">
            <v>PONTUS</v>
          </cell>
          <cell r="L1207" t="str">
            <v/>
          </cell>
          <cell r="M1207" t="str">
            <v>ÜRTM:15GÜN</v>
          </cell>
          <cell r="N1207" t="str">
            <v>HK20037-S</v>
          </cell>
          <cell r="O1207" t="str">
            <v>HEKA</v>
          </cell>
          <cell r="P1207" t="str">
            <v>ADET</v>
          </cell>
          <cell r="Q1207" t="str">
            <v>G9</v>
          </cell>
          <cell r="R1207" t="str">
            <v>METAL</v>
          </cell>
          <cell r="S1207" t="str">
            <v>SİYAH</v>
          </cell>
          <cell r="T1207" t="str">
            <v>CAM</v>
          </cell>
          <cell r="U1207" t="str">
            <v>SOFT</v>
          </cell>
          <cell r="AD1207" t="str">
            <v>N/A</v>
          </cell>
          <cell r="AE1207" t="str">
            <v>07</v>
          </cell>
          <cell r="AF1207">
            <v>0</v>
          </cell>
          <cell r="AG1207" t="str">
            <v>ADET</v>
          </cell>
          <cell r="AH1207">
            <v>800</v>
          </cell>
          <cell r="AI1207" t="str">
            <v>TL</v>
          </cell>
          <cell r="AJ1207">
            <v>2950</v>
          </cell>
          <cell r="AK1207" t="str">
            <v>TL</v>
          </cell>
          <cell r="AL1207">
            <v>1</v>
          </cell>
          <cell r="AO1207">
            <v>0</v>
          </cell>
          <cell r="AQ1207">
            <v>90</v>
          </cell>
          <cell r="AR1207" t="str">
            <v>CM</v>
          </cell>
          <cell r="AS1207">
            <v>19</v>
          </cell>
          <cell r="AT1207" t="str">
            <v>CM</v>
          </cell>
          <cell r="AU1207">
            <v>0</v>
          </cell>
          <cell r="AW1207">
            <v>0</v>
          </cell>
        </row>
        <row r="1208">
          <cell r="B1208" t="str">
            <v>H1W3JMEWRBC-055</v>
          </cell>
          <cell r="C1208" t="str">
            <v>KATUN İKİLİ BEYAZ MERMER  ESKİTME APLİK</v>
          </cell>
          <cell r="D1208" t="str">
            <v>KATUN DOUBLE WHITE MARBLE BURSHED BRASS WALL LAMP</v>
          </cell>
          <cell r="E1208" t="str">
            <v xml:space="preserve">METAL MERMER ESKİTME BEYAZ   </v>
          </cell>
          <cell r="F1208" t="str">
            <v/>
          </cell>
          <cell r="G1208" t="str">
            <v>APLİK</v>
          </cell>
          <cell r="H1208" t="str">
            <v/>
          </cell>
          <cell r="I1208" t="str">
            <v>İÇ</v>
          </cell>
          <cell r="J1208" t="str">
            <v>APLİK</v>
          </cell>
          <cell r="K1208" t="str">
            <v>KATUN</v>
          </cell>
          <cell r="L1208" t="str">
            <v>Y</v>
          </cell>
          <cell r="M1208" t="str">
            <v>28.02.2026</v>
          </cell>
          <cell r="N1208" t="str">
            <v>HKA-23016</v>
          </cell>
          <cell r="O1208" t="str">
            <v>HEKA</v>
          </cell>
          <cell r="P1208" t="str">
            <v>ADET</v>
          </cell>
          <cell r="Q1208" t="str">
            <v>G9</v>
          </cell>
          <cell r="R1208" t="str">
            <v>METAL</v>
          </cell>
          <cell r="S1208" t="str">
            <v>ESKİTME</v>
          </cell>
          <cell r="T1208" t="str">
            <v>MERMER</v>
          </cell>
          <cell r="U1208" t="str">
            <v>BEYAZ</v>
          </cell>
          <cell r="AD1208" t="str">
            <v>SİLİNDİR</v>
          </cell>
          <cell r="AF1208">
            <v>7</v>
          </cell>
          <cell r="AG1208" t="str">
            <v>ADET</v>
          </cell>
          <cell r="AH1208">
            <v>295</v>
          </cell>
          <cell r="AI1208" t="str">
            <v>CNY</v>
          </cell>
          <cell r="AJ1208">
            <v>23570</v>
          </cell>
          <cell r="AK1208" t="str">
            <v>TL</v>
          </cell>
          <cell r="AL1208">
            <v>1</v>
          </cell>
          <cell r="AM1208" t="str">
            <v>8684127511469</v>
          </cell>
          <cell r="AO1208">
            <v>3.1</v>
          </cell>
          <cell r="AP1208" t="str">
            <v>KG</v>
          </cell>
          <cell r="AQ1208">
            <v>18</v>
          </cell>
          <cell r="AR1208" t="str">
            <v>CM</v>
          </cell>
          <cell r="AS1208">
            <v>18</v>
          </cell>
          <cell r="AT1208" t="str">
            <v>CM</v>
          </cell>
          <cell r="AU1208">
            <v>0</v>
          </cell>
          <cell r="AW1208">
            <v>0</v>
          </cell>
        </row>
        <row r="1209">
          <cell r="B1209" t="str">
            <v>H1W3JMEWRBY-016</v>
          </cell>
          <cell r="C1209" t="str">
            <v>MEİSSA  BEYAZ MERMER  ESKİTME APLİK 16cm</v>
          </cell>
          <cell r="D1209" t="str">
            <v>MEISSA WHITE MARBLE BURSHED BRASS WALL LAMP 16 cm</v>
          </cell>
          <cell r="E1209" t="str">
            <v xml:space="preserve">METAL MERMER ESKİTME BEYAZ   </v>
          </cell>
          <cell r="F1209" t="str">
            <v>9405.19.90.00.00</v>
          </cell>
          <cell r="G1209" t="str">
            <v>APLİK</v>
          </cell>
          <cell r="H1209" t="str">
            <v/>
          </cell>
          <cell r="I1209" t="str">
            <v>İÇ</v>
          </cell>
          <cell r="J1209" t="str">
            <v>APLİK</v>
          </cell>
          <cell r="K1209" t="str">
            <v>MEİSSA</v>
          </cell>
          <cell r="L1209" t="str">
            <v>Y</v>
          </cell>
          <cell r="M1209" t="str">
            <v/>
          </cell>
          <cell r="N1209" t="str">
            <v>HKA-23022</v>
          </cell>
          <cell r="O1209" t="str">
            <v>HEKA</v>
          </cell>
          <cell r="P1209" t="str">
            <v>ADET</v>
          </cell>
          <cell r="Q1209" t="str">
            <v>G9</v>
          </cell>
          <cell r="R1209" t="str">
            <v>METAL</v>
          </cell>
          <cell r="S1209" t="str">
            <v>ESKİTME</v>
          </cell>
          <cell r="T1209" t="str">
            <v>MERMER</v>
          </cell>
          <cell r="U1209" t="str">
            <v>BEYAZ</v>
          </cell>
          <cell r="AD1209" t="str">
            <v>KÜRE</v>
          </cell>
          <cell r="AE1209" t="str">
            <v>01</v>
          </cell>
          <cell r="AF1209">
            <v>49</v>
          </cell>
          <cell r="AG1209" t="str">
            <v>ADET</v>
          </cell>
          <cell r="AH1209">
            <v>160</v>
          </cell>
          <cell r="AI1209" t="str">
            <v>CNY</v>
          </cell>
          <cell r="AJ1209">
            <v>13440</v>
          </cell>
          <cell r="AK1209" t="str">
            <v>TL</v>
          </cell>
          <cell r="AL1209">
            <v>1</v>
          </cell>
          <cell r="AM1209" t="str">
            <v>8684127511483</v>
          </cell>
          <cell r="AO1209">
            <v>2.2000000000000002</v>
          </cell>
          <cell r="AP1209" t="str">
            <v>KG</v>
          </cell>
          <cell r="AQ1209">
            <v>8</v>
          </cell>
          <cell r="AR1209" t="str">
            <v>CM</v>
          </cell>
          <cell r="AS1209">
            <v>16</v>
          </cell>
          <cell r="AT1209" t="str">
            <v>CM</v>
          </cell>
          <cell r="AU1209">
            <v>0</v>
          </cell>
          <cell r="AW1209">
            <v>0</v>
          </cell>
        </row>
        <row r="1210">
          <cell r="B1210" t="str">
            <v>H1C6JMEWRBD-040</v>
          </cell>
          <cell r="C1210" t="str">
            <v>GAMA BEYAZ MERMERLİ ESKİTME SARKIT  20x40cm</v>
          </cell>
          <cell r="D1210" t="str">
            <v>GAMA WHITE MARBLE BRUSHED BRASS PENDANT LAMP 20x40cm</v>
          </cell>
          <cell r="E1210" t="str">
            <v xml:space="preserve">METAL MERMER ESKİTME BEYAZ   </v>
          </cell>
          <cell r="F1210" t="str">
            <v>9405.11.90.00.00</v>
          </cell>
          <cell r="G1210" t="str">
            <v>AVİZE</v>
          </cell>
          <cell r="H1210" t="str">
            <v/>
          </cell>
          <cell r="I1210" t="str">
            <v>İÇ</v>
          </cell>
          <cell r="J1210" t="str">
            <v>AVİZE.SARK</v>
          </cell>
          <cell r="K1210" t="str">
            <v>GAMA</v>
          </cell>
          <cell r="L1210" t="str">
            <v/>
          </cell>
          <cell r="M1210" t="str">
            <v/>
          </cell>
          <cell r="N1210" t="str">
            <v>HKA-23042</v>
          </cell>
          <cell r="O1210" t="str">
            <v>HEKA</v>
          </cell>
          <cell r="P1210" t="str">
            <v>ADET</v>
          </cell>
          <cell r="Q1210" t="str">
            <v>LED</v>
          </cell>
          <cell r="R1210" t="str">
            <v>METAL</v>
          </cell>
          <cell r="S1210" t="str">
            <v>ESKİTME</v>
          </cell>
          <cell r="T1210" t="str">
            <v>MERMER</v>
          </cell>
          <cell r="U1210" t="str">
            <v>BEYAZ</v>
          </cell>
          <cell r="AD1210" t="str">
            <v>N/A</v>
          </cell>
          <cell r="AF1210">
            <v>7</v>
          </cell>
          <cell r="AG1210" t="str">
            <v>ADET</v>
          </cell>
          <cell r="AH1210">
            <v>300</v>
          </cell>
          <cell r="AI1210" t="str">
            <v>CNY</v>
          </cell>
          <cell r="AJ1210">
            <v>18900</v>
          </cell>
          <cell r="AK1210" t="str">
            <v>TL</v>
          </cell>
          <cell r="AL1210">
            <v>1</v>
          </cell>
          <cell r="AM1210" t="str">
            <v>8684127511636</v>
          </cell>
          <cell r="AO1210">
            <v>0</v>
          </cell>
          <cell r="AQ1210">
            <v>0</v>
          </cell>
          <cell r="AS1210">
            <v>0</v>
          </cell>
          <cell r="AU1210">
            <v>0</v>
          </cell>
          <cell r="AW1210">
            <v>0</v>
          </cell>
        </row>
        <row r="1211">
          <cell r="B1211" t="str">
            <v>H1C6JMEWRBD-041</v>
          </cell>
          <cell r="C1211" t="str">
            <v>TETA BEYAZ MERMERLİ ESKİTME SARKIT  25x40cm</v>
          </cell>
          <cell r="D1211" t="str">
            <v>TETA WHITE MARBLE BRUSHED BRASS PENDANT LAMP 25x40cm</v>
          </cell>
          <cell r="E1211" t="str">
            <v xml:space="preserve">METAL MERMER ESKİTME BEYAZ   </v>
          </cell>
          <cell r="F1211" t="str">
            <v/>
          </cell>
          <cell r="G1211" t="str">
            <v>AVİZE</v>
          </cell>
          <cell r="H1211" t="str">
            <v/>
          </cell>
          <cell r="I1211" t="str">
            <v>İÇ</v>
          </cell>
          <cell r="J1211" t="str">
            <v>AVİZE.SARK</v>
          </cell>
          <cell r="K1211" t="str">
            <v>TETA</v>
          </cell>
          <cell r="L1211" t="str">
            <v/>
          </cell>
          <cell r="M1211" t="str">
            <v/>
          </cell>
          <cell r="N1211" t="str">
            <v>HKA-23044</v>
          </cell>
          <cell r="O1211" t="str">
            <v>HEKA</v>
          </cell>
          <cell r="P1211" t="str">
            <v>ADET</v>
          </cell>
          <cell r="Q1211" t="str">
            <v>LED</v>
          </cell>
          <cell r="R1211" t="str">
            <v>METAL</v>
          </cell>
          <cell r="S1211" t="str">
            <v>ESKİTME</v>
          </cell>
          <cell r="T1211" t="str">
            <v>MERMER</v>
          </cell>
          <cell r="U1211" t="str">
            <v>BEYAZ</v>
          </cell>
          <cell r="AD1211" t="str">
            <v>N/A</v>
          </cell>
          <cell r="AF1211">
            <v>13</v>
          </cell>
          <cell r="AG1211" t="str">
            <v>ADET</v>
          </cell>
          <cell r="AH1211">
            <v>690</v>
          </cell>
          <cell r="AI1211" t="str">
            <v>CNY</v>
          </cell>
          <cell r="AJ1211">
            <v>55750</v>
          </cell>
          <cell r="AK1211" t="str">
            <v>TL</v>
          </cell>
          <cell r="AL1211">
            <v>0</v>
          </cell>
          <cell r="AM1211" t="str">
            <v>8684127511650</v>
          </cell>
          <cell r="AO1211">
            <v>0</v>
          </cell>
          <cell r="AQ1211">
            <v>0</v>
          </cell>
          <cell r="AS1211">
            <v>0</v>
          </cell>
          <cell r="AU1211">
            <v>0</v>
          </cell>
          <cell r="AW1211">
            <v>0</v>
          </cell>
        </row>
        <row r="1212">
          <cell r="B1212" t="str">
            <v>H1W6JMEECB0-024</v>
          </cell>
          <cell r="C1212" t="str">
            <v xml:space="preserve">PEDESA TEKLİ BUZLU CAM ESKİTME LED APLİK </v>
          </cell>
          <cell r="D1212" t="str">
            <v>PEDESA SINGLE FORSTED GLASS BRUSHED BRASS LED WALL LAMP</v>
          </cell>
          <cell r="E1212" t="str">
            <v xml:space="preserve">METAL CAM  ESKİTME BUZLU   </v>
          </cell>
          <cell r="F1212" t="str">
            <v/>
          </cell>
          <cell r="G1212" t="str">
            <v>APLİK</v>
          </cell>
          <cell r="H1212" t="str">
            <v/>
          </cell>
          <cell r="I1212" t="str">
            <v>İÇ</v>
          </cell>
          <cell r="J1212" t="str">
            <v>APLİK</v>
          </cell>
          <cell r="K1212" t="str">
            <v>PEDESA</v>
          </cell>
          <cell r="L1212" t="str">
            <v>Ç</v>
          </cell>
          <cell r="M1212" t="str">
            <v/>
          </cell>
          <cell r="N1212" t="str">
            <v>HKA-23068</v>
          </cell>
          <cell r="O1212" t="str">
            <v>HEKA</v>
          </cell>
          <cell r="P1212" t="str">
            <v>ADET</v>
          </cell>
          <cell r="Q1212" t="str">
            <v>LED</v>
          </cell>
          <cell r="R1212" t="str">
            <v>METAL</v>
          </cell>
          <cell r="S1212" t="str">
            <v>ESKİTME</v>
          </cell>
          <cell r="T1212" t="str">
            <v>CAM</v>
          </cell>
          <cell r="U1212" t="str">
            <v>BUZLU</v>
          </cell>
          <cell r="AD1212" t="str">
            <v>N/A</v>
          </cell>
          <cell r="AF1212">
            <v>89</v>
          </cell>
          <cell r="AG1212" t="str">
            <v>ADET</v>
          </cell>
          <cell r="AH1212">
            <v>47</v>
          </cell>
          <cell r="AI1212" t="str">
            <v>CNY</v>
          </cell>
          <cell r="AJ1212">
            <v>4300</v>
          </cell>
          <cell r="AK1212" t="str">
            <v>TL</v>
          </cell>
          <cell r="AL1212">
            <v>1</v>
          </cell>
          <cell r="AM1212" t="str">
            <v>8684127511780</v>
          </cell>
          <cell r="AO1212">
            <v>0</v>
          </cell>
          <cell r="AQ1212">
            <v>0</v>
          </cell>
          <cell r="AS1212">
            <v>0</v>
          </cell>
          <cell r="AU1212">
            <v>0</v>
          </cell>
          <cell r="AW1212">
            <v>0</v>
          </cell>
        </row>
        <row r="1213">
          <cell r="B1213" t="str">
            <v>ACFIJRSAAM1-024</v>
          </cell>
          <cell r="C1213" t="str">
            <v>PORTOBELLO 24 LÜ TYPE-C SARJ STANDI</v>
          </cell>
          <cell r="D1213" t="str">
            <v>PORTOBELLO 24-PIECE TYPE-C CHARGING STAND</v>
          </cell>
          <cell r="E1213" t="str">
            <v xml:space="preserve">METAL AHŞAP SİYAH MEŞE   </v>
          </cell>
          <cell r="F1213" t="str">
            <v/>
          </cell>
          <cell r="G1213" t="str">
            <v>AKSESUAR</v>
          </cell>
          <cell r="H1213" t="str">
            <v/>
          </cell>
          <cell r="I1213" t="str">
            <v>İÇ</v>
          </cell>
          <cell r="J1213" t="str">
            <v/>
          </cell>
          <cell r="K1213" t="str">
            <v>PORTOBELLO</v>
          </cell>
          <cell r="L1213" t="str">
            <v/>
          </cell>
          <cell r="M1213" t="str">
            <v/>
          </cell>
          <cell r="N1213" t="str">
            <v>HAA-240001</v>
          </cell>
          <cell r="P1213" t="str">
            <v>ADET</v>
          </cell>
          <cell r="R1213" t="str">
            <v>METAL</v>
          </cell>
          <cell r="S1213" t="str">
            <v>SİYAH</v>
          </cell>
          <cell r="T1213" t="str">
            <v>AHŞAP</v>
          </cell>
          <cell r="U1213" t="str">
            <v>MEŞE</v>
          </cell>
          <cell r="AE1213" t="str">
            <v>24</v>
          </cell>
          <cell r="AF1213">
            <v>1</v>
          </cell>
          <cell r="AG1213" t="str">
            <v>ADET</v>
          </cell>
          <cell r="AL1213">
            <v>0</v>
          </cell>
          <cell r="AO1213">
            <v>0</v>
          </cell>
          <cell r="AQ1213">
            <v>36</v>
          </cell>
          <cell r="AR1213" t="str">
            <v>CM</v>
          </cell>
          <cell r="AS1213">
            <v>88</v>
          </cell>
          <cell r="AT1213" t="str">
            <v>CM</v>
          </cell>
          <cell r="AU1213">
            <v>0</v>
          </cell>
          <cell r="AW1213">
            <v>0</v>
          </cell>
        </row>
        <row r="1214">
          <cell r="B1214" t="str">
            <v>H1S5JMELCT0-125</v>
          </cell>
          <cell r="C1214" t="str">
            <v>KOZA BEŞLİ ESKİTME APLİK</v>
          </cell>
          <cell r="D1214" t="str">
            <v>KOZA QUINTET BRUSHED BRASS WALL LAMP</v>
          </cell>
          <cell r="E1214" t="str">
            <v xml:space="preserve">METAL PLEKSİ KOYU ESKİTME SOFT   </v>
          </cell>
          <cell r="F1214" t="str">
            <v>9405.19.90.00.00</v>
          </cell>
          <cell r="G1214" t="str">
            <v>APLİK</v>
          </cell>
          <cell r="H1214" t="str">
            <v>T1S5A38400-04</v>
          </cell>
          <cell r="I1214" t="str">
            <v>İÇ</v>
          </cell>
          <cell r="J1214" t="str">
            <v>APLİK</v>
          </cell>
          <cell r="K1214" t="str">
            <v>KOZA</v>
          </cell>
          <cell r="L1214" t="str">
            <v/>
          </cell>
          <cell r="M1214" t="str">
            <v>30.03.2026</v>
          </cell>
          <cell r="N1214" t="str">
            <v>HKA-23018</v>
          </cell>
          <cell r="O1214" t="str">
            <v>HEKA</v>
          </cell>
          <cell r="P1214" t="str">
            <v>ADET</v>
          </cell>
          <cell r="Q1214" t="str">
            <v>GU10</v>
          </cell>
          <cell r="R1214" t="str">
            <v>METAL</v>
          </cell>
          <cell r="S1214" t="str">
            <v>KOYU ESKİTME</v>
          </cell>
          <cell r="T1214" t="str">
            <v>PLEKSİ</v>
          </cell>
          <cell r="U1214" t="str">
            <v>SOFT</v>
          </cell>
          <cell r="AD1214" t="str">
            <v>N/A</v>
          </cell>
          <cell r="AE1214" t="str">
            <v>05</v>
          </cell>
          <cell r="AF1214">
            <v>0</v>
          </cell>
          <cell r="AG1214" t="str">
            <v>ADET</v>
          </cell>
          <cell r="AH1214">
            <v>86</v>
          </cell>
          <cell r="AI1214" t="str">
            <v>CNY</v>
          </cell>
          <cell r="AJ1214">
            <v>8568</v>
          </cell>
          <cell r="AK1214" t="str">
            <v>TL</v>
          </cell>
          <cell r="AL1214">
            <v>1</v>
          </cell>
          <cell r="AM1214" t="str">
            <v>8684127510967</v>
          </cell>
          <cell r="AO1214">
            <v>0</v>
          </cell>
          <cell r="AQ1214">
            <v>12</v>
          </cell>
          <cell r="AR1214" t="str">
            <v>CM</v>
          </cell>
          <cell r="AS1214">
            <v>22</v>
          </cell>
          <cell r="AT1214" t="str">
            <v>CM</v>
          </cell>
          <cell r="AU1214">
            <v>0</v>
          </cell>
          <cell r="AW1214">
            <v>0</v>
          </cell>
        </row>
        <row r="1215">
          <cell r="B1215" t="str">
            <v>SNC-HX-003</v>
          </cell>
          <cell r="C1215" t="str">
            <v>HX-003 ÖZEL SÜS AYDINLATMA</v>
          </cell>
          <cell r="D1215" t="str">
            <v/>
          </cell>
          <cell r="E1215" t="str">
            <v/>
          </cell>
          <cell r="F1215" t="str">
            <v>8539.52.00.00.00</v>
          </cell>
          <cell r="G1215" t="str">
            <v>AKSESUAR</v>
          </cell>
          <cell r="H1215" t="str">
            <v/>
          </cell>
          <cell r="I1215" t="str">
            <v>İÇ</v>
          </cell>
          <cell r="J1215" t="str">
            <v>AKSESUAR</v>
          </cell>
          <cell r="K1215" t="str">
            <v/>
          </cell>
          <cell r="L1215" t="str">
            <v/>
          </cell>
          <cell r="M1215" t="str">
            <v/>
          </cell>
          <cell r="N1215" t="str">
            <v/>
          </cell>
          <cell r="P1215" t="str">
            <v>ADET</v>
          </cell>
          <cell r="AF1215">
            <v>-5</v>
          </cell>
          <cell r="AG1215" t="str">
            <v>ADET</v>
          </cell>
          <cell r="AL1215">
            <v>0</v>
          </cell>
          <cell r="AO1215">
            <v>0</v>
          </cell>
          <cell r="AQ1215">
            <v>0</v>
          </cell>
          <cell r="AS1215">
            <v>0</v>
          </cell>
          <cell r="AU1215">
            <v>0</v>
          </cell>
          <cell r="AW1215">
            <v>0</v>
          </cell>
        </row>
        <row r="1216">
          <cell r="B1216" t="str">
            <v>DEK-HAL-0002</v>
          </cell>
          <cell r="C1216" t="str">
            <v>VALENCIA AYDINLATMA</v>
          </cell>
          <cell r="D1216" t="str">
            <v/>
          </cell>
          <cell r="E1216" t="str">
            <v/>
          </cell>
          <cell r="F1216" t="str">
            <v>8539.52.00.00.00</v>
          </cell>
          <cell r="G1216" t="str">
            <v/>
          </cell>
          <cell r="H1216" t="str">
            <v/>
          </cell>
          <cell r="I1216" t="str">
            <v>İÇ</v>
          </cell>
          <cell r="J1216" t="str">
            <v/>
          </cell>
          <cell r="K1216" t="str">
            <v/>
          </cell>
          <cell r="L1216" t="str">
            <v/>
          </cell>
          <cell r="M1216" t="str">
            <v/>
          </cell>
          <cell r="N1216" t="str">
            <v/>
          </cell>
          <cell r="P1216" t="str">
            <v>ADET</v>
          </cell>
          <cell r="AF1216">
            <v>0</v>
          </cell>
          <cell r="AG1216" t="str">
            <v>ADET</v>
          </cell>
          <cell r="AL1216">
            <v>0</v>
          </cell>
          <cell r="AO1216">
            <v>0</v>
          </cell>
          <cell r="AQ1216">
            <v>0</v>
          </cell>
          <cell r="AS1216">
            <v>0</v>
          </cell>
          <cell r="AU1216">
            <v>0</v>
          </cell>
          <cell r="AW1216">
            <v>0</v>
          </cell>
        </row>
        <row r="1217">
          <cell r="B1217" t="str">
            <v>H1F6JMEECSM-120</v>
          </cell>
          <cell r="C1217" t="str">
            <v>OMEGA İKİ ŞEFFAF CAMLI ESKİTME LAMBADER</v>
          </cell>
          <cell r="D1217" t="str">
            <v>OMEGA DOUBLE TRANSPARENT GLASS BRUSHED BRASS FLOOR LAMP</v>
          </cell>
          <cell r="E1217" t="str">
            <v>METAL CAM ESKİTME ŞEFFAF</v>
          </cell>
          <cell r="F1217" t="str">
            <v>9405.19.90.00.00</v>
          </cell>
          <cell r="G1217" t="str">
            <v>LAMBADER</v>
          </cell>
          <cell r="H1217" t="str">
            <v>T1W3116200-31</v>
          </cell>
          <cell r="I1217" t="str">
            <v>İÇ</v>
          </cell>
          <cell r="J1217" t="str">
            <v>LAMBADER</v>
          </cell>
          <cell r="K1217" t="str">
            <v>OMEGA</v>
          </cell>
          <cell r="L1217" t="str">
            <v/>
          </cell>
          <cell r="M1217" t="str">
            <v/>
          </cell>
          <cell r="N1217" t="str">
            <v>HKA-23004</v>
          </cell>
          <cell r="O1217" t="str">
            <v>HEKA</v>
          </cell>
          <cell r="P1217" t="str">
            <v>ADET</v>
          </cell>
          <cell r="Q1217" t="str">
            <v>LED</v>
          </cell>
          <cell r="R1217" t="str">
            <v>METAL</v>
          </cell>
          <cell r="S1217" t="str">
            <v>ESKİTME</v>
          </cell>
          <cell r="T1217" t="str">
            <v>CAM</v>
          </cell>
          <cell r="U1217" t="str">
            <v>ŞEFFAF</v>
          </cell>
          <cell r="AD1217" t="str">
            <v>ÇİFT AYDINLATMA</v>
          </cell>
          <cell r="AE1217" t="str">
            <v>03</v>
          </cell>
          <cell r="AF1217">
            <v>1</v>
          </cell>
          <cell r="AG1217" t="str">
            <v>ADET</v>
          </cell>
          <cell r="AH1217">
            <v>300</v>
          </cell>
          <cell r="AI1217" t="str">
            <v>CNY</v>
          </cell>
          <cell r="AJ1217">
            <v>17340</v>
          </cell>
          <cell r="AK1217" t="str">
            <v>TL</v>
          </cell>
          <cell r="AL1217">
            <v>1</v>
          </cell>
          <cell r="AM1217" t="str">
            <v>8684127511056 </v>
          </cell>
          <cell r="AO1217">
            <v>6.2</v>
          </cell>
          <cell r="AP1217" t="str">
            <v>KG</v>
          </cell>
          <cell r="AQ1217">
            <v>24</v>
          </cell>
          <cell r="AR1217" t="str">
            <v>CM</v>
          </cell>
          <cell r="AS1217">
            <v>10</v>
          </cell>
          <cell r="AT1217" t="str">
            <v>CM</v>
          </cell>
          <cell r="AU1217">
            <v>0</v>
          </cell>
          <cell r="AW1217">
            <v>0</v>
          </cell>
        </row>
        <row r="1218">
          <cell r="B1218" t="str">
            <v>H1C6JMGBCS0-043</v>
          </cell>
          <cell r="C1218" t="str">
            <v>CARİNA TEKLİ BASIK ŞEFFAF AKRİLİK ALTIN SARKIT 40c</v>
          </cell>
          <cell r="D1218" t="str">
            <v>CARİNA SINGLE FLATTENED CLEAR ACRYLIC GOLD PENDANT LAMP 40cm</v>
          </cell>
          <cell r="E1218" t="str">
            <v xml:space="preserve">METAL AKRİLİK GOLD ŞEFFAF   </v>
          </cell>
          <cell r="F1218" t="str">
            <v>9405.11.90.00.00</v>
          </cell>
          <cell r="G1218" t="str">
            <v>AVİZE</v>
          </cell>
          <cell r="H1218" t="str">
            <v>T1A6241100-03</v>
          </cell>
          <cell r="I1218" t="str">
            <v>İÇ</v>
          </cell>
          <cell r="J1218" t="str">
            <v>AVİZE.SARK</v>
          </cell>
          <cell r="K1218" t="str">
            <v>CARİNA</v>
          </cell>
          <cell r="L1218" t="str">
            <v/>
          </cell>
          <cell r="M1218" t="str">
            <v/>
          </cell>
          <cell r="N1218" t="str">
            <v>HKA-23013</v>
          </cell>
          <cell r="O1218" t="str">
            <v>HEKA</v>
          </cell>
          <cell r="P1218" t="str">
            <v>ADET</v>
          </cell>
          <cell r="Q1218" t="str">
            <v>LED</v>
          </cell>
          <cell r="R1218" t="str">
            <v>METAL</v>
          </cell>
          <cell r="S1218" t="str">
            <v>GOLD</v>
          </cell>
          <cell r="T1218" t="str">
            <v>AKRİLİK</v>
          </cell>
          <cell r="U1218" t="str">
            <v>ŞEFFAF</v>
          </cell>
          <cell r="AD1218" t="str">
            <v>N/A</v>
          </cell>
          <cell r="AF1218">
            <v>17</v>
          </cell>
          <cell r="AG1218" t="str">
            <v>ADET</v>
          </cell>
          <cell r="AH1218">
            <v>405</v>
          </cell>
          <cell r="AI1218" t="str">
            <v>CNY</v>
          </cell>
          <cell r="AJ1218">
            <v>22750</v>
          </cell>
          <cell r="AK1218" t="str">
            <v>TL</v>
          </cell>
          <cell r="AL1218">
            <v>1</v>
          </cell>
          <cell r="AM1218" t="str">
            <v>8684127511124</v>
          </cell>
          <cell r="AO1218">
            <v>2.5</v>
          </cell>
          <cell r="AP1218" t="str">
            <v>KG</v>
          </cell>
          <cell r="AQ1218">
            <v>500</v>
          </cell>
          <cell r="AR1218" t="str">
            <v>CM</v>
          </cell>
          <cell r="AS1218">
            <v>43</v>
          </cell>
          <cell r="AT1218" t="str">
            <v>CM</v>
          </cell>
          <cell r="AU1218">
            <v>0</v>
          </cell>
          <cell r="AW1218">
            <v>0</v>
          </cell>
        </row>
        <row r="1219">
          <cell r="B1219" t="str">
            <v>H1C6CMGBCSR-023</v>
          </cell>
          <cell r="C1219" t="str">
            <v>BUMİN ŞEFFAF AKRİLİK ALTIN ALÜMİNYUM LED SARKIT 23</v>
          </cell>
          <cell r="D1219" t="str">
            <v>BUMIN CLEAR ACRYLIC GOLD ALUMINUM LED PENDANT 23cm</v>
          </cell>
          <cell r="E1219" t="str">
            <v xml:space="preserve">ALUMİNYUM AKRİLİK GOLD ŞEFFAF   </v>
          </cell>
          <cell r="F1219" t="str">
            <v/>
          </cell>
          <cell r="G1219" t="str">
            <v>AVİZE</v>
          </cell>
          <cell r="H1219" t="str">
            <v/>
          </cell>
          <cell r="I1219" t="str">
            <v>İÇ</v>
          </cell>
          <cell r="J1219" t="str">
            <v>AVİZE.SARK</v>
          </cell>
          <cell r="K1219" t="str">
            <v>BUMİN</v>
          </cell>
          <cell r="L1219" t="str">
            <v/>
          </cell>
          <cell r="M1219" t="str">
            <v/>
          </cell>
          <cell r="N1219" t="str">
            <v>HKA-23076</v>
          </cell>
          <cell r="O1219" t="str">
            <v>HEKA</v>
          </cell>
          <cell r="P1219" t="str">
            <v>ADET</v>
          </cell>
          <cell r="Q1219" t="str">
            <v>LED</v>
          </cell>
          <cell r="R1219" t="str">
            <v>ALUMİNYUM</v>
          </cell>
          <cell r="S1219" t="str">
            <v>GOLD</v>
          </cell>
          <cell r="T1219" t="str">
            <v>AKRİLİK</v>
          </cell>
          <cell r="U1219" t="str">
            <v>ŞEFFAF</v>
          </cell>
          <cell r="AD1219" t="str">
            <v>DAİRE</v>
          </cell>
          <cell r="AE1219" t="str">
            <v>02</v>
          </cell>
          <cell r="AF1219">
            <v>31</v>
          </cell>
          <cell r="AG1219" t="str">
            <v>ADET</v>
          </cell>
          <cell r="AH1219">
            <v>125</v>
          </cell>
          <cell r="AI1219" t="str">
            <v>CNY</v>
          </cell>
          <cell r="AJ1219">
            <v>8475</v>
          </cell>
          <cell r="AK1219" t="str">
            <v>TL</v>
          </cell>
          <cell r="AL1219">
            <v>1</v>
          </cell>
          <cell r="AM1219" t="str">
            <v>8684127511193</v>
          </cell>
          <cell r="AO1219">
            <v>1.35</v>
          </cell>
          <cell r="AP1219" t="str">
            <v>KG</v>
          </cell>
          <cell r="AQ1219">
            <v>23</v>
          </cell>
          <cell r="AR1219" t="str">
            <v>CM</v>
          </cell>
          <cell r="AS1219">
            <v>23</v>
          </cell>
          <cell r="AT1219" t="str">
            <v>CM</v>
          </cell>
          <cell r="AU1219">
            <v>0</v>
          </cell>
          <cell r="AW1219">
            <v>0</v>
          </cell>
        </row>
        <row r="1220">
          <cell r="B1220" t="str">
            <v>H1C6KMEPRBP-070</v>
          </cell>
          <cell r="C1220" t="str">
            <v>MARSİS 3 SIRALI PASLANMAZ ESKİTME SALON LED AVİZE</v>
          </cell>
          <cell r="D1220" t="str">
            <v>MARSIS THREE ROW STAINLESS BRUSHED BRASS LIVING ROOM LED CHANDELIER</v>
          </cell>
          <cell r="E1220" t="str">
            <v xml:space="preserve">PASLANMAZ SİLİKON ESKİTME BEYAZ   </v>
          </cell>
          <cell r="F1220" t="str">
            <v/>
          </cell>
          <cell r="G1220" t="str">
            <v>AVİZE</v>
          </cell>
          <cell r="H1220" t="str">
            <v/>
          </cell>
          <cell r="I1220" t="str">
            <v>İÇ</v>
          </cell>
          <cell r="J1220" t="str">
            <v>AVİZE.AVİZ</v>
          </cell>
          <cell r="K1220" t="str">
            <v>MARSİS</v>
          </cell>
          <cell r="L1220" t="str">
            <v>Ç</v>
          </cell>
          <cell r="M1220" t="str">
            <v>30.01.2026</v>
          </cell>
          <cell r="N1220" t="str">
            <v>HKA-23092</v>
          </cell>
          <cell r="O1220" t="str">
            <v>HEKA</v>
          </cell>
          <cell r="P1220" t="str">
            <v>ADET</v>
          </cell>
          <cell r="Q1220" t="str">
            <v>LED</v>
          </cell>
          <cell r="R1220" t="str">
            <v>PASLANMAZ</v>
          </cell>
          <cell r="S1220" t="str">
            <v>ESKİTME</v>
          </cell>
          <cell r="T1220" t="str">
            <v>SİLİKON</v>
          </cell>
          <cell r="U1220" t="str">
            <v>BEYAZ</v>
          </cell>
          <cell r="AD1220" t="str">
            <v>POLİGONAL</v>
          </cell>
          <cell r="AF1220">
            <v>12</v>
          </cell>
          <cell r="AG1220" t="str">
            <v>ADET</v>
          </cell>
          <cell r="AH1220">
            <v>1656</v>
          </cell>
          <cell r="AI1220" t="str">
            <v>CNY</v>
          </cell>
          <cell r="AJ1220">
            <v>98750</v>
          </cell>
          <cell r="AK1220" t="str">
            <v>TL</v>
          </cell>
          <cell r="AL1220">
            <v>1</v>
          </cell>
          <cell r="AM1220" t="str">
            <v>8684127511308</v>
          </cell>
          <cell r="AO1220">
            <v>9</v>
          </cell>
          <cell r="AP1220" t="str">
            <v>KG</v>
          </cell>
          <cell r="AQ1220">
            <v>100</v>
          </cell>
          <cell r="AR1220" t="str">
            <v>CM</v>
          </cell>
          <cell r="AS1220">
            <v>70</v>
          </cell>
          <cell r="AT1220" t="str">
            <v>CM</v>
          </cell>
          <cell r="AU1220">
            <v>0</v>
          </cell>
          <cell r="AW1220">
            <v>0</v>
          </cell>
        </row>
        <row r="1221">
          <cell r="B1221" t="str">
            <v>CK2G5C3M2B26000</v>
          </cell>
          <cell r="C1221" t="str">
            <v>ERD-293 PERİ LED BAL CAM 3W 2200K E27 AMPUL</v>
          </cell>
          <cell r="D1221" t="str">
            <v>ERD-293 FAIRY LED AMBER GLASS 3W 2200K E27 BULB</v>
          </cell>
          <cell r="E1221" t="str">
            <v xml:space="preserve">PERİ LED METAL CAM  220v   </v>
          </cell>
          <cell r="F1221" t="str">
            <v/>
          </cell>
          <cell r="G1221" t="str">
            <v>AMPUL</v>
          </cell>
          <cell r="H1221" t="str">
            <v/>
          </cell>
          <cell r="I1221" t="str">
            <v>İÇ</v>
          </cell>
          <cell r="J1221" t="str">
            <v>AMPUL</v>
          </cell>
          <cell r="K1221" t="str">
            <v>ERD-293</v>
          </cell>
          <cell r="L1221" t="str">
            <v/>
          </cell>
          <cell r="M1221" t="str">
            <v>05.02.2024</v>
          </cell>
          <cell r="N1221" t="str">
            <v>ERD-293</v>
          </cell>
          <cell r="O1221" t="str">
            <v>HEKA</v>
          </cell>
          <cell r="P1221" t="str">
            <v>ADET</v>
          </cell>
          <cell r="Q1221" t="str">
            <v>E27</v>
          </cell>
          <cell r="R1221" t="str">
            <v>CAM</v>
          </cell>
          <cell r="S1221" t="str">
            <v>BAL</v>
          </cell>
          <cell r="T1221" t="str">
            <v>METAL</v>
          </cell>
          <cell r="V1221" t="str">
            <v>G</v>
          </cell>
          <cell r="W1221" t="str">
            <v>PERİ LED</v>
          </cell>
          <cell r="X1221" t="str">
            <v>220V</v>
          </cell>
          <cell r="Y1221" t="str">
            <v>3 WATT</v>
          </cell>
          <cell r="Z1221" t="str">
            <v>2500 K</v>
          </cell>
          <cell r="AA1221" t="str">
            <v>DIMMSIZ</v>
          </cell>
          <cell r="AB1221" t="str">
            <v>0-100</v>
          </cell>
          <cell r="AC1221" t="str">
            <v>ST64-ARMUT</v>
          </cell>
          <cell r="AF1221">
            <v>0</v>
          </cell>
          <cell r="AG1221" t="str">
            <v>ADET</v>
          </cell>
          <cell r="AH1221">
            <v>7.9</v>
          </cell>
          <cell r="AI1221" t="str">
            <v>CNY</v>
          </cell>
          <cell r="AJ1221">
            <v>199</v>
          </cell>
          <cell r="AK1221" t="str">
            <v>TL</v>
          </cell>
          <cell r="AL1221">
            <v>0</v>
          </cell>
          <cell r="AM1221" t="str">
            <v>8684127511339</v>
          </cell>
          <cell r="AO1221">
            <v>0</v>
          </cell>
          <cell r="AQ1221">
            <v>0</v>
          </cell>
          <cell r="AS1221">
            <v>0</v>
          </cell>
          <cell r="AU1221">
            <v>0</v>
          </cell>
          <cell r="AW1221">
            <v>0</v>
          </cell>
        </row>
        <row r="1222">
          <cell r="B1222" t="str">
            <v>CK2G6C1M2E3J0GD</v>
          </cell>
          <cell r="C1222" t="str">
            <v xml:space="preserve">ERD-300 ŞERİT FİLAMENT LED BAL CAM 6W 2500K E27 </v>
          </cell>
          <cell r="D1222" t="str">
            <v>ERD-300 STRIP FILAMENT LED AMBER GLASS 6W 2500K E27 BULB</v>
          </cell>
          <cell r="E1222" t="str">
            <v xml:space="preserve">ŞERİT FİLAMENT METAL CAM  220v   </v>
          </cell>
          <cell r="F1222" t="str">
            <v/>
          </cell>
          <cell r="G1222" t="str">
            <v>AMPUL</v>
          </cell>
          <cell r="H1222" t="str">
            <v/>
          </cell>
          <cell r="I1222" t="str">
            <v>İÇ</v>
          </cell>
          <cell r="J1222" t="str">
            <v>AMPUL</v>
          </cell>
          <cell r="K1222" t="str">
            <v>ERD-300</v>
          </cell>
          <cell r="L1222" t="str">
            <v/>
          </cell>
          <cell r="M1222" t="str">
            <v/>
          </cell>
          <cell r="N1222" t="str">
            <v>ERD-300</v>
          </cell>
          <cell r="O1222" t="str">
            <v>HEKA</v>
          </cell>
          <cell r="P1222" t="str">
            <v>ADET</v>
          </cell>
          <cell r="Q1222" t="str">
            <v>E27</v>
          </cell>
          <cell r="R1222" t="str">
            <v>CAM</v>
          </cell>
          <cell r="S1222" t="str">
            <v>BAL</v>
          </cell>
          <cell r="T1222" t="str">
            <v>METAL</v>
          </cell>
          <cell r="V1222" t="str">
            <v>G</v>
          </cell>
          <cell r="W1222" t="str">
            <v>ŞERİT FİLAMENT</v>
          </cell>
          <cell r="X1222" t="str">
            <v>220V</v>
          </cell>
          <cell r="Y1222" t="str">
            <v>6 WATT</v>
          </cell>
          <cell r="Z1222" t="str">
            <v>2500 K</v>
          </cell>
          <cell r="AA1222" t="str">
            <v>DIMMSIZ</v>
          </cell>
          <cell r="AB1222" t="str">
            <v>401-500</v>
          </cell>
          <cell r="AC1222" t="str">
            <v>KARMA</v>
          </cell>
          <cell r="AF1222">
            <v>105</v>
          </cell>
          <cell r="AG1222" t="str">
            <v>ADET</v>
          </cell>
          <cell r="AH1222">
            <v>49.5</v>
          </cell>
          <cell r="AI1222" t="str">
            <v>CNY</v>
          </cell>
          <cell r="AJ1222">
            <v>46</v>
          </cell>
          <cell r="AK1222" t="str">
            <v>USD</v>
          </cell>
          <cell r="AL1222">
            <v>0</v>
          </cell>
          <cell r="AM1222" t="str">
            <v>8684127511407</v>
          </cell>
          <cell r="AO1222">
            <v>0</v>
          </cell>
          <cell r="AQ1222">
            <v>0</v>
          </cell>
          <cell r="AS1222">
            <v>0</v>
          </cell>
          <cell r="AU1222">
            <v>0</v>
          </cell>
          <cell r="AW1222">
            <v>0</v>
          </cell>
        </row>
        <row r="1223">
          <cell r="B1223" t="str">
            <v>ZCY-ERD-0766</v>
          </cell>
          <cell r="C1223" t="str">
            <v>15 LİK GRİFLİ FÜME CAM</v>
          </cell>
          <cell r="D1223" t="str">
            <v/>
          </cell>
          <cell r="E1223" t="str">
            <v/>
          </cell>
          <cell r="F1223" t="str">
            <v/>
          </cell>
          <cell r="G1223" t="str">
            <v>ZPARCA</v>
          </cell>
          <cell r="H1223" t="str">
            <v>ZCY-ERD-0760</v>
          </cell>
          <cell r="I1223" t="str">
            <v>İÇ</v>
          </cell>
          <cell r="J1223" t="str">
            <v>ZPARCA</v>
          </cell>
          <cell r="K1223" t="str">
            <v/>
          </cell>
          <cell r="L1223" t="str">
            <v/>
          </cell>
          <cell r="M1223" t="str">
            <v/>
          </cell>
          <cell r="N1223" t="str">
            <v/>
          </cell>
          <cell r="P1223" t="str">
            <v>ADET</v>
          </cell>
          <cell r="AF1223">
            <v>0</v>
          </cell>
          <cell r="AG1223" t="str">
            <v>ADET</v>
          </cell>
          <cell r="AL1223">
            <v>0</v>
          </cell>
          <cell r="AO1223">
            <v>0</v>
          </cell>
          <cell r="AQ1223">
            <v>0</v>
          </cell>
          <cell r="AS1223">
            <v>0</v>
          </cell>
          <cell r="AU1223">
            <v>0</v>
          </cell>
          <cell r="AW1223">
            <v>0</v>
          </cell>
        </row>
        <row r="1224">
          <cell r="B1224" t="str">
            <v>150-SEF-E-BALON-S-CAM</v>
          </cell>
          <cell r="C1224" t="str">
            <v>ELİPS BALON  ŞEFFAF DİŞLİ SARKIT CAM 15 cm</v>
          </cell>
          <cell r="D1224" t="str">
            <v>ELLIPSE BALLOON TRANSPARENT TOOTHED PENDANT  LAMP GLASS 15 cm</v>
          </cell>
          <cell r="E1224" t="str">
            <v/>
          </cell>
          <cell r="F1224" t="str">
            <v/>
          </cell>
          <cell r="G1224" t="str">
            <v>ZPARCA</v>
          </cell>
          <cell r="H1224" t="str">
            <v>150A-BAL</v>
          </cell>
          <cell r="I1224" t="str">
            <v>İÇ</v>
          </cell>
          <cell r="J1224" t="str">
            <v>ZPARCA</v>
          </cell>
          <cell r="K1224" t="str">
            <v/>
          </cell>
          <cell r="L1224" t="str">
            <v/>
          </cell>
          <cell r="M1224" t="str">
            <v/>
          </cell>
          <cell r="N1224" t="str">
            <v/>
          </cell>
          <cell r="O1224" t="str">
            <v>HEKA</v>
          </cell>
          <cell r="P1224" t="str">
            <v>ADET</v>
          </cell>
          <cell r="R1224" t="str">
            <v>CAM</v>
          </cell>
          <cell r="S1224" t="str">
            <v>ŞEFFAF</v>
          </cell>
          <cell r="AF1224">
            <v>0</v>
          </cell>
          <cell r="AG1224" t="str">
            <v>ADET</v>
          </cell>
          <cell r="AJ1224">
            <v>600</v>
          </cell>
          <cell r="AK1224" t="str">
            <v>TL</v>
          </cell>
          <cell r="AL1224">
            <v>0</v>
          </cell>
          <cell r="AM1224" t="str">
            <v>150-SEF-E-BALON-S-CAM</v>
          </cell>
          <cell r="AO1224">
            <v>0</v>
          </cell>
          <cell r="AQ1224">
            <v>0</v>
          </cell>
          <cell r="AS1224">
            <v>0</v>
          </cell>
          <cell r="AU1224">
            <v>0</v>
          </cell>
          <cell r="AW1224">
            <v>0</v>
          </cell>
        </row>
        <row r="1225">
          <cell r="B1225" t="str">
            <v>H1W3JMEWRBE-025</v>
          </cell>
          <cell r="C1225" t="str">
            <v>SİGMA  BEYAZ MERMER  ESKİTME APLİK 25cm</v>
          </cell>
          <cell r="D1225" t="str">
            <v>SIGMA WHITE MARBLE BURSHED BRASS WALL LAMP 25 cm</v>
          </cell>
          <cell r="E1225" t="str">
            <v xml:space="preserve">METAL MERMER ESKİTME BEYAZ   </v>
          </cell>
          <cell r="F1225" t="str">
            <v>9405.19.90.00.00</v>
          </cell>
          <cell r="G1225" t="str">
            <v>APLİK</v>
          </cell>
          <cell r="H1225" t="str">
            <v/>
          </cell>
          <cell r="I1225" t="str">
            <v>İÇ</v>
          </cell>
          <cell r="J1225" t="str">
            <v>APLİK</v>
          </cell>
          <cell r="K1225" t="str">
            <v>SİGMA</v>
          </cell>
          <cell r="L1225" t="str">
            <v/>
          </cell>
          <cell r="M1225" t="str">
            <v/>
          </cell>
          <cell r="N1225" t="str">
            <v/>
          </cell>
          <cell r="O1225" t="str">
            <v>HEKA</v>
          </cell>
          <cell r="P1225" t="str">
            <v>ADET</v>
          </cell>
          <cell r="Q1225" t="str">
            <v>G9</v>
          </cell>
          <cell r="R1225" t="str">
            <v>METAL</v>
          </cell>
          <cell r="S1225" t="str">
            <v>ESKİTME</v>
          </cell>
          <cell r="T1225" t="str">
            <v>MERMER</v>
          </cell>
          <cell r="U1225" t="str">
            <v>BEYAZ</v>
          </cell>
          <cell r="AD1225" t="str">
            <v>ELİPS</v>
          </cell>
          <cell r="AE1225" t="str">
            <v>03</v>
          </cell>
          <cell r="AF1225">
            <v>0</v>
          </cell>
          <cell r="AG1225" t="str">
            <v>ADET</v>
          </cell>
          <cell r="AH1225">
            <v>250</v>
          </cell>
          <cell r="AI1225" t="str">
            <v>CNY</v>
          </cell>
          <cell r="AJ1225">
            <v>12750</v>
          </cell>
          <cell r="AK1225" t="str">
            <v>TL</v>
          </cell>
          <cell r="AL1225">
            <v>1</v>
          </cell>
          <cell r="AM1225" t="str">
            <v>8684127511490</v>
          </cell>
          <cell r="AO1225">
            <v>2</v>
          </cell>
          <cell r="AP1225" t="str">
            <v>KG</v>
          </cell>
          <cell r="AQ1225">
            <v>7</v>
          </cell>
          <cell r="AR1225" t="str">
            <v>CM</v>
          </cell>
          <cell r="AS1225">
            <v>13</v>
          </cell>
          <cell r="AT1225" t="str">
            <v>CM</v>
          </cell>
          <cell r="AU1225">
            <v>0</v>
          </cell>
          <cell r="AW1225">
            <v>0</v>
          </cell>
        </row>
        <row r="1226">
          <cell r="B1226" t="str">
            <v>1HT4RTME000-061</v>
          </cell>
          <cell r="C1226" t="str">
            <v>YUVARLAK TEPSİ ESKİTME 60cm (10 DELİKLİ MADRİD)</v>
          </cell>
          <cell r="D1226" t="str">
            <v>BRUSHED BRASS ROUND TRAY 60cm (10 HOLES FOR MADRID MODEL)</v>
          </cell>
          <cell r="E1226" t="str">
            <v>METAL ESKİTME YOK YOK</v>
          </cell>
          <cell r="F1226" t="str">
            <v/>
          </cell>
          <cell r="G1226" t="str">
            <v>TEPSİ</v>
          </cell>
          <cell r="H1226" t="str">
            <v/>
          </cell>
          <cell r="I1226" t="str">
            <v>İÇ</v>
          </cell>
          <cell r="J1226" t="str">
            <v>ZPARCA</v>
          </cell>
          <cell r="K1226" t="str">
            <v>HEKA</v>
          </cell>
          <cell r="L1226" t="str">
            <v/>
          </cell>
          <cell r="M1226" t="str">
            <v>ÜRTM:7GÜN</v>
          </cell>
          <cell r="N1226" t="str">
            <v/>
          </cell>
          <cell r="O1226" t="str">
            <v>HEKA</v>
          </cell>
          <cell r="P1226" t="str">
            <v>ADET</v>
          </cell>
          <cell r="R1226" t="str">
            <v>METAL</v>
          </cell>
          <cell r="S1226" t="str">
            <v>ESKİTME</v>
          </cell>
          <cell r="AF1226">
            <v>0</v>
          </cell>
          <cell r="AG1226" t="str">
            <v>ADET</v>
          </cell>
          <cell r="AJ1226">
            <v>4403</v>
          </cell>
          <cell r="AK1226" t="str">
            <v>TL</v>
          </cell>
          <cell r="AL1226">
            <v>1</v>
          </cell>
          <cell r="AO1226">
            <v>0</v>
          </cell>
          <cell r="AQ1226">
            <v>0</v>
          </cell>
          <cell r="AS1226">
            <v>0</v>
          </cell>
          <cell r="AU1226">
            <v>0</v>
          </cell>
          <cell r="AW1226">
            <v>0</v>
          </cell>
        </row>
        <row r="1227">
          <cell r="B1227" t="str">
            <v>H1W6JMEECTR-072</v>
          </cell>
          <cell r="C1227" t="str">
            <v>URARTU 3 KÜRE CAMLI SARKIT</v>
          </cell>
          <cell r="D1227" t="str">
            <v>URARTU 3 GLASS GLOBE PENDANT</v>
          </cell>
          <cell r="E1227" t="str">
            <v xml:space="preserve">METAL CAM  ESKİTME SOFT   </v>
          </cell>
          <cell r="F1227" t="str">
            <v>9405.11.90.00.00</v>
          </cell>
          <cell r="G1227" t="str">
            <v>AVİZE</v>
          </cell>
          <cell r="H1227" t="str">
            <v>T1W6211100-03</v>
          </cell>
          <cell r="I1227" t="str">
            <v>İÇ</v>
          </cell>
          <cell r="J1227" t="str">
            <v>AVİZE.SARK</v>
          </cell>
          <cell r="K1227" t="str">
            <v>URARTU</v>
          </cell>
          <cell r="L1227" t="str">
            <v/>
          </cell>
          <cell r="M1227" t="str">
            <v/>
          </cell>
          <cell r="N1227" t="str">
            <v/>
          </cell>
          <cell r="O1227" t="str">
            <v>HEKA</v>
          </cell>
          <cell r="P1227" t="str">
            <v>ADET</v>
          </cell>
          <cell r="Q1227" t="str">
            <v>LED</v>
          </cell>
          <cell r="R1227" t="str">
            <v>METAL</v>
          </cell>
          <cell r="S1227" t="str">
            <v>ESKİTME</v>
          </cell>
          <cell r="T1227" t="str">
            <v>CAM</v>
          </cell>
          <cell r="U1227" t="str">
            <v>SOFT</v>
          </cell>
          <cell r="AD1227" t="str">
            <v>DAİRE</v>
          </cell>
          <cell r="AE1227" t="str">
            <v>01</v>
          </cell>
          <cell r="AF1227">
            <v>0</v>
          </cell>
          <cell r="AG1227" t="str">
            <v>ADET</v>
          </cell>
          <cell r="AH1227">
            <v>105</v>
          </cell>
          <cell r="AI1227" t="str">
            <v>CNY</v>
          </cell>
          <cell r="AJ1227">
            <v>1050</v>
          </cell>
          <cell r="AK1227" t="str">
            <v>TL</v>
          </cell>
          <cell r="AL1227">
            <v>0</v>
          </cell>
          <cell r="AM1227" t="str">
            <v>H1W6JMEECTR-072</v>
          </cell>
          <cell r="AO1227">
            <v>0</v>
          </cell>
          <cell r="AQ1227">
            <v>46</v>
          </cell>
          <cell r="AR1227" t="str">
            <v>CM</v>
          </cell>
          <cell r="AS1227">
            <v>18</v>
          </cell>
          <cell r="AT1227" t="str">
            <v>CM</v>
          </cell>
          <cell r="AU1227">
            <v>0</v>
          </cell>
          <cell r="AW1227">
            <v>0</v>
          </cell>
        </row>
        <row r="1228">
          <cell r="B1228" t="str">
            <v>H1C6WRBJRSR-020</v>
          </cell>
          <cell r="C1228" t="str">
            <v>ASPENDOS TEKLİ MERMER SİYAH SARKIT 20cm</v>
          </cell>
          <cell r="D1228" t="str">
            <v>ASPENDOS SINGLE MARBLE BLACK PENDANT 20cm</v>
          </cell>
          <cell r="E1228" t="str">
            <v xml:space="preserve">MERMER METAL BEYAZ SİYAH   </v>
          </cell>
          <cell r="F1228" t="str">
            <v>9405.11.90.00.00</v>
          </cell>
          <cell r="G1228" t="str">
            <v>AVİZE</v>
          </cell>
          <cell r="H1228" t="str">
            <v>H1A6314300-20</v>
          </cell>
          <cell r="I1228" t="str">
            <v>İÇ</v>
          </cell>
          <cell r="J1228" t="str">
            <v>AVİZE.SARK</v>
          </cell>
          <cell r="K1228" t="str">
            <v>ASPENDOS</v>
          </cell>
          <cell r="L1228" t="str">
            <v/>
          </cell>
          <cell r="M1228" t="str">
            <v/>
          </cell>
          <cell r="N1228" t="str">
            <v>MD1082071-20-S</v>
          </cell>
          <cell r="O1228" t="str">
            <v>HEKA</v>
          </cell>
          <cell r="P1228" t="str">
            <v>ADET</v>
          </cell>
          <cell r="Q1228" t="str">
            <v>LED</v>
          </cell>
          <cell r="R1228" t="str">
            <v>MERMER</v>
          </cell>
          <cell r="S1228" t="str">
            <v>BEYAZ</v>
          </cell>
          <cell r="T1228" t="str">
            <v>METAL</v>
          </cell>
          <cell r="U1228" t="str">
            <v>SİYAH</v>
          </cell>
          <cell r="AD1228" t="str">
            <v>DAİRE</v>
          </cell>
          <cell r="AE1228" t="str">
            <v>01</v>
          </cell>
          <cell r="AF1228">
            <v>0</v>
          </cell>
          <cell r="AG1228" t="str">
            <v>ADET</v>
          </cell>
          <cell r="AH1228">
            <v>99</v>
          </cell>
          <cell r="AI1228" t="str">
            <v>CNY</v>
          </cell>
          <cell r="AJ1228">
            <v>2100</v>
          </cell>
          <cell r="AK1228" t="str">
            <v>TL</v>
          </cell>
          <cell r="AL1228">
            <v>1</v>
          </cell>
          <cell r="AO1228">
            <v>0</v>
          </cell>
          <cell r="AQ1228">
            <v>150</v>
          </cell>
          <cell r="AR1228" t="str">
            <v>CM</v>
          </cell>
          <cell r="AS1228">
            <v>20</v>
          </cell>
          <cell r="AT1228" t="str">
            <v>CM</v>
          </cell>
          <cell r="AU1228">
            <v>0</v>
          </cell>
          <cell r="AW1228">
            <v>0</v>
          </cell>
        </row>
        <row r="1229">
          <cell r="B1229" t="str">
            <v>T1C6JMELRBR-056</v>
          </cell>
          <cell r="C1229" t="str">
            <v>CULFA ESKİTME DİKEY  LED SARKIT 55cm</v>
          </cell>
          <cell r="D1229" t="str">
            <v>CULFA BRUSHED BRASS VERTICAL LED PENDANT 55cm</v>
          </cell>
          <cell r="E1229" t="str">
            <v>METAL PLEKSİ ESKİTME BEYAZ</v>
          </cell>
          <cell r="F1229" t="str">
            <v/>
          </cell>
          <cell r="G1229" t="str">
            <v>AVİZE</v>
          </cell>
          <cell r="H1229" t="str">
            <v>T1A6118100-55</v>
          </cell>
          <cell r="I1229" t="str">
            <v>İÇ</v>
          </cell>
          <cell r="J1229" t="str">
            <v>AVİZE.SARK</v>
          </cell>
          <cell r="K1229" t="str">
            <v>CULFA</v>
          </cell>
          <cell r="L1229" t="str">
            <v/>
          </cell>
          <cell r="M1229" t="str">
            <v/>
          </cell>
          <cell r="N1229" t="str">
            <v>18001/D550A-H</v>
          </cell>
          <cell r="O1229" t="str">
            <v>HEKA</v>
          </cell>
          <cell r="P1229" t="str">
            <v>ADET</v>
          </cell>
          <cell r="Q1229" t="str">
            <v>LED</v>
          </cell>
          <cell r="R1229" t="str">
            <v>METAL</v>
          </cell>
          <cell r="S1229" t="str">
            <v>ESKİTME</v>
          </cell>
          <cell r="T1229" t="str">
            <v>PLEKSİ</v>
          </cell>
          <cell r="U1229" t="str">
            <v>BEYAZ</v>
          </cell>
          <cell r="AD1229" t="str">
            <v>DAİRE</v>
          </cell>
          <cell r="AE1229" t="str">
            <v>01</v>
          </cell>
          <cell r="AF1229">
            <v>0</v>
          </cell>
          <cell r="AG1229" t="str">
            <v>ADET</v>
          </cell>
          <cell r="AH1229">
            <v>335</v>
          </cell>
          <cell r="AI1229" t="str">
            <v>CNY</v>
          </cell>
          <cell r="AJ1229">
            <v>2550</v>
          </cell>
          <cell r="AK1229" t="str">
            <v>TL</v>
          </cell>
          <cell r="AL1229">
            <v>1</v>
          </cell>
          <cell r="AO1229">
            <v>0</v>
          </cell>
          <cell r="AQ1229">
            <v>0</v>
          </cell>
          <cell r="AR1229" t="str">
            <v>CM</v>
          </cell>
          <cell r="AS1229">
            <v>0</v>
          </cell>
          <cell r="AT1229" t="str">
            <v>CM</v>
          </cell>
          <cell r="AU1229">
            <v>0</v>
          </cell>
          <cell r="AW1229">
            <v>0</v>
          </cell>
        </row>
        <row r="1230">
          <cell r="B1230" t="str">
            <v>F1T6AAWAA1R-035</v>
          </cell>
          <cell r="C1230" t="str">
            <v>PORTOBELLO WENGE  VE ANTİK MEŞE  ŞARJLI MASA LAMBA</v>
          </cell>
          <cell r="D1230" t="str">
            <v>PORTOBELLO  WENGE AND ANTIQUE OAK RECHARGEABLE TABLE LAMP</v>
          </cell>
          <cell r="E1230" t="str">
            <v xml:space="preserve">AHŞAP AHŞAP WENGE ANTİK MEŞE   </v>
          </cell>
          <cell r="F1230" t="str">
            <v/>
          </cell>
          <cell r="G1230" t="str">
            <v>MASAABAJ</v>
          </cell>
          <cell r="H1230" t="str">
            <v/>
          </cell>
          <cell r="I1230" t="str">
            <v>İÇ</v>
          </cell>
          <cell r="J1230" t="str">
            <v>MASAKAMP</v>
          </cell>
          <cell r="K1230" t="str">
            <v>PORTOBELLO</v>
          </cell>
          <cell r="L1230" t="str">
            <v/>
          </cell>
          <cell r="M1230" t="str">
            <v/>
          </cell>
          <cell r="N1230" t="str">
            <v>1022-SOLO</v>
          </cell>
          <cell r="O1230" t="str">
            <v>ISHI</v>
          </cell>
          <cell r="P1230" t="str">
            <v>ADET</v>
          </cell>
          <cell r="Q1230" t="str">
            <v>LED</v>
          </cell>
          <cell r="R1230" t="str">
            <v>AHŞAP</v>
          </cell>
          <cell r="S1230" t="str">
            <v>WENGE</v>
          </cell>
          <cell r="T1230" t="str">
            <v>AHŞAP</v>
          </cell>
          <cell r="U1230" t="str">
            <v>ANTİK MEŞE</v>
          </cell>
          <cell r="AD1230" t="str">
            <v>DAİRE</v>
          </cell>
          <cell r="AF1230">
            <v>322</v>
          </cell>
          <cell r="AG1230" t="str">
            <v>ADET</v>
          </cell>
          <cell r="AH1230">
            <v>700</v>
          </cell>
          <cell r="AI1230" t="str">
            <v>TL</v>
          </cell>
          <cell r="AJ1230">
            <v>4750</v>
          </cell>
          <cell r="AK1230" t="str">
            <v>TL</v>
          </cell>
          <cell r="AL1230">
            <v>1</v>
          </cell>
          <cell r="AM1230" t="str">
            <v>8684127510592</v>
          </cell>
          <cell r="AO1230">
            <v>0.61</v>
          </cell>
          <cell r="AP1230" t="str">
            <v>KG</v>
          </cell>
          <cell r="AQ1230">
            <v>35</v>
          </cell>
          <cell r="AR1230" t="str">
            <v>CM</v>
          </cell>
          <cell r="AS1230">
            <v>16.5</v>
          </cell>
          <cell r="AT1230" t="str">
            <v>CM</v>
          </cell>
          <cell r="AU1230">
            <v>0</v>
          </cell>
          <cell r="AW1230">
            <v>0</v>
          </cell>
        </row>
        <row r="1231">
          <cell r="B1231" t="str">
            <v>H1W2JRSECS0-032</v>
          </cell>
          <cell r="C1231" t="str">
            <v>OTTAVA 2 Lİ SİYAH APLİK</v>
          </cell>
          <cell r="D1231" t="str">
            <v>OTTAVA DOUBLE BLACK WALL LAMP</v>
          </cell>
          <cell r="E1231" t="str">
            <v xml:space="preserve">METAL CAM  SİYAH ŞEFFAF   </v>
          </cell>
          <cell r="F1231" t="str">
            <v>9405.19.90.00.00</v>
          </cell>
          <cell r="G1231" t="str">
            <v>APLİK</v>
          </cell>
          <cell r="H1231" t="str">
            <v>T1W3116200-31</v>
          </cell>
          <cell r="I1231" t="str">
            <v>İÇ</v>
          </cell>
          <cell r="J1231" t="str">
            <v>APLİK</v>
          </cell>
          <cell r="K1231" t="str">
            <v>OTTAVA</v>
          </cell>
          <cell r="L1231" t="str">
            <v/>
          </cell>
          <cell r="M1231" t="str">
            <v/>
          </cell>
          <cell r="N1231" t="str">
            <v>ERD2202-BL</v>
          </cell>
          <cell r="O1231" t="str">
            <v>HEKA</v>
          </cell>
          <cell r="P1231" t="str">
            <v>ADET</v>
          </cell>
          <cell r="Q1231" t="str">
            <v>G9</v>
          </cell>
          <cell r="R1231" t="str">
            <v>METAL</v>
          </cell>
          <cell r="S1231" t="str">
            <v>SİYAH</v>
          </cell>
          <cell r="T1231" t="str">
            <v>CAM</v>
          </cell>
          <cell r="U1231" t="str">
            <v>ŞEFFAF</v>
          </cell>
          <cell r="AD1231" t="str">
            <v>N/A</v>
          </cell>
          <cell r="AE1231" t="str">
            <v>03</v>
          </cell>
          <cell r="AF1231">
            <v>0</v>
          </cell>
          <cell r="AG1231" t="str">
            <v>ADET</v>
          </cell>
          <cell r="AH1231">
            <v>36</v>
          </cell>
          <cell r="AI1231" t="str">
            <v>CNY</v>
          </cell>
          <cell r="AJ1231">
            <v>2040</v>
          </cell>
          <cell r="AK1231" t="str">
            <v>TL</v>
          </cell>
          <cell r="AL1231">
            <v>0</v>
          </cell>
          <cell r="AM1231" t="str">
            <v>8684127510608</v>
          </cell>
          <cell r="AO1231">
            <v>0</v>
          </cell>
          <cell r="AQ1231">
            <v>10</v>
          </cell>
          <cell r="AR1231" t="str">
            <v>CM</v>
          </cell>
          <cell r="AS1231">
            <v>14</v>
          </cell>
          <cell r="AT1231" t="str">
            <v>CM</v>
          </cell>
          <cell r="AU1231">
            <v>0</v>
          </cell>
          <cell r="AW1231">
            <v>0</v>
          </cell>
        </row>
        <row r="1232">
          <cell r="B1232" t="str">
            <v>H1C6JMKECS0-028</v>
          </cell>
          <cell r="C1232" t="str">
            <v>VİYANA ŞEFFAF DAMLA CAM KROM SARKIT 28cm</v>
          </cell>
          <cell r="D1232" t="str">
            <v>VIYANA CLEAR DROP GLASS CHROME PENDANT 28cm</v>
          </cell>
          <cell r="E1232" t="str">
            <v xml:space="preserve">METAL CAM  KROM ŞEFFAF   </v>
          </cell>
          <cell r="F1232" t="str">
            <v>9405.11.90.00.00</v>
          </cell>
          <cell r="G1232" t="str">
            <v>AVİZE</v>
          </cell>
          <cell r="H1232" t="str">
            <v>T1A6231100-20</v>
          </cell>
          <cell r="I1232" t="str">
            <v>İÇ</v>
          </cell>
          <cell r="J1232" t="str">
            <v>AVİZE.SARK</v>
          </cell>
          <cell r="K1232" t="str">
            <v>VİYANA</v>
          </cell>
          <cell r="L1232" t="str">
            <v/>
          </cell>
          <cell r="M1232" t="str">
            <v/>
          </cell>
          <cell r="N1232" t="str">
            <v/>
          </cell>
          <cell r="O1232" t="str">
            <v>HEKA</v>
          </cell>
          <cell r="P1232" t="str">
            <v>ADET</v>
          </cell>
          <cell r="Q1232" t="str">
            <v>LED</v>
          </cell>
          <cell r="R1232" t="str">
            <v>METAL</v>
          </cell>
          <cell r="S1232" t="str">
            <v>KROM</v>
          </cell>
          <cell r="T1232" t="str">
            <v>CAM</v>
          </cell>
          <cell r="U1232" t="str">
            <v>ŞEFFAF</v>
          </cell>
          <cell r="AE1232" t="str">
            <v>01</v>
          </cell>
          <cell r="AF1232">
            <v>0</v>
          </cell>
          <cell r="AG1232" t="str">
            <v>ADET</v>
          </cell>
          <cell r="AJ1232">
            <v>3927</v>
          </cell>
          <cell r="AK1232" t="str">
            <v>TL</v>
          </cell>
          <cell r="AL1232">
            <v>0</v>
          </cell>
          <cell r="AM1232" t="str">
            <v>8684127510738</v>
          </cell>
          <cell r="AO1232">
            <v>0</v>
          </cell>
          <cell r="AQ1232">
            <v>0</v>
          </cell>
          <cell r="AR1232" t="str">
            <v>CM</v>
          </cell>
          <cell r="AS1232">
            <v>0</v>
          </cell>
          <cell r="AT1232" t="str">
            <v>CM</v>
          </cell>
          <cell r="AU1232">
            <v>0</v>
          </cell>
          <cell r="AW1232">
            <v>0</v>
          </cell>
        </row>
        <row r="1233">
          <cell r="B1233" t="str">
            <v>H1C3JRSECTR-080</v>
          </cell>
          <cell r="C1233" t="str">
            <v>DEMET SİYAH SALON AVİZESİ 15 Lİ</v>
          </cell>
          <cell r="D1233" t="str">
            <v>DEMET BLACK LIVING ROOM CHANDELIER 15 BULB</v>
          </cell>
          <cell r="E1233" t="str">
            <v xml:space="preserve">METAL CAM  SİYAH SOFT   </v>
          </cell>
          <cell r="F1233" t="str">
            <v>9405.19.90.00.00</v>
          </cell>
          <cell r="G1233" t="str">
            <v>AVİZE</v>
          </cell>
          <cell r="H1233" t="str">
            <v>H1A3112100-15</v>
          </cell>
          <cell r="I1233" t="str">
            <v>İÇ</v>
          </cell>
          <cell r="J1233" t="str">
            <v>AVİZE.AVİZ</v>
          </cell>
          <cell r="K1233" t="str">
            <v>DEMET</v>
          </cell>
          <cell r="L1233" t="str">
            <v>Ç</v>
          </cell>
          <cell r="M1233" t="str">
            <v>ÜRTM:15GÜN</v>
          </cell>
          <cell r="N1233" t="str">
            <v>HK20009S</v>
          </cell>
          <cell r="O1233" t="str">
            <v>HEKA</v>
          </cell>
          <cell r="P1233" t="str">
            <v>ADET</v>
          </cell>
          <cell r="Q1233" t="str">
            <v>G9</v>
          </cell>
          <cell r="R1233" t="str">
            <v>METAL</v>
          </cell>
          <cell r="S1233" t="str">
            <v>SİYAH</v>
          </cell>
          <cell r="T1233" t="str">
            <v>CAM</v>
          </cell>
          <cell r="U1233" t="str">
            <v>SOFT</v>
          </cell>
          <cell r="AD1233" t="str">
            <v>DAİRE</v>
          </cell>
          <cell r="AE1233" t="str">
            <v>15</v>
          </cell>
          <cell r="AF1233">
            <v>2</v>
          </cell>
          <cell r="AG1233" t="str">
            <v>ADET</v>
          </cell>
          <cell r="AH1233">
            <v>1500</v>
          </cell>
          <cell r="AI1233" t="str">
            <v>TL</v>
          </cell>
          <cell r="AJ1233">
            <v>8350</v>
          </cell>
          <cell r="AK1233" t="str">
            <v>TL</v>
          </cell>
          <cell r="AL1233">
            <v>0</v>
          </cell>
          <cell r="AO1233">
            <v>0</v>
          </cell>
          <cell r="AQ1233">
            <v>78</v>
          </cell>
          <cell r="AR1233" t="str">
            <v>CM</v>
          </cell>
          <cell r="AS1233">
            <v>75</v>
          </cell>
          <cell r="AT1233" t="str">
            <v>CM</v>
          </cell>
          <cell r="AU1233">
            <v>0</v>
          </cell>
          <cell r="AW1233">
            <v>0</v>
          </cell>
        </row>
        <row r="1234">
          <cell r="B1234" t="str">
            <v>TANIMSIZ</v>
          </cell>
          <cell r="C1234" t="str">
            <v>Tanımsız Ürün</v>
          </cell>
          <cell r="D1234" t="str">
            <v>Siyah</v>
          </cell>
          <cell r="E1234" t="str">
            <v/>
          </cell>
          <cell r="F1234" t="str">
            <v/>
          </cell>
          <cell r="G1234" t="str">
            <v/>
          </cell>
          <cell r="H1234" t="str">
            <v/>
          </cell>
          <cell r="I1234" t="str">
            <v/>
          </cell>
          <cell r="J1234" t="str">
            <v/>
          </cell>
          <cell r="K1234" t="str">
            <v/>
          </cell>
          <cell r="L1234" t="str">
            <v/>
          </cell>
          <cell r="M1234" t="str">
            <v/>
          </cell>
          <cell r="N1234" t="str">
            <v/>
          </cell>
          <cell r="P1234" t="str">
            <v>ADET</v>
          </cell>
          <cell r="AG1234" t="str">
            <v>ADET</v>
          </cell>
          <cell r="AL1234">
            <v>0</v>
          </cell>
          <cell r="AO1234">
            <v>0</v>
          </cell>
          <cell r="AQ1234">
            <v>0</v>
          </cell>
          <cell r="AS1234">
            <v>0</v>
          </cell>
          <cell r="AU1234">
            <v>0</v>
          </cell>
          <cell r="AW1234">
            <v>0</v>
          </cell>
        </row>
        <row r="1235">
          <cell r="B1235" t="str">
            <v>TİCİMAX.KRG01</v>
          </cell>
          <cell r="C1235" t="str">
            <v>Kargo Ücreti</v>
          </cell>
          <cell r="D1235" t="str">
            <v/>
          </cell>
          <cell r="E1235" t="str">
            <v/>
          </cell>
          <cell r="F1235" t="str">
            <v/>
          </cell>
          <cell r="G1235" t="str">
            <v/>
          </cell>
          <cell r="H1235" t="str">
            <v/>
          </cell>
          <cell r="I1235" t="str">
            <v/>
          </cell>
          <cell r="J1235" t="str">
            <v/>
          </cell>
          <cell r="K1235" t="str">
            <v/>
          </cell>
          <cell r="L1235" t="str">
            <v/>
          </cell>
          <cell r="M1235" t="str">
            <v/>
          </cell>
          <cell r="N1235" t="str">
            <v/>
          </cell>
          <cell r="P1235" t="str">
            <v>ADET</v>
          </cell>
          <cell r="AG1235" t="str">
            <v>ADET</v>
          </cell>
          <cell r="AL1235">
            <v>0</v>
          </cell>
          <cell r="AO1235">
            <v>0</v>
          </cell>
          <cell r="AQ1235">
            <v>0</v>
          </cell>
          <cell r="AS1235">
            <v>0</v>
          </cell>
          <cell r="AU1235">
            <v>0</v>
          </cell>
          <cell r="AW1235">
            <v>0</v>
          </cell>
        </row>
        <row r="1236">
          <cell r="B1236" t="str">
            <v>150-SEF-BALON-S-CAM</v>
          </cell>
          <cell r="C1236" t="str">
            <v>BALON  ŞEFFAF DİŞLİ SARKIT CAM 15 cm</v>
          </cell>
          <cell r="D1236" t="str">
            <v>BALLOON TRANSPARENT TOOTHED PENDANT LAMP GLASS 15 cm</v>
          </cell>
          <cell r="E1236" t="str">
            <v/>
          </cell>
          <cell r="F1236" t="str">
            <v/>
          </cell>
          <cell r="G1236" t="str">
            <v>ZPARCA</v>
          </cell>
          <cell r="H1236" t="str">
            <v>150A-BAL</v>
          </cell>
          <cell r="I1236" t="str">
            <v>İÇ</v>
          </cell>
          <cell r="J1236" t="str">
            <v>ZPARCA</v>
          </cell>
          <cell r="K1236" t="str">
            <v/>
          </cell>
          <cell r="L1236" t="str">
            <v/>
          </cell>
          <cell r="M1236" t="str">
            <v/>
          </cell>
          <cell r="N1236" t="str">
            <v/>
          </cell>
          <cell r="O1236" t="str">
            <v>HEKA</v>
          </cell>
          <cell r="P1236" t="str">
            <v>ADET</v>
          </cell>
          <cell r="R1236" t="str">
            <v>CAM</v>
          </cell>
          <cell r="S1236" t="str">
            <v>ŞEFFAF</v>
          </cell>
          <cell r="AF1236">
            <v>0</v>
          </cell>
          <cell r="AG1236" t="str">
            <v>ADET</v>
          </cell>
          <cell r="AJ1236">
            <v>1428</v>
          </cell>
          <cell r="AK1236" t="str">
            <v>TL</v>
          </cell>
          <cell r="AL1236">
            <v>0</v>
          </cell>
          <cell r="AM1236" t="str">
            <v>150-SEF-S-CAM</v>
          </cell>
          <cell r="AO1236">
            <v>0</v>
          </cell>
          <cell r="AQ1236">
            <v>0</v>
          </cell>
          <cell r="AS1236">
            <v>0</v>
          </cell>
          <cell r="AU1236">
            <v>0</v>
          </cell>
          <cell r="AW1236">
            <v>0</v>
          </cell>
        </row>
        <row r="1237">
          <cell r="B1237" t="str">
            <v>CK1G2C402A7A1</v>
          </cell>
          <cell r="C1237" t="str">
            <v>ERD-291 OPAL CAM 2 W 4000K G14 LED AMPUL</v>
          </cell>
          <cell r="D1237" t="str">
            <v>ERD-291 OPAL GLASS 2W  4000K G14 LED BULB</v>
          </cell>
          <cell r="E1237" t="str">
            <v xml:space="preserve">SMD LED YOK CAM  220v   </v>
          </cell>
          <cell r="F1237" t="str">
            <v/>
          </cell>
          <cell r="G1237" t="str">
            <v>AMPUL</v>
          </cell>
          <cell r="H1237" t="str">
            <v/>
          </cell>
          <cell r="I1237" t="str">
            <v>İÇ</v>
          </cell>
          <cell r="J1237" t="str">
            <v>AMPUL</v>
          </cell>
          <cell r="K1237" t="str">
            <v>ERD-291</v>
          </cell>
          <cell r="L1237" t="str">
            <v/>
          </cell>
          <cell r="M1237" t="str">
            <v/>
          </cell>
          <cell r="N1237" t="str">
            <v>ERD-291</v>
          </cell>
          <cell r="O1237" t="str">
            <v>HEKA</v>
          </cell>
          <cell r="P1237" t="str">
            <v>ADET</v>
          </cell>
          <cell r="Q1237" t="str">
            <v>E14</v>
          </cell>
          <cell r="R1237" t="str">
            <v>CAM</v>
          </cell>
          <cell r="S1237" t="str">
            <v>OPAL</v>
          </cell>
          <cell r="V1237" t="str">
            <v>G</v>
          </cell>
          <cell r="W1237" t="str">
            <v>SMD LED</v>
          </cell>
          <cell r="X1237" t="str">
            <v>220V</v>
          </cell>
          <cell r="Y1237" t="str">
            <v>2 WATT</v>
          </cell>
          <cell r="Z1237" t="str">
            <v>4000 K</v>
          </cell>
          <cell r="AA1237" t="str">
            <v>DIMMLI</v>
          </cell>
          <cell r="AB1237" t="str">
            <v>401-500</v>
          </cell>
          <cell r="AC1237" t="str">
            <v>KARMA</v>
          </cell>
          <cell r="AF1237">
            <v>0</v>
          </cell>
          <cell r="AG1237" t="str">
            <v>ADET</v>
          </cell>
          <cell r="AH1237">
            <v>2</v>
          </cell>
          <cell r="AI1237" t="str">
            <v>CNY</v>
          </cell>
          <cell r="AJ1237">
            <v>1.32</v>
          </cell>
          <cell r="AK1237" t="str">
            <v>USD</v>
          </cell>
          <cell r="AL1237">
            <v>0</v>
          </cell>
          <cell r="AM1237" t="str">
            <v>8684127510882</v>
          </cell>
          <cell r="AN1237" t="str">
            <v xml:space="preserve">8684127510943 </v>
          </cell>
          <cell r="AO1237">
            <v>0</v>
          </cell>
          <cell r="AQ1237">
            <v>0</v>
          </cell>
          <cell r="AS1237">
            <v>0</v>
          </cell>
          <cell r="AU1237">
            <v>0</v>
          </cell>
          <cell r="AW1237">
            <v>0</v>
          </cell>
        </row>
        <row r="1238">
          <cell r="B1238" t="str">
            <v>CK1G2C402A8A1</v>
          </cell>
          <cell r="C1238" t="str">
            <v>ERD-292 OPAL CAM 2 W 6500K G14 LED AMPUL</v>
          </cell>
          <cell r="D1238" t="str">
            <v>ERD-292 OPAL CAM 2 W 6500K G14 LED AMPUL</v>
          </cell>
          <cell r="E1238" t="str">
            <v xml:space="preserve">SMD LED UZUN PLASTİK 220v   </v>
          </cell>
          <cell r="F1238" t="str">
            <v/>
          </cell>
          <cell r="G1238" t="str">
            <v>AMPUL</v>
          </cell>
          <cell r="H1238" t="str">
            <v/>
          </cell>
          <cell r="I1238" t="str">
            <v>İÇ</v>
          </cell>
          <cell r="J1238" t="str">
            <v>AMPUL</v>
          </cell>
          <cell r="K1238" t="str">
            <v>ERD-292</v>
          </cell>
          <cell r="L1238" t="str">
            <v/>
          </cell>
          <cell r="M1238" t="str">
            <v/>
          </cell>
          <cell r="N1238" t="str">
            <v>ERD-292</v>
          </cell>
          <cell r="O1238" t="str">
            <v>HEKA</v>
          </cell>
          <cell r="P1238" t="str">
            <v>ADET</v>
          </cell>
          <cell r="Q1238" t="str">
            <v>E14</v>
          </cell>
          <cell r="R1238" t="str">
            <v>CAM</v>
          </cell>
          <cell r="S1238" t="str">
            <v>OPAL</v>
          </cell>
          <cell r="V1238" t="str">
            <v>G</v>
          </cell>
          <cell r="W1238" t="str">
            <v>SMD LED</v>
          </cell>
          <cell r="X1238" t="str">
            <v>220V</v>
          </cell>
          <cell r="Y1238" t="str">
            <v>2 WATT</v>
          </cell>
          <cell r="Z1238" t="str">
            <v>6500 K</v>
          </cell>
          <cell r="AA1238" t="str">
            <v>DIMMLI</v>
          </cell>
          <cell r="AB1238" t="str">
            <v>401-500</v>
          </cell>
          <cell r="AC1238" t="str">
            <v>KARMA</v>
          </cell>
          <cell r="AF1238">
            <v>0</v>
          </cell>
          <cell r="AG1238" t="str">
            <v>ADET</v>
          </cell>
          <cell r="AH1238">
            <v>2</v>
          </cell>
          <cell r="AI1238" t="str">
            <v>CNY</v>
          </cell>
          <cell r="AJ1238">
            <v>1.32</v>
          </cell>
          <cell r="AK1238" t="str">
            <v>USD</v>
          </cell>
          <cell r="AL1238">
            <v>0</v>
          </cell>
          <cell r="AM1238" t="str">
            <v>8684127510899</v>
          </cell>
          <cell r="AN1238" t="str">
            <v>8684127510950</v>
          </cell>
          <cell r="AO1238">
            <v>0</v>
          </cell>
          <cell r="AQ1238">
            <v>0</v>
          </cell>
          <cell r="AS1238">
            <v>0</v>
          </cell>
          <cell r="AU1238">
            <v>0</v>
          </cell>
          <cell r="AW1238">
            <v>0</v>
          </cell>
        </row>
        <row r="1239">
          <cell r="B1239" t="str">
            <v>3443434</v>
          </cell>
          <cell r="C1239" t="str">
            <v xml:space="preserve">G95 Filament Edison Tip Rustik Ampul 6 Watt Beyaz </v>
          </cell>
          <cell r="D1239" t="str">
            <v/>
          </cell>
          <cell r="E1239" t="str">
            <v/>
          </cell>
          <cell r="F1239" t="str">
            <v/>
          </cell>
          <cell r="G1239" t="str">
            <v/>
          </cell>
          <cell r="H1239" t="str">
            <v/>
          </cell>
          <cell r="I1239" t="str">
            <v/>
          </cell>
          <cell r="J1239" t="str">
            <v/>
          </cell>
          <cell r="K1239" t="str">
            <v/>
          </cell>
          <cell r="L1239" t="str">
            <v/>
          </cell>
          <cell r="M1239" t="str">
            <v/>
          </cell>
          <cell r="N1239" t="str">
            <v/>
          </cell>
          <cell r="P1239" t="str">
            <v>ADET</v>
          </cell>
          <cell r="AG1239" t="str">
            <v>ADET</v>
          </cell>
          <cell r="AL1239">
            <v>0</v>
          </cell>
          <cell r="AO1239">
            <v>0</v>
          </cell>
          <cell r="AQ1239">
            <v>0</v>
          </cell>
          <cell r="AS1239">
            <v>0</v>
          </cell>
          <cell r="AU1239">
            <v>0</v>
          </cell>
          <cell r="AW1239">
            <v>0</v>
          </cell>
        </row>
        <row r="1240">
          <cell r="B1240" t="str">
            <v>H1W6JMEWRBR-031</v>
          </cell>
          <cell r="C1240" t="str">
            <v>DELHİ LED MERMER APLİK 30cm</v>
          </cell>
          <cell r="D1240" t="str">
            <v>DELHİ LED MARBLE WALL LAMP 30cm</v>
          </cell>
          <cell r="E1240" t="str">
            <v xml:space="preserve">METAL MERMER ESKİTME BEYAZ   </v>
          </cell>
          <cell r="F1240" t="str">
            <v>9405.11.90.00.00</v>
          </cell>
          <cell r="G1240" t="str">
            <v>APLİK</v>
          </cell>
          <cell r="H1240" t="str">
            <v>T1A6311100-30</v>
          </cell>
          <cell r="I1240" t="str">
            <v>İÇ</v>
          </cell>
          <cell r="J1240" t="str">
            <v>APLİK</v>
          </cell>
          <cell r="K1240" t="str">
            <v>DELHİ</v>
          </cell>
          <cell r="L1240" t="str">
            <v/>
          </cell>
          <cell r="M1240" t="str">
            <v/>
          </cell>
          <cell r="N1240" t="str">
            <v>2006-BR-A</v>
          </cell>
          <cell r="O1240" t="str">
            <v>HEKA</v>
          </cell>
          <cell r="P1240" t="str">
            <v>ADET</v>
          </cell>
          <cell r="Q1240" t="str">
            <v>LED</v>
          </cell>
          <cell r="R1240" t="str">
            <v>METAL</v>
          </cell>
          <cell r="S1240" t="str">
            <v>ESKİTME</v>
          </cell>
          <cell r="T1240" t="str">
            <v>MERMER</v>
          </cell>
          <cell r="U1240" t="str">
            <v>BEYAZ</v>
          </cell>
          <cell r="AD1240" t="str">
            <v>DAİRE</v>
          </cell>
          <cell r="AE1240" t="str">
            <v>01</v>
          </cell>
          <cell r="AF1240">
            <v>1</v>
          </cell>
          <cell r="AG1240" t="str">
            <v>ADET</v>
          </cell>
          <cell r="AJ1240">
            <v>3875</v>
          </cell>
          <cell r="AK1240" t="str">
            <v>TL</v>
          </cell>
          <cell r="AL1240">
            <v>1</v>
          </cell>
          <cell r="AO1240">
            <v>0</v>
          </cell>
          <cell r="AQ1240">
            <v>22</v>
          </cell>
          <cell r="AR1240" t="str">
            <v>CM</v>
          </cell>
          <cell r="AS1240">
            <v>30</v>
          </cell>
          <cell r="AT1240" t="str">
            <v>CM</v>
          </cell>
          <cell r="AU1240">
            <v>0</v>
          </cell>
          <cell r="AW1240">
            <v>0</v>
          </cell>
        </row>
        <row r="1241">
          <cell r="B1241" t="str">
            <v>SNC-208</v>
          </cell>
          <cell r="C1241" t="str">
            <v>C35 BAL 4W DÜZ 2700K E14 LED AMPUL</v>
          </cell>
          <cell r="D1241" t="str">
            <v/>
          </cell>
          <cell r="E1241" t="str">
            <v/>
          </cell>
          <cell r="F1241" t="str">
            <v>8539.52.00.00.10</v>
          </cell>
          <cell r="G1241" t="str">
            <v>AMPUL</v>
          </cell>
          <cell r="H1241" t="str">
            <v/>
          </cell>
          <cell r="I1241" t="str">
            <v>İÇ</v>
          </cell>
          <cell r="J1241" t="str">
            <v>AMPUL</v>
          </cell>
          <cell r="K1241" t="str">
            <v/>
          </cell>
          <cell r="L1241" t="str">
            <v/>
          </cell>
          <cell r="M1241" t="str">
            <v/>
          </cell>
          <cell r="N1241" t="str">
            <v/>
          </cell>
          <cell r="P1241" t="str">
            <v>ADET</v>
          </cell>
          <cell r="AF1241">
            <v>0</v>
          </cell>
          <cell r="AG1241" t="str">
            <v>ADET</v>
          </cell>
          <cell r="AH1241">
            <v>12</v>
          </cell>
          <cell r="AI1241" t="str">
            <v>TL</v>
          </cell>
          <cell r="AL1241">
            <v>0</v>
          </cell>
          <cell r="AO1241">
            <v>0</v>
          </cell>
          <cell r="AQ1241">
            <v>0</v>
          </cell>
          <cell r="AS1241">
            <v>0</v>
          </cell>
          <cell r="AU1241">
            <v>0</v>
          </cell>
          <cell r="AW1241">
            <v>0</v>
          </cell>
        </row>
        <row r="1242">
          <cell r="B1242" t="str">
            <v>SNC-28</v>
          </cell>
          <cell r="C1242" t="str">
            <v>A60 ŞEFFAF 4W 2700K E27 LED AMPUL</v>
          </cell>
          <cell r="D1242" t="str">
            <v/>
          </cell>
          <cell r="E1242" t="str">
            <v/>
          </cell>
          <cell r="F1242" t="str">
            <v>8539.52.00.00.03</v>
          </cell>
          <cell r="G1242" t="str">
            <v>AMPUL</v>
          </cell>
          <cell r="H1242" t="str">
            <v/>
          </cell>
          <cell r="I1242" t="str">
            <v>İÇ</v>
          </cell>
          <cell r="J1242" t="str">
            <v>AMPUL</v>
          </cell>
          <cell r="K1242" t="str">
            <v/>
          </cell>
          <cell r="L1242" t="str">
            <v/>
          </cell>
          <cell r="M1242" t="str">
            <v/>
          </cell>
          <cell r="N1242" t="str">
            <v/>
          </cell>
          <cell r="P1242" t="str">
            <v>ADET</v>
          </cell>
          <cell r="AF1242">
            <v>0</v>
          </cell>
          <cell r="AG1242" t="str">
            <v>ADET</v>
          </cell>
          <cell r="AL1242">
            <v>0</v>
          </cell>
          <cell r="AO1242">
            <v>0</v>
          </cell>
          <cell r="AQ1242">
            <v>0</v>
          </cell>
          <cell r="AS1242">
            <v>0</v>
          </cell>
          <cell r="AU1242">
            <v>0</v>
          </cell>
          <cell r="AW1242">
            <v>0</v>
          </cell>
        </row>
        <row r="1243">
          <cell r="B1243" t="str">
            <v>1FJ4LTMK000-025</v>
          </cell>
          <cell r="C1243" t="str">
            <v>BATUR KROM TESİSAT (25 cm CAMLAR İÇİN)</v>
          </cell>
          <cell r="D1243" t="str">
            <v>BATUR CHROME 25-30 cm FIXTURE</v>
          </cell>
          <cell r="E1243" t="str">
            <v/>
          </cell>
          <cell r="F1243" t="str">
            <v/>
          </cell>
          <cell r="G1243" t="str">
            <v>ZPARCA</v>
          </cell>
          <cell r="H1243" t="str">
            <v/>
          </cell>
          <cell r="I1243" t="str">
            <v>İÇ</v>
          </cell>
          <cell r="J1243" t="str">
            <v>ZPARCA</v>
          </cell>
          <cell r="K1243" t="str">
            <v>BATUR</v>
          </cell>
          <cell r="L1243" t="str">
            <v/>
          </cell>
          <cell r="M1243" t="str">
            <v>ÜRTM:15GÜN</v>
          </cell>
          <cell r="N1243" t="str">
            <v/>
          </cell>
          <cell r="O1243" t="str">
            <v>HEKA</v>
          </cell>
          <cell r="P1243" t="str">
            <v>ADET</v>
          </cell>
          <cell r="Q1243" t="str">
            <v>G4</v>
          </cell>
          <cell r="R1243" t="str">
            <v>METAL</v>
          </cell>
          <cell r="S1243" t="str">
            <v>ESKİTME</v>
          </cell>
          <cell r="AD1243" t="str">
            <v>DÜZ</v>
          </cell>
          <cell r="AF1243">
            <v>0</v>
          </cell>
          <cell r="AG1243" t="str">
            <v>ADET</v>
          </cell>
          <cell r="AH1243">
            <v>100</v>
          </cell>
          <cell r="AI1243" t="str">
            <v>TL</v>
          </cell>
          <cell r="AJ1243">
            <v>1150</v>
          </cell>
          <cell r="AK1243" t="str">
            <v>TL</v>
          </cell>
          <cell r="AL1243">
            <v>1</v>
          </cell>
          <cell r="AM1243" t="str">
            <v>1FJ4LTMK000-025</v>
          </cell>
          <cell r="AO1243">
            <v>0</v>
          </cell>
          <cell r="AQ1243">
            <v>3.5</v>
          </cell>
          <cell r="AR1243" t="str">
            <v>CM</v>
          </cell>
          <cell r="AS1243">
            <v>3.5</v>
          </cell>
          <cell r="AT1243" t="str">
            <v>CM</v>
          </cell>
          <cell r="AU1243">
            <v>0</v>
          </cell>
          <cell r="AW1243">
            <v>0</v>
          </cell>
        </row>
        <row r="1244">
          <cell r="B1244" t="str">
            <v>1YC4HGRL000-040</v>
          </cell>
          <cell r="C1244" t="str">
            <v>BAL RENGİ BOĞUMLU AVİZE CAMI 10x40 cm</v>
          </cell>
          <cell r="D1244" t="str">
            <v>AMBER CLOLOR GNARLED CHANDELIER GLASS 10x40 cm</v>
          </cell>
          <cell r="E1244" t="str">
            <v/>
          </cell>
          <cell r="F1244" t="str">
            <v/>
          </cell>
          <cell r="G1244" t="str">
            <v>ZPARCA</v>
          </cell>
          <cell r="H1244" t="str">
            <v/>
          </cell>
          <cell r="I1244" t="str">
            <v>İÇ</v>
          </cell>
          <cell r="J1244" t="str">
            <v>ZPARCA</v>
          </cell>
          <cell r="K1244" t="str">
            <v/>
          </cell>
          <cell r="L1244" t="str">
            <v/>
          </cell>
          <cell r="M1244" t="str">
            <v/>
          </cell>
          <cell r="N1244" t="str">
            <v/>
          </cell>
          <cell r="P1244" t="str">
            <v>ADET</v>
          </cell>
          <cell r="AF1244">
            <v>221</v>
          </cell>
          <cell r="AG1244" t="str">
            <v>ADET</v>
          </cell>
          <cell r="AJ1244">
            <v>1945</v>
          </cell>
          <cell r="AK1244" t="str">
            <v>TL</v>
          </cell>
          <cell r="AL1244">
            <v>0</v>
          </cell>
          <cell r="AM1244" t="str">
            <v>1YC4HGRL000-040</v>
          </cell>
          <cell r="AO1244">
            <v>0</v>
          </cell>
          <cell r="AQ1244">
            <v>10</v>
          </cell>
          <cell r="AR1244" t="str">
            <v>CM</v>
          </cell>
          <cell r="AS1244">
            <v>10</v>
          </cell>
          <cell r="AT1244" t="str">
            <v>CM</v>
          </cell>
          <cell r="AU1244">
            <v>0</v>
          </cell>
          <cell r="AW1244">
            <v>0</v>
          </cell>
        </row>
        <row r="1245">
          <cell r="B1245" t="str">
            <v>H1W3JRS000R-030</v>
          </cell>
          <cell r="C1245" t="str">
            <v>SALYAN DÖVMELİ SİYAH APLİK 30cm</v>
          </cell>
          <cell r="D1245" t="str">
            <v>SALYAN HAMMERED BLACK WALL LAMP 30cm</v>
          </cell>
          <cell r="E1245" t="str">
            <v>METAL YOK SİYAH YOK</v>
          </cell>
          <cell r="F1245" t="str">
            <v>9405.19.90.00.00</v>
          </cell>
          <cell r="G1245" t="str">
            <v>APLİK</v>
          </cell>
          <cell r="H1245" t="str">
            <v>H1W3110000-30</v>
          </cell>
          <cell r="I1245" t="str">
            <v>İÇ</v>
          </cell>
          <cell r="J1245" t="str">
            <v>APLİK</v>
          </cell>
          <cell r="K1245" t="str">
            <v>SALYAN</v>
          </cell>
          <cell r="L1245" t="str">
            <v/>
          </cell>
          <cell r="M1245" t="str">
            <v/>
          </cell>
          <cell r="N1245" t="str">
            <v/>
          </cell>
          <cell r="O1245" t="str">
            <v>HEKA</v>
          </cell>
          <cell r="P1245" t="str">
            <v>ADET</v>
          </cell>
          <cell r="Q1245" t="str">
            <v>G9</v>
          </cell>
          <cell r="R1245" t="str">
            <v>METAL</v>
          </cell>
          <cell r="S1245" t="str">
            <v>SİYAH</v>
          </cell>
          <cell r="T1245" t="str">
            <v>YOK</v>
          </cell>
          <cell r="U1245" t="str">
            <v>YOK</v>
          </cell>
          <cell r="AD1245" t="str">
            <v>DAİRE</v>
          </cell>
          <cell r="AE1245" t="str">
            <v>07</v>
          </cell>
          <cell r="AF1245">
            <v>0</v>
          </cell>
          <cell r="AG1245" t="str">
            <v>ADET</v>
          </cell>
          <cell r="AH1245">
            <v>300</v>
          </cell>
          <cell r="AI1245" t="str">
            <v>TL</v>
          </cell>
          <cell r="AJ1245">
            <v>1300</v>
          </cell>
          <cell r="AK1245" t="str">
            <v>TL</v>
          </cell>
          <cell r="AL1245">
            <v>1</v>
          </cell>
          <cell r="AO1245">
            <v>0</v>
          </cell>
          <cell r="AQ1245">
            <v>30</v>
          </cell>
          <cell r="AR1245" t="str">
            <v>CM</v>
          </cell>
          <cell r="AS1245">
            <v>30</v>
          </cell>
          <cell r="AT1245" t="str">
            <v>CM</v>
          </cell>
          <cell r="AU1245">
            <v>0</v>
          </cell>
          <cell r="AW1245">
            <v>0</v>
          </cell>
        </row>
        <row r="1246">
          <cell r="B1246" t="str">
            <v>1FK4YKCSTMB-051</v>
          </cell>
          <cell r="C1246" t="str">
            <v>1 METRE ŞEFFAF BAKIR TTR-2 KABLO 0,5 mm</v>
          </cell>
          <cell r="D1246" t="str">
            <v>1 METER TRANSPARENT COPPER TTR-2 CABLE 0.5 mm</v>
          </cell>
          <cell r="E1246" t="str">
            <v/>
          </cell>
          <cell r="F1246" t="str">
            <v/>
          </cell>
          <cell r="G1246" t="str">
            <v>ZPARCA</v>
          </cell>
          <cell r="H1246" t="str">
            <v/>
          </cell>
          <cell r="I1246" t="str">
            <v>İÇ</v>
          </cell>
          <cell r="J1246" t="str">
            <v>ZPARCA</v>
          </cell>
          <cell r="K1246" t="str">
            <v/>
          </cell>
          <cell r="L1246" t="str">
            <v/>
          </cell>
          <cell r="M1246" t="str">
            <v/>
          </cell>
          <cell r="N1246" t="str">
            <v/>
          </cell>
          <cell r="O1246" t="str">
            <v>HEKA</v>
          </cell>
          <cell r="P1246" t="str">
            <v>MT</v>
          </cell>
          <cell r="R1246" t="str">
            <v>KABLO</v>
          </cell>
          <cell r="S1246" t="str">
            <v>BAKIR</v>
          </cell>
          <cell r="T1246" t="str">
            <v>PLASTİK</v>
          </cell>
          <cell r="U1246" t="str">
            <v>ŞEFFAF</v>
          </cell>
          <cell r="AF1246">
            <v>43</v>
          </cell>
          <cell r="AG1246" t="str">
            <v>MT</v>
          </cell>
          <cell r="AJ1246">
            <v>110</v>
          </cell>
          <cell r="AK1246" t="str">
            <v>TL</v>
          </cell>
          <cell r="AL1246">
            <v>0</v>
          </cell>
          <cell r="AM1246" t="str">
            <v>1FK4YKCSTMB-051</v>
          </cell>
          <cell r="AO1246">
            <v>0</v>
          </cell>
          <cell r="AQ1246">
            <v>0.5</v>
          </cell>
          <cell r="AR1246" t="str">
            <v>MM</v>
          </cell>
          <cell r="AS1246">
            <v>0.5</v>
          </cell>
          <cell r="AT1246" t="str">
            <v>MM</v>
          </cell>
          <cell r="AU1246">
            <v>0</v>
          </cell>
          <cell r="AW1246">
            <v>0</v>
          </cell>
        </row>
        <row r="1247">
          <cell r="B1247" t="str">
            <v>H1W6JMKLCS0-050</v>
          </cell>
          <cell r="C1247" t="str">
            <v>MADRİD MEŞALE KROM APLİK</v>
          </cell>
          <cell r="D1247" t="str">
            <v>MADRID TORCH CHROME WALL LAMP</v>
          </cell>
          <cell r="E1247" t="str">
            <v>METAL PLEKSİ KROM ŞEFFAF</v>
          </cell>
          <cell r="F1247" t="str">
            <v>9405.11.90.00.00</v>
          </cell>
          <cell r="G1247" t="str">
            <v>APLİK</v>
          </cell>
          <cell r="H1247" t="str">
            <v>T1W6118400-01</v>
          </cell>
          <cell r="I1247" t="str">
            <v>İÇ</v>
          </cell>
          <cell r="J1247" t="str">
            <v>APLİK</v>
          </cell>
          <cell r="K1247" t="str">
            <v>MADRİD</v>
          </cell>
          <cell r="L1247" t="str">
            <v>Ç</v>
          </cell>
          <cell r="M1247" t="str">
            <v/>
          </cell>
          <cell r="N1247" t="str">
            <v>HKA-24341</v>
          </cell>
          <cell r="O1247" t="str">
            <v>HEKA</v>
          </cell>
          <cell r="P1247" t="str">
            <v>ADET</v>
          </cell>
          <cell r="Q1247" t="str">
            <v>LED</v>
          </cell>
          <cell r="R1247" t="str">
            <v>METAL</v>
          </cell>
          <cell r="S1247" t="str">
            <v>KROM</v>
          </cell>
          <cell r="T1247" t="str">
            <v>PLEKSİ</v>
          </cell>
          <cell r="U1247" t="str">
            <v>ŞEFFAF</v>
          </cell>
          <cell r="AD1247" t="str">
            <v>N/A</v>
          </cell>
          <cell r="AF1247">
            <v>28</v>
          </cell>
          <cell r="AG1247" t="str">
            <v>ADET</v>
          </cell>
          <cell r="AH1247">
            <v>60</v>
          </cell>
          <cell r="AI1247" t="str">
            <v>CNY</v>
          </cell>
          <cell r="AJ1247">
            <v>4475</v>
          </cell>
          <cell r="AK1247" t="str">
            <v>TL</v>
          </cell>
          <cell r="AL1247">
            <v>1</v>
          </cell>
          <cell r="AM1247" t="str">
            <v>8684127513012</v>
          </cell>
          <cell r="AO1247">
            <v>0</v>
          </cell>
          <cell r="AQ1247">
            <v>56</v>
          </cell>
          <cell r="AR1247" t="str">
            <v>CM</v>
          </cell>
          <cell r="AS1247">
            <v>12</v>
          </cell>
          <cell r="AT1247" t="str">
            <v>CM</v>
          </cell>
          <cell r="AU1247">
            <v>0</v>
          </cell>
          <cell r="AW1247">
            <v>0</v>
          </cell>
        </row>
        <row r="1248">
          <cell r="B1248" t="str">
            <v>F1C2AAWDRBR-080</v>
          </cell>
          <cell r="C1248" t="str">
            <v>PAPIRUS ÇİFT KATLI WENGE SARKIT</v>
          </cell>
          <cell r="D1248" t="str">
            <v>PAPIRUS DOUBLE LAYER WNEGE PENDANT</v>
          </cell>
          <cell r="E1248" t="str">
            <v xml:space="preserve">AHŞAP BETON WENGE BEYAZ   </v>
          </cell>
          <cell r="F1248" t="str">
            <v>9405.19.90.00.00</v>
          </cell>
          <cell r="G1248" t="str">
            <v>AVİZE</v>
          </cell>
          <cell r="H1248" t="str">
            <v>F1A2737500-80</v>
          </cell>
          <cell r="I1248" t="str">
            <v>İÇ</v>
          </cell>
          <cell r="J1248" t="str">
            <v>AVİZE.SARK</v>
          </cell>
          <cell r="K1248" t="str">
            <v>PAPIRUS</v>
          </cell>
          <cell r="L1248" t="str">
            <v/>
          </cell>
          <cell r="M1248" t="str">
            <v>ÜRTM:15GÜN</v>
          </cell>
          <cell r="N1248" t="str">
            <v>1019-WD</v>
          </cell>
          <cell r="O1248" t="str">
            <v>ISHI</v>
          </cell>
          <cell r="P1248" t="str">
            <v>ADET</v>
          </cell>
          <cell r="Q1248" t="str">
            <v>E27</v>
          </cell>
          <cell r="R1248" t="str">
            <v>AHŞAP</v>
          </cell>
          <cell r="S1248" t="str">
            <v>WENGE</v>
          </cell>
          <cell r="T1248" t="str">
            <v>BETON</v>
          </cell>
          <cell r="U1248" t="str">
            <v>BEYAZ</v>
          </cell>
          <cell r="AD1248" t="str">
            <v>DAİRE</v>
          </cell>
          <cell r="AE1248" t="str">
            <v>02</v>
          </cell>
          <cell r="AF1248">
            <v>1</v>
          </cell>
          <cell r="AG1248" t="str">
            <v>ADET</v>
          </cell>
          <cell r="AH1248">
            <v>2978.5</v>
          </cell>
          <cell r="AI1248" t="str">
            <v>TL</v>
          </cell>
          <cell r="AJ1248">
            <v>16150</v>
          </cell>
          <cell r="AK1248" t="str">
            <v>TL</v>
          </cell>
          <cell r="AL1248">
            <v>0</v>
          </cell>
          <cell r="AM1248" t="str">
            <v>8684127510578</v>
          </cell>
          <cell r="AO1248">
            <v>0</v>
          </cell>
          <cell r="AQ1248">
            <v>40</v>
          </cell>
          <cell r="AR1248" t="str">
            <v>CM</v>
          </cell>
          <cell r="AS1248">
            <v>60</v>
          </cell>
          <cell r="AT1248" t="str">
            <v>CM</v>
          </cell>
          <cell r="AU1248">
            <v>0</v>
          </cell>
          <cell r="AW1248">
            <v>0</v>
          </cell>
        </row>
        <row r="1249">
          <cell r="B1249" t="str">
            <v>H1W6ARSJMER-032</v>
          </cell>
          <cell r="C1249" t="str">
            <v>ÇARK DİŞLİ LED SİYAH APLİK 32cm</v>
          </cell>
          <cell r="D1249" t="str">
            <v>ÇARK GEAR LED BLACK WALL LAMP 32cm</v>
          </cell>
          <cell r="E1249" t="str">
            <v xml:space="preserve">AHŞAP METAL SİYAH ESKİTME   </v>
          </cell>
          <cell r="F1249" t="str">
            <v/>
          </cell>
          <cell r="G1249" t="str">
            <v>APLİK</v>
          </cell>
          <cell r="H1249" t="str">
            <v/>
          </cell>
          <cell r="I1249" t="str">
            <v>İÇ</v>
          </cell>
          <cell r="J1249" t="str">
            <v>APLİK</v>
          </cell>
          <cell r="K1249" t="str">
            <v>ÇARK</v>
          </cell>
          <cell r="L1249" t="str">
            <v/>
          </cell>
          <cell r="M1249" t="str">
            <v/>
          </cell>
          <cell r="N1249" t="str">
            <v/>
          </cell>
          <cell r="O1249" t="str">
            <v>HEKA</v>
          </cell>
          <cell r="P1249" t="str">
            <v>ADET</v>
          </cell>
          <cell r="Q1249" t="str">
            <v>LED</v>
          </cell>
          <cell r="R1249" t="str">
            <v>AHŞAP</v>
          </cell>
          <cell r="S1249" t="str">
            <v>SİYAH</v>
          </cell>
          <cell r="T1249" t="str">
            <v>METAL</v>
          </cell>
          <cell r="U1249" t="str">
            <v>ESKİTME</v>
          </cell>
          <cell r="AD1249" t="str">
            <v>DAİRE</v>
          </cell>
          <cell r="AF1249">
            <v>29</v>
          </cell>
          <cell r="AG1249" t="str">
            <v>ADET</v>
          </cell>
          <cell r="AJ1249">
            <v>2297</v>
          </cell>
          <cell r="AK1249" t="str">
            <v>TL</v>
          </cell>
          <cell r="AL1249">
            <v>0</v>
          </cell>
          <cell r="AM1249" t="str">
            <v>8123456789038</v>
          </cell>
          <cell r="AO1249">
            <v>0</v>
          </cell>
          <cell r="AQ1249">
            <v>0</v>
          </cell>
          <cell r="AS1249">
            <v>0</v>
          </cell>
          <cell r="AU1249">
            <v>0</v>
          </cell>
          <cell r="AW1249">
            <v>0</v>
          </cell>
        </row>
        <row r="1250">
          <cell r="B1250" t="str">
            <v>1FC4YGRB000-015</v>
          </cell>
          <cell r="C1250" t="str">
            <v>AFRODİT CAMI</v>
          </cell>
          <cell r="D1250" t="str">
            <v>GLASS GLOBE FOR AFRODIT</v>
          </cell>
          <cell r="E1250" t="str">
            <v/>
          </cell>
          <cell r="F1250" t="str">
            <v/>
          </cell>
          <cell r="G1250" t="str">
            <v>ZPARCA</v>
          </cell>
          <cell r="H1250" t="str">
            <v/>
          </cell>
          <cell r="I1250" t="str">
            <v>İÇ</v>
          </cell>
          <cell r="J1250" t="str">
            <v>ZPARCA</v>
          </cell>
          <cell r="K1250" t="str">
            <v>AFRODİT</v>
          </cell>
          <cell r="L1250" t="str">
            <v/>
          </cell>
          <cell r="M1250" t="str">
            <v/>
          </cell>
          <cell r="N1250" t="str">
            <v/>
          </cell>
          <cell r="P1250" t="str">
            <v>ADET</v>
          </cell>
          <cell r="AF1250">
            <v>0</v>
          </cell>
          <cell r="AG1250" t="str">
            <v>ADET</v>
          </cell>
          <cell r="AL1250">
            <v>0</v>
          </cell>
          <cell r="AM1250" t="str">
            <v>8684127510714</v>
          </cell>
          <cell r="AO1250">
            <v>0</v>
          </cell>
          <cell r="AQ1250">
            <v>0</v>
          </cell>
          <cell r="AS1250">
            <v>0</v>
          </cell>
          <cell r="AU1250">
            <v>0</v>
          </cell>
          <cell r="AW1250">
            <v>0</v>
          </cell>
        </row>
        <row r="1251">
          <cell r="B1251" t="str">
            <v>VADE01</v>
          </cell>
          <cell r="C1251" t="str">
            <v>Vade Farkı</v>
          </cell>
          <cell r="D1251" t="str">
            <v/>
          </cell>
          <cell r="E1251" t="str">
            <v/>
          </cell>
          <cell r="F1251" t="str">
            <v/>
          </cell>
          <cell r="G1251" t="str">
            <v/>
          </cell>
          <cell r="H1251" t="str">
            <v/>
          </cell>
          <cell r="I1251" t="str">
            <v/>
          </cell>
          <cell r="J1251" t="str">
            <v/>
          </cell>
          <cell r="K1251" t="str">
            <v/>
          </cell>
          <cell r="L1251" t="str">
            <v/>
          </cell>
          <cell r="M1251" t="str">
            <v/>
          </cell>
          <cell r="N1251" t="str">
            <v/>
          </cell>
          <cell r="P1251" t="str">
            <v>ADET</v>
          </cell>
          <cell r="AG1251" t="str">
            <v>ADET</v>
          </cell>
          <cell r="AL1251">
            <v>0</v>
          </cell>
          <cell r="AO1251">
            <v>0</v>
          </cell>
          <cell r="AQ1251">
            <v>0</v>
          </cell>
          <cell r="AS1251">
            <v>0</v>
          </cell>
          <cell r="AU1251">
            <v>0</v>
          </cell>
          <cell r="AW1251">
            <v>0</v>
          </cell>
        </row>
        <row r="1252">
          <cell r="B1252" t="str">
            <v>H1T6JRMLCTJ-022</v>
          </cell>
          <cell r="C1252" t="str">
            <v>PORCINO MAVİ MASA LAMBASI</v>
          </cell>
          <cell r="D1252" t="str">
            <v>PORCINO BLUE TABLE LAMP</v>
          </cell>
          <cell r="E1252" t="str">
            <v xml:space="preserve">METAL PLEKSİ MAVİ SOFT   </v>
          </cell>
          <cell r="F1252" t="str">
            <v/>
          </cell>
          <cell r="G1252" t="str">
            <v>MASA LAMBASI</v>
          </cell>
          <cell r="H1252" t="str">
            <v/>
          </cell>
          <cell r="I1252" t="str">
            <v>İÇ</v>
          </cell>
          <cell r="J1252" t="str">
            <v>MASAABAJ</v>
          </cell>
          <cell r="K1252" t="str">
            <v>PORCINO</v>
          </cell>
          <cell r="L1252" t="str">
            <v/>
          </cell>
          <cell r="M1252" t="str">
            <v/>
          </cell>
          <cell r="N1252" t="str">
            <v>5668665-BE</v>
          </cell>
          <cell r="O1252" t="str">
            <v>LAMBAM</v>
          </cell>
          <cell r="P1252" t="str">
            <v>ADET</v>
          </cell>
          <cell r="Q1252" t="str">
            <v>LED</v>
          </cell>
          <cell r="R1252" t="str">
            <v>METAL</v>
          </cell>
          <cell r="S1252" t="str">
            <v>MAVİ</v>
          </cell>
          <cell r="T1252" t="str">
            <v>PLEKSİ</v>
          </cell>
          <cell r="U1252" t="str">
            <v>SOFT</v>
          </cell>
          <cell r="AD1252" t="str">
            <v>ŞARJLI</v>
          </cell>
          <cell r="AE1252" t="str">
            <v>02</v>
          </cell>
          <cell r="AF1252">
            <v>35</v>
          </cell>
          <cell r="AG1252" t="str">
            <v>ADET</v>
          </cell>
          <cell r="AH1252">
            <v>21</v>
          </cell>
          <cell r="AI1252" t="str">
            <v>CNY</v>
          </cell>
          <cell r="AJ1252">
            <v>1088</v>
          </cell>
          <cell r="AK1252" t="str">
            <v>TL</v>
          </cell>
          <cell r="AL1252">
            <v>0</v>
          </cell>
          <cell r="AM1252" t="str">
            <v>8684127510806</v>
          </cell>
          <cell r="AO1252">
            <v>0</v>
          </cell>
          <cell r="AQ1252">
            <v>0</v>
          </cell>
          <cell r="AS1252">
            <v>0</v>
          </cell>
          <cell r="AU1252">
            <v>0</v>
          </cell>
          <cell r="AW1252">
            <v>0</v>
          </cell>
        </row>
        <row r="1253">
          <cell r="B1253" t="str">
            <v>250-SEF-BALON-A-CAM</v>
          </cell>
          <cell r="C1253" t="str">
            <v>BALON  ŞEFFAF DİŞLİ APLİK CAM 25 cm</v>
          </cell>
          <cell r="D1253" t="str">
            <v>BALLOON TRANSPARENT TOOTHED WALL LAMP GLASS 25 cm</v>
          </cell>
          <cell r="E1253" t="str">
            <v/>
          </cell>
          <cell r="F1253" t="str">
            <v/>
          </cell>
          <cell r="G1253" t="str">
            <v>ZPARCA</v>
          </cell>
          <cell r="H1253" t="str">
            <v>150A-BAL</v>
          </cell>
          <cell r="I1253" t="str">
            <v>İÇ</v>
          </cell>
          <cell r="J1253" t="str">
            <v>ZPARCA</v>
          </cell>
          <cell r="K1253" t="str">
            <v/>
          </cell>
          <cell r="L1253" t="str">
            <v/>
          </cell>
          <cell r="M1253" t="str">
            <v/>
          </cell>
          <cell r="N1253" t="str">
            <v/>
          </cell>
          <cell r="O1253" t="str">
            <v>HEKA</v>
          </cell>
          <cell r="P1253" t="str">
            <v>ADET</v>
          </cell>
          <cell r="R1253" t="str">
            <v>CAM</v>
          </cell>
          <cell r="S1253" t="str">
            <v>ŞEFFAF</v>
          </cell>
          <cell r="AF1253">
            <v>0</v>
          </cell>
          <cell r="AG1253" t="str">
            <v>ADET</v>
          </cell>
          <cell r="AJ1253">
            <v>2261</v>
          </cell>
          <cell r="AK1253" t="str">
            <v>TL</v>
          </cell>
          <cell r="AL1253">
            <v>0</v>
          </cell>
          <cell r="AM1253" t="str">
            <v>250-SEF-BALON-A-CAM</v>
          </cell>
          <cell r="AO1253">
            <v>0</v>
          </cell>
          <cell r="AQ1253">
            <v>0</v>
          </cell>
          <cell r="AS1253">
            <v>0</v>
          </cell>
          <cell r="AU1253">
            <v>0</v>
          </cell>
          <cell r="AW1253">
            <v>0</v>
          </cell>
        </row>
        <row r="1254">
          <cell r="B1254" t="str">
            <v>8699089463868</v>
          </cell>
          <cell r="C1254" t="str">
            <v>Heka Led Rustik Ampul E27 6W 3000K Gün Işığı</v>
          </cell>
          <cell r="D1254" t="str">
            <v/>
          </cell>
          <cell r="E1254" t="str">
            <v/>
          </cell>
          <cell r="F1254" t="str">
            <v/>
          </cell>
          <cell r="G1254" t="str">
            <v/>
          </cell>
          <cell r="H1254" t="str">
            <v/>
          </cell>
          <cell r="I1254" t="str">
            <v/>
          </cell>
          <cell r="J1254" t="str">
            <v/>
          </cell>
          <cell r="K1254" t="str">
            <v/>
          </cell>
          <cell r="L1254" t="str">
            <v/>
          </cell>
          <cell r="M1254" t="str">
            <v/>
          </cell>
          <cell r="N1254" t="str">
            <v/>
          </cell>
          <cell r="P1254" t="str">
            <v>ADET</v>
          </cell>
          <cell r="AF1254">
            <v>0</v>
          </cell>
          <cell r="AG1254" t="str">
            <v>ADET</v>
          </cell>
          <cell r="AL1254">
            <v>0</v>
          </cell>
          <cell r="AO1254">
            <v>0</v>
          </cell>
          <cell r="AQ1254">
            <v>0</v>
          </cell>
          <cell r="AS1254">
            <v>0</v>
          </cell>
          <cell r="AU1254">
            <v>0</v>
          </cell>
          <cell r="AW1254">
            <v>0</v>
          </cell>
        </row>
        <row r="1255">
          <cell r="B1255" t="str">
            <v>250-SEF-BALON-S-CAM</v>
          </cell>
          <cell r="C1255" t="str">
            <v>BALON  ŞEFFAF DİŞLİ SARKIT CAM 25 cm</v>
          </cell>
          <cell r="D1255" t="str">
            <v>BALLOON TRANSPARENT TOOTHED PENDANT LAMP GLASS 25 cm</v>
          </cell>
          <cell r="E1255" t="str">
            <v/>
          </cell>
          <cell r="F1255" t="str">
            <v/>
          </cell>
          <cell r="G1255" t="str">
            <v>ZPARCA</v>
          </cell>
          <cell r="H1255" t="str">
            <v>150A-BAL</v>
          </cell>
          <cell r="I1255" t="str">
            <v>İÇ</v>
          </cell>
          <cell r="J1255" t="str">
            <v>ZPARCA</v>
          </cell>
          <cell r="K1255" t="str">
            <v/>
          </cell>
          <cell r="L1255" t="str">
            <v/>
          </cell>
          <cell r="M1255" t="str">
            <v/>
          </cell>
          <cell r="N1255" t="str">
            <v/>
          </cell>
          <cell r="O1255" t="str">
            <v>HEKA</v>
          </cell>
          <cell r="P1255" t="str">
            <v>ADET</v>
          </cell>
          <cell r="R1255" t="str">
            <v>CAM</v>
          </cell>
          <cell r="S1255" t="str">
            <v>ŞEFFAF</v>
          </cell>
          <cell r="AF1255">
            <v>0</v>
          </cell>
          <cell r="AG1255" t="str">
            <v>ADET</v>
          </cell>
          <cell r="AJ1255">
            <v>2083</v>
          </cell>
          <cell r="AK1255" t="str">
            <v>TL</v>
          </cell>
          <cell r="AL1255">
            <v>0</v>
          </cell>
          <cell r="AM1255" t="str">
            <v>250-SEF-BALON-S-CAM</v>
          </cell>
          <cell r="AO1255">
            <v>0</v>
          </cell>
          <cell r="AQ1255">
            <v>0</v>
          </cell>
          <cell r="AS1255">
            <v>0</v>
          </cell>
          <cell r="AU1255">
            <v>0</v>
          </cell>
          <cell r="AW1255">
            <v>0</v>
          </cell>
        </row>
        <row r="1256">
          <cell r="B1256" t="str">
            <v>CK1G2C402A5A1</v>
          </cell>
          <cell r="C1256" t="str">
            <v>ERD-290 OPAL CAM 2 W 3000K E14 LED AMPUL</v>
          </cell>
          <cell r="D1256" t="str">
            <v>ERD-290 OPAL GLASS 2W  3000K E14 LED BULB</v>
          </cell>
          <cell r="E1256" t="str">
            <v xml:space="preserve">SMD LED UZUN PLASTİK 220v   </v>
          </cell>
          <cell r="F1256" t="str">
            <v/>
          </cell>
          <cell r="G1256" t="str">
            <v>AMPUL</v>
          </cell>
          <cell r="H1256" t="str">
            <v/>
          </cell>
          <cell r="I1256" t="str">
            <v>İÇ</v>
          </cell>
          <cell r="J1256" t="str">
            <v>AMPUL</v>
          </cell>
          <cell r="K1256" t="str">
            <v>ERD-290</v>
          </cell>
          <cell r="L1256" t="str">
            <v/>
          </cell>
          <cell r="M1256" t="str">
            <v/>
          </cell>
          <cell r="N1256" t="str">
            <v>ERD-290</v>
          </cell>
          <cell r="O1256" t="str">
            <v>HEKA</v>
          </cell>
          <cell r="P1256" t="str">
            <v>ADET</v>
          </cell>
          <cell r="Q1256" t="str">
            <v>E14</v>
          </cell>
          <cell r="R1256" t="str">
            <v>CAM</v>
          </cell>
          <cell r="S1256" t="str">
            <v>OPAL</v>
          </cell>
          <cell r="V1256" t="str">
            <v>G</v>
          </cell>
          <cell r="W1256" t="str">
            <v>SMD LED</v>
          </cell>
          <cell r="X1256" t="str">
            <v>220V</v>
          </cell>
          <cell r="Y1256" t="str">
            <v>2 WATT</v>
          </cell>
          <cell r="Z1256" t="str">
            <v>3000 K</v>
          </cell>
          <cell r="AA1256" t="str">
            <v>DIMMLI</v>
          </cell>
          <cell r="AB1256" t="str">
            <v>401-500</v>
          </cell>
          <cell r="AC1256" t="str">
            <v>KARMA</v>
          </cell>
          <cell r="AF1256">
            <v>7389</v>
          </cell>
          <cell r="AG1256" t="str">
            <v>ADET</v>
          </cell>
          <cell r="AH1256">
            <v>2</v>
          </cell>
          <cell r="AI1256" t="str">
            <v>CNY</v>
          </cell>
          <cell r="AJ1256">
            <v>1.32</v>
          </cell>
          <cell r="AK1256" t="str">
            <v>USD</v>
          </cell>
          <cell r="AL1256">
            <v>0</v>
          </cell>
          <cell r="AM1256" t="str">
            <v>8684127510875</v>
          </cell>
          <cell r="AN1256" t="str">
            <v>8684127510936</v>
          </cell>
          <cell r="AO1256">
            <v>0</v>
          </cell>
          <cell r="AQ1256">
            <v>0</v>
          </cell>
          <cell r="AS1256">
            <v>0</v>
          </cell>
          <cell r="AU1256">
            <v>0</v>
          </cell>
          <cell r="AW1256">
            <v>0</v>
          </cell>
        </row>
        <row r="1257">
          <cell r="B1257" t="str">
            <v>8699089462801</v>
          </cell>
          <cell r="C1257" t="str">
            <v>Heka Rustik Led Ampul 6W E14 2500K Gün Işığı</v>
          </cell>
          <cell r="D1257" t="str">
            <v/>
          </cell>
          <cell r="E1257" t="str">
            <v/>
          </cell>
          <cell r="F1257" t="str">
            <v/>
          </cell>
          <cell r="G1257" t="str">
            <v/>
          </cell>
          <cell r="H1257" t="str">
            <v/>
          </cell>
          <cell r="I1257" t="str">
            <v/>
          </cell>
          <cell r="J1257" t="str">
            <v/>
          </cell>
          <cell r="K1257" t="str">
            <v/>
          </cell>
          <cell r="L1257" t="str">
            <v/>
          </cell>
          <cell r="M1257" t="str">
            <v/>
          </cell>
          <cell r="N1257" t="str">
            <v/>
          </cell>
          <cell r="P1257" t="str">
            <v>ADET</v>
          </cell>
          <cell r="AG1257" t="str">
            <v>ADET</v>
          </cell>
          <cell r="AL1257">
            <v>0</v>
          </cell>
          <cell r="AO1257">
            <v>0</v>
          </cell>
          <cell r="AQ1257">
            <v>0</v>
          </cell>
          <cell r="AS1257">
            <v>0</v>
          </cell>
          <cell r="AU1257">
            <v>0</v>
          </cell>
          <cell r="AW1257">
            <v>0</v>
          </cell>
        </row>
        <row r="1258">
          <cell r="B1258" t="str">
            <v>SNC-HX-006</v>
          </cell>
          <cell r="C1258" t="str">
            <v>HX-006 ÖZEL SÜS AYDINLATMA</v>
          </cell>
          <cell r="D1258" t="str">
            <v/>
          </cell>
          <cell r="E1258" t="str">
            <v/>
          </cell>
          <cell r="F1258" t="str">
            <v>8539.52.00.00.00</v>
          </cell>
          <cell r="G1258" t="str">
            <v>AKSESUAR</v>
          </cell>
          <cell r="H1258" t="str">
            <v/>
          </cell>
          <cell r="I1258" t="str">
            <v>İÇ</v>
          </cell>
          <cell r="J1258" t="str">
            <v>AKSESUAR</v>
          </cell>
          <cell r="K1258" t="str">
            <v/>
          </cell>
          <cell r="L1258" t="str">
            <v/>
          </cell>
          <cell r="M1258" t="str">
            <v/>
          </cell>
          <cell r="N1258" t="str">
            <v/>
          </cell>
          <cell r="P1258" t="str">
            <v>ADET</v>
          </cell>
          <cell r="AF1258">
            <v>0</v>
          </cell>
          <cell r="AG1258" t="str">
            <v>ADET</v>
          </cell>
          <cell r="AL1258">
            <v>0</v>
          </cell>
          <cell r="AO1258">
            <v>0</v>
          </cell>
          <cell r="AQ1258">
            <v>0</v>
          </cell>
          <cell r="AS1258">
            <v>0</v>
          </cell>
          <cell r="AU1258">
            <v>0</v>
          </cell>
          <cell r="AW1258">
            <v>0</v>
          </cell>
        </row>
        <row r="1259">
          <cell r="B1259" t="str">
            <v>300-CAM-SEFFAF</v>
          </cell>
          <cell r="C1259" t="str">
            <v>BATUR DİŞLİ ŞEFFAF CAM 30 cm</v>
          </cell>
          <cell r="D1259" t="str">
            <v>THREADED CLEAR GLASS 30 cm</v>
          </cell>
          <cell r="E1259" t="str">
            <v/>
          </cell>
          <cell r="F1259" t="str">
            <v/>
          </cell>
          <cell r="G1259" t="str">
            <v>AVİZE</v>
          </cell>
          <cell r="H1259" t="str">
            <v>300A-ŞEFFAF</v>
          </cell>
          <cell r="I1259" t="str">
            <v>İÇ</v>
          </cell>
          <cell r="J1259" t="str">
            <v>AVİZE.SARK</v>
          </cell>
          <cell r="K1259" t="str">
            <v>BATUR</v>
          </cell>
          <cell r="L1259" t="str">
            <v/>
          </cell>
          <cell r="M1259" t="str">
            <v>20.11.2023</v>
          </cell>
          <cell r="N1259" t="str">
            <v/>
          </cell>
          <cell r="O1259" t="str">
            <v>HEKA</v>
          </cell>
          <cell r="P1259" t="str">
            <v>ADET</v>
          </cell>
          <cell r="R1259" t="str">
            <v>CAM</v>
          </cell>
          <cell r="S1259" t="str">
            <v>ŞEFFAF</v>
          </cell>
          <cell r="AF1259">
            <v>13</v>
          </cell>
          <cell r="AG1259" t="str">
            <v>ADET</v>
          </cell>
          <cell r="AH1259">
            <v>34</v>
          </cell>
          <cell r="AI1259" t="str">
            <v>CNY</v>
          </cell>
          <cell r="AJ1259">
            <v>3750</v>
          </cell>
          <cell r="AK1259" t="str">
            <v>TL</v>
          </cell>
          <cell r="AL1259">
            <v>1</v>
          </cell>
          <cell r="AM1259" t="str">
            <v>300-CAM-SEFFAF</v>
          </cell>
          <cell r="AO1259">
            <v>0</v>
          </cell>
          <cell r="AQ1259">
            <v>0</v>
          </cell>
          <cell r="AS1259">
            <v>0</v>
          </cell>
          <cell r="AU1259">
            <v>0</v>
          </cell>
          <cell r="AW1259">
            <v>0</v>
          </cell>
        </row>
        <row r="1260">
          <cell r="B1260" t="str">
            <v>H1C6JMGBCSY-033</v>
          </cell>
          <cell r="C1260" t="str">
            <v>CARİNA TEKLİ ŞEFFAF AKRİLİK ALTIN SARKIT 30cm</v>
          </cell>
          <cell r="D1260" t="str">
            <v>CARİNA SINGLE CLEAR ACRYLIC GOLD PENDANT LAMP 30cm</v>
          </cell>
          <cell r="E1260" t="str">
            <v xml:space="preserve">METAL AKRİLİK GOLD ŞEFFAF   </v>
          </cell>
          <cell r="F1260" t="str">
            <v>9405.11.90.00.00</v>
          </cell>
          <cell r="G1260" t="str">
            <v>AVİZE</v>
          </cell>
          <cell r="H1260" t="str">
            <v>T1A6241100-03</v>
          </cell>
          <cell r="I1260" t="str">
            <v>İÇ</v>
          </cell>
          <cell r="J1260" t="str">
            <v>AVİZE.SARK</v>
          </cell>
          <cell r="K1260" t="str">
            <v>CARİNA</v>
          </cell>
          <cell r="L1260" t="str">
            <v/>
          </cell>
          <cell r="M1260" t="str">
            <v/>
          </cell>
          <cell r="N1260" t="str">
            <v>HKA-23010</v>
          </cell>
          <cell r="O1260" t="str">
            <v>HEKA</v>
          </cell>
          <cell r="P1260" t="str">
            <v>ADET</v>
          </cell>
          <cell r="Q1260" t="str">
            <v>LED</v>
          </cell>
          <cell r="R1260" t="str">
            <v>METAL</v>
          </cell>
          <cell r="S1260" t="str">
            <v>GOLD</v>
          </cell>
          <cell r="T1260" t="str">
            <v>AKRİLİK</v>
          </cell>
          <cell r="U1260" t="str">
            <v>ŞEFFAF</v>
          </cell>
          <cell r="AD1260" t="str">
            <v>KÜRE</v>
          </cell>
          <cell r="AF1260">
            <v>55</v>
          </cell>
          <cell r="AG1260" t="str">
            <v>ADET</v>
          </cell>
          <cell r="AH1260">
            <v>315</v>
          </cell>
          <cell r="AI1260" t="str">
            <v>CNY</v>
          </cell>
          <cell r="AJ1260">
            <v>17600</v>
          </cell>
          <cell r="AK1260" t="str">
            <v>TL</v>
          </cell>
          <cell r="AL1260">
            <v>1</v>
          </cell>
          <cell r="AM1260" t="str">
            <v>8684127511094</v>
          </cell>
          <cell r="AO1260">
            <v>2</v>
          </cell>
          <cell r="AP1260" t="str">
            <v>KG</v>
          </cell>
          <cell r="AQ1260">
            <v>500</v>
          </cell>
          <cell r="AR1260" t="str">
            <v>CM</v>
          </cell>
          <cell r="AS1260">
            <v>33</v>
          </cell>
          <cell r="AT1260" t="str">
            <v>CM</v>
          </cell>
          <cell r="AU1260">
            <v>0</v>
          </cell>
          <cell r="AW1260">
            <v>0</v>
          </cell>
        </row>
        <row r="1261">
          <cell r="B1261" t="str">
            <v>H1C6JMGBCSY-023</v>
          </cell>
          <cell r="C1261" t="str">
            <v>CARİNA TEKLİ ŞEFFAF AKRİLİK ALTIN SARKIT 20cm</v>
          </cell>
          <cell r="D1261" t="str">
            <v>CARİNA SINGLE CLEAR ACRYLIC GOLD PENDANT LAMP 20cm</v>
          </cell>
          <cell r="E1261" t="str">
            <v xml:space="preserve">METAL AKRİLİK GOLD ŞEFFAF   </v>
          </cell>
          <cell r="F1261" t="str">
            <v>9405.11.90.00.00</v>
          </cell>
          <cell r="G1261" t="str">
            <v>AVİZE</v>
          </cell>
          <cell r="H1261" t="str">
            <v>T1A6241100-03</v>
          </cell>
          <cell r="I1261" t="str">
            <v>İÇ</v>
          </cell>
          <cell r="J1261" t="str">
            <v>AVİZE.SARK</v>
          </cell>
          <cell r="K1261" t="str">
            <v>CARİNA</v>
          </cell>
          <cell r="L1261" t="str">
            <v/>
          </cell>
          <cell r="M1261" t="str">
            <v/>
          </cell>
          <cell r="N1261" t="str">
            <v>HKA-23009</v>
          </cell>
          <cell r="O1261" t="str">
            <v>HEKA</v>
          </cell>
          <cell r="P1261" t="str">
            <v>ADET</v>
          </cell>
          <cell r="Q1261" t="str">
            <v>LED</v>
          </cell>
          <cell r="R1261" t="str">
            <v>METAL</v>
          </cell>
          <cell r="S1261" t="str">
            <v>GOLD</v>
          </cell>
          <cell r="T1261" t="str">
            <v>AKRİLİK</v>
          </cell>
          <cell r="U1261" t="str">
            <v>ŞEFFAF</v>
          </cell>
          <cell r="AD1261" t="str">
            <v>KÜRE</v>
          </cell>
          <cell r="AF1261">
            <v>24</v>
          </cell>
          <cell r="AG1261" t="str">
            <v>ADET</v>
          </cell>
          <cell r="AH1261">
            <v>225</v>
          </cell>
          <cell r="AI1261" t="str">
            <v>CNY</v>
          </cell>
          <cell r="AJ1261">
            <v>12600</v>
          </cell>
          <cell r="AK1261" t="str">
            <v>TL</v>
          </cell>
          <cell r="AL1261">
            <v>1</v>
          </cell>
          <cell r="AM1261" t="str">
            <v>8684127511087</v>
          </cell>
          <cell r="AO1261">
            <v>1.5</v>
          </cell>
          <cell r="AQ1261">
            <v>500</v>
          </cell>
          <cell r="AR1261" t="str">
            <v>CM</v>
          </cell>
          <cell r="AS1261">
            <v>23</v>
          </cell>
          <cell r="AT1261" t="str">
            <v>CM</v>
          </cell>
          <cell r="AU1261">
            <v>0</v>
          </cell>
          <cell r="AW1261">
            <v>0</v>
          </cell>
        </row>
        <row r="1262">
          <cell r="B1262" t="str">
            <v>H1C6CRSBRFR-018</v>
          </cell>
          <cell r="C1262" t="str">
            <v>BUMİN FÜME AKRİLİK SİYAH ALÜMİNYUM LED SARKIT 18cm</v>
          </cell>
          <cell r="D1262" t="str">
            <v>BUMIN SMOKY ACRYLIC BLACK ALUMINUM LED PENDANT 18cm</v>
          </cell>
          <cell r="E1262" t="str">
            <v xml:space="preserve">ALUMİNYUM AKRİLİK SİYAH FÜME   </v>
          </cell>
          <cell r="F1262" t="str">
            <v/>
          </cell>
          <cell r="G1262" t="str">
            <v>AVİZE</v>
          </cell>
          <cell r="H1262" t="str">
            <v/>
          </cell>
          <cell r="I1262" t="str">
            <v>İÇ</v>
          </cell>
          <cell r="J1262" t="str">
            <v>AVİZE.SARK</v>
          </cell>
          <cell r="K1262" t="str">
            <v>BUMİN</v>
          </cell>
          <cell r="L1262" t="str">
            <v/>
          </cell>
          <cell r="M1262" t="str">
            <v/>
          </cell>
          <cell r="N1262" t="str">
            <v>HKA-23078</v>
          </cell>
          <cell r="O1262" t="str">
            <v>HEKA</v>
          </cell>
          <cell r="P1262" t="str">
            <v>ADET</v>
          </cell>
          <cell r="Q1262" t="str">
            <v>LED</v>
          </cell>
          <cell r="R1262" t="str">
            <v>ALUMİNYUM</v>
          </cell>
          <cell r="S1262" t="str">
            <v>SİYAH</v>
          </cell>
          <cell r="T1262" t="str">
            <v>AKRİLİK</v>
          </cell>
          <cell r="U1262" t="str">
            <v>FÜME</v>
          </cell>
          <cell r="AD1262" t="str">
            <v>DAİRE</v>
          </cell>
          <cell r="AE1262" t="str">
            <v>02</v>
          </cell>
          <cell r="AF1262">
            <v>1</v>
          </cell>
          <cell r="AG1262" t="str">
            <v>ADET</v>
          </cell>
          <cell r="AH1262">
            <v>100</v>
          </cell>
          <cell r="AI1262" t="str">
            <v>CNY</v>
          </cell>
          <cell r="AJ1262">
            <v>6375</v>
          </cell>
          <cell r="AK1262" t="str">
            <v>TL</v>
          </cell>
          <cell r="AL1262">
            <v>1</v>
          </cell>
          <cell r="AM1262" t="str">
            <v>8684127511230</v>
          </cell>
          <cell r="AO1262">
            <v>1.08</v>
          </cell>
          <cell r="AP1262" t="str">
            <v>KG</v>
          </cell>
          <cell r="AQ1262">
            <v>18</v>
          </cell>
          <cell r="AR1262" t="str">
            <v>CM</v>
          </cell>
          <cell r="AS1262">
            <v>18</v>
          </cell>
          <cell r="AT1262" t="str">
            <v>CM</v>
          </cell>
          <cell r="AU1262">
            <v>0</v>
          </cell>
          <cell r="AW1262">
            <v>0</v>
          </cell>
        </row>
        <row r="1263">
          <cell r="B1263" t="str">
            <v>H1W6JMPERFY-050</v>
          </cell>
          <cell r="C1263" t="str">
            <v>TOMRİS FÜME CAM PLATİN LED TEK TOPLU APLİK</v>
          </cell>
          <cell r="D1263" t="str">
            <v>TOMRIS SMOKY GLASS PLATINUM SINGLE BALLS LED WALL LAMP</v>
          </cell>
          <cell r="E1263" t="str">
            <v xml:space="preserve">METAL CAM  PLATİN FÜME   </v>
          </cell>
          <cell r="F1263" t="str">
            <v>9405.11.90.00.00</v>
          </cell>
          <cell r="G1263" t="str">
            <v>APLİK</v>
          </cell>
          <cell r="H1263" t="str">
            <v/>
          </cell>
          <cell r="I1263" t="str">
            <v>İÇ</v>
          </cell>
          <cell r="J1263" t="str">
            <v>APLİK</v>
          </cell>
          <cell r="K1263" t="str">
            <v>TOMRİS</v>
          </cell>
          <cell r="L1263" t="str">
            <v/>
          </cell>
          <cell r="M1263" t="str">
            <v/>
          </cell>
          <cell r="N1263" t="str">
            <v>HKA-23083</v>
          </cell>
          <cell r="O1263" t="str">
            <v>HEKA</v>
          </cell>
          <cell r="P1263" t="str">
            <v>ADET</v>
          </cell>
          <cell r="Q1263" t="str">
            <v>LED</v>
          </cell>
          <cell r="R1263" t="str">
            <v>METAL</v>
          </cell>
          <cell r="S1263" t="str">
            <v>PLATİN</v>
          </cell>
          <cell r="T1263" t="str">
            <v>CAM</v>
          </cell>
          <cell r="U1263" t="str">
            <v>FÜME</v>
          </cell>
          <cell r="AD1263" t="str">
            <v>KÜRE</v>
          </cell>
          <cell r="AF1263">
            <v>2</v>
          </cell>
          <cell r="AG1263" t="str">
            <v>ADET</v>
          </cell>
          <cell r="AH1263">
            <v>83</v>
          </cell>
          <cell r="AI1263" t="str">
            <v>CNY</v>
          </cell>
          <cell r="AJ1263">
            <v>6950</v>
          </cell>
          <cell r="AK1263" t="str">
            <v>TL</v>
          </cell>
          <cell r="AL1263">
            <v>1</v>
          </cell>
          <cell r="AM1263" t="str">
            <v>8684127511261</v>
          </cell>
          <cell r="AO1263">
            <v>11</v>
          </cell>
          <cell r="AP1263" t="str">
            <v>KG</v>
          </cell>
          <cell r="AQ1263">
            <v>14</v>
          </cell>
          <cell r="AR1263" t="str">
            <v>CM</v>
          </cell>
          <cell r="AS1263">
            <v>50</v>
          </cell>
          <cell r="AT1263" t="str">
            <v>CM</v>
          </cell>
          <cell r="AU1263">
            <v>0</v>
          </cell>
          <cell r="AW1263">
            <v>0</v>
          </cell>
        </row>
        <row r="1264">
          <cell r="B1264" t="str">
            <v>CK2G6C1M2E3J0GC</v>
          </cell>
          <cell r="C1264" t="str">
            <v xml:space="preserve">ERD-296 ŞERİT FİLAMENT LED BAL CAM 6W 2500K E27  </v>
          </cell>
          <cell r="D1264" t="str">
            <v>ERD-296 STRIP FILAMENT LED AMBER GLASS 6W 2500K E27  BULB</v>
          </cell>
          <cell r="E1264" t="str">
            <v xml:space="preserve">ŞERİT FİLAMENT METAL CAM  220v   </v>
          </cell>
          <cell r="F1264" t="str">
            <v/>
          </cell>
          <cell r="G1264" t="str">
            <v>AMPUL</v>
          </cell>
          <cell r="H1264" t="str">
            <v/>
          </cell>
          <cell r="I1264" t="str">
            <v>İÇ</v>
          </cell>
          <cell r="J1264" t="str">
            <v>AMPUL</v>
          </cell>
          <cell r="K1264" t="str">
            <v>ERD-296</v>
          </cell>
          <cell r="L1264" t="str">
            <v/>
          </cell>
          <cell r="M1264" t="str">
            <v/>
          </cell>
          <cell r="N1264" t="str">
            <v>ERD-296</v>
          </cell>
          <cell r="O1264" t="str">
            <v>HEKA</v>
          </cell>
          <cell r="P1264" t="str">
            <v>ADET</v>
          </cell>
          <cell r="Q1264" t="str">
            <v>E27</v>
          </cell>
          <cell r="R1264" t="str">
            <v>CAM</v>
          </cell>
          <cell r="S1264" t="str">
            <v>BAL</v>
          </cell>
          <cell r="T1264" t="str">
            <v>METAL</v>
          </cell>
          <cell r="V1264" t="str">
            <v>G</v>
          </cell>
          <cell r="W1264" t="str">
            <v>ŞERİT FİLAMENT</v>
          </cell>
          <cell r="X1264" t="str">
            <v>220V</v>
          </cell>
          <cell r="Y1264" t="str">
            <v>6 WATT</v>
          </cell>
          <cell r="Z1264" t="str">
            <v>2500 K</v>
          </cell>
          <cell r="AA1264" t="str">
            <v>DIMMSIZ</v>
          </cell>
          <cell r="AB1264" t="str">
            <v>401-500</v>
          </cell>
          <cell r="AC1264" t="str">
            <v>KARMA</v>
          </cell>
          <cell r="AF1264">
            <v>246</v>
          </cell>
          <cell r="AG1264" t="str">
            <v>ADET</v>
          </cell>
          <cell r="AH1264">
            <v>24</v>
          </cell>
          <cell r="AI1264" t="str">
            <v>CNY</v>
          </cell>
          <cell r="AJ1264">
            <v>22</v>
          </cell>
          <cell r="AK1264" t="str">
            <v>USD</v>
          </cell>
          <cell r="AL1264">
            <v>1</v>
          </cell>
          <cell r="AM1264" t="str">
            <v>8684127511360</v>
          </cell>
          <cell r="AO1264">
            <v>0</v>
          </cell>
          <cell r="AQ1264">
            <v>0</v>
          </cell>
          <cell r="AS1264">
            <v>0</v>
          </cell>
          <cell r="AU1264">
            <v>0</v>
          </cell>
          <cell r="AW1264">
            <v>0</v>
          </cell>
        </row>
        <row r="1265">
          <cell r="B1265" t="str">
            <v>CK2G6C2M2E3H0GC</v>
          </cell>
          <cell r="C1265" t="str">
            <v xml:space="preserve">ERD-297 ŞERİT FİLAMENT LED FÜME CAM 6W 2500K E27 </v>
          </cell>
          <cell r="D1265" t="str">
            <v>ERD-297 STRIP FILAMENT LED SMOKY GLASS 6W 2500K E27  BULB</v>
          </cell>
          <cell r="E1265" t="str">
            <v xml:space="preserve">ŞERİT FİLAMENT METAL CAM  220v   </v>
          </cell>
          <cell r="F1265" t="str">
            <v/>
          </cell>
          <cell r="G1265" t="str">
            <v>AMPUL</v>
          </cell>
          <cell r="H1265" t="str">
            <v/>
          </cell>
          <cell r="I1265" t="str">
            <v>İÇ</v>
          </cell>
          <cell r="J1265" t="str">
            <v>AMPUL</v>
          </cell>
          <cell r="K1265" t="str">
            <v>ERD-297</v>
          </cell>
          <cell r="L1265" t="str">
            <v/>
          </cell>
          <cell r="M1265" t="str">
            <v/>
          </cell>
          <cell r="N1265" t="str">
            <v>ERD-297</v>
          </cell>
          <cell r="O1265" t="str">
            <v>HEKA</v>
          </cell>
          <cell r="P1265" t="str">
            <v>ADET</v>
          </cell>
          <cell r="Q1265" t="str">
            <v>E27</v>
          </cell>
          <cell r="R1265" t="str">
            <v>CAM</v>
          </cell>
          <cell r="S1265" t="str">
            <v>FÜME</v>
          </cell>
          <cell r="T1265" t="str">
            <v>METAL</v>
          </cell>
          <cell r="V1265" t="str">
            <v>G</v>
          </cell>
          <cell r="W1265" t="str">
            <v>ŞERİT FİLAMENT</v>
          </cell>
          <cell r="X1265" t="str">
            <v>220V</v>
          </cell>
          <cell r="Y1265" t="str">
            <v>6 WATT</v>
          </cell>
          <cell r="Z1265" t="str">
            <v>2500 K</v>
          </cell>
          <cell r="AA1265" t="str">
            <v>DIMMSIZ</v>
          </cell>
          <cell r="AB1265" t="str">
            <v>301-400</v>
          </cell>
          <cell r="AC1265" t="str">
            <v>KARMA</v>
          </cell>
          <cell r="AF1265">
            <v>111</v>
          </cell>
          <cell r="AG1265" t="str">
            <v>ADET</v>
          </cell>
          <cell r="AH1265">
            <v>25</v>
          </cell>
          <cell r="AI1265" t="str">
            <v>CNY</v>
          </cell>
          <cell r="AJ1265">
            <v>22</v>
          </cell>
          <cell r="AK1265" t="str">
            <v>USD</v>
          </cell>
          <cell r="AL1265">
            <v>0</v>
          </cell>
          <cell r="AM1265" t="str">
            <v>8684127511377</v>
          </cell>
          <cell r="AO1265">
            <v>0</v>
          </cell>
          <cell r="AQ1265">
            <v>0</v>
          </cell>
          <cell r="AS1265">
            <v>0</v>
          </cell>
          <cell r="AU1265">
            <v>0</v>
          </cell>
          <cell r="AW1265">
            <v>0</v>
          </cell>
        </row>
        <row r="1266">
          <cell r="B1266" t="str">
            <v>300-SEF-E-BALON-A-CAM</v>
          </cell>
          <cell r="C1266" t="str">
            <v>ELİPS BALON  ŞEFFAF DİŞLİ APLİK CAM 30 cm</v>
          </cell>
          <cell r="D1266" t="str">
            <v>ELLIPSE BALLOON TRANSPARENT TOOTHED WALL LAMP GLASS 30 cm</v>
          </cell>
          <cell r="E1266" t="str">
            <v/>
          </cell>
          <cell r="F1266" t="str">
            <v/>
          </cell>
          <cell r="G1266" t="str">
            <v>ZPARCA</v>
          </cell>
          <cell r="H1266" t="str">
            <v>150A-BAL</v>
          </cell>
          <cell r="I1266" t="str">
            <v>İÇ</v>
          </cell>
          <cell r="J1266" t="str">
            <v>ZPARCA</v>
          </cell>
          <cell r="K1266" t="str">
            <v/>
          </cell>
          <cell r="L1266" t="str">
            <v/>
          </cell>
          <cell r="M1266" t="str">
            <v/>
          </cell>
          <cell r="N1266" t="str">
            <v/>
          </cell>
          <cell r="O1266" t="str">
            <v>HEKA</v>
          </cell>
          <cell r="P1266" t="str">
            <v>ADET</v>
          </cell>
          <cell r="R1266" t="str">
            <v>CAM</v>
          </cell>
          <cell r="S1266" t="str">
            <v>ŞEFFAF</v>
          </cell>
          <cell r="AF1266">
            <v>0</v>
          </cell>
          <cell r="AG1266" t="str">
            <v>ADET</v>
          </cell>
          <cell r="AJ1266">
            <v>1250</v>
          </cell>
          <cell r="AK1266" t="str">
            <v>TL</v>
          </cell>
          <cell r="AL1266">
            <v>0</v>
          </cell>
          <cell r="AM1266" t="str">
            <v>300-SEF-E-BALON-A-CAM</v>
          </cell>
          <cell r="AO1266">
            <v>0</v>
          </cell>
          <cell r="AQ1266">
            <v>0</v>
          </cell>
          <cell r="AS1266">
            <v>0</v>
          </cell>
          <cell r="AU1266">
            <v>0</v>
          </cell>
          <cell r="AW1266">
            <v>0</v>
          </cell>
        </row>
        <row r="1267">
          <cell r="B1267" t="str">
            <v>300-BAL-E-BALON-A-CAM</v>
          </cell>
          <cell r="C1267" t="str">
            <v>ELİPS BALON  BAL DİŞLİ APLİK CAM 30 cm</v>
          </cell>
          <cell r="D1267" t="str">
            <v>ELLIPSE BALLOON AMBER TOOTHED WALL LAMP GLASS 30 cm</v>
          </cell>
          <cell r="E1267" t="str">
            <v/>
          </cell>
          <cell r="F1267" t="str">
            <v/>
          </cell>
          <cell r="G1267" t="str">
            <v>ZPARCA</v>
          </cell>
          <cell r="H1267" t="str">
            <v>150A-BAL</v>
          </cell>
          <cell r="I1267" t="str">
            <v>İÇ</v>
          </cell>
          <cell r="J1267" t="str">
            <v>ZPARCA</v>
          </cell>
          <cell r="K1267" t="str">
            <v/>
          </cell>
          <cell r="L1267" t="str">
            <v/>
          </cell>
          <cell r="M1267" t="str">
            <v/>
          </cell>
          <cell r="N1267" t="str">
            <v/>
          </cell>
          <cell r="O1267" t="str">
            <v>HEKA</v>
          </cell>
          <cell r="P1267" t="str">
            <v>ADET</v>
          </cell>
          <cell r="R1267" t="str">
            <v>CAM</v>
          </cell>
          <cell r="S1267" t="str">
            <v>ŞEFFAF</v>
          </cell>
          <cell r="AF1267">
            <v>0</v>
          </cell>
          <cell r="AG1267" t="str">
            <v>ADET</v>
          </cell>
          <cell r="AJ1267">
            <v>1250</v>
          </cell>
          <cell r="AK1267" t="str">
            <v>TL</v>
          </cell>
          <cell r="AL1267">
            <v>0</v>
          </cell>
          <cell r="AM1267" t="str">
            <v>300-BAL-E-BALON-A-CAM</v>
          </cell>
          <cell r="AO1267">
            <v>0</v>
          </cell>
          <cell r="AQ1267">
            <v>0</v>
          </cell>
          <cell r="AS1267">
            <v>0</v>
          </cell>
          <cell r="AU1267">
            <v>0</v>
          </cell>
          <cell r="AW1267">
            <v>0</v>
          </cell>
        </row>
        <row r="1268">
          <cell r="B1268" t="str">
            <v>L1T6JRSBCSJ-018</v>
          </cell>
          <cell r="C1268" t="str">
            <v>CLARA DİMMERLİ ŞARJLI KRİSTAL AKRİLİK SİYAH MASA L</v>
          </cell>
          <cell r="D1268" t="str">
            <v>CLARA DIMMABLE RECHARGEABLE CRYSTAL ACRYLIC BLACK TABLE LAMP</v>
          </cell>
          <cell r="E1268" t="str">
            <v xml:space="preserve">METAL AKRİLİK SİYAH ŞEFFAF   </v>
          </cell>
          <cell r="F1268" t="str">
            <v/>
          </cell>
          <cell r="G1268" t="str">
            <v>MASAABAJ</v>
          </cell>
          <cell r="H1268" t="str">
            <v/>
          </cell>
          <cell r="I1268" t="str">
            <v>İÇ</v>
          </cell>
          <cell r="J1268" t="str">
            <v>MASAKAMP</v>
          </cell>
          <cell r="K1268" t="str">
            <v>CLARA</v>
          </cell>
          <cell r="L1268" t="str">
            <v>NET</v>
          </cell>
          <cell r="M1268" t="str">
            <v/>
          </cell>
          <cell r="N1268" t="str">
            <v>HKA-24034</v>
          </cell>
          <cell r="O1268" t="str">
            <v>LAMBAM</v>
          </cell>
          <cell r="P1268" t="str">
            <v>ADET</v>
          </cell>
          <cell r="Q1268" t="str">
            <v>LED</v>
          </cell>
          <cell r="R1268" t="str">
            <v>METAL</v>
          </cell>
          <cell r="S1268" t="str">
            <v>SİYAH</v>
          </cell>
          <cell r="T1268" t="str">
            <v>AKRİLİK</v>
          </cell>
          <cell r="U1268" t="str">
            <v>ŞEFFAF</v>
          </cell>
          <cell r="AD1268" t="str">
            <v>ŞARJLI</v>
          </cell>
          <cell r="AF1268">
            <v>0</v>
          </cell>
          <cell r="AG1268" t="str">
            <v>ADET</v>
          </cell>
          <cell r="AH1268">
            <v>55</v>
          </cell>
          <cell r="AI1268" t="str">
            <v>CNY</v>
          </cell>
          <cell r="AJ1268">
            <v>1980</v>
          </cell>
          <cell r="AK1268" t="str">
            <v>TL</v>
          </cell>
          <cell r="AL1268">
            <v>0</v>
          </cell>
          <cell r="AM1268" t="str">
            <v>8684127512077</v>
          </cell>
          <cell r="AO1268">
            <v>0.56000000000000005</v>
          </cell>
          <cell r="AP1268" t="str">
            <v>KG</v>
          </cell>
          <cell r="AQ1268">
            <v>18</v>
          </cell>
          <cell r="AR1268" t="str">
            <v>CM</v>
          </cell>
          <cell r="AS1268">
            <v>9</v>
          </cell>
          <cell r="AT1268" t="str">
            <v>CM</v>
          </cell>
          <cell r="AU1268">
            <v>0</v>
          </cell>
          <cell r="AW1268">
            <v>0</v>
          </cell>
        </row>
        <row r="1269">
          <cell r="B1269" t="str">
            <v>CE11132D80000</v>
          </cell>
          <cell r="C1269" t="str">
            <v>10'lu Led Rustik Filament Ampul 6w E14 6500k (beya</v>
          </cell>
          <cell r="D1269" t="str">
            <v/>
          </cell>
          <cell r="E1269" t="str">
            <v/>
          </cell>
          <cell r="F1269" t="str">
            <v/>
          </cell>
          <cell r="G1269" t="str">
            <v/>
          </cell>
          <cell r="H1269" t="str">
            <v/>
          </cell>
          <cell r="I1269" t="str">
            <v/>
          </cell>
          <cell r="J1269" t="str">
            <v/>
          </cell>
          <cell r="K1269" t="str">
            <v/>
          </cell>
          <cell r="L1269" t="str">
            <v/>
          </cell>
          <cell r="M1269" t="str">
            <v/>
          </cell>
          <cell r="N1269" t="str">
            <v/>
          </cell>
          <cell r="P1269" t="str">
            <v>ADET</v>
          </cell>
          <cell r="AG1269" t="str">
            <v>ADET</v>
          </cell>
          <cell r="AL1269">
            <v>0</v>
          </cell>
          <cell r="AO1269">
            <v>0</v>
          </cell>
          <cell r="AQ1269">
            <v>0</v>
          </cell>
          <cell r="AS1269">
            <v>0</v>
          </cell>
          <cell r="AU1269">
            <v>0</v>
          </cell>
          <cell r="AW1269">
            <v>0</v>
          </cell>
        </row>
        <row r="1270">
          <cell r="B1270" t="str">
            <v>H1C6JMEWRBR-130</v>
          </cell>
          <cell r="C1270" t="str">
            <v>ORKOS TEKLİ MERMER SARKIT 130cm</v>
          </cell>
          <cell r="D1270" t="str">
            <v>ORKOS SINGLE MARBLE PENDANT 130cm</v>
          </cell>
          <cell r="E1270" t="str">
            <v xml:space="preserve">METAL MERMER ESKİTME BEYAZ   </v>
          </cell>
          <cell r="F1270" t="str">
            <v/>
          </cell>
          <cell r="G1270" t="str">
            <v>AVİZE</v>
          </cell>
          <cell r="H1270" t="str">
            <v/>
          </cell>
          <cell r="I1270" t="str">
            <v>İÇ</v>
          </cell>
          <cell r="J1270" t="str">
            <v>AVİZE.AVİZ</v>
          </cell>
          <cell r="K1270" t="str">
            <v>ORKOS</v>
          </cell>
          <cell r="L1270" t="str">
            <v>Ç</v>
          </cell>
          <cell r="M1270" t="str">
            <v/>
          </cell>
          <cell r="N1270" t="str">
            <v>HKA-24153</v>
          </cell>
          <cell r="O1270" t="str">
            <v>HEKA</v>
          </cell>
          <cell r="P1270" t="str">
            <v>ADET</v>
          </cell>
          <cell r="Q1270" t="str">
            <v>LED</v>
          </cell>
          <cell r="R1270" t="str">
            <v>METAL</v>
          </cell>
          <cell r="S1270" t="str">
            <v>ESKİTME</v>
          </cell>
          <cell r="T1270" t="str">
            <v>MERMER</v>
          </cell>
          <cell r="U1270" t="str">
            <v>BEYAZ</v>
          </cell>
          <cell r="AD1270" t="str">
            <v>DAİRE</v>
          </cell>
          <cell r="AF1270">
            <v>20</v>
          </cell>
          <cell r="AG1270" t="str">
            <v>ADET</v>
          </cell>
          <cell r="AH1270">
            <v>900</v>
          </cell>
          <cell r="AI1270" t="str">
            <v>CNY</v>
          </cell>
          <cell r="AJ1270">
            <v>71550</v>
          </cell>
          <cell r="AK1270" t="str">
            <v>TL</v>
          </cell>
          <cell r="AL1270">
            <v>1</v>
          </cell>
          <cell r="AM1270" t="str">
            <v>8684127512213</v>
          </cell>
          <cell r="AO1270">
            <v>0</v>
          </cell>
          <cell r="AQ1270">
            <v>0</v>
          </cell>
          <cell r="AS1270">
            <v>0</v>
          </cell>
          <cell r="AU1270">
            <v>0</v>
          </cell>
          <cell r="AW1270">
            <v>0</v>
          </cell>
        </row>
        <row r="1271">
          <cell r="B1271" t="str">
            <v>H1W6JMELCSP-080</v>
          </cell>
          <cell r="C1271" t="str">
            <v>SURINAM KRİSTAL AKRİLİK ESKİTME TEKLİ APLİK</v>
          </cell>
          <cell r="D1271" t="str">
            <v>SURINAM CRYSTAL ACRYLIC BRUSHED BRASS SINGLE WALL LAMP</v>
          </cell>
          <cell r="E1271" t="str">
            <v>METAL AKRİLİK ESKİTME ŞEFFAF</v>
          </cell>
          <cell r="F1271" t="str">
            <v/>
          </cell>
          <cell r="G1271" t="str">
            <v>APLİK</v>
          </cell>
          <cell r="H1271" t="str">
            <v/>
          </cell>
          <cell r="I1271" t="str">
            <v>İÇ</v>
          </cell>
          <cell r="J1271" t="str">
            <v>APLİK</v>
          </cell>
          <cell r="K1271" t="str">
            <v>SURINAM</v>
          </cell>
          <cell r="L1271" t="str">
            <v/>
          </cell>
          <cell r="M1271" t="str">
            <v/>
          </cell>
          <cell r="N1271" t="str">
            <v>HKA-24317</v>
          </cell>
          <cell r="O1271" t="str">
            <v>HEKA</v>
          </cell>
          <cell r="P1271" t="str">
            <v>ADET</v>
          </cell>
          <cell r="Q1271" t="str">
            <v>LED</v>
          </cell>
          <cell r="R1271" t="str">
            <v>METAL</v>
          </cell>
          <cell r="S1271" t="str">
            <v>ESKİTME</v>
          </cell>
          <cell r="T1271" t="str">
            <v>AKRİLİK</v>
          </cell>
          <cell r="U1271" t="str">
            <v>ŞEFFAF</v>
          </cell>
          <cell r="AD1271" t="str">
            <v>POLİGONAL</v>
          </cell>
          <cell r="AF1271">
            <v>21</v>
          </cell>
          <cell r="AG1271" t="str">
            <v>ADET</v>
          </cell>
          <cell r="AH1271">
            <v>259</v>
          </cell>
          <cell r="AI1271" t="str">
            <v>CNY</v>
          </cell>
          <cell r="AJ1271">
            <v>21750</v>
          </cell>
          <cell r="AK1271" t="str">
            <v>TL</v>
          </cell>
          <cell r="AL1271">
            <v>1</v>
          </cell>
          <cell r="AM1271" t="str">
            <v>8684127513975</v>
          </cell>
          <cell r="AO1271">
            <v>0</v>
          </cell>
          <cell r="AQ1271">
            <v>9</v>
          </cell>
          <cell r="AR1271" t="str">
            <v>CM</v>
          </cell>
          <cell r="AS1271">
            <v>16</v>
          </cell>
          <cell r="AT1271" t="str">
            <v>CM</v>
          </cell>
          <cell r="AU1271">
            <v>0</v>
          </cell>
          <cell r="AW1271">
            <v>0</v>
          </cell>
        </row>
        <row r="1272">
          <cell r="B1272" t="str">
            <v>H1W6JMNLCSP-082</v>
          </cell>
          <cell r="C1272" t="str">
            <v>SURINAM KRİSTAL AKRİLİK NİKEL İKİLİ APLİK</v>
          </cell>
          <cell r="D1272" t="str">
            <v>SURINAM CRYSTAL ACRYLIC NICKEL DOUBLE WALL LAMP</v>
          </cell>
          <cell r="E1272" t="str">
            <v>METAL AKRİLİK NİKEL ŞEFFAF</v>
          </cell>
          <cell r="F1272" t="str">
            <v/>
          </cell>
          <cell r="G1272" t="str">
            <v>APLİK</v>
          </cell>
          <cell r="H1272" t="str">
            <v/>
          </cell>
          <cell r="I1272" t="str">
            <v>İÇ</v>
          </cell>
          <cell r="J1272" t="str">
            <v>APLİK</v>
          </cell>
          <cell r="K1272" t="str">
            <v>SURINAM</v>
          </cell>
          <cell r="L1272" t="str">
            <v/>
          </cell>
          <cell r="M1272" t="str">
            <v/>
          </cell>
          <cell r="N1272" t="str">
            <v>HKA-24320</v>
          </cell>
          <cell r="O1272" t="str">
            <v>HEKA</v>
          </cell>
          <cell r="P1272" t="str">
            <v>ADET</v>
          </cell>
          <cell r="Q1272" t="str">
            <v>LED</v>
          </cell>
          <cell r="R1272" t="str">
            <v>METAL</v>
          </cell>
          <cell r="S1272" t="str">
            <v>NİKEL</v>
          </cell>
          <cell r="T1272" t="str">
            <v>AKRİLİK</v>
          </cell>
          <cell r="U1272" t="str">
            <v>ŞEFFAF</v>
          </cell>
          <cell r="AD1272" t="str">
            <v>POLİGONAL</v>
          </cell>
          <cell r="AF1272">
            <v>4</v>
          </cell>
          <cell r="AG1272" t="str">
            <v>ADET</v>
          </cell>
          <cell r="AH1272">
            <v>427</v>
          </cell>
          <cell r="AI1272" t="str">
            <v>CNY</v>
          </cell>
          <cell r="AJ1272">
            <v>35800</v>
          </cell>
          <cell r="AK1272" t="str">
            <v>TL</v>
          </cell>
          <cell r="AL1272">
            <v>1</v>
          </cell>
          <cell r="AM1272" t="str">
            <v>8684127513999</v>
          </cell>
          <cell r="AO1272">
            <v>0</v>
          </cell>
          <cell r="AQ1272">
            <v>16</v>
          </cell>
          <cell r="AR1272" t="str">
            <v>CM</v>
          </cell>
          <cell r="AS1272">
            <v>30</v>
          </cell>
          <cell r="AT1272" t="str">
            <v>CM</v>
          </cell>
          <cell r="AU1272">
            <v>0</v>
          </cell>
          <cell r="AW1272">
            <v>0</v>
          </cell>
        </row>
        <row r="1273">
          <cell r="B1273" t="str">
            <v>H1T6AAAARMJ-017</v>
          </cell>
          <cell r="C1273" t="str">
            <v>MORCHELLA ŞARJLI MAVİ MASA LAMBASI</v>
          </cell>
          <cell r="D1273" t="str">
            <v>MORCHELLA CHARGEABLE BLUE TABLE LAMP</v>
          </cell>
          <cell r="E1273" t="str">
            <v xml:space="preserve">AHŞAP AHŞAP KIZIL AĞAÇ MAVİ   </v>
          </cell>
          <cell r="F1273" t="str">
            <v/>
          </cell>
          <cell r="G1273" t="str">
            <v>MASAABAJ</v>
          </cell>
          <cell r="H1273" t="str">
            <v/>
          </cell>
          <cell r="I1273" t="str">
            <v>İÇ</v>
          </cell>
          <cell r="J1273" t="str">
            <v>MASAKAMP</v>
          </cell>
          <cell r="K1273" t="str">
            <v>MORCHELLA</v>
          </cell>
          <cell r="L1273" t="str">
            <v/>
          </cell>
          <cell r="M1273" t="str">
            <v/>
          </cell>
          <cell r="N1273" t="str">
            <v>HKA-24091</v>
          </cell>
          <cell r="O1273" t="str">
            <v>HEKA</v>
          </cell>
          <cell r="P1273" t="str">
            <v>ADET</v>
          </cell>
          <cell r="Q1273" t="str">
            <v>LED</v>
          </cell>
          <cell r="R1273" t="str">
            <v>AHŞAP</v>
          </cell>
          <cell r="S1273" t="str">
            <v>KIZIL AĞAÇ</v>
          </cell>
          <cell r="T1273" t="str">
            <v>AHŞAP</v>
          </cell>
          <cell r="U1273" t="str">
            <v>MAVİ</v>
          </cell>
          <cell r="AD1273" t="str">
            <v>ŞARJLI</v>
          </cell>
          <cell r="AF1273">
            <v>231</v>
          </cell>
          <cell r="AG1273" t="str">
            <v>ADET</v>
          </cell>
          <cell r="AH1273">
            <v>300</v>
          </cell>
          <cell r="AI1273" t="str">
            <v>TL</v>
          </cell>
          <cell r="AJ1273">
            <v>2295</v>
          </cell>
          <cell r="AK1273" t="str">
            <v>TL</v>
          </cell>
          <cell r="AL1273">
            <v>0</v>
          </cell>
          <cell r="AM1273" t="str">
            <v>8684127512183</v>
          </cell>
          <cell r="AO1273">
            <v>0</v>
          </cell>
          <cell r="AQ1273">
            <v>0</v>
          </cell>
          <cell r="AS1273">
            <v>0</v>
          </cell>
          <cell r="AU1273">
            <v>0</v>
          </cell>
          <cell r="AW1273">
            <v>0</v>
          </cell>
        </row>
        <row r="1274">
          <cell r="B1274" t="str">
            <v>H1C7JMEERFY-045</v>
          </cell>
          <cell r="C1274" t="str">
            <v>VİYANA GALAKSİ BEŞLİ FÜME CAM PERi LED AVİZE</v>
          </cell>
          <cell r="D1274" t="str">
            <v>VİYANA GALAXY QUINTET SMOKY GLASS FAIRY LED CHANDELIER</v>
          </cell>
          <cell r="E1274" t="str">
            <v>VİYANA GALAXY QUINTET SMOKY GLASS FAIRY LED CHANDELIER</v>
          </cell>
          <cell r="F1274" t="str">
            <v/>
          </cell>
          <cell r="G1274" t="str">
            <v>AVİZE</v>
          </cell>
          <cell r="H1274" t="str">
            <v/>
          </cell>
          <cell r="I1274" t="str">
            <v>İÇ</v>
          </cell>
          <cell r="J1274" t="str">
            <v>AVİZE</v>
          </cell>
          <cell r="K1274" t="str">
            <v>VİYANA</v>
          </cell>
          <cell r="L1274" t="str">
            <v/>
          </cell>
          <cell r="M1274" t="str">
            <v/>
          </cell>
          <cell r="N1274" t="str">
            <v>HKA-24342</v>
          </cell>
          <cell r="O1274" t="str">
            <v>HEKA</v>
          </cell>
          <cell r="P1274" t="str">
            <v>ADET</v>
          </cell>
          <cell r="Q1274" t="str">
            <v>PERİ LED</v>
          </cell>
          <cell r="R1274" t="str">
            <v>METAL</v>
          </cell>
          <cell r="S1274" t="str">
            <v>ESKİTME</v>
          </cell>
          <cell r="T1274" t="str">
            <v>CAM</v>
          </cell>
          <cell r="U1274" t="str">
            <v>FÜME</v>
          </cell>
          <cell r="AD1274" t="str">
            <v>KÜRE</v>
          </cell>
          <cell r="AE1274" t="str">
            <v>01</v>
          </cell>
          <cell r="AG1274" t="str">
            <v>ADET</v>
          </cell>
          <cell r="AJ1274">
            <v>11550</v>
          </cell>
          <cell r="AK1274" t="str">
            <v>TL</v>
          </cell>
          <cell r="AL1274">
            <v>0</v>
          </cell>
          <cell r="AO1274">
            <v>0</v>
          </cell>
          <cell r="AQ1274">
            <v>0</v>
          </cell>
          <cell r="AS1274">
            <v>0</v>
          </cell>
          <cell r="AU1274">
            <v>0</v>
          </cell>
          <cell r="AW1274">
            <v>0</v>
          </cell>
        </row>
        <row r="1275">
          <cell r="B1275" t="str">
            <v>H1C2JMEECT0-045</v>
          </cell>
          <cell r="C1275" t="str">
            <v>ELEGAN ESKİTME DÖRTLÜ GLOP BEYAZ CAMLI SARKIT AVİZ</v>
          </cell>
          <cell r="D1275" t="str">
            <v>ELEGAN DUAL QUATERNARY WHITE GLASS  BRUSHED BRASS PENDANT</v>
          </cell>
          <cell r="E1275" t="str">
            <v xml:space="preserve">METAL CAM  ESKİTME SOFT   </v>
          </cell>
          <cell r="F1275" t="str">
            <v/>
          </cell>
          <cell r="G1275" t="str">
            <v>AVİZE</v>
          </cell>
          <cell r="H1275" t="str">
            <v/>
          </cell>
          <cell r="I1275" t="str">
            <v>İÇ</v>
          </cell>
          <cell r="J1275" t="str">
            <v>AVİZE</v>
          </cell>
          <cell r="K1275" t="str">
            <v>ELEGAN</v>
          </cell>
          <cell r="L1275" t="str">
            <v/>
          </cell>
          <cell r="M1275" t="str">
            <v/>
          </cell>
          <cell r="N1275" t="str">
            <v>HKA-24347</v>
          </cell>
          <cell r="O1275" t="str">
            <v>HEKA</v>
          </cell>
          <cell r="P1275" t="str">
            <v>ADET</v>
          </cell>
          <cell r="Q1275" t="str">
            <v>E27</v>
          </cell>
          <cell r="R1275" t="str">
            <v>METAL</v>
          </cell>
          <cell r="S1275" t="str">
            <v>ESKİTME</v>
          </cell>
          <cell r="T1275" t="str">
            <v>CAM</v>
          </cell>
          <cell r="U1275" t="str">
            <v>SOFT</v>
          </cell>
          <cell r="AE1275" t="str">
            <v>05</v>
          </cell>
          <cell r="AG1275" t="str">
            <v>ADET</v>
          </cell>
          <cell r="AL1275">
            <v>0</v>
          </cell>
          <cell r="AM1275" t="str">
            <v>8684127512299</v>
          </cell>
          <cell r="AO1275">
            <v>0</v>
          </cell>
          <cell r="AQ1275">
            <v>0</v>
          </cell>
          <cell r="AS1275">
            <v>0</v>
          </cell>
          <cell r="AU1275">
            <v>0</v>
          </cell>
          <cell r="AW1275">
            <v>0</v>
          </cell>
        </row>
        <row r="1276">
          <cell r="B1276" t="str">
            <v>H1C2JMEERL0-031</v>
          </cell>
          <cell r="C1276" t="str">
            <v>ELEGAN ESKİTME İKİLİ GLOP BAL CAMLI SARKIT AVİZE</v>
          </cell>
          <cell r="D1276" t="str">
            <v>ELEGAN DUAL GLOPE AMBER GLASS  BRUSHED BRASS PENDANT</v>
          </cell>
          <cell r="E1276" t="str">
            <v xml:space="preserve">METAL CAM  ESKİTME BAL   </v>
          </cell>
          <cell r="F1276" t="str">
            <v/>
          </cell>
          <cell r="G1276" t="str">
            <v>AVİZE</v>
          </cell>
          <cell r="H1276" t="str">
            <v/>
          </cell>
          <cell r="I1276" t="str">
            <v>İÇ</v>
          </cell>
          <cell r="J1276" t="str">
            <v>AVİZE</v>
          </cell>
          <cell r="K1276" t="str">
            <v>ELEGAN</v>
          </cell>
          <cell r="L1276" t="str">
            <v/>
          </cell>
          <cell r="M1276" t="str">
            <v/>
          </cell>
          <cell r="N1276" t="str">
            <v>HKA-24349</v>
          </cell>
          <cell r="O1276" t="str">
            <v>HEKA</v>
          </cell>
          <cell r="P1276" t="str">
            <v>ADET</v>
          </cell>
          <cell r="Q1276" t="str">
            <v>E27</v>
          </cell>
          <cell r="R1276" t="str">
            <v>METAL</v>
          </cell>
          <cell r="S1276" t="str">
            <v>ESKİTME</v>
          </cell>
          <cell r="T1276" t="str">
            <v>CAM</v>
          </cell>
          <cell r="U1276" t="str">
            <v>BAL</v>
          </cell>
          <cell r="AE1276" t="str">
            <v>03</v>
          </cell>
          <cell r="AG1276" t="str">
            <v>ADET</v>
          </cell>
          <cell r="AL1276">
            <v>0</v>
          </cell>
          <cell r="AM1276" t="str">
            <v>8684127512312</v>
          </cell>
          <cell r="AO1276">
            <v>0</v>
          </cell>
          <cell r="AQ1276">
            <v>0</v>
          </cell>
          <cell r="AS1276">
            <v>0</v>
          </cell>
          <cell r="AU1276">
            <v>0</v>
          </cell>
          <cell r="AW1276">
            <v>0</v>
          </cell>
        </row>
        <row r="1277">
          <cell r="B1277" t="str">
            <v>H1C2JMEECT0-043</v>
          </cell>
          <cell r="C1277" t="str">
            <v>VELVET ESKİTME DÖRTLÜ GLOP BEYAZ CAMLI SARKIT AVİZ</v>
          </cell>
          <cell r="D1277" t="str">
            <v>VELVET QUATERNARY GLOPE WHITE GLASS  BRUSHED BRASS PENDANT</v>
          </cell>
          <cell r="E1277" t="str">
            <v xml:space="preserve">METAL CAM  ESKİTME SOFT   </v>
          </cell>
          <cell r="F1277" t="str">
            <v/>
          </cell>
          <cell r="G1277" t="str">
            <v>AVİZE</v>
          </cell>
          <cell r="H1277" t="str">
            <v/>
          </cell>
          <cell r="I1277" t="str">
            <v>İÇ</v>
          </cell>
          <cell r="J1277" t="str">
            <v>AVİZE</v>
          </cell>
          <cell r="K1277" t="str">
            <v>VELVET</v>
          </cell>
          <cell r="L1277" t="str">
            <v/>
          </cell>
          <cell r="M1277" t="str">
            <v/>
          </cell>
          <cell r="N1277" t="str">
            <v>HKA-24371</v>
          </cell>
          <cell r="O1277" t="str">
            <v>HEKA</v>
          </cell>
          <cell r="P1277" t="str">
            <v>ADET</v>
          </cell>
          <cell r="Q1277" t="str">
            <v>E27</v>
          </cell>
          <cell r="R1277" t="str">
            <v>METAL</v>
          </cell>
          <cell r="S1277" t="str">
            <v>ESKİTME</v>
          </cell>
          <cell r="T1277" t="str">
            <v>CAM</v>
          </cell>
          <cell r="U1277" t="str">
            <v>SOFT</v>
          </cell>
          <cell r="AE1277" t="str">
            <v>05</v>
          </cell>
          <cell r="AG1277" t="str">
            <v>ADET</v>
          </cell>
          <cell r="AL1277">
            <v>0</v>
          </cell>
          <cell r="AM1277" t="str">
            <v>8684127512534</v>
          </cell>
          <cell r="AO1277">
            <v>0</v>
          </cell>
          <cell r="AQ1277">
            <v>0</v>
          </cell>
          <cell r="AS1277">
            <v>0</v>
          </cell>
          <cell r="AU1277">
            <v>0</v>
          </cell>
          <cell r="AW1277">
            <v>0</v>
          </cell>
        </row>
        <row r="1278">
          <cell r="B1278" t="str">
            <v>H1C2JMEERL0-037</v>
          </cell>
          <cell r="C1278" t="str">
            <v>VELVET ESKİTME ÜÇLÜ GLOP BAL CAMLI SARKIT AVİZE</v>
          </cell>
          <cell r="D1278" t="str">
            <v>VELVET TRIPLE GLOPE AMBER GLASS  BRUSHED BRASS PENDANT</v>
          </cell>
          <cell r="E1278" t="str">
            <v xml:space="preserve">METAL CAM  ESKİTME BAL   </v>
          </cell>
          <cell r="F1278" t="str">
            <v/>
          </cell>
          <cell r="G1278" t="str">
            <v>AVİZE</v>
          </cell>
          <cell r="H1278" t="str">
            <v/>
          </cell>
          <cell r="I1278" t="str">
            <v>İÇ</v>
          </cell>
          <cell r="J1278" t="str">
            <v>AVİZE</v>
          </cell>
          <cell r="K1278" t="str">
            <v>VELVET</v>
          </cell>
          <cell r="L1278" t="str">
            <v/>
          </cell>
          <cell r="M1278" t="str">
            <v/>
          </cell>
          <cell r="N1278" t="str">
            <v>HKA-24374</v>
          </cell>
          <cell r="O1278" t="str">
            <v>HEKA</v>
          </cell>
          <cell r="P1278" t="str">
            <v>ADET</v>
          </cell>
          <cell r="Q1278" t="str">
            <v>E27</v>
          </cell>
          <cell r="R1278" t="str">
            <v>METAL</v>
          </cell>
          <cell r="S1278" t="str">
            <v>ESKİTME</v>
          </cell>
          <cell r="T1278" t="str">
            <v>CAM</v>
          </cell>
          <cell r="U1278" t="str">
            <v>BAL</v>
          </cell>
          <cell r="AE1278" t="str">
            <v>04</v>
          </cell>
          <cell r="AG1278" t="str">
            <v>ADET</v>
          </cell>
          <cell r="AL1278">
            <v>0</v>
          </cell>
          <cell r="AM1278" t="str">
            <v>8684127512565</v>
          </cell>
          <cell r="AO1278">
            <v>0</v>
          </cell>
          <cell r="AQ1278">
            <v>0</v>
          </cell>
          <cell r="AS1278">
            <v>0</v>
          </cell>
          <cell r="AU1278">
            <v>0</v>
          </cell>
          <cell r="AW1278">
            <v>0</v>
          </cell>
        </row>
        <row r="1279">
          <cell r="B1279" t="str">
            <v>CK4G2C3M1A5Y1</v>
          </cell>
          <cell r="C1279" t="str">
            <v>ERD-904 ŞEFFAF 110V 2W 3000K G4 LED AMPUL</v>
          </cell>
          <cell r="D1279" t="str">
            <v>ERD-904 CLEAR 110V 2W 3000K G4 LED BULB</v>
          </cell>
          <cell r="E1279" t="str">
            <v>METAL CAM  ŞEFFAF  SMD LED DİMMLİ KARMA</v>
          </cell>
          <cell r="F1279" t="str">
            <v/>
          </cell>
          <cell r="G1279" t="str">
            <v>AMPUL</v>
          </cell>
          <cell r="H1279" t="str">
            <v/>
          </cell>
          <cell r="I1279" t="str">
            <v>İÇ</v>
          </cell>
          <cell r="J1279" t="str">
            <v>AMPUL</v>
          </cell>
          <cell r="K1279" t="str">
            <v>ERD-904</v>
          </cell>
          <cell r="L1279" t="str">
            <v/>
          </cell>
          <cell r="M1279" t="str">
            <v/>
          </cell>
          <cell r="N1279" t="str">
            <v>ERD-904</v>
          </cell>
          <cell r="O1279" t="str">
            <v>HEKA</v>
          </cell>
          <cell r="P1279" t="str">
            <v>ADET</v>
          </cell>
          <cell r="Q1279" t="str">
            <v>G4</v>
          </cell>
          <cell r="R1279" t="str">
            <v>CAM</v>
          </cell>
          <cell r="S1279" t="str">
            <v>ŞEFFAF</v>
          </cell>
          <cell r="T1279" t="str">
            <v>METAL</v>
          </cell>
          <cell r="V1279" t="str">
            <v>G</v>
          </cell>
          <cell r="W1279" t="str">
            <v>SMD LED</v>
          </cell>
          <cell r="X1279" t="str">
            <v>110V</v>
          </cell>
          <cell r="Y1279" t="str">
            <v>2 WATT</v>
          </cell>
          <cell r="Z1279" t="str">
            <v>3000 K</v>
          </cell>
          <cell r="AA1279" t="str">
            <v>DIMMLI</v>
          </cell>
          <cell r="AB1279" t="str">
            <v>0-100</v>
          </cell>
          <cell r="AC1279" t="str">
            <v>KARMA</v>
          </cell>
          <cell r="AF1279">
            <v>70</v>
          </cell>
          <cell r="AG1279" t="str">
            <v>ADET</v>
          </cell>
          <cell r="AH1279">
            <v>2</v>
          </cell>
          <cell r="AI1279" t="str">
            <v>CNY</v>
          </cell>
          <cell r="AJ1279">
            <v>1.9</v>
          </cell>
          <cell r="AK1279" t="str">
            <v>USD</v>
          </cell>
          <cell r="AL1279">
            <v>1</v>
          </cell>
          <cell r="AM1279" t="str">
            <v>8684127512978</v>
          </cell>
          <cell r="AO1279">
            <v>0</v>
          </cell>
          <cell r="AQ1279">
            <v>0</v>
          </cell>
          <cell r="AS1279">
            <v>0</v>
          </cell>
          <cell r="AU1279">
            <v>0</v>
          </cell>
          <cell r="AW1279">
            <v>0</v>
          </cell>
        </row>
        <row r="1280">
          <cell r="B1280" t="str">
            <v>H1C2YRBJRSY-040</v>
          </cell>
          <cell r="C1280" t="str">
            <v>SOLAR BEYAZ SOFT TOUCH BOĞUMLU SARKIT 40x41 cm</v>
          </cell>
          <cell r="D1280" t="str">
            <v>SOLAR WHITE SOFT TOUCH KNOTTY PENDANT LAMP 40x41 cm</v>
          </cell>
          <cell r="E1280" t="str">
            <v xml:space="preserve">POLİMER METAL BEYAZ SİYAH   </v>
          </cell>
          <cell r="F1280" t="str">
            <v/>
          </cell>
          <cell r="G1280" t="str">
            <v>AVİZE</v>
          </cell>
          <cell r="H1280" t="str">
            <v/>
          </cell>
          <cell r="I1280" t="str">
            <v>İÇ</v>
          </cell>
          <cell r="J1280" t="str">
            <v>AVİZE</v>
          </cell>
          <cell r="K1280" t="str">
            <v>SOLAR</v>
          </cell>
          <cell r="L1280" t="str">
            <v/>
          </cell>
          <cell r="M1280" t="str">
            <v/>
          </cell>
          <cell r="N1280" t="str">
            <v>HKA-24287</v>
          </cell>
          <cell r="O1280" t="str">
            <v>HEKA</v>
          </cell>
          <cell r="P1280" t="str">
            <v>ADET</v>
          </cell>
          <cell r="Q1280" t="str">
            <v>E27</v>
          </cell>
          <cell r="R1280" t="str">
            <v>POLİMER</v>
          </cell>
          <cell r="S1280" t="str">
            <v>BEYAZ</v>
          </cell>
          <cell r="T1280" t="str">
            <v>METAL</v>
          </cell>
          <cell r="U1280" t="str">
            <v>SİYAH</v>
          </cell>
          <cell r="AD1280" t="str">
            <v>KÜRE</v>
          </cell>
          <cell r="AE1280" t="str">
            <v>03</v>
          </cell>
          <cell r="AF1280">
            <v>39</v>
          </cell>
          <cell r="AG1280" t="str">
            <v>ADET</v>
          </cell>
          <cell r="AH1280">
            <v>315</v>
          </cell>
          <cell r="AI1280" t="str">
            <v>CNY</v>
          </cell>
          <cell r="AJ1280">
            <v>25285</v>
          </cell>
          <cell r="AK1280" t="str">
            <v>TL</v>
          </cell>
          <cell r="AL1280">
            <v>1</v>
          </cell>
          <cell r="AM1280" t="str">
            <v>8684127512701</v>
          </cell>
          <cell r="AO1280">
            <v>0</v>
          </cell>
          <cell r="AQ1280">
            <v>0</v>
          </cell>
          <cell r="AS1280">
            <v>0</v>
          </cell>
          <cell r="AU1280">
            <v>0</v>
          </cell>
          <cell r="AW1280">
            <v>0</v>
          </cell>
        </row>
        <row r="1281">
          <cell r="B1281" t="str">
            <v>H1W2JMEECB0-042</v>
          </cell>
          <cell r="C1281" t="str">
            <v xml:space="preserve">HONAZ İKİ CAMLI ESKİTME APLİK </v>
          </cell>
          <cell r="D1281" t="str">
            <v>HONAZ DOUBLE GLASS BRUSHED BRASS WALL LAMP</v>
          </cell>
          <cell r="E1281" t="str">
            <v xml:space="preserve">METAL CAM  ESKİTME BUZLU   </v>
          </cell>
          <cell r="F1281" t="str">
            <v/>
          </cell>
          <cell r="G1281" t="str">
            <v>APLİK</v>
          </cell>
          <cell r="H1281" t="str">
            <v/>
          </cell>
          <cell r="I1281" t="str">
            <v>İÇ</v>
          </cell>
          <cell r="J1281" t="str">
            <v>APLİK</v>
          </cell>
          <cell r="K1281" t="str">
            <v>HONAZ</v>
          </cell>
          <cell r="L1281" t="str">
            <v/>
          </cell>
          <cell r="M1281" t="str">
            <v/>
          </cell>
          <cell r="N1281" t="str">
            <v>HKA-23066</v>
          </cell>
          <cell r="O1281" t="str">
            <v>HEKA</v>
          </cell>
          <cell r="P1281" t="str">
            <v>ADET</v>
          </cell>
          <cell r="Q1281" t="str">
            <v>E14</v>
          </cell>
          <cell r="R1281" t="str">
            <v>METAL</v>
          </cell>
          <cell r="S1281" t="str">
            <v>ESKİTME</v>
          </cell>
          <cell r="T1281" t="str">
            <v>CAM</v>
          </cell>
          <cell r="U1281" t="str">
            <v>BUZLU</v>
          </cell>
          <cell r="AD1281" t="str">
            <v>N/A</v>
          </cell>
          <cell r="AE1281" t="str">
            <v>01</v>
          </cell>
          <cell r="AF1281">
            <v>79</v>
          </cell>
          <cell r="AG1281" t="str">
            <v>ADET</v>
          </cell>
          <cell r="AH1281">
            <v>55</v>
          </cell>
          <cell r="AI1281" t="str">
            <v>CNY</v>
          </cell>
          <cell r="AJ1281">
            <v>4450</v>
          </cell>
          <cell r="AK1281" t="str">
            <v>TL</v>
          </cell>
          <cell r="AL1281">
            <v>0</v>
          </cell>
          <cell r="AM1281" t="str">
            <v>8684127511766</v>
          </cell>
          <cell r="AO1281">
            <v>0</v>
          </cell>
          <cell r="AQ1281">
            <v>0</v>
          </cell>
          <cell r="AS1281">
            <v>0</v>
          </cell>
          <cell r="AU1281">
            <v>0</v>
          </cell>
          <cell r="AW1281">
            <v>0</v>
          </cell>
        </row>
        <row r="1282">
          <cell r="B1282" t="str">
            <v>H1C3JMEWRBY-080</v>
          </cell>
          <cell r="C1282" t="str">
            <v>NANGA MERMER KÜRE ESKİTME SARKIT 80mm</v>
          </cell>
          <cell r="D1282" t="str">
            <v>NANGA MARBLE SPHARE BRUSHED BRASS PENDANT 80mm</v>
          </cell>
          <cell r="E1282" t="str">
            <v xml:space="preserve">METAL MERMER ESKİTME BEYAZ   </v>
          </cell>
          <cell r="F1282" t="str">
            <v/>
          </cell>
          <cell r="G1282" t="str">
            <v>AVİZE</v>
          </cell>
          <cell r="H1282" t="str">
            <v/>
          </cell>
          <cell r="I1282" t="str">
            <v>İÇ</v>
          </cell>
          <cell r="J1282" t="str">
            <v>AVİZE.SARK</v>
          </cell>
          <cell r="K1282" t="str">
            <v>NANGA</v>
          </cell>
          <cell r="L1282" t="str">
            <v/>
          </cell>
          <cell r="M1282" t="str">
            <v/>
          </cell>
          <cell r="N1282" t="str">
            <v/>
          </cell>
          <cell r="O1282" t="str">
            <v>HEKA</v>
          </cell>
          <cell r="P1282" t="str">
            <v>ADET</v>
          </cell>
          <cell r="Q1282" t="str">
            <v>G9</v>
          </cell>
          <cell r="R1282" t="str">
            <v>METAL</v>
          </cell>
          <cell r="S1282" t="str">
            <v>ESKİTME</v>
          </cell>
          <cell r="T1282" t="str">
            <v>MERMER</v>
          </cell>
          <cell r="U1282" t="str">
            <v>BEYAZ</v>
          </cell>
          <cell r="AD1282" t="str">
            <v>KÜRE</v>
          </cell>
          <cell r="AE1282" t="str">
            <v>02</v>
          </cell>
          <cell r="AG1282" t="str">
            <v>ADET</v>
          </cell>
          <cell r="AL1282">
            <v>0</v>
          </cell>
          <cell r="AO1282">
            <v>1.6</v>
          </cell>
          <cell r="AP1282" t="str">
            <v>KG</v>
          </cell>
          <cell r="AQ1282">
            <v>8</v>
          </cell>
          <cell r="AR1282" t="str">
            <v>CM</v>
          </cell>
          <cell r="AS1282">
            <v>8</v>
          </cell>
          <cell r="AT1282" t="str">
            <v>CM</v>
          </cell>
          <cell r="AU1282">
            <v>0</v>
          </cell>
          <cell r="AW1282">
            <v>0</v>
          </cell>
        </row>
        <row r="1283">
          <cell r="B1283" t="str">
            <v>300-SOFT-GLOP-CAM</v>
          </cell>
          <cell r="C1283" t="str">
            <v>30 LUK GLOP SOFT CAM</v>
          </cell>
          <cell r="D1283" t="str">
            <v/>
          </cell>
          <cell r="E1283" t="str">
            <v/>
          </cell>
          <cell r="F1283" t="str">
            <v/>
          </cell>
          <cell r="G1283" t="str">
            <v/>
          </cell>
          <cell r="H1283" t="str">
            <v/>
          </cell>
          <cell r="I1283" t="str">
            <v>İÇ</v>
          </cell>
          <cell r="J1283" t="str">
            <v/>
          </cell>
          <cell r="K1283" t="str">
            <v/>
          </cell>
          <cell r="L1283" t="str">
            <v/>
          </cell>
          <cell r="M1283" t="str">
            <v/>
          </cell>
          <cell r="N1283" t="str">
            <v/>
          </cell>
          <cell r="P1283" t="str">
            <v>ADET</v>
          </cell>
          <cell r="AF1283">
            <v>0</v>
          </cell>
          <cell r="AG1283" t="str">
            <v>ADET</v>
          </cell>
          <cell r="AJ1283">
            <v>500</v>
          </cell>
          <cell r="AK1283" t="str">
            <v>TL</v>
          </cell>
          <cell r="AL1283">
            <v>0</v>
          </cell>
          <cell r="AM1283" t="str">
            <v>300-SOFT-GLOP</v>
          </cell>
          <cell r="AO1283">
            <v>0</v>
          </cell>
          <cell r="AQ1283">
            <v>0</v>
          </cell>
          <cell r="AS1283">
            <v>0</v>
          </cell>
          <cell r="AU1283">
            <v>0</v>
          </cell>
          <cell r="AW1283">
            <v>0</v>
          </cell>
        </row>
        <row r="1284">
          <cell r="B1284" t="str">
            <v>H1C3JMEECTR-037</v>
          </cell>
          <cell r="C1284" t="str">
            <v>DEMET ESKİTME PLAFONYER 15 Lİ</v>
          </cell>
          <cell r="D1284" t="str">
            <v>DEMET PLAFONER 15 BULB</v>
          </cell>
          <cell r="E1284" t="str">
            <v xml:space="preserve">METAL CAM  ESKİTME SOFT   </v>
          </cell>
          <cell r="F1284" t="str">
            <v>9405.19.90.00.00</v>
          </cell>
          <cell r="G1284" t="str">
            <v>AVİZE</v>
          </cell>
          <cell r="H1284" t="str">
            <v>H1A3112100-15</v>
          </cell>
          <cell r="I1284" t="str">
            <v>İÇ</v>
          </cell>
          <cell r="J1284" t="str">
            <v>AVİZE.PLF</v>
          </cell>
          <cell r="K1284" t="str">
            <v>DEMET</v>
          </cell>
          <cell r="L1284" t="str">
            <v/>
          </cell>
          <cell r="M1284" t="str">
            <v>ÜRTM:15GÜN</v>
          </cell>
          <cell r="N1284" t="str">
            <v>HK20009P</v>
          </cell>
          <cell r="O1284" t="str">
            <v>HEKA</v>
          </cell>
          <cell r="P1284" t="str">
            <v>ADET</v>
          </cell>
          <cell r="Q1284" t="str">
            <v>G9</v>
          </cell>
          <cell r="R1284" t="str">
            <v>METAL</v>
          </cell>
          <cell r="S1284" t="str">
            <v>ESKİTME</v>
          </cell>
          <cell r="T1284" t="str">
            <v>CAM</v>
          </cell>
          <cell r="U1284" t="str">
            <v>SOFT</v>
          </cell>
          <cell r="AD1284" t="str">
            <v>DAİRE</v>
          </cell>
          <cell r="AE1284" t="str">
            <v>15</v>
          </cell>
          <cell r="AF1284">
            <v>0</v>
          </cell>
          <cell r="AG1284" t="str">
            <v>ADET</v>
          </cell>
          <cell r="AH1284">
            <v>1500</v>
          </cell>
          <cell r="AI1284" t="str">
            <v>TL</v>
          </cell>
          <cell r="AJ1284">
            <v>35400</v>
          </cell>
          <cell r="AK1284" t="str">
            <v>TL</v>
          </cell>
          <cell r="AL1284">
            <v>1</v>
          </cell>
          <cell r="AM1284" t="str">
            <v>8684127512022</v>
          </cell>
          <cell r="AO1284">
            <v>0</v>
          </cell>
          <cell r="AQ1284">
            <v>78</v>
          </cell>
          <cell r="AR1284" t="str">
            <v>CM</v>
          </cell>
          <cell r="AS1284">
            <v>75</v>
          </cell>
          <cell r="AT1284" t="str">
            <v>CM</v>
          </cell>
          <cell r="AU1284">
            <v>0</v>
          </cell>
          <cell r="AW1284">
            <v>0</v>
          </cell>
        </row>
        <row r="1285">
          <cell r="B1285" t="str">
            <v>L1T6JMGLCTJ-016</v>
          </cell>
          <cell r="C1285" t="str">
            <v>LUMIRA DİMMERLİ ŞARJLI LED MİNİ  ALTIN MASA LAMBA</v>
          </cell>
          <cell r="D1285" t="str">
            <v>LUMIRA DIMMABLE RECHARGEABLE LED MINI GOLD TABLE LAMP</v>
          </cell>
          <cell r="E1285" t="str">
            <v>METAL PLEKSİ GOLD SOFT</v>
          </cell>
          <cell r="F1285" t="str">
            <v/>
          </cell>
          <cell r="G1285" t="str">
            <v>MASAABAJ</v>
          </cell>
          <cell r="H1285" t="str">
            <v/>
          </cell>
          <cell r="I1285" t="str">
            <v>İÇ</v>
          </cell>
          <cell r="J1285" t="str">
            <v>MASAKAMP</v>
          </cell>
          <cell r="K1285" t="str">
            <v>LUMIRA</v>
          </cell>
          <cell r="L1285" t="str">
            <v>NET</v>
          </cell>
          <cell r="M1285" t="str">
            <v/>
          </cell>
          <cell r="N1285" t="str">
            <v>HKA-24041</v>
          </cell>
          <cell r="O1285" t="str">
            <v>LAMBAM</v>
          </cell>
          <cell r="P1285" t="str">
            <v>ADET</v>
          </cell>
          <cell r="Q1285" t="str">
            <v>LED</v>
          </cell>
          <cell r="R1285" t="str">
            <v>METAL</v>
          </cell>
          <cell r="S1285" t="str">
            <v>GOLD</v>
          </cell>
          <cell r="T1285" t="str">
            <v>PLEKSİ</v>
          </cell>
          <cell r="U1285" t="str">
            <v>SOFT</v>
          </cell>
          <cell r="AD1285" t="str">
            <v>ŞARJLI</v>
          </cell>
          <cell r="AF1285">
            <v>47</v>
          </cell>
          <cell r="AG1285" t="str">
            <v>ADET</v>
          </cell>
          <cell r="AH1285">
            <v>31</v>
          </cell>
          <cell r="AI1285" t="str">
            <v>CNY</v>
          </cell>
          <cell r="AJ1285">
            <v>1155</v>
          </cell>
          <cell r="AK1285" t="str">
            <v>TL</v>
          </cell>
          <cell r="AL1285">
            <v>0</v>
          </cell>
          <cell r="AM1285" t="str">
            <v>8684127512145</v>
          </cell>
          <cell r="AO1285">
            <v>0.28000000000000003</v>
          </cell>
          <cell r="AP1285" t="str">
            <v>KG</v>
          </cell>
          <cell r="AQ1285">
            <v>16</v>
          </cell>
          <cell r="AR1285" t="str">
            <v>CM</v>
          </cell>
          <cell r="AS1285">
            <v>8</v>
          </cell>
          <cell r="AT1285" t="str">
            <v>CM</v>
          </cell>
          <cell r="AU1285">
            <v>0</v>
          </cell>
          <cell r="AW1285">
            <v>0</v>
          </cell>
        </row>
        <row r="1286">
          <cell r="B1286" t="str">
            <v>H1F6JMELCSP-165</v>
          </cell>
          <cell r="C1286" t="str">
            <v>SURINAM KRİSTAL AKRİLİK ESKİTME LAMBADER</v>
          </cell>
          <cell r="D1286" t="str">
            <v>SURINAM CRYSTAL ACRYLIC BRUSHED BRASS FLOOR LAMP</v>
          </cell>
          <cell r="E1286" t="str">
            <v>METAL AKRİLİK ESKİTME ŞEFFAF</v>
          </cell>
          <cell r="F1286" t="str">
            <v/>
          </cell>
          <cell r="G1286" t="str">
            <v>LAMBADER</v>
          </cell>
          <cell r="H1286" t="str">
            <v/>
          </cell>
          <cell r="I1286" t="str">
            <v>İÇ</v>
          </cell>
          <cell r="J1286" t="str">
            <v>LAMBADER</v>
          </cell>
          <cell r="K1286" t="str">
            <v>SURINAM</v>
          </cell>
          <cell r="L1286" t="str">
            <v/>
          </cell>
          <cell r="M1286" t="str">
            <v/>
          </cell>
          <cell r="N1286" t="str">
            <v>HKA-24323</v>
          </cell>
          <cell r="O1286" t="str">
            <v>HEKA</v>
          </cell>
          <cell r="P1286" t="str">
            <v>ADET</v>
          </cell>
          <cell r="Q1286" t="str">
            <v>LED</v>
          </cell>
          <cell r="R1286" t="str">
            <v>METAL</v>
          </cell>
          <cell r="S1286" t="str">
            <v>ESKİTME</v>
          </cell>
          <cell r="T1286" t="str">
            <v>AKRİLİK</v>
          </cell>
          <cell r="U1286" t="str">
            <v>ŞEFFAF</v>
          </cell>
          <cell r="AD1286" t="str">
            <v>POLİGONAL</v>
          </cell>
          <cell r="AF1286">
            <v>4</v>
          </cell>
          <cell r="AG1286" t="str">
            <v>ADET</v>
          </cell>
          <cell r="AH1286">
            <v>1690.5</v>
          </cell>
          <cell r="AI1286" t="str">
            <v>CNY</v>
          </cell>
          <cell r="AJ1286">
            <v>141900</v>
          </cell>
          <cell r="AK1286" t="str">
            <v>TL</v>
          </cell>
          <cell r="AL1286">
            <v>1</v>
          </cell>
          <cell r="AM1286" t="str">
            <v>8684127514040</v>
          </cell>
          <cell r="AO1286">
            <v>0</v>
          </cell>
          <cell r="AQ1286">
            <v>40</v>
          </cell>
          <cell r="AR1286" t="str">
            <v>CM</v>
          </cell>
          <cell r="AS1286">
            <v>40</v>
          </cell>
          <cell r="AT1286" t="str">
            <v>CM</v>
          </cell>
          <cell r="AU1286">
            <v>0</v>
          </cell>
          <cell r="AW1286">
            <v>0</v>
          </cell>
        </row>
        <row r="1287">
          <cell r="B1287" t="str">
            <v>H1C6JMEURBY-040</v>
          </cell>
          <cell r="C1287" t="str">
            <v>PLASTİK KÜRE ESKİTME SARKIT 40cm</v>
          </cell>
          <cell r="D1287" t="str">
            <v>PLASTIC SPHERE BRUSHED BRASS PENDANT 40cm</v>
          </cell>
          <cell r="E1287" t="str">
            <v xml:space="preserve">METAL PLASTİK ESKİTME BEYAZ   </v>
          </cell>
          <cell r="F1287" t="str">
            <v/>
          </cell>
          <cell r="G1287" t="str">
            <v>AVİZE</v>
          </cell>
          <cell r="H1287" t="str">
            <v/>
          </cell>
          <cell r="I1287" t="str">
            <v>İÇ</v>
          </cell>
          <cell r="J1287" t="str">
            <v>AVİZE.SARK</v>
          </cell>
          <cell r="K1287" t="str">
            <v/>
          </cell>
          <cell r="L1287" t="str">
            <v/>
          </cell>
          <cell r="M1287" t="str">
            <v/>
          </cell>
          <cell r="N1287" t="str">
            <v/>
          </cell>
          <cell r="P1287" t="str">
            <v>ADET</v>
          </cell>
          <cell r="Q1287" t="str">
            <v>LED</v>
          </cell>
          <cell r="R1287" t="str">
            <v>METAL</v>
          </cell>
          <cell r="S1287" t="str">
            <v>ESKİTME</v>
          </cell>
          <cell r="T1287" t="str">
            <v>PLASTİK</v>
          </cell>
          <cell r="U1287" t="str">
            <v>BEYAZ</v>
          </cell>
          <cell r="AD1287" t="str">
            <v>KÜRE</v>
          </cell>
          <cell r="AF1287">
            <v>1</v>
          </cell>
          <cell r="AG1287" t="str">
            <v>ADET</v>
          </cell>
          <cell r="AL1287">
            <v>0</v>
          </cell>
          <cell r="AO1287">
            <v>0</v>
          </cell>
          <cell r="AQ1287">
            <v>0</v>
          </cell>
          <cell r="AS1287">
            <v>40</v>
          </cell>
          <cell r="AT1287" t="str">
            <v>CM</v>
          </cell>
          <cell r="AU1287">
            <v>0</v>
          </cell>
          <cell r="AW1287">
            <v>0</v>
          </cell>
        </row>
        <row r="1288">
          <cell r="B1288" t="str">
            <v>ERD-96</v>
          </cell>
          <cell r="C1288" t="str">
            <v>HEKA LED Ampul 6W 6500K E27 ( Beyaz ) ( A60 )</v>
          </cell>
          <cell r="D1288" t="str">
            <v/>
          </cell>
          <cell r="E1288" t="str">
            <v/>
          </cell>
          <cell r="F1288" t="str">
            <v/>
          </cell>
          <cell r="G1288" t="str">
            <v/>
          </cell>
          <cell r="H1288" t="str">
            <v/>
          </cell>
          <cell r="I1288" t="str">
            <v/>
          </cell>
          <cell r="J1288" t="str">
            <v/>
          </cell>
          <cell r="K1288" t="str">
            <v/>
          </cell>
          <cell r="L1288" t="str">
            <v/>
          </cell>
          <cell r="M1288" t="str">
            <v/>
          </cell>
          <cell r="N1288" t="str">
            <v/>
          </cell>
          <cell r="P1288" t="str">
            <v>ADET</v>
          </cell>
          <cell r="AG1288" t="str">
            <v>ADET</v>
          </cell>
          <cell r="AL1288">
            <v>0</v>
          </cell>
          <cell r="AO1288">
            <v>0</v>
          </cell>
          <cell r="AQ1288">
            <v>0</v>
          </cell>
          <cell r="AS1288">
            <v>0</v>
          </cell>
          <cell r="AU1288">
            <v>0</v>
          </cell>
          <cell r="AW1288">
            <v>0</v>
          </cell>
        </row>
        <row r="1289">
          <cell r="B1289" t="str">
            <v>H1C2JMEERL0-014</v>
          </cell>
          <cell r="C1289" t="str">
            <v>RUBİS ESKİTME TEKLİ GLOP BAL CAMLI SARKIT AVİZE</v>
          </cell>
          <cell r="D1289" t="str">
            <v>RUBİS SINGLE GLOPE AMBER GLASS  BRUSHED BRASS PENDANT</v>
          </cell>
          <cell r="E1289" t="str">
            <v xml:space="preserve">METAL CAM  ESKİTME BAL   </v>
          </cell>
          <cell r="F1289" t="str">
            <v/>
          </cell>
          <cell r="G1289" t="str">
            <v>AVİZE</v>
          </cell>
          <cell r="H1289" t="str">
            <v/>
          </cell>
          <cell r="I1289" t="str">
            <v>İÇ</v>
          </cell>
          <cell r="J1289" t="str">
            <v>AVİZE</v>
          </cell>
          <cell r="K1289" t="str">
            <v>RUBİS</v>
          </cell>
          <cell r="L1289" t="str">
            <v/>
          </cell>
          <cell r="M1289" t="str">
            <v/>
          </cell>
          <cell r="N1289" t="str">
            <v>HKA-24356</v>
          </cell>
          <cell r="O1289" t="str">
            <v>HEKA</v>
          </cell>
          <cell r="P1289" t="str">
            <v>ADET</v>
          </cell>
          <cell r="Q1289" t="str">
            <v>E27</v>
          </cell>
          <cell r="R1289" t="str">
            <v>METAL</v>
          </cell>
          <cell r="S1289" t="str">
            <v>ESKİTME</v>
          </cell>
          <cell r="T1289" t="str">
            <v>CAM</v>
          </cell>
          <cell r="U1289" t="str">
            <v>BAL</v>
          </cell>
          <cell r="AE1289" t="str">
            <v>02</v>
          </cell>
          <cell r="AG1289" t="str">
            <v>ADET</v>
          </cell>
          <cell r="AL1289">
            <v>0</v>
          </cell>
          <cell r="AM1289" t="str">
            <v>8684127512381</v>
          </cell>
          <cell r="AO1289">
            <v>0</v>
          </cell>
          <cell r="AQ1289">
            <v>0</v>
          </cell>
          <cell r="AS1289">
            <v>0</v>
          </cell>
          <cell r="AU1289">
            <v>0</v>
          </cell>
          <cell r="AW1289">
            <v>0</v>
          </cell>
        </row>
        <row r="1290">
          <cell r="B1290" t="str">
            <v>H1C2JMEERL0-036</v>
          </cell>
          <cell r="C1290" t="str">
            <v>RUBİS ESKİTME ÜÇLÜ GLOP BAL CAMLI SARKIT AVİZE</v>
          </cell>
          <cell r="D1290" t="str">
            <v>RUBİS TRIPLE GLOPE AMBER GLASS  BRUSHED BRASS PENDANT</v>
          </cell>
          <cell r="E1290" t="str">
            <v xml:space="preserve">METAL CAM  ESKİTME BAL   </v>
          </cell>
          <cell r="F1290" t="str">
            <v/>
          </cell>
          <cell r="G1290" t="str">
            <v>AVİZE</v>
          </cell>
          <cell r="H1290" t="str">
            <v/>
          </cell>
          <cell r="I1290" t="str">
            <v>İÇ</v>
          </cell>
          <cell r="J1290" t="str">
            <v>AVİZE</v>
          </cell>
          <cell r="K1290" t="str">
            <v>RUBİS</v>
          </cell>
          <cell r="L1290" t="str">
            <v/>
          </cell>
          <cell r="M1290" t="str">
            <v/>
          </cell>
          <cell r="N1290" t="str">
            <v>HKA-24358</v>
          </cell>
          <cell r="O1290" t="str">
            <v>HEKA</v>
          </cell>
          <cell r="P1290" t="str">
            <v>ADET</v>
          </cell>
          <cell r="Q1290" t="str">
            <v>E27</v>
          </cell>
          <cell r="R1290" t="str">
            <v>METAL</v>
          </cell>
          <cell r="S1290" t="str">
            <v>ESKİTME</v>
          </cell>
          <cell r="T1290" t="str">
            <v>CAM</v>
          </cell>
          <cell r="U1290" t="str">
            <v>BAL</v>
          </cell>
          <cell r="AE1290" t="str">
            <v>04</v>
          </cell>
          <cell r="AG1290" t="str">
            <v>ADET</v>
          </cell>
          <cell r="AL1290">
            <v>0</v>
          </cell>
          <cell r="AM1290" t="str">
            <v>8684127512404</v>
          </cell>
          <cell r="AO1290">
            <v>0</v>
          </cell>
          <cell r="AQ1290">
            <v>0</v>
          </cell>
          <cell r="AS1290">
            <v>0</v>
          </cell>
          <cell r="AU1290">
            <v>0</v>
          </cell>
          <cell r="AW1290">
            <v>0</v>
          </cell>
        </row>
        <row r="1291">
          <cell r="B1291" t="str">
            <v>H1C2JMEERL0-033</v>
          </cell>
          <cell r="C1291" t="str">
            <v>SAFİR ESKİTME İKİLİ GLOP BAL CAMLI SARKIT AVİZE</v>
          </cell>
          <cell r="D1291" t="str">
            <v>SAFİR DUAL GLOPE AMBER GLASS  BRUSHED BRASS PENDANT</v>
          </cell>
          <cell r="E1291" t="str">
            <v xml:space="preserve">METAL CAM  ESKİTME BAL   </v>
          </cell>
          <cell r="F1291" t="str">
            <v/>
          </cell>
          <cell r="G1291" t="str">
            <v>AVİZE</v>
          </cell>
          <cell r="H1291" t="str">
            <v/>
          </cell>
          <cell r="I1291" t="str">
            <v>İÇ</v>
          </cell>
          <cell r="J1291" t="str">
            <v>AVİZE</v>
          </cell>
          <cell r="K1291" t="str">
            <v>SAFİR</v>
          </cell>
          <cell r="L1291" t="str">
            <v/>
          </cell>
          <cell r="M1291" t="str">
            <v/>
          </cell>
          <cell r="N1291" t="str">
            <v>HKA-24365</v>
          </cell>
          <cell r="O1291" t="str">
            <v>HEKA</v>
          </cell>
          <cell r="P1291" t="str">
            <v>ADET</v>
          </cell>
          <cell r="Q1291" t="str">
            <v>E27</v>
          </cell>
          <cell r="R1291" t="str">
            <v>METAL</v>
          </cell>
          <cell r="S1291" t="str">
            <v>ESKİTME</v>
          </cell>
          <cell r="T1291" t="str">
            <v>CAM</v>
          </cell>
          <cell r="U1291" t="str">
            <v>BAL</v>
          </cell>
          <cell r="AE1291" t="str">
            <v>03</v>
          </cell>
          <cell r="AG1291" t="str">
            <v>ADET</v>
          </cell>
          <cell r="AL1291">
            <v>0</v>
          </cell>
          <cell r="AM1291" t="str">
            <v>8684127512473</v>
          </cell>
          <cell r="AO1291">
            <v>0</v>
          </cell>
          <cell r="AQ1291">
            <v>0</v>
          </cell>
          <cell r="AS1291">
            <v>0</v>
          </cell>
          <cell r="AU1291">
            <v>0</v>
          </cell>
          <cell r="AW1291">
            <v>0</v>
          </cell>
        </row>
        <row r="1292">
          <cell r="B1292" t="str">
            <v>H1C2JMEERL0-047</v>
          </cell>
          <cell r="C1292" t="str">
            <v>SAFİR ESKİTME DÖRTLÜ GLOP BAL CAMLI SARKIT AVİZE</v>
          </cell>
          <cell r="D1292" t="str">
            <v>SAFİR QUATERNARY GLOPE AMBER GLASS  BRUSHED BRASS PENDANT</v>
          </cell>
          <cell r="E1292" t="str">
            <v xml:space="preserve">METAL CAM  ESKİTME BAL   </v>
          </cell>
          <cell r="F1292" t="str">
            <v/>
          </cell>
          <cell r="G1292" t="str">
            <v>AVİZE</v>
          </cell>
          <cell r="H1292" t="str">
            <v/>
          </cell>
          <cell r="I1292" t="str">
            <v>İÇ</v>
          </cell>
          <cell r="J1292" t="str">
            <v>AVİZE</v>
          </cell>
          <cell r="K1292" t="str">
            <v>SAFİR</v>
          </cell>
          <cell r="L1292" t="str">
            <v/>
          </cell>
          <cell r="M1292" t="str">
            <v/>
          </cell>
          <cell r="N1292" t="str">
            <v>HKA-24367</v>
          </cell>
          <cell r="O1292" t="str">
            <v>HEKA</v>
          </cell>
          <cell r="P1292" t="str">
            <v>ADET</v>
          </cell>
          <cell r="Q1292" t="str">
            <v>E27</v>
          </cell>
          <cell r="R1292" t="str">
            <v>METAL</v>
          </cell>
          <cell r="S1292" t="str">
            <v>ESKİTME</v>
          </cell>
          <cell r="T1292" t="str">
            <v>CAM</v>
          </cell>
          <cell r="U1292" t="str">
            <v>BAL</v>
          </cell>
          <cell r="AE1292" t="str">
            <v>05</v>
          </cell>
          <cell r="AG1292" t="str">
            <v>ADET</v>
          </cell>
          <cell r="AL1292">
            <v>0</v>
          </cell>
          <cell r="AM1292" t="str">
            <v>8684127512497</v>
          </cell>
          <cell r="AO1292">
            <v>0</v>
          </cell>
          <cell r="AQ1292">
            <v>0</v>
          </cell>
          <cell r="AS1292">
            <v>0</v>
          </cell>
          <cell r="AU1292">
            <v>0</v>
          </cell>
          <cell r="AW1292">
            <v>0</v>
          </cell>
        </row>
        <row r="1293">
          <cell r="B1293" t="str">
            <v>H1T2YRBJM3P-030</v>
          </cell>
          <cell r="C1293" t="str">
            <v>NOVA BEYAZ SOFT TOUCH MASA LAMBASI 30cm</v>
          </cell>
          <cell r="D1293" t="str">
            <v>NOVA WHITE SOFT TOUCH TABLE LAMP 30cm</v>
          </cell>
          <cell r="E1293" t="str">
            <v xml:space="preserve">POLİMER METAL BEYAZ MAT KROM   </v>
          </cell>
          <cell r="F1293" t="str">
            <v/>
          </cell>
          <cell r="G1293" t="str">
            <v>MASAABAJ</v>
          </cell>
          <cell r="H1293" t="str">
            <v/>
          </cell>
          <cell r="I1293" t="str">
            <v>İÇ</v>
          </cell>
          <cell r="J1293" t="str">
            <v>MASAABAJ</v>
          </cell>
          <cell r="K1293" t="str">
            <v>NOVA</v>
          </cell>
          <cell r="L1293" t="str">
            <v/>
          </cell>
          <cell r="M1293" t="str">
            <v/>
          </cell>
          <cell r="N1293" t="str">
            <v>HKA-24278</v>
          </cell>
          <cell r="O1293" t="str">
            <v>HEKA</v>
          </cell>
          <cell r="P1293" t="str">
            <v>ADET</v>
          </cell>
          <cell r="Q1293" t="str">
            <v>E27</v>
          </cell>
          <cell r="R1293" t="str">
            <v>POLİMER</v>
          </cell>
          <cell r="S1293" t="str">
            <v>BEYAZ</v>
          </cell>
          <cell r="T1293" t="str">
            <v>METAL</v>
          </cell>
          <cell r="U1293" t="str">
            <v>MAT KROM</v>
          </cell>
          <cell r="AD1293" t="str">
            <v>POLİGONAL</v>
          </cell>
          <cell r="AE1293" t="str">
            <v>01</v>
          </cell>
          <cell r="AF1293">
            <v>9</v>
          </cell>
          <cell r="AG1293" t="str">
            <v>ADET</v>
          </cell>
          <cell r="AH1293">
            <v>165.5</v>
          </cell>
          <cell r="AI1293" t="str">
            <v>CNY</v>
          </cell>
          <cell r="AJ1293">
            <v>13220</v>
          </cell>
          <cell r="AK1293" t="str">
            <v>TL</v>
          </cell>
          <cell r="AL1293">
            <v>1</v>
          </cell>
          <cell r="AM1293" t="str">
            <v>8684127512619</v>
          </cell>
          <cell r="AO1293">
            <v>0</v>
          </cell>
          <cell r="AQ1293">
            <v>0</v>
          </cell>
          <cell r="AS1293">
            <v>0</v>
          </cell>
          <cell r="AU1293">
            <v>0</v>
          </cell>
          <cell r="AW1293">
            <v>0</v>
          </cell>
        </row>
        <row r="1294">
          <cell r="B1294" t="str">
            <v>H1T2YRBJM3Y-028</v>
          </cell>
          <cell r="C1294" t="str">
            <v>NOVA BEYAZ SOFT TOUCH MASA LAMBASI 28cm</v>
          </cell>
          <cell r="D1294" t="str">
            <v>NOVA WHITE SOFT TOUCH TABLE LAMP 28cm</v>
          </cell>
          <cell r="E1294" t="str">
            <v xml:space="preserve">POLİMER METAL BEYAZ MAT KROM   </v>
          </cell>
          <cell r="F1294" t="str">
            <v/>
          </cell>
          <cell r="G1294" t="str">
            <v>MASAABAJ</v>
          </cell>
          <cell r="H1294" t="str">
            <v/>
          </cell>
          <cell r="I1294" t="str">
            <v>İÇ</v>
          </cell>
          <cell r="J1294" t="str">
            <v>MASAABAJ</v>
          </cell>
          <cell r="K1294" t="str">
            <v>NOVA</v>
          </cell>
          <cell r="L1294" t="str">
            <v/>
          </cell>
          <cell r="M1294" t="str">
            <v/>
          </cell>
          <cell r="N1294" t="str">
            <v>HKA-24280</v>
          </cell>
          <cell r="O1294" t="str">
            <v>HEKA</v>
          </cell>
          <cell r="P1294" t="str">
            <v>ADET</v>
          </cell>
          <cell r="Q1294" t="str">
            <v>E27</v>
          </cell>
          <cell r="R1294" t="str">
            <v>POLİMER</v>
          </cell>
          <cell r="S1294" t="str">
            <v>BEYAZ</v>
          </cell>
          <cell r="T1294" t="str">
            <v>METAL</v>
          </cell>
          <cell r="U1294" t="str">
            <v>MAT KROM</v>
          </cell>
          <cell r="AD1294" t="str">
            <v>KÜRE</v>
          </cell>
          <cell r="AE1294" t="str">
            <v>01</v>
          </cell>
          <cell r="AF1294">
            <v>12</v>
          </cell>
          <cell r="AG1294" t="str">
            <v>ADET</v>
          </cell>
          <cell r="AH1294">
            <v>180</v>
          </cell>
          <cell r="AI1294" t="str">
            <v>CNY</v>
          </cell>
          <cell r="AJ1294">
            <v>14370</v>
          </cell>
          <cell r="AK1294" t="str">
            <v>TL</v>
          </cell>
          <cell r="AL1294">
            <v>1</v>
          </cell>
          <cell r="AM1294" t="str">
            <v>8684127512633</v>
          </cell>
          <cell r="AO1294">
            <v>0</v>
          </cell>
          <cell r="AQ1294">
            <v>0</v>
          </cell>
          <cell r="AS1294">
            <v>0</v>
          </cell>
          <cell r="AU1294">
            <v>0</v>
          </cell>
          <cell r="AW1294">
            <v>0</v>
          </cell>
        </row>
        <row r="1295">
          <cell r="B1295" t="str">
            <v>H1W6JMEECB0-103</v>
          </cell>
          <cell r="C1295" t="str">
            <v xml:space="preserve">PEDESA ÜÇLÜ BUZLU CAM ESKİTME LED APLİK </v>
          </cell>
          <cell r="D1295" t="str">
            <v>PEDESA TRIPLE FORSTED GLASS BRUSHED BRASS LED WALL LAMP</v>
          </cell>
          <cell r="E1295" t="str">
            <v xml:space="preserve">METAL CAM  ESKİTME BUZLU   </v>
          </cell>
          <cell r="F1295" t="str">
            <v/>
          </cell>
          <cell r="G1295" t="str">
            <v>APLİK</v>
          </cell>
          <cell r="H1295" t="str">
            <v/>
          </cell>
          <cell r="I1295" t="str">
            <v>İÇ</v>
          </cell>
          <cell r="J1295" t="str">
            <v>APLİK</v>
          </cell>
          <cell r="K1295" t="str">
            <v>PEDESA</v>
          </cell>
          <cell r="L1295" t="str">
            <v/>
          </cell>
          <cell r="M1295" t="str">
            <v/>
          </cell>
          <cell r="N1295" t="str">
            <v>HKA-23070</v>
          </cell>
          <cell r="O1295" t="str">
            <v>HEKA</v>
          </cell>
          <cell r="P1295" t="str">
            <v>ADET</v>
          </cell>
          <cell r="Q1295" t="str">
            <v>LED</v>
          </cell>
          <cell r="R1295" t="str">
            <v>METAL</v>
          </cell>
          <cell r="S1295" t="str">
            <v>ESKİTME</v>
          </cell>
          <cell r="T1295" t="str">
            <v>CAM</v>
          </cell>
          <cell r="U1295" t="str">
            <v>BUZLU</v>
          </cell>
          <cell r="AD1295" t="str">
            <v>N/A</v>
          </cell>
          <cell r="AF1295">
            <v>0</v>
          </cell>
          <cell r="AG1295" t="str">
            <v>ADET</v>
          </cell>
          <cell r="AH1295">
            <v>155</v>
          </cell>
          <cell r="AI1295" t="str">
            <v>CNY</v>
          </cell>
          <cell r="AJ1295">
            <v>11750</v>
          </cell>
          <cell r="AK1295" t="str">
            <v>TL</v>
          </cell>
          <cell r="AL1295">
            <v>1</v>
          </cell>
          <cell r="AM1295" t="str">
            <v>8684127511803</v>
          </cell>
          <cell r="AO1295">
            <v>0</v>
          </cell>
          <cell r="AQ1295">
            <v>0</v>
          </cell>
          <cell r="AS1295">
            <v>0</v>
          </cell>
          <cell r="AU1295">
            <v>0</v>
          </cell>
          <cell r="AW1295">
            <v>0</v>
          </cell>
        </row>
        <row r="1296">
          <cell r="B1296" t="str">
            <v>H1C6BCSJMGG-070</v>
          </cell>
          <cell r="C1296" t="str">
            <v>KARDAL ŞEFFAF AKRİLİK GOLD LED SARKIT 70cm</v>
          </cell>
          <cell r="D1296" t="str">
            <v>KARDAL CLEAR ACRYLIC GOLD LED PENDANT LAMP 70cm</v>
          </cell>
          <cell r="E1296" t="str">
            <v xml:space="preserve">AKRiLİK METAL ŞEFFAF GOLD   </v>
          </cell>
          <cell r="F1296" t="str">
            <v>9405.11.40.00.00</v>
          </cell>
          <cell r="G1296" t="str">
            <v>AVİZE</v>
          </cell>
          <cell r="H1296" t="str">
            <v/>
          </cell>
          <cell r="I1296" t="str">
            <v>İÇ</v>
          </cell>
          <cell r="J1296" t="str">
            <v>AVİZE.SARK</v>
          </cell>
          <cell r="K1296" t="str">
            <v>KARDAL</v>
          </cell>
          <cell r="L1296" t="str">
            <v/>
          </cell>
          <cell r="M1296" t="str">
            <v/>
          </cell>
          <cell r="N1296" t="str">
            <v>HKA-23107</v>
          </cell>
          <cell r="O1296" t="str">
            <v>HEKA</v>
          </cell>
          <cell r="P1296" t="str">
            <v>ADET</v>
          </cell>
          <cell r="Q1296" t="str">
            <v>LED</v>
          </cell>
          <cell r="R1296" t="str">
            <v>AKRİLİK</v>
          </cell>
          <cell r="S1296" t="str">
            <v>ŞEFFAF</v>
          </cell>
          <cell r="T1296" t="str">
            <v>METAL</v>
          </cell>
          <cell r="U1296" t="str">
            <v>GOLD</v>
          </cell>
          <cell r="AD1296" t="str">
            <v>KAYA</v>
          </cell>
          <cell r="AF1296">
            <v>77</v>
          </cell>
          <cell r="AG1296" t="str">
            <v>ADET</v>
          </cell>
          <cell r="AH1296">
            <v>371</v>
          </cell>
          <cell r="AI1296" t="str">
            <v>CNY</v>
          </cell>
          <cell r="AJ1296">
            <v>18921</v>
          </cell>
          <cell r="AK1296" t="str">
            <v>TL</v>
          </cell>
          <cell r="AL1296">
            <v>0</v>
          </cell>
          <cell r="AM1296" t="str">
            <v>8684127511957</v>
          </cell>
          <cell r="AO1296">
            <v>0</v>
          </cell>
          <cell r="AQ1296">
            <v>0</v>
          </cell>
          <cell r="AS1296">
            <v>0</v>
          </cell>
          <cell r="AU1296">
            <v>0</v>
          </cell>
          <cell r="AW1296">
            <v>0</v>
          </cell>
        </row>
        <row r="1297">
          <cell r="B1297" t="str">
            <v>H1C6BRFJMGG-050</v>
          </cell>
          <cell r="C1297" t="str">
            <v>KARDAL FÜME AKRİLİK GOLD LED SARKIT 50cm</v>
          </cell>
          <cell r="D1297" t="str">
            <v>KARDAL SMOKY ACRYLIC GOLD LED PENDANT LAMP 50cm</v>
          </cell>
          <cell r="E1297" t="str">
            <v xml:space="preserve">AKRiLİK METAL FÜME GOLD   </v>
          </cell>
          <cell r="F1297" t="str">
            <v>9405.11.40.00.00</v>
          </cell>
          <cell r="G1297" t="str">
            <v>AVİZE</v>
          </cell>
          <cell r="H1297" t="str">
            <v/>
          </cell>
          <cell r="I1297" t="str">
            <v>İÇ</v>
          </cell>
          <cell r="J1297" t="str">
            <v>AVİZE.SARK</v>
          </cell>
          <cell r="K1297" t="str">
            <v>KARDAL</v>
          </cell>
          <cell r="L1297" t="str">
            <v/>
          </cell>
          <cell r="M1297" t="str">
            <v/>
          </cell>
          <cell r="N1297" t="str">
            <v>HKA-23109</v>
          </cell>
          <cell r="O1297" t="str">
            <v>HEKA</v>
          </cell>
          <cell r="P1297" t="str">
            <v>ADET</v>
          </cell>
          <cell r="Q1297" t="str">
            <v>LED</v>
          </cell>
          <cell r="R1297" t="str">
            <v>AKRİLİK</v>
          </cell>
          <cell r="S1297" t="str">
            <v>FÜME</v>
          </cell>
          <cell r="T1297" t="str">
            <v>METAL</v>
          </cell>
          <cell r="U1297" t="str">
            <v>GOLD</v>
          </cell>
          <cell r="AD1297" t="str">
            <v>KAYA</v>
          </cell>
          <cell r="AF1297">
            <v>2</v>
          </cell>
          <cell r="AG1297" t="str">
            <v>ADET</v>
          </cell>
          <cell r="AH1297">
            <v>297</v>
          </cell>
          <cell r="AI1297" t="str">
            <v>CNY</v>
          </cell>
          <cell r="AJ1297">
            <v>14943</v>
          </cell>
          <cell r="AK1297" t="str">
            <v>TL</v>
          </cell>
          <cell r="AL1297">
            <v>0</v>
          </cell>
          <cell r="AM1297" t="str">
            <v>8684127511971</v>
          </cell>
          <cell r="AO1297">
            <v>0</v>
          </cell>
          <cell r="AQ1297">
            <v>0</v>
          </cell>
          <cell r="AS1297">
            <v>0</v>
          </cell>
          <cell r="AU1297">
            <v>0</v>
          </cell>
          <cell r="AW1297">
            <v>0</v>
          </cell>
        </row>
        <row r="1298">
          <cell r="B1298" t="str">
            <v>ABJ-AV-SAP</v>
          </cell>
          <cell r="C1298" t="str">
            <v>ABAJUR-AVİZE ŞAPKASI</v>
          </cell>
          <cell r="D1298" t="str">
            <v/>
          </cell>
          <cell r="E1298" t="str">
            <v/>
          </cell>
          <cell r="F1298" t="str">
            <v/>
          </cell>
          <cell r="G1298" t="str">
            <v/>
          </cell>
          <cell r="H1298" t="str">
            <v/>
          </cell>
          <cell r="I1298" t="str">
            <v/>
          </cell>
          <cell r="J1298" t="str">
            <v/>
          </cell>
          <cell r="K1298" t="str">
            <v/>
          </cell>
          <cell r="L1298" t="str">
            <v/>
          </cell>
          <cell r="M1298" t="str">
            <v/>
          </cell>
          <cell r="N1298" t="str">
            <v/>
          </cell>
          <cell r="P1298" t="str">
            <v>ADET</v>
          </cell>
          <cell r="AF1298">
            <v>0</v>
          </cell>
          <cell r="AG1298" t="str">
            <v>ADET</v>
          </cell>
          <cell r="AL1298">
            <v>0</v>
          </cell>
          <cell r="AO1298">
            <v>0</v>
          </cell>
          <cell r="AQ1298">
            <v>0</v>
          </cell>
          <cell r="AS1298">
            <v>0</v>
          </cell>
          <cell r="AU1298">
            <v>0</v>
          </cell>
          <cell r="AW1298">
            <v>0</v>
          </cell>
        </row>
        <row r="1299">
          <cell r="B1299" t="str">
            <v>L1T6JMBLCTJ-031</v>
          </cell>
          <cell r="C1299" t="str">
            <v>SELIS DİMMERLİ ŞARJLI ŞAPKALI BAKIR MASA LAMBASI</v>
          </cell>
          <cell r="D1299" t="str">
            <v>SELIS DIMMABLE RECHARGEABLE HAT COPPER TABLE LAMP</v>
          </cell>
          <cell r="E1299" t="str">
            <v>METAL PLEKSİ BAKIR SOFT</v>
          </cell>
          <cell r="F1299" t="str">
            <v/>
          </cell>
          <cell r="G1299" t="str">
            <v>MASAABAJ</v>
          </cell>
          <cell r="H1299" t="str">
            <v/>
          </cell>
          <cell r="I1299" t="str">
            <v>İÇ</v>
          </cell>
          <cell r="J1299" t="str">
            <v>MASAKAMP</v>
          </cell>
          <cell r="K1299" t="str">
            <v>SELIS</v>
          </cell>
          <cell r="L1299" t="str">
            <v>NET</v>
          </cell>
          <cell r="M1299" t="str">
            <v/>
          </cell>
          <cell r="N1299" t="str">
            <v>HKA-24036</v>
          </cell>
          <cell r="O1299" t="str">
            <v>LAMBAM</v>
          </cell>
          <cell r="P1299" t="str">
            <v>ADET</v>
          </cell>
          <cell r="Q1299" t="str">
            <v>LED</v>
          </cell>
          <cell r="R1299" t="str">
            <v>METAL</v>
          </cell>
          <cell r="S1299" t="str">
            <v>BAKIR</v>
          </cell>
          <cell r="T1299" t="str">
            <v>PLEKSİ</v>
          </cell>
          <cell r="U1299" t="str">
            <v>SOFT</v>
          </cell>
          <cell r="AD1299" t="str">
            <v>ŞARJLI</v>
          </cell>
          <cell r="AF1299">
            <v>10</v>
          </cell>
          <cell r="AG1299" t="str">
            <v>ADET</v>
          </cell>
          <cell r="AH1299">
            <v>25</v>
          </cell>
          <cell r="AI1299" t="str">
            <v>CNY</v>
          </cell>
          <cell r="AJ1299">
            <v>1155</v>
          </cell>
          <cell r="AK1299" t="str">
            <v>TL</v>
          </cell>
          <cell r="AL1299">
            <v>0</v>
          </cell>
          <cell r="AM1299" t="str">
            <v>8684127512091</v>
          </cell>
          <cell r="AO1299">
            <v>0.32</v>
          </cell>
          <cell r="AP1299" t="str">
            <v>KG</v>
          </cell>
          <cell r="AQ1299">
            <v>31</v>
          </cell>
          <cell r="AR1299" t="str">
            <v>CM</v>
          </cell>
          <cell r="AS1299">
            <v>9</v>
          </cell>
          <cell r="AT1299" t="str">
            <v>CM</v>
          </cell>
          <cell r="AU1299">
            <v>0</v>
          </cell>
          <cell r="AW1299">
            <v>0</v>
          </cell>
        </row>
        <row r="1300">
          <cell r="B1300" t="str">
            <v>L1T6JMKLCTJ-031</v>
          </cell>
          <cell r="C1300" t="str">
            <v>SELIS DİMMERLİ ŞARJLI ŞAPKALI KROM MASA LAMBASI</v>
          </cell>
          <cell r="D1300" t="str">
            <v>SELIS DIMMABLE RECHARGEABLE HAT CHROME TABLE LAMP</v>
          </cell>
          <cell r="E1300" t="str">
            <v>METAL PLEKSİ KROM SOFT</v>
          </cell>
          <cell r="F1300" t="str">
            <v/>
          </cell>
          <cell r="G1300" t="str">
            <v>MASAABAJ</v>
          </cell>
          <cell r="H1300" t="str">
            <v/>
          </cell>
          <cell r="I1300" t="str">
            <v>İÇ</v>
          </cell>
          <cell r="J1300" t="str">
            <v>MASAABAJ</v>
          </cell>
          <cell r="K1300" t="str">
            <v>SELIS</v>
          </cell>
          <cell r="L1300" t="str">
            <v/>
          </cell>
          <cell r="M1300" t="str">
            <v/>
          </cell>
          <cell r="N1300" t="str">
            <v>HKA-24038</v>
          </cell>
          <cell r="O1300" t="str">
            <v>LAMBAM</v>
          </cell>
          <cell r="P1300" t="str">
            <v>ADET</v>
          </cell>
          <cell r="Q1300" t="str">
            <v>LED</v>
          </cell>
          <cell r="R1300" t="str">
            <v>METAL</v>
          </cell>
          <cell r="S1300" t="str">
            <v>KROM</v>
          </cell>
          <cell r="T1300" t="str">
            <v>PLEKSİ</v>
          </cell>
          <cell r="U1300" t="str">
            <v>SOFT</v>
          </cell>
          <cell r="AD1300" t="str">
            <v>ŞARJLI</v>
          </cell>
          <cell r="AE1300" t="str">
            <v>01</v>
          </cell>
          <cell r="AF1300">
            <v>8</v>
          </cell>
          <cell r="AG1300" t="str">
            <v>ADET</v>
          </cell>
          <cell r="AH1300">
            <v>25</v>
          </cell>
          <cell r="AI1300" t="str">
            <v>CNY</v>
          </cell>
          <cell r="AJ1300">
            <v>1155</v>
          </cell>
          <cell r="AK1300" t="str">
            <v>TL</v>
          </cell>
          <cell r="AL1300">
            <v>0</v>
          </cell>
          <cell r="AM1300" t="str">
            <v>8684127512114</v>
          </cell>
          <cell r="AO1300">
            <v>0.32</v>
          </cell>
          <cell r="AP1300" t="str">
            <v>KG</v>
          </cell>
          <cell r="AQ1300">
            <v>31</v>
          </cell>
          <cell r="AR1300" t="str">
            <v>CM</v>
          </cell>
          <cell r="AS1300">
            <v>9</v>
          </cell>
          <cell r="AT1300" t="str">
            <v>CM</v>
          </cell>
          <cell r="AU1300">
            <v>0</v>
          </cell>
          <cell r="AW1300">
            <v>0</v>
          </cell>
        </row>
        <row r="1301">
          <cell r="B1301" t="str">
            <v>COPYCA2E1C3M2E5P0</v>
          </cell>
          <cell r="C1301" t="str">
            <v>Heka Led Rustik Ampul E27 6W 3000K Gün Işığı</v>
          </cell>
          <cell r="D1301" t="str">
            <v/>
          </cell>
          <cell r="E1301" t="str">
            <v/>
          </cell>
          <cell r="F1301" t="str">
            <v/>
          </cell>
          <cell r="G1301" t="str">
            <v/>
          </cell>
          <cell r="H1301" t="str">
            <v/>
          </cell>
          <cell r="I1301" t="str">
            <v/>
          </cell>
          <cell r="J1301" t="str">
            <v/>
          </cell>
          <cell r="K1301" t="str">
            <v/>
          </cell>
          <cell r="L1301" t="str">
            <v/>
          </cell>
          <cell r="M1301" t="str">
            <v/>
          </cell>
          <cell r="N1301" t="str">
            <v/>
          </cell>
          <cell r="P1301" t="str">
            <v>ADET</v>
          </cell>
          <cell r="AG1301" t="str">
            <v>ADET</v>
          </cell>
          <cell r="AL1301">
            <v>0</v>
          </cell>
          <cell r="AO1301">
            <v>0</v>
          </cell>
          <cell r="AQ1301">
            <v>0</v>
          </cell>
          <cell r="AS1301">
            <v>0</v>
          </cell>
          <cell r="AU1301">
            <v>0</v>
          </cell>
          <cell r="AW1301">
            <v>0</v>
          </cell>
        </row>
        <row r="1302">
          <cell r="B1302" t="str">
            <v>ERD-37</v>
          </cell>
          <cell r="C1302" t="str">
            <v xml:space="preserve">HEKA Bal Cam Led Ampul 6W 2500K E27 ( A60 ) ( Gün </v>
          </cell>
          <cell r="D1302" t="str">
            <v/>
          </cell>
          <cell r="E1302" t="str">
            <v/>
          </cell>
          <cell r="F1302" t="str">
            <v/>
          </cell>
          <cell r="G1302" t="str">
            <v/>
          </cell>
          <cell r="H1302" t="str">
            <v/>
          </cell>
          <cell r="I1302" t="str">
            <v/>
          </cell>
          <cell r="J1302" t="str">
            <v/>
          </cell>
          <cell r="K1302" t="str">
            <v/>
          </cell>
          <cell r="L1302" t="str">
            <v/>
          </cell>
          <cell r="M1302" t="str">
            <v/>
          </cell>
          <cell r="N1302" t="str">
            <v/>
          </cell>
          <cell r="P1302" t="str">
            <v>ADET</v>
          </cell>
          <cell r="AG1302" t="str">
            <v>ADET</v>
          </cell>
          <cell r="AL1302">
            <v>0</v>
          </cell>
          <cell r="AO1302">
            <v>0</v>
          </cell>
          <cell r="AQ1302">
            <v>0</v>
          </cell>
          <cell r="AS1302">
            <v>0</v>
          </cell>
          <cell r="AU1302">
            <v>0</v>
          </cell>
          <cell r="AW1302">
            <v>0</v>
          </cell>
        </row>
        <row r="1303">
          <cell r="B1303" t="str">
            <v>H1F6JMNLCSP-165</v>
          </cell>
          <cell r="C1303" t="str">
            <v>SURINAM KRİSTAL AKRİLİK NİKEL LAMBADER</v>
          </cell>
          <cell r="D1303" t="str">
            <v>SURINAM CRYSTAL ACRYLIC NICKEL FLOOR LAMP</v>
          </cell>
          <cell r="E1303" t="str">
            <v>METAL AKRİLİK NİKEL ŞEFFAF</v>
          </cell>
          <cell r="F1303" t="str">
            <v/>
          </cell>
          <cell r="G1303" t="str">
            <v>LAMBADER</v>
          </cell>
          <cell r="H1303" t="str">
            <v/>
          </cell>
          <cell r="I1303" t="str">
            <v>İÇ</v>
          </cell>
          <cell r="J1303" t="str">
            <v>LAMBADER</v>
          </cell>
          <cell r="K1303" t="str">
            <v>SURINAM</v>
          </cell>
          <cell r="L1303" t="str">
            <v/>
          </cell>
          <cell r="M1303" t="str">
            <v/>
          </cell>
          <cell r="N1303" t="str">
            <v>HKA-24324</v>
          </cell>
          <cell r="O1303" t="str">
            <v>HEKA</v>
          </cell>
          <cell r="P1303" t="str">
            <v>ADET</v>
          </cell>
          <cell r="Q1303" t="str">
            <v>LED</v>
          </cell>
          <cell r="R1303" t="str">
            <v>METAL</v>
          </cell>
          <cell r="S1303" t="str">
            <v>NİKEL</v>
          </cell>
          <cell r="T1303" t="str">
            <v>AKRİLİK</v>
          </cell>
          <cell r="U1303" t="str">
            <v>ŞEFFAF</v>
          </cell>
          <cell r="AD1303" t="str">
            <v>POLİGONAL</v>
          </cell>
          <cell r="AF1303">
            <v>3</v>
          </cell>
          <cell r="AG1303" t="str">
            <v>ADET</v>
          </cell>
          <cell r="AH1303">
            <v>1690.5</v>
          </cell>
          <cell r="AI1303" t="str">
            <v>CNY</v>
          </cell>
          <cell r="AJ1303">
            <v>141900</v>
          </cell>
          <cell r="AK1303" t="str">
            <v>TL</v>
          </cell>
          <cell r="AL1303">
            <v>1</v>
          </cell>
          <cell r="AM1303" t="str">
            <v>8684127514019</v>
          </cell>
          <cell r="AO1303">
            <v>0</v>
          </cell>
          <cell r="AQ1303">
            <v>40</v>
          </cell>
          <cell r="AR1303" t="str">
            <v>CM</v>
          </cell>
          <cell r="AS1303">
            <v>40</v>
          </cell>
          <cell r="AT1303" t="str">
            <v>CM</v>
          </cell>
          <cell r="AU1303">
            <v>0</v>
          </cell>
          <cell r="AW1303">
            <v>0</v>
          </cell>
        </row>
        <row r="1304">
          <cell r="B1304" t="str">
            <v>H1W6JMELCSP-083</v>
          </cell>
          <cell r="C1304" t="str">
            <v>SURINAM KRİSTAL AKRİLİK ESKİTME ÜÇLÜ APLİK</v>
          </cell>
          <cell r="D1304" t="str">
            <v>SURINAM CRYSTAL ACRYLIC BRUSHED BRASS TRIPLE WALL LAMP</v>
          </cell>
          <cell r="E1304" t="str">
            <v>METAL AKRİLİK ESKİTME ŞEFFAF</v>
          </cell>
          <cell r="F1304" t="str">
            <v/>
          </cell>
          <cell r="G1304" t="str">
            <v>APLİK</v>
          </cell>
          <cell r="H1304" t="str">
            <v/>
          </cell>
          <cell r="I1304" t="str">
            <v>İÇ</v>
          </cell>
          <cell r="J1304" t="str">
            <v>APLİK</v>
          </cell>
          <cell r="K1304" t="str">
            <v>SURINAM</v>
          </cell>
          <cell r="L1304" t="str">
            <v/>
          </cell>
          <cell r="M1304" t="str">
            <v/>
          </cell>
          <cell r="N1304" t="str">
            <v>HKA-24321</v>
          </cell>
          <cell r="O1304" t="str">
            <v>HEKA</v>
          </cell>
          <cell r="P1304" t="str">
            <v>ADET</v>
          </cell>
          <cell r="Q1304" t="str">
            <v>LED</v>
          </cell>
          <cell r="R1304" t="str">
            <v>METAL</v>
          </cell>
          <cell r="S1304" t="str">
            <v>ESKİTME</v>
          </cell>
          <cell r="T1304" t="str">
            <v>AKRİLİK</v>
          </cell>
          <cell r="U1304" t="str">
            <v>ŞEFFAF</v>
          </cell>
          <cell r="AD1304" t="str">
            <v>POLİGONAL</v>
          </cell>
          <cell r="AF1304">
            <v>5</v>
          </cell>
          <cell r="AG1304" t="str">
            <v>ADET</v>
          </cell>
          <cell r="AH1304">
            <v>647.5</v>
          </cell>
          <cell r="AI1304" t="str">
            <v>CNY</v>
          </cell>
          <cell r="AJ1304">
            <v>54300</v>
          </cell>
          <cell r="AK1304" t="str">
            <v>TL</v>
          </cell>
          <cell r="AL1304">
            <v>1</v>
          </cell>
          <cell r="AM1304" t="str">
            <v>8684127514033</v>
          </cell>
          <cell r="AO1304">
            <v>0</v>
          </cell>
          <cell r="AQ1304">
            <v>16</v>
          </cell>
          <cell r="AR1304" t="str">
            <v>CM</v>
          </cell>
          <cell r="AS1304">
            <v>40</v>
          </cell>
          <cell r="AT1304" t="str">
            <v>CM</v>
          </cell>
          <cell r="AU1304">
            <v>0</v>
          </cell>
          <cell r="AW1304">
            <v>0</v>
          </cell>
        </row>
        <row r="1305">
          <cell r="B1305" t="str">
            <v>H1T6AAKARYJ-017</v>
          </cell>
          <cell r="C1305" t="str">
            <v>MORCHELLA ŞARJLI YEŞİL MASA LAMBASI</v>
          </cell>
          <cell r="D1305" t="str">
            <v>MORCHELLA CHARGEABLE GREEN TABLE LAMP</v>
          </cell>
          <cell r="E1305" t="str">
            <v xml:space="preserve">AHŞAP AHŞAP KIZIL AĞAÇ YEŞİL   </v>
          </cell>
          <cell r="F1305" t="str">
            <v/>
          </cell>
          <cell r="G1305" t="str">
            <v>MASAABAJ</v>
          </cell>
          <cell r="H1305" t="str">
            <v/>
          </cell>
          <cell r="I1305" t="str">
            <v>İÇ</v>
          </cell>
          <cell r="J1305" t="str">
            <v>MASAKAMP</v>
          </cell>
          <cell r="K1305" t="str">
            <v>MORCHELLA</v>
          </cell>
          <cell r="L1305" t="str">
            <v/>
          </cell>
          <cell r="M1305" t="str">
            <v/>
          </cell>
          <cell r="N1305" t="str">
            <v>HKA-24089</v>
          </cell>
          <cell r="O1305" t="str">
            <v>HEKA</v>
          </cell>
          <cell r="P1305" t="str">
            <v>ADET</v>
          </cell>
          <cell r="Q1305" t="str">
            <v>LED</v>
          </cell>
          <cell r="R1305" t="str">
            <v>AHŞAP</v>
          </cell>
          <cell r="S1305" t="str">
            <v>KIZIL AĞAÇ</v>
          </cell>
          <cell r="T1305" t="str">
            <v>AHŞAP</v>
          </cell>
          <cell r="U1305" t="str">
            <v>YEŞİL</v>
          </cell>
          <cell r="AD1305" t="str">
            <v>ŞARJLI</v>
          </cell>
          <cell r="AF1305">
            <v>212</v>
          </cell>
          <cell r="AG1305" t="str">
            <v>ADET</v>
          </cell>
          <cell r="AH1305">
            <v>300</v>
          </cell>
          <cell r="AI1305" t="str">
            <v>TL</v>
          </cell>
          <cell r="AJ1305">
            <v>2295</v>
          </cell>
          <cell r="AK1305" t="str">
            <v>TL</v>
          </cell>
          <cell r="AL1305">
            <v>0</v>
          </cell>
          <cell r="AM1305" t="str">
            <v>8684127512169</v>
          </cell>
          <cell r="AO1305">
            <v>0</v>
          </cell>
          <cell r="AQ1305">
            <v>0</v>
          </cell>
          <cell r="AS1305">
            <v>0</v>
          </cell>
          <cell r="AU1305">
            <v>0</v>
          </cell>
          <cell r="AW1305">
            <v>0</v>
          </cell>
        </row>
        <row r="1306">
          <cell r="B1306" t="str">
            <v>H1C2JMEERL0-045</v>
          </cell>
          <cell r="C1306" t="str">
            <v>ELEGAN ESKİTME DÖRTLÜ GLOP BAL CAMLI SARKIT AVİZE</v>
          </cell>
          <cell r="D1306" t="str">
            <v>ELEGAN DUAL QUATERNARY AMBER GLASS  BRUSHED BRASS PENDANT</v>
          </cell>
          <cell r="E1306" t="str">
            <v xml:space="preserve">METAL CAM  ESKİTME BAL   </v>
          </cell>
          <cell r="F1306" t="str">
            <v/>
          </cell>
          <cell r="G1306" t="str">
            <v>AVİZE</v>
          </cell>
          <cell r="H1306" t="str">
            <v/>
          </cell>
          <cell r="I1306" t="str">
            <v>İÇ</v>
          </cell>
          <cell r="J1306" t="str">
            <v>AVİZE</v>
          </cell>
          <cell r="K1306" t="str">
            <v>ELEGAN</v>
          </cell>
          <cell r="L1306" t="str">
            <v/>
          </cell>
          <cell r="M1306" t="str">
            <v/>
          </cell>
          <cell r="N1306" t="str">
            <v>HKA-24351</v>
          </cell>
          <cell r="O1306" t="str">
            <v>HEKA</v>
          </cell>
          <cell r="P1306" t="str">
            <v>ADET</v>
          </cell>
          <cell r="Q1306" t="str">
            <v>E27</v>
          </cell>
          <cell r="R1306" t="str">
            <v>METAL</v>
          </cell>
          <cell r="S1306" t="str">
            <v>ESKİTME</v>
          </cell>
          <cell r="T1306" t="str">
            <v>CAM</v>
          </cell>
          <cell r="U1306" t="str">
            <v>BAL</v>
          </cell>
          <cell r="AE1306" t="str">
            <v>05</v>
          </cell>
          <cell r="AG1306" t="str">
            <v>ADET</v>
          </cell>
          <cell r="AL1306">
            <v>0</v>
          </cell>
          <cell r="AM1306" t="str">
            <v>8684127512336</v>
          </cell>
          <cell r="AO1306">
            <v>0</v>
          </cell>
          <cell r="AQ1306">
            <v>0</v>
          </cell>
          <cell r="AS1306">
            <v>0</v>
          </cell>
          <cell r="AU1306">
            <v>0</v>
          </cell>
          <cell r="AW1306">
            <v>0</v>
          </cell>
        </row>
        <row r="1307">
          <cell r="B1307" t="str">
            <v>H1C2JMEECT0-032</v>
          </cell>
          <cell r="C1307" t="str">
            <v>RUBİS ESKİTME İKİLİ GLOP BEYAZ CAMLI SARKIT AVİZE</v>
          </cell>
          <cell r="D1307" t="str">
            <v>RUBİS DUAL GLOPE WHITE GLASS  BRUSHED BRASS PENDANT</v>
          </cell>
          <cell r="E1307" t="str">
            <v xml:space="preserve">METAL CAM  ESKİTME SOFT   </v>
          </cell>
          <cell r="F1307" t="str">
            <v/>
          </cell>
          <cell r="G1307" t="str">
            <v>AVİZE</v>
          </cell>
          <cell r="H1307" t="str">
            <v/>
          </cell>
          <cell r="I1307" t="str">
            <v>İÇ</v>
          </cell>
          <cell r="J1307" t="str">
            <v>AVİZE</v>
          </cell>
          <cell r="K1307" t="str">
            <v>RUBİS</v>
          </cell>
          <cell r="L1307" t="str">
            <v/>
          </cell>
          <cell r="M1307" t="str">
            <v/>
          </cell>
          <cell r="N1307" t="str">
            <v>HKA-24353</v>
          </cell>
          <cell r="O1307" t="str">
            <v>HEKA</v>
          </cell>
          <cell r="P1307" t="str">
            <v>ADET</v>
          </cell>
          <cell r="Q1307" t="str">
            <v>E27</v>
          </cell>
          <cell r="R1307" t="str">
            <v>METAL</v>
          </cell>
          <cell r="S1307" t="str">
            <v>ESKİTME</v>
          </cell>
          <cell r="T1307" t="str">
            <v>CAM</v>
          </cell>
          <cell r="U1307" t="str">
            <v>SOFT</v>
          </cell>
          <cell r="AE1307" t="str">
            <v>03</v>
          </cell>
          <cell r="AF1307">
            <v>1</v>
          </cell>
          <cell r="AG1307" t="str">
            <v>ADET</v>
          </cell>
          <cell r="AJ1307">
            <v>2734.37</v>
          </cell>
          <cell r="AK1307" t="str">
            <v>TL</v>
          </cell>
          <cell r="AL1307">
            <v>0</v>
          </cell>
          <cell r="AM1307" t="str">
            <v>8684127512350</v>
          </cell>
          <cell r="AO1307">
            <v>0</v>
          </cell>
          <cell r="AQ1307">
            <v>0</v>
          </cell>
          <cell r="AS1307">
            <v>0</v>
          </cell>
          <cell r="AU1307">
            <v>0</v>
          </cell>
          <cell r="AW1307">
            <v>0</v>
          </cell>
        </row>
        <row r="1308">
          <cell r="B1308" t="str">
            <v>H1C2JMEECT0-013</v>
          </cell>
          <cell r="C1308" t="str">
            <v>VELVET ESKİTME TEKLİ GLOP BEYAZ CAMLI SARKIT AVİZE</v>
          </cell>
          <cell r="D1308" t="str">
            <v>VELVET SINGLE GLOPE WHITE GLASS  BRUSHED BRASS PENDANT</v>
          </cell>
          <cell r="E1308" t="str">
            <v xml:space="preserve">METAL CAM  ESKİTME SOFT   </v>
          </cell>
          <cell r="F1308" t="str">
            <v/>
          </cell>
          <cell r="G1308" t="str">
            <v>AVİZE</v>
          </cell>
          <cell r="H1308" t="str">
            <v/>
          </cell>
          <cell r="I1308" t="str">
            <v>İÇ</v>
          </cell>
          <cell r="J1308" t="str">
            <v>AVİZE</v>
          </cell>
          <cell r="K1308" t="str">
            <v>VELVET</v>
          </cell>
          <cell r="L1308" t="str">
            <v/>
          </cell>
          <cell r="M1308" t="str">
            <v/>
          </cell>
          <cell r="N1308" t="str">
            <v>HKA-24368</v>
          </cell>
          <cell r="O1308" t="str">
            <v>HEKA</v>
          </cell>
          <cell r="P1308" t="str">
            <v>ADET</v>
          </cell>
          <cell r="Q1308" t="str">
            <v>E27</v>
          </cell>
          <cell r="R1308" t="str">
            <v>METAL</v>
          </cell>
          <cell r="S1308" t="str">
            <v>ESKİTME</v>
          </cell>
          <cell r="T1308" t="str">
            <v>CAM</v>
          </cell>
          <cell r="U1308" t="str">
            <v>SOFT</v>
          </cell>
          <cell r="AE1308" t="str">
            <v>02</v>
          </cell>
          <cell r="AG1308" t="str">
            <v>ADET</v>
          </cell>
          <cell r="AL1308">
            <v>0</v>
          </cell>
          <cell r="AM1308" t="str">
            <v>8684127512503</v>
          </cell>
          <cell r="AO1308">
            <v>0</v>
          </cell>
          <cell r="AQ1308">
            <v>0</v>
          </cell>
          <cell r="AS1308">
            <v>0</v>
          </cell>
          <cell r="AU1308">
            <v>0</v>
          </cell>
          <cell r="AW1308">
            <v>0</v>
          </cell>
        </row>
        <row r="1309">
          <cell r="B1309" t="str">
            <v>CM4G2P3T2D9G1</v>
          </cell>
          <cell r="C1309" t="str">
            <v>ERD-288 MISIR ŞEFFAF 5W ÜÇ RENKLİ G4 LED AMPUL</v>
          </cell>
          <cell r="D1309" t="str">
            <v>ERD-288 CLEAR CORN 5W THREE COLOR G4 LED BULB</v>
          </cell>
          <cell r="E1309" t="str">
            <v xml:space="preserve">SMD LED ÜÇ RENKLİ PLASTİK 220v   </v>
          </cell>
          <cell r="F1309" t="str">
            <v/>
          </cell>
          <cell r="G1309" t="str">
            <v>AMPUL</v>
          </cell>
          <cell r="H1309" t="str">
            <v/>
          </cell>
          <cell r="I1309" t="str">
            <v>İÇ</v>
          </cell>
          <cell r="J1309" t="str">
            <v>AMPUL</v>
          </cell>
          <cell r="K1309" t="str">
            <v>ERD-288</v>
          </cell>
          <cell r="L1309" t="str">
            <v/>
          </cell>
          <cell r="M1309" t="str">
            <v/>
          </cell>
          <cell r="N1309" t="str">
            <v>ERD-288</v>
          </cell>
          <cell r="O1309" t="str">
            <v>HEKA</v>
          </cell>
          <cell r="P1309" t="str">
            <v>ADET</v>
          </cell>
          <cell r="Q1309" t="str">
            <v>G4</v>
          </cell>
          <cell r="R1309" t="str">
            <v>PLASTİK</v>
          </cell>
          <cell r="S1309" t="str">
            <v>ŞEFFAF</v>
          </cell>
          <cell r="V1309" t="str">
            <v>G</v>
          </cell>
          <cell r="W1309" t="str">
            <v>SMD LED</v>
          </cell>
          <cell r="X1309" t="str">
            <v>220V</v>
          </cell>
          <cell r="Y1309" t="str">
            <v>5 WATT</v>
          </cell>
          <cell r="Z1309" t="str">
            <v>3000-4000-6500K</v>
          </cell>
          <cell r="AA1309" t="str">
            <v>DIMMLI</v>
          </cell>
          <cell r="AB1309" t="str">
            <v>101-200</v>
          </cell>
          <cell r="AC1309" t="str">
            <v>MISIR</v>
          </cell>
          <cell r="AD1309" t="str">
            <v>ÜÇ RENKLİ</v>
          </cell>
          <cell r="AF1309">
            <v>0</v>
          </cell>
          <cell r="AG1309" t="str">
            <v>ADET</v>
          </cell>
          <cell r="AH1309">
            <v>3.1</v>
          </cell>
          <cell r="AI1309" t="str">
            <v>CNY</v>
          </cell>
          <cell r="AJ1309">
            <v>2.4</v>
          </cell>
          <cell r="AK1309" t="str">
            <v>USD</v>
          </cell>
          <cell r="AL1309">
            <v>1</v>
          </cell>
          <cell r="AM1309" t="str">
            <v>8684127510851</v>
          </cell>
          <cell r="AN1309" t="str">
            <v>8684127510912</v>
          </cell>
          <cell r="AO1309">
            <v>0</v>
          </cell>
          <cell r="AQ1309">
            <v>0</v>
          </cell>
          <cell r="AS1309">
            <v>0</v>
          </cell>
          <cell r="AU1309">
            <v>0</v>
          </cell>
          <cell r="AW1309">
            <v>0</v>
          </cell>
        </row>
        <row r="1310">
          <cell r="B1310" t="str">
            <v>H1W6BCOJRSC-025</v>
          </cell>
          <cell r="C1310" t="str">
            <v xml:space="preserve">VESTA İKİLİ SİYAH LED APLİK </v>
          </cell>
          <cell r="D1310" t="str">
            <v>VESTA DOUBLE BLACK LED SCONCE</v>
          </cell>
          <cell r="E1310" t="str">
            <v xml:space="preserve">CAM  METAL SOFT ESKİTME   </v>
          </cell>
          <cell r="F1310" t="str">
            <v/>
          </cell>
          <cell r="G1310" t="str">
            <v>APLİK</v>
          </cell>
          <cell r="H1310" t="str">
            <v/>
          </cell>
          <cell r="I1310" t="str">
            <v>İÇ</v>
          </cell>
          <cell r="J1310" t="str">
            <v>APLİK</v>
          </cell>
          <cell r="K1310" t="str">
            <v>VESTA</v>
          </cell>
          <cell r="L1310" t="str">
            <v>Ç</v>
          </cell>
          <cell r="M1310" t="str">
            <v/>
          </cell>
          <cell r="N1310" t="str">
            <v>HKA-24133</v>
          </cell>
          <cell r="O1310" t="str">
            <v>HEKA</v>
          </cell>
          <cell r="P1310" t="str">
            <v>ADET</v>
          </cell>
          <cell r="Q1310" t="str">
            <v>LED</v>
          </cell>
          <cell r="R1310" t="str">
            <v>AKRİLİK</v>
          </cell>
          <cell r="S1310" t="str">
            <v>OPAL</v>
          </cell>
          <cell r="T1310" t="str">
            <v>METAL</v>
          </cell>
          <cell r="U1310" t="str">
            <v>ESKİTME</v>
          </cell>
          <cell r="AD1310" t="str">
            <v>SİLİNDİR</v>
          </cell>
          <cell r="AF1310">
            <v>16</v>
          </cell>
          <cell r="AG1310" t="str">
            <v>ADET</v>
          </cell>
          <cell r="AH1310">
            <v>29</v>
          </cell>
          <cell r="AI1310" t="str">
            <v>CNY</v>
          </cell>
          <cell r="AJ1310">
            <v>2750</v>
          </cell>
          <cell r="AK1310" t="str">
            <v>TL</v>
          </cell>
          <cell r="AL1310">
            <v>0</v>
          </cell>
          <cell r="AM1310" t="str">
            <v>8684127518932</v>
          </cell>
          <cell r="AO1310">
            <v>0</v>
          </cell>
          <cell r="AQ1310">
            <v>11</v>
          </cell>
          <cell r="AR1310" t="str">
            <v>CM</v>
          </cell>
          <cell r="AS1310">
            <v>20</v>
          </cell>
          <cell r="AT1310" t="str">
            <v>CM</v>
          </cell>
          <cell r="AU1310">
            <v>0</v>
          </cell>
          <cell r="AW1310">
            <v>0</v>
          </cell>
        </row>
        <row r="1311">
          <cell r="B1311" t="str">
            <v>SNC-HX-005</v>
          </cell>
          <cell r="C1311" t="str">
            <v>HX-005 ÖZEL SÜS AYDINLATMA</v>
          </cell>
          <cell r="D1311" t="str">
            <v/>
          </cell>
          <cell r="E1311" t="str">
            <v/>
          </cell>
          <cell r="F1311" t="str">
            <v>8539.52.00.00.00</v>
          </cell>
          <cell r="G1311" t="str">
            <v>AKSESUAR</v>
          </cell>
          <cell r="H1311" t="str">
            <v/>
          </cell>
          <cell r="I1311" t="str">
            <v>İÇ</v>
          </cell>
          <cell r="J1311" t="str">
            <v>AKSESUAR</v>
          </cell>
          <cell r="K1311" t="str">
            <v/>
          </cell>
          <cell r="L1311" t="str">
            <v/>
          </cell>
          <cell r="M1311" t="str">
            <v/>
          </cell>
          <cell r="N1311" t="str">
            <v/>
          </cell>
          <cell r="P1311" t="str">
            <v>ADET</v>
          </cell>
          <cell r="AF1311">
            <v>0</v>
          </cell>
          <cell r="AG1311" t="str">
            <v>ADET</v>
          </cell>
          <cell r="AL1311">
            <v>0</v>
          </cell>
          <cell r="AO1311">
            <v>0</v>
          </cell>
          <cell r="AQ1311">
            <v>0</v>
          </cell>
          <cell r="AS1311">
            <v>0</v>
          </cell>
          <cell r="AU1311">
            <v>0</v>
          </cell>
          <cell r="AW1311">
            <v>0</v>
          </cell>
        </row>
        <row r="1312">
          <cell r="B1312" t="str">
            <v>DEK-HAL-0004</v>
          </cell>
          <cell r="C1312" t="str">
            <v>FRV-30 AYDINLATMA</v>
          </cell>
          <cell r="D1312" t="str">
            <v/>
          </cell>
          <cell r="E1312" t="str">
            <v/>
          </cell>
          <cell r="F1312" t="str">
            <v>8539.52.00.00.00</v>
          </cell>
          <cell r="G1312" t="str">
            <v/>
          </cell>
          <cell r="H1312" t="str">
            <v/>
          </cell>
          <cell r="I1312" t="str">
            <v>İÇ</v>
          </cell>
          <cell r="J1312" t="str">
            <v/>
          </cell>
          <cell r="K1312" t="str">
            <v/>
          </cell>
          <cell r="L1312" t="str">
            <v/>
          </cell>
          <cell r="M1312" t="str">
            <v/>
          </cell>
          <cell r="N1312" t="str">
            <v/>
          </cell>
          <cell r="P1312" t="str">
            <v>ADET</v>
          </cell>
          <cell r="AF1312">
            <v>0</v>
          </cell>
          <cell r="AG1312" t="str">
            <v>ADET</v>
          </cell>
          <cell r="AL1312">
            <v>0</v>
          </cell>
          <cell r="AO1312">
            <v>0</v>
          </cell>
          <cell r="AQ1312">
            <v>0</v>
          </cell>
          <cell r="AS1312">
            <v>0</v>
          </cell>
          <cell r="AU1312">
            <v>0</v>
          </cell>
          <cell r="AW1312">
            <v>0</v>
          </cell>
        </row>
        <row r="1313">
          <cell r="B1313" t="str">
            <v>H1C6JMEECSD-120</v>
          </cell>
          <cell r="C1313" t="str">
            <v>OMEGA ON ŞEFFAF CAMLI ESKİTME YEMEK MASASI AVİZE</v>
          </cell>
          <cell r="D1313" t="str">
            <v>OMEGA TEN TRANSPARENT GLASS BRUSHED BRASS DINING ROOM CHANDELIER</v>
          </cell>
          <cell r="E1313" t="str">
            <v>METAL CAM ESKİTME ŞEFFAF</v>
          </cell>
          <cell r="F1313" t="str">
            <v>9405.19.90.00.00</v>
          </cell>
          <cell r="G1313" t="str">
            <v>AVİZE</v>
          </cell>
          <cell r="H1313" t="str">
            <v>T1W3116200-31</v>
          </cell>
          <cell r="I1313" t="str">
            <v>İÇ</v>
          </cell>
          <cell r="J1313" t="str">
            <v>AVİZE.AVİZ</v>
          </cell>
          <cell r="K1313" t="str">
            <v>OMEGA</v>
          </cell>
          <cell r="L1313" t="str">
            <v/>
          </cell>
          <cell r="M1313" t="str">
            <v/>
          </cell>
          <cell r="N1313" t="str">
            <v>HKA-23002</v>
          </cell>
          <cell r="O1313" t="str">
            <v>HEKA</v>
          </cell>
          <cell r="P1313" t="str">
            <v>ADET</v>
          </cell>
          <cell r="Q1313" t="str">
            <v>LED</v>
          </cell>
          <cell r="R1313" t="str">
            <v>METAL</v>
          </cell>
          <cell r="S1313" t="str">
            <v>ESKİTME</v>
          </cell>
          <cell r="T1313" t="str">
            <v>CAM</v>
          </cell>
          <cell r="U1313" t="str">
            <v>ŞEFFAF</v>
          </cell>
          <cell r="AD1313" t="str">
            <v>N/A</v>
          </cell>
          <cell r="AE1313" t="str">
            <v>10</v>
          </cell>
          <cell r="AF1313">
            <v>0</v>
          </cell>
          <cell r="AG1313" t="str">
            <v>ADET</v>
          </cell>
          <cell r="AH1313">
            <v>818</v>
          </cell>
          <cell r="AI1313" t="str">
            <v>CNY</v>
          </cell>
          <cell r="AJ1313">
            <v>47430</v>
          </cell>
          <cell r="AK1313" t="str">
            <v>TL</v>
          </cell>
          <cell r="AL1313">
            <v>1</v>
          </cell>
          <cell r="AM1313" t="str">
            <v>8684127511032 </v>
          </cell>
          <cell r="AO1313">
            <v>12</v>
          </cell>
          <cell r="AP1313" t="str">
            <v>KG</v>
          </cell>
          <cell r="AQ1313">
            <v>32.5</v>
          </cell>
          <cell r="AR1313" t="str">
            <v>CM</v>
          </cell>
          <cell r="AS1313">
            <v>24</v>
          </cell>
          <cell r="AT1313" t="str">
            <v>CM</v>
          </cell>
          <cell r="AU1313">
            <v>0</v>
          </cell>
          <cell r="AW1313">
            <v>0</v>
          </cell>
        </row>
        <row r="1314">
          <cell r="B1314" t="str">
            <v>H1W6JMEECS0-050</v>
          </cell>
          <cell r="C1314" t="str">
            <v>MİRA ŞEFFAF CAM ESKİTME LED APLİK</v>
          </cell>
          <cell r="D1314" t="str">
            <v>MİRA CLEAR GLASS BRUSHED BRASS LED WALL LAMP</v>
          </cell>
          <cell r="E1314" t="str">
            <v xml:space="preserve">METAL CAM  ESKİTME ŞEFFAF   </v>
          </cell>
          <cell r="F1314" t="str">
            <v>9405.11.90.00.00</v>
          </cell>
          <cell r="G1314" t="str">
            <v>APLİK</v>
          </cell>
          <cell r="H1314" t="str">
            <v/>
          </cell>
          <cell r="I1314" t="str">
            <v>İÇ</v>
          </cell>
          <cell r="J1314" t="str">
            <v>APLİK</v>
          </cell>
          <cell r="K1314" t="str">
            <v>MİRA</v>
          </cell>
          <cell r="L1314" t="str">
            <v/>
          </cell>
          <cell r="M1314" t="str">
            <v>28.02.2026</v>
          </cell>
          <cell r="N1314" t="str">
            <v>HKA-23071</v>
          </cell>
          <cell r="O1314" t="str">
            <v>HEKA</v>
          </cell>
          <cell r="P1314" t="str">
            <v>ADET</v>
          </cell>
          <cell r="Q1314" t="str">
            <v>LED</v>
          </cell>
          <cell r="R1314" t="str">
            <v>METAL</v>
          </cell>
          <cell r="S1314" t="str">
            <v>ESKİTME</v>
          </cell>
          <cell r="T1314" t="str">
            <v>CAM</v>
          </cell>
          <cell r="U1314" t="str">
            <v>ŞEFFAF</v>
          </cell>
          <cell r="AD1314" t="str">
            <v>N/A</v>
          </cell>
          <cell r="AF1314">
            <v>0</v>
          </cell>
          <cell r="AG1314" t="str">
            <v>ADET</v>
          </cell>
          <cell r="AH1314">
            <v>115</v>
          </cell>
          <cell r="AI1314" t="str">
            <v>CNY</v>
          </cell>
          <cell r="AJ1314">
            <v>9660</v>
          </cell>
          <cell r="AK1314" t="str">
            <v>TL</v>
          </cell>
          <cell r="AL1314">
            <v>1</v>
          </cell>
          <cell r="AM1314" t="str">
            <v>8684127511148</v>
          </cell>
          <cell r="AO1314">
            <v>1.1000000000000001</v>
          </cell>
          <cell r="AP1314" t="str">
            <v>KG</v>
          </cell>
          <cell r="AQ1314">
            <v>13</v>
          </cell>
          <cell r="AR1314" t="str">
            <v>CM</v>
          </cell>
          <cell r="AS1314">
            <v>50</v>
          </cell>
          <cell r="AT1314" t="str">
            <v>CM</v>
          </cell>
          <cell r="AU1314">
            <v>0</v>
          </cell>
          <cell r="AW1314">
            <v>0</v>
          </cell>
        </row>
        <row r="1315">
          <cell r="B1315" t="str">
            <v>H1C6CMGBRLR-018</v>
          </cell>
          <cell r="C1315" t="str">
            <v>BUMİN BAL AKRİLİK ALTIN ALÜMİNYUM LED SARKIT 18cm</v>
          </cell>
          <cell r="D1315" t="str">
            <v>BUMIN AMBER ACRYLIC GOLD ALUMINUM LED PENDANT 18cm</v>
          </cell>
          <cell r="E1315" t="str">
            <v xml:space="preserve">ALUMİNYUM AKRİLİK GOLD BAL   </v>
          </cell>
          <cell r="F1315" t="str">
            <v/>
          </cell>
          <cell r="G1315" t="str">
            <v>AVİZE</v>
          </cell>
          <cell r="H1315" t="str">
            <v/>
          </cell>
          <cell r="I1315" t="str">
            <v>İÇ</v>
          </cell>
          <cell r="J1315" t="str">
            <v>AVİZE.SARK</v>
          </cell>
          <cell r="K1315" t="str">
            <v>BUMİN</v>
          </cell>
          <cell r="L1315" t="str">
            <v/>
          </cell>
          <cell r="M1315" t="str">
            <v/>
          </cell>
          <cell r="N1315" t="str">
            <v>HKA-23080</v>
          </cell>
          <cell r="O1315" t="str">
            <v>HEKA</v>
          </cell>
          <cell r="P1315" t="str">
            <v>ADET</v>
          </cell>
          <cell r="Q1315" t="str">
            <v>LED</v>
          </cell>
          <cell r="R1315" t="str">
            <v>ALUMİNYUM</v>
          </cell>
          <cell r="S1315" t="str">
            <v>GOLD</v>
          </cell>
          <cell r="T1315" t="str">
            <v>AKRİLİK</v>
          </cell>
          <cell r="U1315" t="str">
            <v>BAL</v>
          </cell>
          <cell r="AD1315" t="str">
            <v>DAİRE</v>
          </cell>
          <cell r="AE1315" t="str">
            <v>02</v>
          </cell>
          <cell r="AF1315">
            <v>17</v>
          </cell>
          <cell r="AG1315" t="str">
            <v>ADET</v>
          </cell>
          <cell r="AH1315">
            <v>100</v>
          </cell>
          <cell r="AI1315" t="str">
            <v>CNY</v>
          </cell>
          <cell r="AJ1315">
            <v>6375</v>
          </cell>
          <cell r="AK1315" t="str">
            <v>TL</v>
          </cell>
          <cell r="AL1315">
            <v>1</v>
          </cell>
          <cell r="AM1315" t="str">
            <v>8684127511216</v>
          </cell>
          <cell r="AO1315">
            <v>1.08</v>
          </cell>
          <cell r="AP1315" t="str">
            <v>KG</v>
          </cell>
          <cell r="AQ1315">
            <v>18</v>
          </cell>
          <cell r="AR1315" t="str">
            <v>CM</v>
          </cell>
          <cell r="AS1315">
            <v>18</v>
          </cell>
          <cell r="AT1315" t="str">
            <v>CM</v>
          </cell>
          <cell r="AU1315">
            <v>0</v>
          </cell>
          <cell r="AW1315">
            <v>0</v>
          </cell>
        </row>
        <row r="1316">
          <cell r="B1316" t="str">
            <v>H1W6JRSBCBY-105</v>
          </cell>
          <cell r="C1316" t="str">
            <v>TOMRİS BEŞLİ ŞEFFAF OPTİK AKRİLİK SİYAH  LED APLİK</v>
          </cell>
          <cell r="D1316" t="str">
            <v>TOMRIS QUINTET CLEAR OPTICAL ACRYLIC BLACK LED WALL LAMP</v>
          </cell>
          <cell r="E1316" t="str">
            <v xml:space="preserve">METAL AKRİLİK SİYAH BUZLU   </v>
          </cell>
          <cell r="F1316" t="str">
            <v/>
          </cell>
          <cell r="G1316" t="str">
            <v>APLİK</v>
          </cell>
          <cell r="H1316" t="str">
            <v/>
          </cell>
          <cell r="I1316" t="str">
            <v>İÇ</v>
          </cell>
          <cell r="J1316" t="str">
            <v>APLİK</v>
          </cell>
          <cell r="K1316" t="str">
            <v>TOMRİS</v>
          </cell>
          <cell r="L1316" t="str">
            <v/>
          </cell>
          <cell r="M1316" t="str">
            <v/>
          </cell>
          <cell r="N1316" t="str">
            <v>HKA-23085</v>
          </cell>
          <cell r="O1316" t="str">
            <v>HEKA</v>
          </cell>
          <cell r="P1316" t="str">
            <v>ADET</v>
          </cell>
          <cell r="Q1316" t="str">
            <v>LED</v>
          </cell>
          <cell r="R1316" t="str">
            <v>METAL</v>
          </cell>
          <cell r="S1316" t="str">
            <v>PLATİN</v>
          </cell>
          <cell r="T1316" t="str">
            <v>AKRİLİK</v>
          </cell>
          <cell r="U1316" t="str">
            <v>FÜME</v>
          </cell>
          <cell r="AD1316" t="str">
            <v>BUZLU</v>
          </cell>
          <cell r="AF1316">
            <v>0</v>
          </cell>
          <cell r="AG1316" t="str">
            <v>ADET</v>
          </cell>
          <cell r="AH1316">
            <v>440</v>
          </cell>
          <cell r="AI1316" t="str">
            <v>CNY</v>
          </cell>
          <cell r="AJ1316">
            <v>22440</v>
          </cell>
          <cell r="AK1316" t="str">
            <v>TL</v>
          </cell>
          <cell r="AL1316">
            <v>1</v>
          </cell>
          <cell r="AM1316" t="str">
            <v>8684127511285</v>
          </cell>
          <cell r="AO1316">
            <v>8</v>
          </cell>
          <cell r="AP1316" t="str">
            <v>KG</v>
          </cell>
          <cell r="AQ1316">
            <v>28</v>
          </cell>
          <cell r="AR1316" t="str">
            <v>CM</v>
          </cell>
          <cell r="AS1316">
            <v>105</v>
          </cell>
          <cell r="AT1316" t="str">
            <v>CM</v>
          </cell>
          <cell r="AU1316">
            <v>0</v>
          </cell>
          <cell r="AW1316">
            <v>0</v>
          </cell>
        </row>
        <row r="1317">
          <cell r="B1317" t="str">
            <v>CE2G5C1M2B26000</v>
          </cell>
          <cell r="C1317" t="str">
            <v>ERD-295 PERİ LED BAL CAM 3W 2200K E27 AMPUL</v>
          </cell>
          <cell r="D1317" t="str">
            <v>ERD-295 FAIRY LED AMBER GLASS 3W 2200K E27 BULB</v>
          </cell>
          <cell r="E1317" t="str">
            <v xml:space="preserve">PERİ LED METAL CAM  220v   </v>
          </cell>
          <cell r="F1317" t="str">
            <v/>
          </cell>
          <cell r="G1317" t="str">
            <v>AMPUL</v>
          </cell>
          <cell r="H1317" t="str">
            <v/>
          </cell>
          <cell r="I1317" t="str">
            <v>İÇ</v>
          </cell>
          <cell r="J1317" t="str">
            <v>AMPUL</v>
          </cell>
          <cell r="K1317" t="str">
            <v>ERD-295</v>
          </cell>
          <cell r="L1317" t="str">
            <v/>
          </cell>
          <cell r="M1317" t="str">
            <v>05.02.2024</v>
          </cell>
          <cell r="N1317" t="str">
            <v>ERD-295</v>
          </cell>
          <cell r="O1317" t="str">
            <v>HEKA</v>
          </cell>
          <cell r="P1317" t="str">
            <v>ADET</v>
          </cell>
          <cell r="Q1317" t="str">
            <v>E27</v>
          </cell>
          <cell r="R1317" t="str">
            <v>CAM</v>
          </cell>
          <cell r="S1317" t="str">
            <v>BAL</v>
          </cell>
          <cell r="T1317" t="str">
            <v>METAL</v>
          </cell>
          <cell r="V1317" t="str">
            <v>G</v>
          </cell>
          <cell r="W1317" t="str">
            <v>PERİ LED</v>
          </cell>
          <cell r="X1317" t="str">
            <v>220V</v>
          </cell>
          <cell r="Y1317" t="str">
            <v>3 WATT</v>
          </cell>
          <cell r="Z1317" t="str">
            <v>2500 K</v>
          </cell>
          <cell r="AA1317" t="str">
            <v>DIMMSIZ</v>
          </cell>
          <cell r="AB1317" t="str">
            <v>0-100</v>
          </cell>
          <cell r="AC1317" t="str">
            <v>G95-TOP</v>
          </cell>
          <cell r="AF1317">
            <v>0</v>
          </cell>
          <cell r="AG1317" t="str">
            <v>ADET</v>
          </cell>
          <cell r="AH1317">
            <v>8.9</v>
          </cell>
          <cell r="AI1317" t="str">
            <v>CNY</v>
          </cell>
          <cell r="AJ1317">
            <v>219</v>
          </cell>
          <cell r="AK1317" t="str">
            <v>TL</v>
          </cell>
          <cell r="AL1317">
            <v>0</v>
          </cell>
          <cell r="AM1317" t="str">
            <v>8684127511353</v>
          </cell>
          <cell r="AO1317">
            <v>0</v>
          </cell>
          <cell r="AQ1317">
            <v>0</v>
          </cell>
          <cell r="AS1317">
            <v>0</v>
          </cell>
          <cell r="AU1317">
            <v>0</v>
          </cell>
          <cell r="AW1317">
            <v>0</v>
          </cell>
        </row>
        <row r="1318">
          <cell r="B1318" t="str">
            <v>CK2G6C1M2E3J0GG</v>
          </cell>
          <cell r="C1318" t="str">
            <v xml:space="preserve">ERD-302 ŞERİT FİLAMENT LED BAL CAM 6W 2500K E27 </v>
          </cell>
          <cell r="D1318" t="str">
            <v>ERD-302 STRIP FILAMENT LED AMBER GLASS 6W 2500K E27 BULB</v>
          </cell>
          <cell r="E1318" t="str">
            <v xml:space="preserve">ŞERİT FİLAMENT METAL CAM  220v   </v>
          </cell>
          <cell r="F1318" t="str">
            <v/>
          </cell>
          <cell r="G1318" t="str">
            <v>AMPUL</v>
          </cell>
          <cell r="H1318" t="str">
            <v/>
          </cell>
          <cell r="I1318" t="str">
            <v>İÇ</v>
          </cell>
          <cell r="J1318" t="str">
            <v>AMPUL</v>
          </cell>
          <cell r="K1318" t="str">
            <v>ERD-302</v>
          </cell>
          <cell r="L1318" t="str">
            <v/>
          </cell>
          <cell r="M1318" t="str">
            <v/>
          </cell>
          <cell r="N1318" t="str">
            <v>ERD-302</v>
          </cell>
          <cell r="O1318" t="str">
            <v>HEKA</v>
          </cell>
          <cell r="P1318" t="str">
            <v>ADET</v>
          </cell>
          <cell r="Q1318" t="str">
            <v>E27</v>
          </cell>
          <cell r="R1318" t="str">
            <v>CAM</v>
          </cell>
          <cell r="S1318" t="str">
            <v>BAL</v>
          </cell>
          <cell r="T1318" t="str">
            <v>METAL</v>
          </cell>
          <cell r="V1318" t="str">
            <v>G</v>
          </cell>
          <cell r="W1318" t="str">
            <v>ŞERİT FİLAMENT</v>
          </cell>
          <cell r="X1318" t="str">
            <v>220V</v>
          </cell>
          <cell r="Y1318" t="str">
            <v>6 WATT</v>
          </cell>
          <cell r="Z1318" t="str">
            <v>2500 K</v>
          </cell>
          <cell r="AA1318" t="str">
            <v>DIMMSIZ</v>
          </cell>
          <cell r="AB1318" t="str">
            <v>401-500</v>
          </cell>
          <cell r="AC1318" t="str">
            <v>KARMA</v>
          </cell>
          <cell r="AF1318">
            <v>0</v>
          </cell>
          <cell r="AG1318" t="str">
            <v>ADET</v>
          </cell>
          <cell r="AH1318">
            <v>44</v>
          </cell>
          <cell r="AI1318" t="str">
            <v>CNY</v>
          </cell>
          <cell r="AJ1318">
            <v>36</v>
          </cell>
          <cell r="AK1318" t="str">
            <v>USD</v>
          </cell>
          <cell r="AL1318">
            <v>1</v>
          </cell>
          <cell r="AM1318" t="str">
            <v>8684127511421</v>
          </cell>
          <cell r="AO1318">
            <v>0</v>
          </cell>
          <cell r="AP1318" t="str">
            <v>KG</v>
          </cell>
          <cell r="AQ1318">
            <v>0</v>
          </cell>
          <cell r="AR1318" t="str">
            <v>CM</v>
          </cell>
          <cell r="AS1318">
            <v>0</v>
          </cell>
          <cell r="AT1318" t="str">
            <v>CM</v>
          </cell>
          <cell r="AU1318">
            <v>0</v>
          </cell>
          <cell r="AW1318">
            <v>0</v>
          </cell>
        </row>
        <row r="1319">
          <cell r="B1319" t="str">
            <v>ZCY-ERD-0764</v>
          </cell>
          <cell r="C1319" t="str">
            <v>15 LİK GRİFLİ OPAL CAM</v>
          </cell>
          <cell r="D1319" t="str">
            <v/>
          </cell>
          <cell r="E1319" t="str">
            <v/>
          </cell>
          <cell r="F1319" t="str">
            <v/>
          </cell>
          <cell r="G1319" t="str">
            <v>ZPARCA</v>
          </cell>
          <cell r="H1319" t="str">
            <v>ZCY-ERD-0760</v>
          </cell>
          <cell r="I1319" t="str">
            <v>İÇ</v>
          </cell>
          <cell r="J1319" t="str">
            <v>ZPARCA</v>
          </cell>
          <cell r="K1319" t="str">
            <v/>
          </cell>
          <cell r="L1319" t="str">
            <v/>
          </cell>
          <cell r="M1319" t="str">
            <v/>
          </cell>
          <cell r="N1319" t="str">
            <v/>
          </cell>
          <cell r="P1319" t="str">
            <v>ADET</v>
          </cell>
          <cell r="AF1319">
            <v>0</v>
          </cell>
          <cell r="AG1319" t="str">
            <v>ADET</v>
          </cell>
          <cell r="AL1319">
            <v>0</v>
          </cell>
          <cell r="AO1319">
            <v>0</v>
          </cell>
          <cell r="AQ1319">
            <v>0</v>
          </cell>
          <cell r="AS1319">
            <v>0</v>
          </cell>
          <cell r="AU1319">
            <v>0</v>
          </cell>
          <cell r="AW1319">
            <v>0</v>
          </cell>
        </row>
        <row r="1320">
          <cell r="B1320" t="str">
            <v>H1W6JMEBRBB-058</v>
          </cell>
          <cell r="C1320" t="str">
            <v>DORADUS ONLU BEYAZ AKRİLİK KÜRE ESKİTME APLİK</v>
          </cell>
          <cell r="D1320" t="str">
            <v>DORADUS TEN ACRYLIC GLOBE BRUSHED BRASS WALL LAMP</v>
          </cell>
          <cell r="E1320" t="str">
            <v xml:space="preserve">METAL AKRİLİK ESKİTME BEYAZ   </v>
          </cell>
          <cell r="F1320" t="str">
            <v>9405.11.90.00.00</v>
          </cell>
          <cell r="G1320" t="str">
            <v>APLİK</v>
          </cell>
          <cell r="H1320" t="str">
            <v/>
          </cell>
          <cell r="I1320" t="str">
            <v>İÇ</v>
          </cell>
          <cell r="J1320" t="str">
            <v>APLİK</v>
          </cell>
          <cell r="K1320" t="str">
            <v>DORADUS</v>
          </cell>
          <cell r="L1320" t="str">
            <v>Y</v>
          </cell>
          <cell r="M1320" t="str">
            <v/>
          </cell>
          <cell r="N1320" t="str">
            <v>HKA-23015</v>
          </cell>
          <cell r="O1320" t="str">
            <v>HEKA</v>
          </cell>
          <cell r="P1320" t="str">
            <v>ADET</v>
          </cell>
          <cell r="Q1320" t="str">
            <v>LED</v>
          </cell>
          <cell r="R1320" t="str">
            <v>METAL</v>
          </cell>
          <cell r="S1320" t="str">
            <v>ESKİTME</v>
          </cell>
          <cell r="T1320" t="str">
            <v>AKRİLİK</v>
          </cell>
          <cell r="U1320" t="str">
            <v>BEYAZ</v>
          </cell>
          <cell r="AD1320" t="str">
            <v>SİMİT</v>
          </cell>
          <cell r="AF1320">
            <v>47</v>
          </cell>
          <cell r="AG1320" t="str">
            <v>ADET</v>
          </cell>
          <cell r="AH1320">
            <v>140</v>
          </cell>
          <cell r="AI1320" t="str">
            <v>CNY</v>
          </cell>
          <cell r="AJ1320">
            <v>9350</v>
          </cell>
          <cell r="AK1320" t="str">
            <v>TL</v>
          </cell>
          <cell r="AL1320">
            <v>1</v>
          </cell>
          <cell r="AM1320" t="str">
            <v>8684127511445</v>
          </cell>
          <cell r="AO1320">
            <v>0.8</v>
          </cell>
          <cell r="AP1320" t="str">
            <v>KG</v>
          </cell>
          <cell r="AQ1320">
            <v>7</v>
          </cell>
          <cell r="AR1320" t="str">
            <v>CM</v>
          </cell>
          <cell r="AS1320">
            <v>36</v>
          </cell>
          <cell r="AT1320" t="str">
            <v>CM</v>
          </cell>
          <cell r="AU1320">
            <v>0</v>
          </cell>
          <cell r="AW1320">
            <v>0</v>
          </cell>
        </row>
        <row r="1321">
          <cell r="B1321" t="str">
            <v>H1W6JMEWRBP-030</v>
          </cell>
          <cell r="C1321" t="str">
            <v xml:space="preserve">ANVERS TEKLİ BEYAZ MERMER ESKİTME APLİK </v>
          </cell>
          <cell r="D1321" t="str">
            <v xml:space="preserve">ANVERS SINGLE MARBLE BRUSHED BRASS WALL LAMP </v>
          </cell>
          <cell r="E1321" t="str">
            <v xml:space="preserve">METAL MERMER ESKİTME BEYAZ   </v>
          </cell>
          <cell r="F1321" t="str">
            <v>9405.11.90.00.00</v>
          </cell>
          <cell r="G1321" t="str">
            <v>APLİK</v>
          </cell>
          <cell r="H1321" t="str">
            <v/>
          </cell>
          <cell r="I1321" t="str">
            <v>İÇ</v>
          </cell>
          <cell r="J1321" t="str">
            <v>APLİK</v>
          </cell>
          <cell r="K1321" t="str">
            <v>ANVERS</v>
          </cell>
          <cell r="L1321" t="str">
            <v>Ç</v>
          </cell>
          <cell r="M1321" t="str">
            <v>28.02.2026</v>
          </cell>
          <cell r="N1321" t="str">
            <v>HKA-23025</v>
          </cell>
          <cell r="O1321" t="str">
            <v>HEKA</v>
          </cell>
          <cell r="P1321" t="str">
            <v>ADET</v>
          </cell>
          <cell r="Q1321" t="str">
            <v>LED</v>
          </cell>
          <cell r="R1321" t="str">
            <v>METAL</v>
          </cell>
          <cell r="S1321" t="str">
            <v>ESKİTME</v>
          </cell>
          <cell r="T1321" t="str">
            <v>MERMER</v>
          </cell>
          <cell r="U1321" t="str">
            <v>BEYAZ</v>
          </cell>
          <cell r="AD1321" t="str">
            <v>POLİGONAL</v>
          </cell>
          <cell r="AF1321">
            <v>2</v>
          </cell>
          <cell r="AG1321" t="str">
            <v>ADET</v>
          </cell>
          <cell r="AH1321">
            <v>120</v>
          </cell>
          <cell r="AI1321" t="str">
            <v>CNY</v>
          </cell>
          <cell r="AJ1321">
            <v>7000</v>
          </cell>
          <cell r="AK1321" t="str">
            <v>TL</v>
          </cell>
          <cell r="AL1321">
            <v>1</v>
          </cell>
          <cell r="AM1321" t="str">
            <v>8684127511513</v>
          </cell>
          <cell r="AO1321">
            <v>1.8</v>
          </cell>
          <cell r="AP1321" t="str">
            <v>KG</v>
          </cell>
          <cell r="AQ1321">
            <v>5</v>
          </cell>
          <cell r="AR1321" t="str">
            <v>CM</v>
          </cell>
          <cell r="AS1321">
            <v>30</v>
          </cell>
          <cell r="AT1321" t="str">
            <v>CM</v>
          </cell>
          <cell r="AU1321">
            <v>0</v>
          </cell>
          <cell r="AW1321">
            <v>0</v>
          </cell>
        </row>
        <row r="1322">
          <cell r="B1322" t="str">
            <v>DEK-HAL-0001</v>
          </cell>
          <cell r="C1322" t="str">
            <v>LINEER AYDINLATMA</v>
          </cell>
          <cell r="D1322" t="str">
            <v/>
          </cell>
          <cell r="E1322" t="str">
            <v/>
          </cell>
          <cell r="F1322" t="str">
            <v>8539.52.00.00.00</v>
          </cell>
          <cell r="G1322" t="str">
            <v/>
          </cell>
          <cell r="H1322" t="str">
            <v/>
          </cell>
          <cell r="I1322" t="str">
            <v>İÇ</v>
          </cell>
          <cell r="J1322" t="str">
            <v/>
          </cell>
          <cell r="K1322" t="str">
            <v/>
          </cell>
          <cell r="L1322" t="str">
            <v/>
          </cell>
          <cell r="M1322" t="str">
            <v/>
          </cell>
          <cell r="N1322" t="str">
            <v/>
          </cell>
          <cell r="P1322" t="str">
            <v>ADET</v>
          </cell>
          <cell r="AF1322">
            <v>0</v>
          </cell>
          <cell r="AG1322" t="str">
            <v>ADET</v>
          </cell>
          <cell r="AL1322">
            <v>0</v>
          </cell>
          <cell r="AO1322">
            <v>0</v>
          </cell>
          <cell r="AQ1322">
            <v>0</v>
          </cell>
          <cell r="AS1322">
            <v>0</v>
          </cell>
          <cell r="AU1322">
            <v>0</v>
          </cell>
          <cell r="AW1322">
            <v>0</v>
          </cell>
        </row>
        <row r="1323">
          <cell r="B1323" t="str">
            <v>H1C6JMEECS0-060</v>
          </cell>
          <cell r="C1323" t="str">
            <v>OMEGA ON ŞEFFAF CAMLI ESKİTME SALON AVİZE</v>
          </cell>
          <cell r="D1323" t="str">
            <v>OMEGA TEN TRANSPARENT GLASS BRUSHED BRASS LIVING ROOM CHANDELIER</v>
          </cell>
          <cell r="E1323" t="str">
            <v>METAL CAM ESKİTME ŞEFFAF</v>
          </cell>
          <cell r="F1323" t="str">
            <v>9405.19.90.00.00</v>
          </cell>
          <cell r="G1323" t="str">
            <v>AVİZE</v>
          </cell>
          <cell r="H1323" t="str">
            <v>T1W3116200-31</v>
          </cell>
          <cell r="I1323" t="str">
            <v>İÇ</v>
          </cell>
          <cell r="J1323" t="str">
            <v>AVİZE.SARK</v>
          </cell>
          <cell r="K1323" t="str">
            <v>OMEGA</v>
          </cell>
          <cell r="L1323" t="str">
            <v/>
          </cell>
          <cell r="M1323" t="str">
            <v/>
          </cell>
          <cell r="N1323" t="str">
            <v>HKA-23005</v>
          </cell>
          <cell r="O1323" t="str">
            <v>HEKA</v>
          </cell>
          <cell r="P1323" t="str">
            <v>ADET</v>
          </cell>
          <cell r="Q1323" t="str">
            <v>LED</v>
          </cell>
          <cell r="R1323" t="str">
            <v>METAL</v>
          </cell>
          <cell r="S1323" t="str">
            <v>ESKİTME</v>
          </cell>
          <cell r="T1323" t="str">
            <v>CAM</v>
          </cell>
          <cell r="U1323" t="str">
            <v>ŞEFFAF</v>
          </cell>
          <cell r="AD1323" t="str">
            <v>N/A</v>
          </cell>
          <cell r="AE1323" t="str">
            <v>10</v>
          </cell>
          <cell r="AF1323">
            <v>0</v>
          </cell>
          <cell r="AG1323" t="str">
            <v>ADET</v>
          </cell>
          <cell r="AH1323">
            <v>660</v>
          </cell>
          <cell r="AI1323" t="str">
            <v>CNY</v>
          </cell>
          <cell r="AJ1323">
            <v>38250</v>
          </cell>
          <cell r="AK1323" t="str">
            <v>TL</v>
          </cell>
          <cell r="AL1323">
            <v>1</v>
          </cell>
          <cell r="AM1323" t="str">
            <v>8684127511063</v>
          </cell>
          <cell r="AO1323">
            <v>12</v>
          </cell>
          <cell r="AP1323" t="str">
            <v>KG</v>
          </cell>
          <cell r="AQ1323">
            <v>30</v>
          </cell>
          <cell r="AR1323" t="str">
            <v>CM</v>
          </cell>
          <cell r="AS1323">
            <v>60</v>
          </cell>
          <cell r="AT1323" t="str">
            <v>CM</v>
          </cell>
          <cell r="AU1323">
            <v>0</v>
          </cell>
          <cell r="AW1323">
            <v>0</v>
          </cell>
        </row>
        <row r="1324">
          <cell r="B1324" t="str">
            <v>H1C6JMEECS0-046</v>
          </cell>
          <cell r="C1324" t="str">
            <v>OMEGA ÜÇ ŞEFFAF CAMLI ESKİTME SARKIT AVİZE</v>
          </cell>
          <cell r="D1324" t="str">
            <v>OMEGA THREE TRANSPARENT GLASS BRUSHED BRASS PENDANT LAMP</v>
          </cell>
          <cell r="E1324" t="str">
            <v>METAL CAM ESKİTME ŞEFFAF</v>
          </cell>
          <cell r="F1324" t="str">
            <v>9405.19.90.00.00</v>
          </cell>
          <cell r="G1324" t="str">
            <v>AVİZE</v>
          </cell>
          <cell r="H1324" t="str">
            <v>T1W3116200-31</v>
          </cell>
          <cell r="I1324" t="str">
            <v>İÇ</v>
          </cell>
          <cell r="J1324" t="str">
            <v>AVİZE.SARK</v>
          </cell>
          <cell r="K1324" t="str">
            <v>OMEGA</v>
          </cell>
          <cell r="L1324" t="str">
            <v/>
          </cell>
          <cell r="M1324" t="str">
            <v/>
          </cell>
          <cell r="N1324" t="str">
            <v>HKA-23006</v>
          </cell>
          <cell r="O1324" t="str">
            <v>HEKA</v>
          </cell>
          <cell r="P1324" t="str">
            <v>ADET</v>
          </cell>
          <cell r="Q1324" t="str">
            <v>LED</v>
          </cell>
          <cell r="R1324" t="str">
            <v>METAL</v>
          </cell>
          <cell r="S1324" t="str">
            <v>ESKİTME</v>
          </cell>
          <cell r="T1324" t="str">
            <v>CAM</v>
          </cell>
          <cell r="U1324" t="str">
            <v>ŞEFFAF</v>
          </cell>
          <cell r="AD1324" t="str">
            <v>N/A</v>
          </cell>
          <cell r="AE1324" t="str">
            <v>04</v>
          </cell>
          <cell r="AF1324">
            <v>0</v>
          </cell>
          <cell r="AG1324" t="str">
            <v>ADET</v>
          </cell>
          <cell r="AH1324">
            <v>250</v>
          </cell>
          <cell r="AI1324" t="str">
            <v>CNY</v>
          </cell>
          <cell r="AJ1324">
            <v>14535</v>
          </cell>
          <cell r="AK1324" t="str">
            <v>TL</v>
          </cell>
          <cell r="AL1324">
            <v>1</v>
          </cell>
          <cell r="AM1324" t="str">
            <v>8684127511070</v>
          </cell>
          <cell r="AO1324">
            <v>8</v>
          </cell>
          <cell r="AP1324" t="str">
            <v>KG</v>
          </cell>
          <cell r="AQ1324">
            <v>40</v>
          </cell>
          <cell r="AR1324" t="str">
            <v>CM</v>
          </cell>
          <cell r="AS1324">
            <v>40</v>
          </cell>
          <cell r="AT1324" t="str">
            <v>CM</v>
          </cell>
          <cell r="AU1324">
            <v>0</v>
          </cell>
          <cell r="AW1324">
            <v>0</v>
          </cell>
        </row>
        <row r="1325">
          <cell r="B1325" t="str">
            <v>H1C6JMGBCSY-043</v>
          </cell>
          <cell r="C1325" t="str">
            <v>CARİNA TEKLİ ŞEFFAF AKRİLİK ALTIN SARKIT 40cm</v>
          </cell>
          <cell r="D1325" t="str">
            <v>CARİNA SINGLE CLEAR ACRYLIC GOLD PENDANT LAMP 40cm</v>
          </cell>
          <cell r="E1325" t="str">
            <v xml:space="preserve">METAL AKRİLİK GOLD ŞEFFAF   </v>
          </cell>
          <cell r="F1325" t="str">
            <v>9405.11.90.00.00</v>
          </cell>
          <cell r="G1325" t="str">
            <v>AVİZE</v>
          </cell>
          <cell r="H1325" t="str">
            <v>T1A6241100-03</v>
          </cell>
          <cell r="I1325" t="str">
            <v>İÇ</v>
          </cell>
          <cell r="J1325" t="str">
            <v>AVİZE.SARK</v>
          </cell>
          <cell r="K1325" t="str">
            <v>CARİNA</v>
          </cell>
          <cell r="L1325" t="str">
            <v/>
          </cell>
          <cell r="M1325" t="str">
            <v/>
          </cell>
          <cell r="N1325" t="str">
            <v>HKA-23011</v>
          </cell>
          <cell r="O1325" t="str">
            <v>HEKA</v>
          </cell>
          <cell r="P1325" t="str">
            <v>ADET</v>
          </cell>
          <cell r="Q1325" t="str">
            <v>LED</v>
          </cell>
          <cell r="R1325" t="str">
            <v>METAL</v>
          </cell>
          <cell r="S1325" t="str">
            <v>GOLD</v>
          </cell>
          <cell r="T1325" t="str">
            <v>AKRİLİK</v>
          </cell>
          <cell r="U1325" t="str">
            <v>ŞEFFAF</v>
          </cell>
          <cell r="AD1325" t="str">
            <v>KÜRE</v>
          </cell>
          <cell r="AF1325">
            <v>37</v>
          </cell>
          <cell r="AG1325" t="str">
            <v>ADET</v>
          </cell>
          <cell r="AH1325">
            <v>405</v>
          </cell>
          <cell r="AI1325" t="str">
            <v>CNY</v>
          </cell>
          <cell r="AJ1325">
            <v>22750</v>
          </cell>
          <cell r="AK1325" t="str">
            <v>TL</v>
          </cell>
          <cell r="AL1325">
            <v>1</v>
          </cell>
          <cell r="AM1325" t="str">
            <v>8684127511100</v>
          </cell>
          <cell r="AO1325">
            <v>2.5</v>
          </cell>
          <cell r="AP1325" t="str">
            <v>KG</v>
          </cell>
          <cell r="AQ1325">
            <v>500</v>
          </cell>
          <cell r="AR1325" t="str">
            <v>CM</v>
          </cell>
          <cell r="AS1325">
            <v>43</v>
          </cell>
          <cell r="AT1325" t="str">
            <v>CM</v>
          </cell>
          <cell r="AU1325">
            <v>0</v>
          </cell>
          <cell r="AW1325">
            <v>0</v>
          </cell>
        </row>
        <row r="1326">
          <cell r="B1326" t="str">
            <v>H1C6JMPERFY-080</v>
          </cell>
          <cell r="C1326" t="str">
            <v>TOMRİS FÜME CAM PLATİN LED 7 TOPLU AVİZE</v>
          </cell>
          <cell r="D1326" t="str">
            <v>TOMRIS SMOKY GLASS PLATINUM SEVEN BALLS LED CHANDELIER</v>
          </cell>
          <cell r="E1326" t="str">
            <v xml:space="preserve">METAL CAM  PLATİN FÜME   </v>
          </cell>
          <cell r="F1326" t="str">
            <v/>
          </cell>
          <cell r="G1326" t="str">
            <v>AVİZE</v>
          </cell>
          <cell r="H1326" t="str">
            <v/>
          </cell>
          <cell r="I1326" t="str">
            <v>İÇ</v>
          </cell>
          <cell r="J1326" t="str">
            <v>AVİZE.AVİZ</v>
          </cell>
          <cell r="K1326" t="str">
            <v>TOMRİS</v>
          </cell>
          <cell r="L1326" t="str">
            <v/>
          </cell>
          <cell r="M1326" t="str">
            <v/>
          </cell>
          <cell r="N1326" t="str">
            <v>HKA-23081</v>
          </cell>
          <cell r="O1326" t="str">
            <v>HEKA</v>
          </cell>
          <cell r="P1326" t="str">
            <v>ADET</v>
          </cell>
          <cell r="Q1326" t="str">
            <v>LED</v>
          </cell>
          <cell r="R1326" t="str">
            <v>METAL</v>
          </cell>
          <cell r="S1326" t="str">
            <v>PLATİN</v>
          </cell>
          <cell r="T1326" t="str">
            <v>CAM</v>
          </cell>
          <cell r="U1326" t="str">
            <v>FÜME</v>
          </cell>
          <cell r="AD1326" t="str">
            <v>KÜRE</v>
          </cell>
          <cell r="AE1326" t="str">
            <v>02</v>
          </cell>
          <cell r="AF1326">
            <v>0</v>
          </cell>
          <cell r="AG1326" t="str">
            <v>ADET</v>
          </cell>
          <cell r="AH1326">
            <v>535</v>
          </cell>
          <cell r="AI1326" t="str">
            <v>CNY</v>
          </cell>
          <cell r="AJ1326">
            <v>27285</v>
          </cell>
          <cell r="AK1326" t="str">
            <v>TL</v>
          </cell>
          <cell r="AL1326">
            <v>1</v>
          </cell>
          <cell r="AM1326" t="str">
            <v>8684127511247</v>
          </cell>
          <cell r="AO1326">
            <v>8</v>
          </cell>
          <cell r="AP1326" t="str">
            <v>KG</v>
          </cell>
          <cell r="AQ1326">
            <v>50</v>
          </cell>
          <cell r="AR1326" t="str">
            <v>CM</v>
          </cell>
          <cell r="AS1326">
            <v>80</v>
          </cell>
          <cell r="AT1326" t="str">
            <v>CM</v>
          </cell>
          <cell r="AU1326">
            <v>0</v>
          </cell>
          <cell r="AW1326">
            <v>0</v>
          </cell>
        </row>
        <row r="1327">
          <cell r="B1327" t="str">
            <v>H1C6JMPERFY-085</v>
          </cell>
          <cell r="C1327" t="str">
            <v>TOMRİS FÜME CAM PLATİN LED 9 TOPLU AVİZE</v>
          </cell>
          <cell r="D1327" t="str">
            <v>TOMRIS SMOKY GLASS PLATINUM NINE BALLS LED CHANDELIER</v>
          </cell>
          <cell r="E1327" t="str">
            <v xml:space="preserve">METAL CAM  PLATİN FÜME   </v>
          </cell>
          <cell r="F1327" t="str">
            <v/>
          </cell>
          <cell r="G1327" t="str">
            <v>AVİZE</v>
          </cell>
          <cell r="H1327" t="str">
            <v/>
          </cell>
          <cell r="I1327" t="str">
            <v>İÇ</v>
          </cell>
          <cell r="J1327" t="str">
            <v>AVİZE.AVİZ</v>
          </cell>
          <cell r="K1327" t="str">
            <v>TOMRİS</v>
          </cell>
          <cell r="L1327" t="str">
            <v/>
          </cell>
          <cell r="M1327" t="str">
            <v/>
          </cell>
          <cell r="N1327" t="str">
            <v>HKA-23082</v>
          </cell>
          <cell r="O1327" t="str">
            <v>HEKA</v>
          </cell>
          <cell r="P1327" t="str">
            <v>ADET</v>
          </cell>
          <cell r="Q1327" t="str">
            <v>LED</v>
          </cell>
          <cell r="R1327" t="str">
            <v>METAL</v>
          </cell>
          <cell r="S1327" t="str">
            <v>PLATİN</v>
          </cell>
          <cell r="T1327" t="str">
            <v>CAM</v>
          </cell>
          <cell r="U1327" t="str">
            <v>FÜME</v>
          </cell>
          <cell r="AD1327" t="str">
            <v>KÜRE</v>
          </cell>
          <cell r="AE1327" t="str">
            <v>02</v>
          </cell>
          <cell r="AF1327">
            <v>0</v>
          </cell>
          <cell r="AG1327" t="str">
            <v>ADET</v>
          </cell>
          <cell r="AH1327">
            <v>660</v>
          </cell>
          <cell r="AI1327" t="str">
            <v>CNY</v>
          </cell>
          <cell r="AJ1327">
            <v>33660</v>
          </cell>
          <cell r="AK1327" t="str">
            <v>TL</v>
          </cell>
          <cell r="AL1327">
            <v>1</v>
          </cell>
          <cell r="AM1327" t="str">
            <v>8684127511254</v>
          </cell>
          <cell r="AO1327">
            <v>9</v>
          </cell>
          <cell r="AP1327" t="str">
            <v>KG</v>
          </cell>
          <cell r="AQ1327">
            <v>50</v>
          </cell>
          <cell r="AR1327" t="str">
            <v>CM</v>
          </cell>
          <cell r="AS1327">
            <v>85</v>
          </cell>
          <cell r="AT1327" t="str">
            <v>CM</v>
          </cell>
          <cell r="AU1327">
            <v>0</v>
          </cell>
          <cell r="AW1327">
            <v>0</v>
          </cell>
        </row>
        <row r="1328">
          <cell r="B1328" t="str">
            <v>CK2G6C1M2E3J0GH</v>
          </cell>
          <cell r="C1328" t="str">
            <v xml:space="preserve">ERD-298 ŞERİT FİLAMENT LED BAL CAM 6W 2500K E27 </v>
          </cell>
          <cell r="D1328" t="str">
            <v>ERD-298 STRIP FILAMENT LED AMBER GLASS 6W 2500K E27 BULB</v>
          </cell>
          <cell r="E1328" t="str">
            <v xml:space="preserve">ŞERİT FİLAMENT METAL CAM  220v   </v>
          </cell>
          <cell r="F1328" t="str">
            <v/>
          </cell>
          <cell r="G1328" t="str">
            <v>AMPUL</v>
          </cell>
          <cell r="H1328" t="str">
            <v/>
          </cell>
          <cell r="I1328" t="str">
            <v>İÇ</v>
          </cell>
          <cell r="J1328" t="str">
            <v>AMPUL</v>
          </cell>
          <cell r="K1328" t="str">
            <v>ERD-298</v>
          </cell>
          <cell r="L1328" t="str">
            <v/>
          </cell>
          <cell r="M1328" t="str">
            <v/>
          </cell>
          <cell r="N1328" t="str">
            <v>ERD-298</v>
          </cell>
          <cell r="O1328" t="str">
            <v>HEKA</v>
          </cell>
          <cell r="P1328" t="str">
            <v>ADET</v>
          </cell>
          <cell r="Q1328" t="str">
            <v>E27</v>
          </cell>
          <cell r="R1328" t="str">
            <v>CAM</v>
          </cell>
          <cell r="S1328" t="str">
            <v>BAL</v>
          </cell>
          <cell r="T1328" t="str">
            <v>METAL</v>
          </cell>
          <cell r="V1328" t="str">
            <v>G</v>
          </cell>
          <cell r="W1328" t="str">
            <v>ŞERİT FİLAMENT</v>
          </cell>
          <cell r="X1328" t="str">
            <v>220V</v>
          </cell>
          <cell r="Y1328" t="str">
            <v>6 WATT</v>
          </cell>
          <cell r="Z1328" t="str">
            <v>2500 K</v>
          </cell>
          <cell r="AA1328" t="str">
            <v>DIMMSIZ</v>
          </cell>
          <cell r="AB1328" t="str">
            <v>401-500</v>
          </cell>
          <cell r="AC1328" t="str">
            <v>KARMA</v>
          </cell>
          <cell r="AF1328">
            <v>128</v>
          </cell>
          <cell r="AG1328" t="str">
            <v>ADET</v>
          </cell>
          <cell r="AH1328">
            <v>48.5</v>
          </cell>
          <cell r="AI1328" t="str">
            <v>CNY</v>
          </cell>
          <cell r="AJ1328">
            <v>46</v>
          </cell>
          <cell r="AK1328" t="str">
            <v>USD</v>
          </cell>
          <cell r="AL1328">
            <v>0</v>
          </cell>
          <cell r="AM1328" t="str">
            <v>8684127511384</v>
          </cell>
          <cell r="AO1328">
            <v>0</v>
          </cell>
          <cell r="AQ1328">
            <v>0</v>
          </cell>
          <cell r="AS1328">
            <v>0</v>
          </cell>
          <cell r="AU1328">
            <v>0</v>
          </cell>
          <cell r="AW1328">
            <v>0</v>
          </cell>
        </row>
        <row r="1329">
          <cell r="B1329" t="str">
            <v>CK2G6C2M2E3H0GH</v>
          </cell>
          <cell r="C1329" t="str">
            <v xml:space="preserve">ERD-299 ŞERİT FİLAMENT LED FÜME CAM 6W 2500K E27 </v>
          </cell>
          <cell r="D1329" t="str">
            <v>ERD-299 STRIP FILAMENT LED SMOKY GLASS 6W 2500K E27 BULB</v>
          </cell>
          <cell r="E1329" t="str">
            <v xml:space="preserve">ŞERİT FİLAMENT METAL CAM  220v   </v>
          </cell>
          <cell r="F1329" t="str">
            <v/>
          </cell>
          <cell r="G1329" t="str">
            <v>AMPUL</v>
          </cell>
          <cell r="H1329" t="str">
            <v/>
          </cell>
          <cell r="I1329" t="str">
            <v>İÇ</v>
          </cell>
          <cell r="J1329" t="str">
            <v>AMPUL</v>
          </cell>
          <cell r="K1329" t="str">
            <v>ERD-299</v>
          </cell>
          <cell r="L1329" t="str">
            <v/>
          </cell>
          <cell r="M1329" t="str">
            <v/>
          </cell>
          <cell r="N1329" t="str">
            <v>ERD-299</v>
          </cell>
          <cell r="O1329" t="str">
            <v>HEKA</v>
          </cell>
          <cell r="P1329" t="str">
            <v>ADET</v>
          </cell>
          <cell r="Q1329" t="str">
            <v>E27</v>
          </cell>
          <cell r="R1329" t="str">
            <v>CAM</v>
          </cell>
          <cell r="S1329" t="str">
            <v>FÜME</v>
          </cell>
          <cell r="T1329" t="str">
            <v>METAL</v>
          </cell>
          <cell r="V1329" t="str">
            <v>G</v>
          </cell>
          <cell r="W1329" t="str">
            <v>ŞERİT FİLAMENT</v>
          </cell>
          <cell r="X1329" t="str">
            <v>220V</v>
          </cell>
          <cell r="Y1329" t="str">
            <v>6 WATT</v>
          </cell>
          <cell r="Z1329" t="str">
            <v>2500 K</v>
          </cell>
          <cell r="AA1329" t="str">
            <v>DIMMSIZ</v>
          </cell>
          <cell r="AB1329" t="str">
            <v>301-400</v>
          </cell>
          <cell r="AC1329" t="str">
            <v>KARMA</v>
          </cell>
          <cell r="AF1329">
            <v>109</v>
          </cell>
          <cell r="AG1329" t="str">
            <v>ADET</v>
          </cell>
          <cell r="AH1329">
            <v>49</v>
          </cell>
          <cell r="AI1329" t="str">
            <v>CNY</v>
          </cell>
          <cell r="AJ1329">
            <v>46</v>
          </cell>
          <cell r="AK1329" t="str">
            <v>USD</v>
          </cell>
          <cell r="AL1329">
            <v>0</v>
          </cell>
          <cell r="AM1329" t="str">
            <v>8684127511391</v>
          </cell>
          <cell r="AO1329">
            <v>0</v>
          </cell>
          <cell r="AQ1329">
            <v>0</v>
          </cell>
          <cell r="AS1329">
            <v>0</v>
          </cell>
          <cell r="AU1329">
            <v>0</v>
          </cell>
          <cell r="AW1329">
            <v>0</v>
          </cell>
        </row>
        <row r="1330">
          <cell r="B1330" t="str">
            <v>150-SEF-E-BALON-A-CAM</v>
          </cell>
          <cell r="C1330" t="str">
            <v>ELİPS BALON  ŞEFFAF DİŞLİ APLİK CAM 15 cm</v>
          </cell>
          <cell r="D1330" t="str">
            <v>ELLIPSE BALLOON TRANSPARENT TOOTHED WALL LAMP GLASS 15 cm</v>
          </cell>
          <cell r="E1330" t="str">
            <v/>
          </cell>
          <cell r="F1330" t="str">
            <v/>
          </cell>
          <cell r="G1330" t="str">
            <v>ZPARCA</v>
          </cell>
          <cell r="H1330" t="str">
            <v>150A-BAL</v>
          </cell>
          <cell r="I1330" t="str">
            <v>İÇ</v>
          </cell>
          <cell r="J1330" t="str">
            <v>ZPARCA</v>
          </cell>
          <cell r="K1330" t="str">
            <v/>
          </cell>
          <cell r="L1330" t="str">
            <v/>
          </cell>
          <cell r="M1330" t="str">
            <v/>
          </cell>
          <cell r="N1330" t="str">
            <v/>
          </cell>
          <cell r="O1330" t="str">
            <v>HEKA</v>
          </cell>
          <cell r="P1330" t="str">
            <v>ADET</v>
          </cell>
          <cell r="R1330" t="str">
            <v>CAM</v>
          </cell>
          <cell r="S1330" t="str">
            <v>ŞEFFAF</v>
          </cell>
          <cell r="AF1330">
            <v>0</v>
          </cell>
          <cell r="AG1330" t="str">
            <v>ADET</v>
          </cell>
          <cell r="AJ1330">
            <v>750</v>
          </cell>
          <cell r="AK1330" t="str">
            <v>TL</v>
          </cell>
          <cell r="AL1330">
            <v>0</v>
          </cell>
          <cell r="AM1330" t="str">
            <v>150-SEF-E-BALON-A-CAM</v>
          </cell>
          <cell r="AO1330">
            <v>0</v>
          </cell>
          <cell r="AQ1330">
            <v>0</v>
          </cell>
          <cell r="AS1330">
            <v>0</v>
          </cell>
          <cell r="AU1330">
            <v>0</v>
          </cell>
          <cell r="AW1330">
            <v>0</v>
          </cell>
        </row>
        <row r="1331">
          <cell r="B1331" t="str">
            <v>250-SEF-E-BALON-A-CAM</v>
          </cell>
          <cell r="C1331" t="str">
            <v>ELİPS BALON  ŞEFFAF DİŞLİ APLİK CAM 25 cm</v>
          </cell>
          <cell r="D1331" t="str">
            <v>ELLIPSE BALLOON TRANSPARENT TOOTHED WALL LAMP GLASS 25 cm</v>
          </cell>
          <cell r="E1331" t="str">
            <v/>
          </cell>
          <cell r="F1331" t="str">
            <v/>
          </cell>
          <cell r="G1331" t="str">
            <v>ZPARCA</v>
          </cell>
          <cell r="H1331" t="str">
            <v>150A-BAL</v>
          </cell>
          <cell r="I1331" t="str">
            <v>İÇ</v>
          </cell>
          <cell r="J1331" t="str">
            <v>ZPARCA</v>
          </cell>
          <cell r="K1331" t="str">
            <v/>
          </cell>
          <cell r="L1331" t="str">
            <v/>
          </cell>
          <cell r="M1331" t="str">
            <v/>
          </cell>
          <cell r="N1331" t="str">
            <v/>
          </cell>
          <cell r="O1331" t="str">
            <v>HEKA</v>
          </cell>
          <cell r="P1331" t="str">
            <v>ADET</v>
          </cell>
          <cell r="R1331" t="str">
            <v>CAM</v>
          </cell>
          <cell r="S1331" t="str">
            <v>ŞEFFAF</v>
          </cell>
          <cell r="AF1331">
            <v>0</v>
          </cell>
          <cell r="AG1331" t="str">
            <v>ADET</v>
          </cell>
          <cell r="AJ1331">
            <v>950</v>
          </cell>
          <cell r="AK1331" t="str">
            <v>TL</v>
          </cell>
          <cell r="AL1331">
            <v>0</v>
          </cell>
          <cell r="AM1331" t="str">
            <v>250-SEF-E-BALON-A-CAM</v>
          </cell>
          <cell r="AO1331">
            <v>0</v>
          </cell>
          <cell r="AQ1331">
            <v>0</v>
          </cell>
          <cell r="AS1331">
            <v>0</v>
          </cell>
          <cell r="AU1331">
            <v>0</v>
          </cell>
          <cell r="AW1331">
            <v>0</v>
          </cell>
        </row>
        <row r="1332">
          <cell r="B1332" t="str">
            <v>300-FUM-E-BALON-A-CAM</v>
          </cell>
          <cell r="C1332" t="str">
            <v>ELİPS BALON FÜME  DİŞLİ APLİK CAM 30 cm</v>
          </cell>
          <cell r="D1332" t="str">
            <v>ELLIPSE BALLOON SMOKY TOOTHED WALL LAMP GLASS 30 cm</v>
          </cell>
          <cell r="E1332" t="str">
            <v/>
          </cell>
          <cell r="F1332" t="str">
            <v/>
          </cell>
          <cell r="G1332" t="str">
            <v>ZPARCA</v>
          </cell>
          <cell r="H1332" t="str">
            <v>150A-BAL</v>
          </cell>
          <cell r="I1332" t="str">
            <v>İÇ</v>
          </cell>
          <cell r="J1332" t="str">
            <v>ZPARCA</v>
          </cell>
          <cell r="K1332" t="str">
            <v/>
          </cell>
          <cell r="L1332" t="str">
            <v/>
          </cell>
          <cell r="M1332" t="str">
            <v/>
          </cell>
          <cell r="N1332" t="str">
            <v/>
          </cell>
          <cell r="O1332" t="str">
            <v>HEKA</v>
          </cell>
          <cell r="P1332" t="str">
            <v>ADET</v>
          </cell>
          <cell r="R1332" t="str">
            <v>CAM</v>
          </cell>
          <cell r="S1332" t="str">
            <v>ŞEFFAF</v>
          </cell>
          <cell r="AF1332">
            <v>0</v>
          </cell>
          <cell r="AG1332" t="str">
            <v>ADET</v>
          </cell>
          <cell r="AL1332">
            <v>0</v>
          </cell>
          <cell r="AM1332" t="str">
            <v>300-FUM-E-BALON-A-CAM</v>
          </cell>
          <cell r="AO1332">
            <v>0</v>
          </cell>
          <cell r="AQ1332">
            <v>0</v>
          </cell>
          <cell r="AS1332">
            <v>0</v>
          </cell>
          <cell r="AU1332">
            <v>0</v>
          </cell>
          <cell r="AW1332">
            <v>0</v>
          </cell>
        </row>
        <row r="1333">
          <cell r="B1333" t="str">
            <v>H1W6JMEWRSE-027</v>
          </cell>
          <cell r="C1333" t="str">
            <v>MEDUSA SİYAH MERMERLİ ESKİTME APLİK  27cm</v>
          </cell>
          <cell r="D1333" t="str">
            <v>MEDUSA BLACK MARBLE BRUSHED BRASS WALL LAMP 27cm</v>
          </cell>
          <cell r="E1333" t="str">
            <v xml:space="preserve">METAL MERMER ESKİTME SİYAH   </v>
          </cell>
          <cell r="F1333" t="str">
            <v/>
          </cell>
          <cell r="G1333" t="str">
            <v>APLİK</v>
          </cell>
          <cell r="H1333" t="str">
            <v/>
          </cell>
          <cell r="I1333" t="str">
            <v>İÇ</v>
          </cell>
          <cell r="J1333" t="str">
            <v>APLİK</v>
          </cell>
          <cell r="K1333" t="str">
            <v>MEDUSA</v>
          </cell>
          <cell r="L1333" t="str">
            <v/>
          </cell>
          <cell r="M1333" t="str">
            <v/>
          </cell>
          <cell r="N1333" t="str">
            <v>HKA-23028</v>
          </cell>
          <cell r="O1333" t="str">
            <v>HEKA</v>
          </cell>
          <cell r="P1333" t="str">
            <v>ADET</v>
          </cell>
          <cell r="Q1333" t="str">
            <v>LED</v>
          </cell>
          <cell r="R1333" t="str">
            <v>METAL</v>
          </cell>
          <cell r="S1333" t="str">
            <v>ESKİTME</v>
          </cell>
          <cell r="T1333" t="str">
            <v>MERMER</v>
          </cell>
          <cell r="U1333" t="str">
            <v>SİYAH</v>
          </cell>
          <cell r="AD1333" t="str">
            <v>ELİPS</v>
          </cell>
          <cell r="AF1333">
            <v>0</v>
          </cell>
          <cell r="AG1333" t="str">
            <v>ADET</v>
          </cell>
          <cell r="AH1333">
            <v>90</v>
          </cell>
          <cell r="AI1333" t="str">
            <v>CNY</v>
          </cell>
          <cell r="AJ1333">
            <v>5500</v>
          </cell>
          <cell r="AK1333" t="str">
            <v>TL</v>
          </cell>
          <cell r="AL1333">
            <v>1</v>
          </cell>
          <cell r="AM1333" t="str">
            <v>8684127511544</v>
          </cell>
          <cell r="AO1333">
            <v>2.2999999999999998</v>
          </cell>
          <cell r="AP1333" t="str">
            <v>KG</v>
          </cell>
          <cell r="AQ1333">
            <v>5</v>
          </cell>
          <cell r="AR1333" t="str">
            <v>CM</v>
          </cell>
          <cell r="AS1333">
            <v>27</v>
          </cell>
          <cell r="AT1333" t="str">
            <v>CM</v>
          </cell>
          <cell r="AU1333">
            <v>0</v>
          </cell>
          <cell r="AW1333">
            <v>0</v>
          </cell>
        </row>
        <row r="1334">
          <cell r="B1334" t="str">
            <v>H1W6JMEWRSE-038</v>
          </cell>
          <cell r="C1334" t="str">
            <v>MEDUSA SİYAH MERMERLİ ESKİTME APLİK  38cm</v>
          </cell>
          <cell r="D1334" t="str">
            <v>MEDUSA BLACK MARBLE BRUSHED BRASS WALL LAMP 38cm</v>
          </cell>
          <cell r="E1334" t="str">
            <v xml:space="preserve">METAL MERMER ESKİTME SİYAH   </v>
          </cell>
          <cell r="F1334" t="str">
            <v/>
          </cell>
          <cell r="G1334" t="str">
            <v>APLİK</v>
          </cell>
          <cell r="H1334" t="str">
            <v/>
          </cell>
          <cell r="I1334" t="str">
            <v>İÇ</v>
          </cell>
          <cell r="J1334" t="str">
            <v>APLİK</v>
          </cell>
          <cell r="K1334" t="str">
            <v>MEDUSA</v>
          </cell>
          <cell r="L1334" t="str">
            <v/>
          </cell>
          <cell r="M1334" t="str">
            <v/>
          </cell>
          <cell r="N1334" t="str">
            <v>HKA-23030</v>
          </cell>
          <cell r="O1334" t="str">
            <v>HEKA</v>
          </cell>
          <cell r="P1334" t="str">
            <v>ADET</v>
          </cell>
          <cell r="Q1334" t="str">
            <v>LED</v>
          </cell>
          <cell r="R1334" t="str">
            <v>METAL</v>
          </cell>
          <cell r="S1334" t="str">
            <v>ESKİTME</v>
          </cell>
          <cell r="T1334" t="str">
            <v>MERMER</v>
          </cell>
          <cell r="U1334" t="str">
            <v>SİYAH</v>
          </cell>
          <cell r="AD1334" t="str">
            <v>ELİPS</v>
          </cell>
          <cell r="AF1334">
            <v>22</v>
          </cell>
          <cell r="AG1334" t="str">
            <v>ADET</v>
          </cell>
          <cell r="AH1334">
            <v>150</v>
          </cell>
          <cell r="AI1334" t="str">
            <v>CNY</v>
          </cell>
          <cell r="AJ1334">
            <v>8750</v>
          </cell>
          <cell r="AK1334" t="str">
            <v>TL</v>
          </cell>
          <cell r="AL1334">
            <v>1</v>
          </cell>
          <cell r="AM1334" t="str">
            <v>8684127511551</v>
          </cell>
          <cell r="AO1334">
            <v>4.2</v>
          </cell>
          <cell r="AP1334" t="str">
            <v>KG</v>
          </cell>
          <cell r="AQ1334">
            <v>5</v>
          </cell>
          <cell r="AR1334" t="str">
            <v>CM</v>
          </cell>
          <cell r="AS1334">
            <v>38</v>
          </cell>
          <cell r="AT1334" t="str">
            <v>CM</v>
          </cell>
          <cell r="AU1334">
            <v>0</v>
          </cell>
          <cell r="AW1334">
            <v>0</v>
          </cell>
        </row>
        <row r="1335">
          <cell r="B1335" t="str">
            <v>H1C6JMEWRBK-031</v>
          </cell>
          <cell r="C1335" t="str">
            <v>GAMA BEYAZ MERMERLİ ESKİTME SARKIT  30x30cm</v>
          </cell>
          <cell r="D1335" t="str">
            <v>GAMA WHITE MARBLE BRUSHED BRASS PENDANT LAMP 30x30cm</v>
          </cell>
          <cell r="E1335" t="str">
            <v xml:space="preserve">METAL MERMER ESKİTME BEYAZ   </v>
          </cell>
          <cell r="F1335" t="str">
            <v>9405.11.90.00.00</v>
          </cell>
          <cell r="G1335" t="str">
            <v>AVİZE</v>
          </cell>
          <cell r="H1335" t="str">
            <v/>
          </cell>
          <cell r="I1335" t="str">
            <v>İÇ</v>
          </cell>
          <cell r="J1335" t="str">
            <v>AVİZE.SARK</v>
          </cell>
          <cell r="K1335" t="str">
            <v>GAMA</v>
          </cell>
          <cell r="L1335" t="str">
            <v/>
          </cell>
          <cell r="M1335" t="str">
            <v/>
          </cell>
          <cell r="N1335" t="str">
            <v>HKA-23041</v>
          </cell>
          <cell r="O1335" t="str">
            <v>HEKA</v>
          </cell>
          <cell r="P1335" t="str">
            <v>ADET</v>
          </cell>
          <cell r="Q1335" t="str">
            <v>LED</v>
          </cell>
          <cell r="R1335" t="str">
            <v>METAL</v>
          </cell>
          <cell r="S1335" t="str">
            <v>ESKİTME</v>
          </cell>
          <cell r="T1335" t="str">
            <v>MERMER</v>
          </cell>
          <cell r="U1335" t="str">
            <v>BEYAZ</v>
          </cell>
          <cell r="AD1335" t="str">
            <v>N/A</v>
          </cell>
          <cell r="AF1335">
            <v>33</v>
          </cell>
          <cell r="AG1335" t="str">
            <v>ADET</v>
          </cell>
          <cell r="AH1335">
            <v>300</v>
          </cell>
          <cell r="AI1335" t="str">
            <v>CNY</v>
          </cell>
          <cell r="AJ1335">
            <v>18900</v>
          </cell>
          <cell r="AK1335" t="str">
            <v>TL</v>
          </cell>
          <cell r="AL1335">
            <v>1</v>
          </cell>
          <cell r="AM1335" t="str">
            <v>8684127511629</v>
          </cell>
          <cell r="AO1335">
            <v>0</v>
          </cell>
          <cell r="AQ1335">
            <v>0</v>
          </cell>
          <cell r="AS1335">
            <v>0</v>
          </cell>
          <cell r="AU1335">
            <v>0</v>
          </cell>
          <cell r="AW1335">
            <v>0</v>
          </cell>
        </row>
        <row r="1336">
          <cell r="B1336" t="str">
            <v>H1C6JMEWRBD-030</v>
          </cell>
          <cell r="C1336" t="str">
            <v>GAMA BEYAZ MERMERLİ ESKİTME SARKIT  15x30cm</v>
          </cell>
          <cell r="D1336" t="str">
            <v>GAMA WHITE MARBLE BRUSHED BRASS PENDANT LAMP 15x30cm</v>
          </cell>
          <cell r="E1336" t="str">
            <v xml:space="preserve">METAL MERMER ESKİTME BEYAZ   </v>
          </cell>
          <cell r="F1336" t="str">
            <v>9405.11.90.00.00</v>
          </cell>
          <cell r="G1336" t="str">
            <v>AVİZE</v>
          </cell>
          <cell r="H1336" t="str">
            <v/>
          </cell>
          <cell r="I1336" t="str">
            <v>İÇ</v>
          </cell>
          <cell r="J1336" t="str">
            <v>AVİZE.SARK</v>
          </cell>
          <cell r="K1336" t="str">
            <v>GAMA</v>
          </cell>
          <cell r="L1336" t="str">
            <v/>
          </cell>
          <cell r="M1336" t="str">
            <v/>
          </cell>
          <cell r="N1336" t="str">
            <v>HKA-23043</v>
          </cell>
          <cell r="O1336" t="str">
            <v>HEKA</v>
          </cell>
          <cell r="P1336" t="str">
            <v>ADET</v>
          </cell>
          <cell r="Q1336" t="str">
            <v>LED</v>
          </cell>
          <cell r="R1336" t="str">
            <v>METAL</v>
          </cell>
          <cell r="S1336" t="str">
            <v>ESKİTME</v>
          </cell>
          <cell r="T1336" t="str">
            <v>MERMER</v>
          </cell>
          <cell r="U1336" t="str">
            <v>BEYAZ</v>
          </cell>
          <cell r="AD1336" t="str">
            <v>N/A</v>
          </cell>
          <cell r="AF1336">
            <v>6</v>
          </cell>
          <cell r="AG1336" t="str">
            <v>ADET</v>
          </cell>
          <cell r="AH1336">
            <v>200</v>
          </cell>
          <cell r="AI1336" t="str">
            <v>CNY</v>
          </cell>
          <cell r="AJ1336">
            <v>14625</v>
          </cell>
          <cell r="AK1336" t="str">
            <v>TL</v>
          </cell>
          <cell r="AL1336">
            <v>1</v>
          </cell>
          <cell r="AM1336" t="str">
            <v>8684127511643</v>
          </cell>
          <cell r="AO1336">
            <v>0</v>
          </cell>
          <cell r="AQ1336">
            <v>0</v>
          </cell>
          <cell r="AS1336">
            <v>0</v>
          </cell>
          <cell r="AU1336">
            <v>0</v>
          </cell>
          <cell r="AW1336">
            <v>0</v>
          </cell>
        </row>
        <row r="1337">
          <cell r="B1337" t="str">
            <v>H1W6JMEECB0-063</v>
          </cell>
          <cell r="C1337" t="str">
            <v xml:space="preserve">PEDESA İKİLİ BUZLU CAM ESKİTME LED APLİK </v>
          </cell>
          <cell r="D1337" t="str">
            <v>PEDESA DOUBLE FORSTED GLASS BRUSHED BRASS LED WALL LAMP</v>
          </cell>
          <cell r="E1337" t="str">
            <v xml:space="preserve">METAL CAM  ESKİTME BUZLU   </v>
          </cell>
          <cell r="F1337" t="str">
            <v/>
          </cell>
          <cell r="G1337" t="str">
            <v>APLİK</v>
          </cell>
          <cell r="H1337" t="str">
            <v/>
          </cell>
          <cell r="I1337" t="str">
            <v>İÇ</v>
          </cell>
          <cell r="J1337" t="str">
            <v>APLİK</v>
          </cell>
          <cell r="K1337" t="str">
            <v>PEDESA</v>
          </cell>
          <cell r="L1337" t="str">
            <v/>
          </cell>
          <cell r="M1337" t="str">
            <v/>
          </cell>
          <cell r="N1337" t="str">
            <v>HKA-23069</v>
          </cell>
          <cell r="O1337" t="str">
            <v>HEKA</v>
          </cell>
          <cell r="P1337" t="str">
            <v>ADET</v>
          </cell>
          <cell r="Q1337" t="str">
            <v>LED</v>
          </cell>
          <cell r="R1337" t="str">
            <v>METAL</v>
          </cell>
          <cell r="S1337" t="str">
            <v>ESKİTME</v>
          </cell>
          <cell r="T1337" t="str">
            <v>CAM</v>
          </cell>
          <cell r="U1337" t="str">
            <v>BUZLU</v>
          </cell>
          <cell r="AD1337" t="str">
            <v>N/A</v>
          </cell>
          <cell r="AF1337">
            <v>0</v>
          </cell>
          <cell r="AG1337" t="str">
            <v>ADET</v>
          </cell>
          <cell r="AH1337">
            <v>100</v>
          </cell>
          <cell r="AI1337" t="str">
            <v>CNY</v>
          </cell>
          <cell r="AJ1337">
            <v>7950</v>
          </cell>
          <cell r="AK1337" t="str">
            <v>TL</v>
          </cell>
          <cell r="AL1337">
            <v>1</v>
          </cell>
          <cell r="AM1337" t="str">
            <v>8684127511797</v>
          </cell>
          <cell r="AO1337">
            <v>0</v>
          </cell>
          <cell r="AQ1337">
            <v>0</v>
          </cell>
          <cell r="AS1337">
            <v>0</v>
          </cell>
          <cell r="AU1337">
            <v>0</v>
          </cell>
          <cell r="AW1337">
            <v>0</v>
          </cell>
        </row>
        <row r="1338">
          <cell r="B1338" t="str">
            <v>H1C6VRSECS0-095</v>
          </cell>
          <cell r="C1338" t="str">
            <v>LABRANDA 7 FÜME CAMLI SİYAH DERİ KEMER AVİZE</v>
          </cell>
          <cell r="D1338" t="str">
            <v>LABRANDA  7 SMOKY GLASS BLACK LEATHER BELT CHANDELIER</v>
          </cell>
          <cell r="E1338" t="str">
            <v xml:space="preserve">DERİ CAM  SİYAH ŞEFFAF   </v>
          </cell>
          <cell r="F1338" t="str">
            <v/>
          </cell>
          <cell r="G1338" t="str">
            <v>AVİZE</v>
          </cell>
          <cell r="H1338" t="str">
            <v/>
          </cell>
          <cell r="I1338" t="str">
            <v>İÇ</v>
          </cell>
          <cell r="J1338" t="str">
            <v>AVİZE.AVİZ</v>
          </cell>
          <cell r="K1338" t="str">
            <v>LABRANDA</v>
          </cell>
          <cell r="L1338" t="str">
            <v>Ç</v>
          </cell>
          <cell r="M1338" t="str">
            <v>30.01.2026</v>
          </cell>
          <cell r="N1338" t="str">
            <v>HKA-23086</v>
          </cell>
          <cell r="O1338" t="str">
            <v>HEKA</v>
          </cell>
          <cell r="P1338" t="str">
            <v>ADET</v>
          </cell>
          <cell r="Q1338" t="str">
            <v>LED</v>
          </cell>
          <cell r="R1338" t="str">
            <v>DERİ</v>
          </cell>
          <cell r="S1338" t="str">
            <v>SİYAH</v>
          </cell>
          <cell r="T1338" t="str">
            <v>CAM</v>
          </cell>
          <cell r="U1338" t="str">
            <v>ŞEFFAF</v>
          </cell>
          <cell r="AF1338">
            <v>12</v>
          </cell>
          <cell r="AG1338" t="str">
            <v>ADET</v>
          </cell>
          <cell r="AH1338">
            <v>350</v>
          </cell>
          <cell r="AI1338" t="str">
            <v>CNY</v>
          </cell>
          <cell r="AJ1338">
            <v>29400</v>
          </cell>
          <cell r="AK1338" t="str">
            <v>TL</v>
          </cell>
          <cell r="AL1338">
            <v>1</v>
          </cell>
          <cell r="AM1338" t="str">
            <v>8684127511810</v>
          </cell>
          <cell r="AO1338">
            <v>0</v>
          </cell>
          <cell r="AQ1338">
            <v>0</v>
          </cell>
          <cell r="AS1338">
            <v>0</v>
          </cell>
          <cell r="AU1338">
            <v>0</v>
          </cell>
          <cell r="AW1338">
            <v>0</v>
          </cell>
        </row>
        <row r="1339">
          <cell r="B1339" t="str">
            <v>H1C6BRFJMGG-030</v>
          </cell>
          <cell r="C1339" t="str">
            <v>KARDAL FÜME AKRİLİK GOLD LED SARKIT 30cm</v>
          </cell>
          <cell r="D1339" t="str">
            <v>KARDAL SMOKY ACRYLIC GOLD LED PENDANT LAMP 30cm</v>
          </cell>
          <cell r="E1339" t="str">
            <v xml:space="preserve">AKRiLİK METAL FÜME GOLD   </v>
          </cell>
          <cell r="F1339" t="str">
            <v>9405.11.40.00.00</v>
          </cell>
          <cell r="G1339" t="str">
            <v>AVİZE</v>
          </cell>
          <cell r="H1339" t="str">
            <v/>
          </cell>
          <cell r="I1339" t="str">
            <v>İÇ</v>
          </cell>
          <cell r="J1339" t="str">
            <v>AVİZE.SARK</v>
          </cell>
          <cell r="K1339" t="str">
            <v>KARDAL</v>
          </cell>
          <cell r="L1339" t="str">
            <v/>
          </cell>
          <cell r="M1339" t="str">
            <v/>
          </cell>
          <cell r="N1339" t="str">
            <v>HKA-23108</v>
          </cell>
          <cell r="O1339" t="str">
            <v>HEKA</v>
          </cell>
          <cell r="P1339" t="str">
            <v>ADET</v>
          </cell>
          <cell r="Q1339" t="str">
            <v>LED</v>
          </cell>
          <cell r="R1339" t="str">
            <v>AKRİLİK</v>
          </cell>
          <cell r="S1339" t="str">
            <v>FÜME</v>
          </cell>
          <cell r="T1339" t="str">
            <v>METAL</v>
          </cell>
          <cell r="U1339" t="str">
            <v>GOLD</v>
          </cell>
          <cell r="AD1339" t="str">
            <v>KAYA</v>
          </cell>
          <cell r="AF1339">
            <v>0</v>
          </cell>
          <cell r="AG1339" t="str">
            <v>ADET</v>
          </cell>
          <cell r="AH1339">
            <v>245</v>
          </cell>
          <cell r="AI1339" t="str">
            <v>CNY</v>
          </cell>
          <cell r="AJ1339">
            <v>12291</v>
          </cell>
          <cell r="AK1339" t="str">
            <v>TL</v>
          </cell>
          <cell r="AL1339">
            <v>0</v>
          </cell>
          <cell r="AM1339" t="str">
            <v>8684127511964</v>
          </cell>
          <cell r="AO1339">
            <v>0</v>
          </cell>
          <cell r="AQ1339">
            <v>0</v>
          </cell>
          <cell r="AS1339">
            <v>0</v>
          </cell>
          <cell r="AU1339">
            <v>0</v>
          </cell>
          <cell r="AW1339">
            <v>0</v>
          </cell>
        </row>
        <row r="1340">
          <cell r="B1340" t="str">
            <v>H1C6BRFJMGG-070</v>
          </cell>
          <cell r="C1340" t="str">
            <v>KARDAL FÜME AKRİLİK GOLD LED SARKIT 70cm</v>
          </cell>
          <cell r="D1340" t="str">
            <v>KARDAL SMOKY ACRYLIC GOLD LED PENDANT LAMP 70cm</v>
          </cell>
          <cell r="E1340" t="str">
            <v xml:space="preserve">AKRiLİK METAL FÜME GOLD   </v>
          </cell>
          <cell r="F1340" t="str">
            <v>9405.11.40.00.00</v>
          </cell>
          <cell r="G1340" t="str">
            <v>AVİZE</v>
          </cell>
          <cell r="H1340" t="str">
            <v/>
          </cell>
          <cell r="I1340" t="str">
            <v>İÇ</v>
          </cell>
          <cell r="J1340" t="str">
            <v>AVİZE.SARK</v>
          </cell>
          <cell r="K1340" t="str">
            <v>KARDAL</v>
          </cell>
          <cell r="L1340" t="str">
            <v/>
          </cell>
          <cell r="M1340" t="str">
            <v/>
          </cell>
          <cell r="N1340" t="str">
            <v>HKA-23110</v>
          </cell>
          <cell r="O1340" t="str">
            <v>HEKA</v>
          </cell>
          <cell r="P1340" t="str">
            <v>ADET</v>
          </cell>
          <cell r="Q1340" t="str">
            <v>LED</v>
          </cell>
          <cell r="R1340" t="str">
            <v>AKRİLİK</v>
          </cell>
          <cell r="S1340" t="str">
            <v>FÜME</v>
          </cell>
          <cell r="T1340" t="str">
            <v>METAL</v>
          </cell>
          <cell r="U1340" t="str">
            <v>GOLD</v>
          </cell>
          <cell r="AD1340" t="str">
            <v>KAYA</v>
          </cell>
          <cell r="AF1340">
            <v>10</v>
          </cell>
          <cell r="AG1340" t="str">
            <v>ADET</v>
          </cell>
          <cell r="AH1340">
            <v>375</v>
          </cell>
          <cell r="AI1340" t="str">
            <v>CNY</v>
          </cell>
          <cell r="AJ1340">
            <v>18921</v>
          </cell>
          <cell r="AK1340" t="str">
            <v>TL</v>
          </cell>
          <cell r="AL1340">
            <v>0</v>
          </cell>
          <cell r="AM1340" t="str">
            <v>8684127511988</v>
          </cell>
          <cell r="AO1340">
            <v>0</v>
          </cell>
          <cell r="AQ1340">
            <v>0</v>
          </cell>
          <cell r="AS1340">
            <v>0</v>
          </cell>
          <cell r="AU1340">
            <v>0</v>
          </cell>
          <cell r="AW1340">
            <v>0</v>
          </cell>
        </row>
        <row r="1341">
          <cell r="B1341" t="str">
            <v>L1T6JMKBCSJ-018</v>
          </cell>
          <cell r="C1341" t="str">
            <v>CLARA DİMMERLİ ŞARJLI KRİSTAL AKRİLİK KROM MASA LA</v>
          </cell>
          <cell r="D1341" t="str">
            <v>CLARA DIMMABLE RECHARGEABLE CRYSTAL ACRYLIC CHROME TABLE LAMP</v>
          </cell>
          <cell r="E1341" t="str">
            <v xml:space="preserve">METAL AKRİLİK KROM ŞEFFAF   </v>
          </cell>
          <cell r="F1341" t="str">
            <v/>
          </cell>
          <cell r="G1341" t="str">
            <v>MASAABAJ</v>
          </cell>
          <cell r="H1341" t="str">
            <v/>
          </cell>
          <cell r="I1341" t="str">
            <v>İÇ</v>
          </cell>
          <cell r="J1341" t="str">
            <v>MASAKAMP</v>
          </cell>
          <cell r="K1341" t="str">
            <v>CLARA</v>
          </cell>
          <cell r="L1341" t="str">
            <v>NET</v>
          </cell>
          <cell r="M1341" t="str">
            <v/>
          </cell>
          <cell r="N1341" t="str">
            <v>HKA-24035</v>
          </cell>
          <cell r="O1341" t="str">
            <v>LAMBAM</v>
          </cell>
          <cell r="P1341" t="str">
            <v>ADET</v>
          </cell>
          <cell r="Q1341" t="str">
            <v>LED</v>
          </cell>
          <cell r="R1341" t="str">
            <v>METAL</v>
          </cell>
          <cell r="S1341" t="str">
            <v>KROM</v>
          </cell>
          <cell r="T1341" t="str">
            <v>AKRİLİK</v>
          </cell>
          <cell r="U1341" t="str">
            <v>ŞEFFAF</v>
          </cell>
          <cell r="AD1341" t="str">
            <v>ŞARJLI</v>
          </cell>
          <cell r="AF1341">
            <v>118</v>
          </cell>
          <cell r="AG1341" t="str">
            <v>ADET</v>
          </cell>
          <cell r="AH1341">
            <v>55</v>
          </cell>
          <cell r="AI1341" t="str">
            <v>CNY</v>
          </cell>
          <cell r="AJ1341">
            <v>1980</v>
          </cell>
          <cell r="AK1341" t="str">
            <v>TL</v>
          </cell>
          <cell r="AL1341">
            <v>0</v>
          </cell>
          <cell r="AM1341" t="str">
            <v>8684127512084</v>
          </cell>
          <cell r="AO1341">
            <v>0.56000000000000005</v>
          </cell>
          <cell r="AP1341" t="str">
            <v>KG</v>
          </cell>
          <cell r="AQ1341">
            <v>18</v>
          </cell>
          <cell r="AR1341" t="str">
            <v>CM</v>
          </cell>
          <cell r="AS1341">
            <v>9</v>
          </cell>
          <cell r="AT1341" t="str">
            <v>CM</v>
          </cell>
          <cell r="AU1341">
            <v>0</v>
          </cell>
          <cell r="AW1341">
            <v>0</v>
          </cell>
        </row>
        <row r="1342">
          <cell r="B1342" t="str">
            <v>L1T6JMGLCTJ-031</v>
          </cell>
          <cell r="C1342" t="str">
            <v>SELIS DİMMERLİ ŞARJLI ŞAPKALI ALTIN MASA LAMBASI</v>
          </cell>
          <cell r="D1342" t="str">
            <v>SELIS DIMMABLE RECHARGEABLE HAT GOLD TABLE LAMP</v>
          </cell>
          <cell r="E1342" t="str">
            <v>METAL PLEKSİ GOLD SOFT</v>
          </cell>
          <cell r="F1342" t="str">
            <v/>
          </cell>
          <cell r="G1342" t="str">
            <v>MASAABAJ</v>
          </cell>
          <cell r="H1342" t="str">
            <v/>
          </cell>
          <cell r="I1342" t="str">
            <v>İÇ</v>
          </cell>
          <cell r="J1342" t="str">
            <v>MASAABAJ</v>
          </cell>
          <cell r="K1342" t="str">
            <v>SELIS</v>
          </cell>
          <cell r="L1342" t="str">
            <v/>
          </cell>
          <cell r="M1342" t="str">
            <v>30.07.2024</v>
          </cell>
          <cell r="N1342" t="str">
            <v>HKA-24037</v>
          </cell>
          <cell r="O1342" t="str">
            <v>LAMBAM</v>
          </cell>
          <cell r="P1342" t="str">
            <v>ADET</v>
          </cell>
          <cell r="Q1342" t="str">
            <v>LED</v>
          </cell>
          <cell r="R1342" t="str">
            <v>METAL</v>
          </cell>
          <cell r="S1342" t="str">
            <v>GOLD</v>
          </cell>
          <cell r="T1342" t="str">
            <v>PLEKSİ</v>
          </cell>
          <cell r="U1342" t="str">
            <v>SOFT</v>
          </cell>
          <cell r="AD1342" t="str">
            <v>ŞARJLI</v>
          </cell>
          <cell r="AE1342" t="str">
            <v>01</v>
          </cell>
          <cell r="AF1342">
            <v>30</v>
          </cell>
          <cell r="AG1342" t="str">
            <v>ADET</v>
          </cell>
          <cell r="AH1342">
            <v>25</v>
          </cell>
          <cell r="AI1342" t="str">
            <v>CNY</v>
          </cell>
          <cell r="AJ1342">
            <v>1155</v>
          </cell>
          <cell r="AK1342" t="str">
            <v>TL</v>
          </cell>
          <cell r="AL1342">
            <v>0</v>
          </cell>
          <cell r="AM1342" t="str">
            <v>8684127512107</v>
          </cell>
          <cell r="AO1342">
            <v>0.32</v>
          </cell>
          <cell r="AP1342" t="str">
            <v>KG</v>
          </cell>
          <cell r="AQ1342">
            <v>31</v>
          </cell>
          <cell r="AR1342" t="str">
            <v>CM</v>
          </cell>
          <cell r="AS1342">
            <v>9</v>
          </cell>
          <cell r="AT1342" t="str">
            <v>CM</v>
          </cell>
          <cell r="AU1342">
            <v>0</v>
          </cell>
          <cell r="AW1342">
            <v>0</v>
          </cell>
        </row>
        <row r="1343">
          <cell r="B1343" t="str">
            <v>L1T6JMSLCTJ-031</v>
          </cell>
          <cell r="C1343" t="str">
            <v>SELIS DİMMERLİ ŞARJLI ŞAPKALI PEMBE ALTIN MASA LAM</v>
          </cell>
          <cell r="D1343" t="str">
            <v>SELIS DIMMABLE RECHARGEABLE HAT ROSE GOLD TABLE LAMP</v>
          </cell>
          <cell r="E1343" t="str">
            <v xml:space="preserve">METAL PLEKSİ PEMBE ALTIN SOFT   </v>
          </cell>
          <cell r="F1343" t="str">
            <v/>
          </cell>
          <cell r="G1343" t="str">
            <v>MASAABAJ</v>
          </cell>
          <cell r="H1343" t="str">
            <v/>
          </cell>
          <cell r="I1343" t="str">
            <v>İÇ</v>
          </cell>
          <cell r="J1343" t="str">
            <v>MASAABAJ</v>
          </cell>
          <cell r="K1343" t="str">
            <v>SELIS</v>
          </cell>
          <cell r="L1343" t="str">
            <v/>
          </cell>
          <cell r="M1343" t="str">
            <v/>
          </cell>
          <cell r="N1343" t="str">
            <v>HKA-24039</v>
          </cell>
          <cell r="O1343" t="str">
            <v>LAMBAM</v>
          </cell>
          <cell r="P1343" t="str">
            <v>ADET</v>
          </cell>
          <cell r="Q1343" t="str">
            <v>LED</v>
          </cell>
          <cell r="R1343" t="str">
            <v>METAL</v>
          </cell>
          <cell r="S1343" t="str">
            <v>ROSE GOLD</v>
          </cell>
          <cell r="T1343" t="str">
            <v>PLEKSİ</v>
          </cell>
          <cell r="U1343" t="str">
            <v>SOFT</v>
          </cell>
          <cell r="AD1343" t="str">
            <v>ŞARJLI</v>
          </cell>
          <cell r="AE1343" t="str">
            <v>01</v>
          </cell>
          <cell r="AG1343" t="str">
            <v>ADET</v>
          </cell>
          <cell r="AJ1343">
            <v>1155</v>
          </cell>
          <cell r="AK1343" t="str">
            <v>TL</v>
          </cell>
          <cell r="AL1343">
            <v>0</v>
          </cell>
          <cell r="AM1343" t="str">
            <v>8684127512121</v>
          </cell>
          <cell r="AO1343">
            <v>0.32</v>
          </cell>
          <cell r="AP1343" t="str">
            <v>KG</v>
          </cell>
          <cell r="AQ1343">
            <v>31</v>
          </cell>
          <cell r="AR1343" t="str">
            <v>CM</v>
          </cell>
          <cell r="AS1343">
            <v>9</v>
          </cell>
          <cell r="AT1343" t="str">
            <v>CM</v>
          </cell>
          <cell r="AU1343">
            <v>0</v>
          </cell>
          <cell r="AW1343">
            <v>0</v>
          </cell>
        </row>
        <row r="1344">
          <cell r="B1344" t="str">
            <v>H1W6JMNLCSP-083</v>
          </cell>
          <cell r="C1344" t="str">
            <v>SURINAM KRİSTAL AKRİLİK NİKEL ÜÇLÜ APLİK</v>
          </cell>
          <cell r="D1344" t="str">
            <v>SURINAM CRYSTAL ACRYLIC NICKEL TRIPLE WALL LAMP</v>
          </cell>
          <cell r="E1344" t="str">
            <v>METAL AKRİLİK NİKEL ŞEFFAF</v>
          </cell>
          <cell r="F1344" t="str">
            <v/>
          </cell>
          <cell r="G1344" t="str">
            <v>APLİK</v>
          </cell>
          <cell r="H1344" t="str">
            <v/>
          </cell>
          <cell r="I1344" t="str">
            <v>İÇ</v>
          </cell>
          <cell r="J1344" t="str">
            <v>APLİK</v>
          </cell>
          <cell r="K1344" t="str">
            <v>SURINAM</v>
          </cell>
          <cell r="L1344" t="str">
            <v/>
          </cell>
          <cell r="M1344" t="str">
            <v/>
          </cell>
          <cell r="N1344" t="str">
            <v>HKA-24322</v>
          </cell>
          <cell r="O1344" t="str">
            <v>HEKA</v>
          </cell>
          <cell r="P1344" t="str">
            <v>ADET</v>
          </cell>
          <cell r="Q1344" t="str">
            <v>LED</v>
          </cell>
          <cell r="R1344" t="str">
            <v>METAL</v>
          </cell>
          <cell r="S1344" t="str">
            <v>NİKEL</v>
          </cell>
          <cell r="T1344" t="str">
            <v>AKRİLİK</v>
          </cell>
          <cell r="U1344" t="str">
            <v>ŞEFFAF</v>
          </cell>
          <cell r="AD1344" t="str">
            <v>POLİGONAL</v>
          </cell>
          <cell r="AF1344">
            <v>5</v>
          </cell>
          <cell r="AG1344" t="str">
            <v>ADET</v>
          </cell>
          <cell r="AH1344">
            <v>647.5</v>
          </cell>
          <cell r="AI1344" t="str">
            <v>CNY</v>
          </cell>
          <cell r="AJ1344">
            <v>54300</v>
          </cell>
          <cell r="AK1344" t="str">
            <v>TL</v>
          </cell>
          <cell r="AL1344">
            <v>1</v>
          </cell>
          <cell r="AM1344" t="str">
            <v>8684127514002</v>
          </cell>
          <cell r="AO1344">
            <v>0</v>
          </cell>
          <cell r="AQ1344">
            <v>16</v>
          </cell>
          <cell r="AR1344" t="str">
            <v>CM</v>
          </cell>
          <cell r="AS1344">
            <v>40</v>
          </cell>
          <cell r="AT1344" t="str">
            <v>CM</v>
          </cell>
          <cell r="AU1344">
            <v>0</v>
          </cell>
          <cell r="AW1344">
            <v>0</v>
          </cell>
        </row>
        <row r="1345">
          <cell r="B1345" t="str">
            <v>H1W6JMELCSP-082</v>
          </cell>
          <cell r="C1345" t="str">
            <v>SURINAM KRİSTAL AKRİLİK ESKİTME İKİLİ APLİK</v>
          </cell>
          <cell r="D1345" t="str">
            <v>SURINAM CRYSTAL ACRYLIC BRUSHED BRASS DOUBLE WALL LAMP</v>
          </cell>
          <cell r="E1345" t="str">
            <v>METAL AKRİLİK ESKİTME ŞEFFAF</v>
          </cell>
          <cell r="F1345" t="str">
            <v/>
          </cell>
          <cell r="G1345" t="str">
            <v>APLİK</v>
          </cell>
          <cell r="H1345" t="str">
            <v/>
          </cell>
          <cell r="I1345" t="str">
            <v>İÇ</v>
          </cell>
          <cell r="J1345" t="str">
            <v>APLİK</v>
          </cell>
          <cell r="K1345" t="str">
            <v>SURINAM</v>
          </cell>
          <cell r="L1345" t="str">
            <v/>
          </cell>
          <cell r="M1345" t="str">
            <v/>
          </cell>
          <cell r="N1345" t="str">
            <v>HKA-24319</v>
          </cell>
          <cell r="O1345" t="str">
            <v>HEKA</v>
          </cell>
          <cell r="P1345" t="str">
            <v>ADET</v>
          </cell>
          <cell r="Q1345" t="str">
            <v>LED</v>
          </cell>
          <cell r="R1345" t="str">
            <v>METAL</v>
          </cell>
          <cell r="S1345" t="str">
            <v>ESKİTME</v>
          </cell>
          <cell r="T1345" t="str">
            <v>AKRİLİK</v>
          </cell>
          <cell r="U1345" t="str">
            <v>ŞEFFAF</v>
          </cell>
          <cell r="AD1345" t="str">
            <v>POLİGONAL</v>
          </cell>
          <cell r="AF1345">
            <v>13</v>
          </cell>
          <cell r="AG1345" t="str">
            <v>ADET</v>
          </cell>
          <cell r="AH1345">
            <v>427</v>
          </cell>
          <cell r="AI1345" t="str">
            <v>CNY</v>
          </cell>
          <cell r="AJ1345">
            <v>35800</v>
          </cell>
          <cell r="AK1345" t="str">
            <v>TL</v>
          </cell>
          <cell r="AL1345">
            <v>1</v>
          </cell>
          <cell r="AM1345" t="str">
            <v>8684127514026</v>
          </cell>
          <cell r="AO1345">
            <v>0</v>
          </cell>
          <cell r="AQ1345">
            <v>16</v>
          </cell>
          <cell r="AR1345" t="str">
            <v>CM</v>
          </cell>
          <cell r="AS1345">
            <v>30</v>
          </cell>
          <cell r="AT1345" t="str">
            <v>CM</v>
          </cell>
          <cell r="AU1345">
            <v>0</v>
          </cell>
          <cell r="AW1345">
            <v>0</v>
          </cell>
        </row>
        <row r="1346">
          <cell r="B1346" t="str">
            <v>H1C2JMEECT0-016</v>
          </cell>
          <cell r="C1346" t="str">
            <v>RUBİS ESKİTME TEKLİ GLOP BEYAZ CAMLI SARKIT AVİZE</v>
          </cell>
          <cell r="D1346" t="str">
            <v>RUBİS SINGLE GLOPE WHITE GLASS  BRUSHED BRASS PENDANT</v>
          </cell>
          <cell r="E1346" t="str">
            <v xml:space="preserve">METAL CAM  ESKİTME SOFT   </v>
          </cell>
          <cell r="F1346" t="str">
            <v/>
          </cell>
          <cell r="G1346" t="str">
            <v>AVİZE</v>
          </cell>
          <cell r="H1346" t="str">
            <v/>
          </cell>
          <cell r="I1346" t="str">
            <v>İÇ</v>
          </cell>
          <cell r="J1346" t="str">
            <v>AVİZE</v>
          </cell>
          <cell r="K1346" t="str">
            <v>RUBİS</v>
          </cell>
          <cell r="L1346" t="str">
            <v/>
          </cell>
          <cell r="M1346" t="str">
            <v/>
          </cell>
          <cell r="N1346" t="str">
            <v>HKA-24352</v>
          </cell>
          <cell r="O1346" t="str">
            <v>HEKA</v>
          </cell>
          <cell r="P1346" t="str">
            <v>ADET</v>
          </cell>
          <cell r="Q1346" t="str">
            <v>E27</v>
          </cell>
          <cell r="R1346" t="str">
            <v>METAL</v>
          </cell>
          <cell r="S1346" t="str">
            <v>ESKİTME</v>
          </cell>
          <cell r="T1346" t="str">
            <v>CAM</v>
          </cell>
          <cell r="U1346" t="str">
            <v>SOFT</v>
          </cell>
          <cell r="AE1346" t="str">
            <v>02</v>
          </cell>
          <cell r="AF1346">
            <v>1</v>
          </cell>
          <cell r="AG1346" t="str">
            <v>ADET</v>
          </cell>
          <cell r="AJ1346">
            <v>1367.18</v>
          </cell>
          <cell r="AK1346" t="str">
            <v>TL</v>
          </cell>
          <cell r="AL1346">
            <v>0</v>
          </cell>
          <cell r="AM1346" t="str">
            <v>8684127512343</v>
          </cell>
          <cell r="AO1346">
            <v>0</v>
          </cell>
          <cell r="AQ1346">
            <v>0</v>
          </cell>
          <cell r="AS1346">
            <v>0</v>
          </cell>
          <cell r="AU1346">
            <v>0</v>
          </cell>
          <cell r="AW1346">
            <v>0</v>
          </cell>
        </row>
        <row r="1347">
          <cell r="B1347" t="str">
            <v>H1C6JMEWRBK-021</v>
          </cell>
          <cell r="C1347" t="str">
            <v>GAMA BEYAZ MERMERLİ ESKİTME SARKIT  20x20cm</v>
          </cell>
          <cell r="D1347" t="str">
            <v>GAMA WHITE MARBLE BRUSHED BRASS PENDANT LAMP 20x20cm</v>
          </cell>
          <cell r="E1347" t="str">
            <v xml:space="preserve">METAL MERMER ESKİTME BEYAZ   </v>
          </cell>
          <cell r="F1347" t="str">
            <v>9405.11.90.00.00</v>
          </cell>
          <cell r="G1347" t="str">
            <v>AVİZE</v>
          </cell>
          <cell r="H1347" t="str">
            <v/>
          </cell>
          <cell r="I1347" t="str">
            <v>İÇ</v>
          </cell>
          <cell r="J1347" t="str">
            <v>AVİZE.SARK</v>
          </cell>
          <cell r="K1347" t="str">
            <v>GAMA</v>
          </cell>
          <cell r="L1347" t="str">
            <v/>
          </cell>
          <cell r="M1347" t="str">
            <v/>
          </cell>
          <cell r="N1347" t="str">
            <v>HKA-23039</v>
          </cell>
          <cell r="O1347" t="str">
            <v>HEKA</v>
          </cell>
          <cell r="P1347" t="str">
            <v>ADET</v>
          </cell>
          <cell r="Q1347" t="str">
            <v>LED</v>
          </cell>
          <cell r="R1347" t="str">
            <v>METAL</v>
          </cell>
          <cell r="S1347" t="str">
            <v>ESKİTME</v>
          </cell>
          <cell r="T1347" t="str">
            <v>MERMER</v>
          </cell>
          <cell r="U1347" t="str">
            <v>BEYAZ</v>
          </cell>
          <cell r="AD1347" t="str">
            <v>N/A</v>
          </cell>
          <cell r="AF1347">
            <v>6</v>
          </cell>
          <cell r="AG1347" t="str">
            <v>ADET</v>
          </cell>
          <cell r="AH1347">
            <v>175</v>
          </cell>
          <cell r="AI1347" t="str">
            <v>CNY</v>
          </cell>
          <cell r="AJ1347">
            <v>12750</v>
          </cell>
          <cell r="AK1347" t="str">
            <v>TL</v>
          </cell>
          <cell r="AL1347">
            <v>1</v>
          </cell>
          <cell r="AM1347" t="str">
            <v>8684127511605</v>
          </cell>
          <cell r="AO1347">
            <v>0</v>
          </cell>
          <cell r="AQ1347">
            <v>0</v>
          </cell>
          <cell r="AS1347">
            <v>0</v>
          </cell>
          <cell r="AU1347">
            <v>0</v>
          </cell>
          <cell r="AW1347">
            <v>0</v>
          </cell>
        </row>
        <row r="1348">
          <cell r="B1348" t="str">
            <v>H1C6JMEWRBD-121</v>
          </cell>
          <cell r="C1348" t="str">
            <v>TETA BEYAZ MERMERLİ ESKİTME SARKIT  25x120cm</v>
          </cell>
          <cell r="D1348" t="str">
            <v>TETA WHITE MARBLE BRUSHED BRASS PENDANT LAMP 25x120cm</v>
          </cell>
          <cell r="E1348" t="str">
            <v xml:space="preserve">METAL MERMER ESKİTME BEYAZ   </v>
          </cell>
          <cell r="F1348" t="str">
            <v/>
          </cell>
          <cell r="G1348" t="str">
            <v>AVİZE</v>
          </cell>
          <cell r="H1348" t="str">
            <v/>
          </cell>
          <cell r="I1348" t="str">
            <v>İÇ</v>
          </cell>
          <cell r="J1348" t="str">
            <v>AVİZE.SARK</v>
          </cell>
          <cell r="K1348" t="str">
            <v>TETA</v>
          </cell>
          <cell r="L1348" t="str">
            <v/>
          </cell>
          <cell r="M1348" t="str">
            <v>30.01.2026</v>
          </cell>
          <cell r="N1348" t="str">
            <v>HKA-23046</v>
          </cell>
          <cell r="O1348" t="str">
            <v>HEKA</v>
          </cell>
          <cell r="P1348" t="str">
            <v>ADET</v>
          </cell>
          <cell r="Q1348" t="str">
            <v>LED</v>
          </cell>
          <cell r="R1348" t="str">
            <v>METAL</v>
          </cell>
          <cell r="S1348" t="str">
            <v>ESKİTME</v>
          </cell>
          <cell r="T1348" t="str">
            <v>MERMER</v>
          </cell>
          <cell r="U1348" t="str">
            <v>BEYAZ</v>
          </cell>
          <cell r="AD1348" t="str">
            <v>N/A</v>
          </cell>
          <cell r="AF1348">
            <v>9</v>
          </cell>
          <cell r="AG1348" t="str">
            <v>ADET</v>
          </cell>
          <cell r="AH1348">
            <v>2100</v>
          </cell>
          <cell r="AI1348" t="str">
            <v>CNY</v>
          </cell>
          <cell r="AJ1348">
            <v>179850</v>
          </cell>
          <cell r="AK1348" t="str">
            <v>TL</v>
          </cell>
          <cell r="AL1348">
            <v>1</v>
          </cell>
          <cell r="AM1348" t="str">
            <v>8684127511674</v>
          </cell>
          <cell r="AO1348">
            <v>0</v>
          </cell>
          <cell r="AQ1348">
            <v>0</v>
          </cell>
          <cell r="AS1348">
            <v>0</v>
          </cell>
          <cell r="AU1348">
            <v>0</v>
          </cell>
          <cell r="AW1348">
            <v>0</v>
          </cell>
        </row>
        <row r="1349">
          <cell r="B1349" t="str">
            <v>H1W3JMEECTY-012</v>
          </cell>
          <cell r="C1349" t="str">
            <v xml:space="preserve">MADRA TEKLİ OPAL CAMLI ESKİTME APLİK </v>
          </cell>
          <cell r="D1349" t="str">
            <v>MADRA SINGLE OPAL GLASS BRUSHED BRASS WALL LAMP</v>
          </cell>
          <cell r="E1349" t="str">
            <v xml:space="preserve">METAL CAM  ESKİTME SOFT   </v>
          </cell>
          <cell r="F1349" t="str">
            <v/>
          </cell>
          <cell r="G1349" t="str">
            <v>APLİK</v>
          </cell>
          <cell r="H1349" t="str">
            <v/>
          </cell>
          <cell r="I1349" t="str">
            <v>İÇ</v>
          </cell>
          <cell r="J1349" t="str">
            <v>APLİK</v>
          </cell>
          <cell r="K1349" t="str">
            <v>MADRA</v>
          </cell>
          <cell r="L1349" t="str">
            <v/>
          </cell>
          <cell r="M1349" t="str">
            <v/>
          </cell>
          <cell r="N1349" t="str">
            <v>HKA-23064</v>
          </cell>
          <cell r="O1349" t="str">
            <v>HEKA</v>
          </cell>
          <cell r="P1349" t="str">
            <v>ADET</v>
          </cell>
          <cell r="Q1349" t="str">
            <v>G9</v>
          </cell>
          <cell r="R1349" t="str">
            <v>METAL</v>
          </cell>
          <cell r="S1349" t="str">
            <v>ESKİTME</v>
          </cell>
          <cell r="T1349" t="str">
            <v>CAM</v>
          </cell>
          <cell r="U1349" t="str">
            <v>OPAL</v>
          </cell>
          <cell r="AD1349" t="str">
            <v>KÜRE</v>
          </cell>
          <cell r="AE1349" t="str">
            <v>01</v>
          </cell>
          <cell r="AF1349">
            <v>19</v>
          </cell>
          <cell r="AG1349" t="str">
            <v>ADET</v>
          </cell>
          <cell r="AH1349">
            <v>32</v>
          </cell>
          <cell r="AI1349" t="str">
            <v>CNY</v>
          </cell>
          <cell r="AJ1349">
            <v>3060</v>
          </cell>
          <cell r="AK1349" t="str">
            <v>TL</v>
          </cell>
          <cell r="AL1349">
            <v>1</v>
          </cell>
          <cell r="AM1349" t="str">
            <v>8684127511742</v>
          </cell>
          <cell r="AO1349">
            <v>0</v>
          </cell>
          <cell r="AQ1349">
            <v>0</v>
          </cell>
          <cell r="AS1349">
            <v>0</v>
          </cell>
          <cell r="AU1349">
            <v>0</v>
          </cell>
          <cell r="AW1349">
            <v>0</v>
          </cell>
        </row>
        <row r="1350">
          <cell r="B1350" t="str">
            <v>H1W6JRSERFF-010</v>
          </cell>
          <cell r="C1350" t="str">
            <v>LABRANDA TEKLİ FÜME CAMLI SİYAH LED APLİK 10cm</v>
          </cell>
          <cell r="D1350" t="str">
            <v>LABRANDA  SINGLE SMOKY GLASS BLACK LED WALL LAMP 10cm</v>
          </cell>
          <cell r="E1350" t="str">
            <v xml:space="preserve">METAL CAM  SİYAH FÜME   </v>
          </cell>
          <cell r="F1350" t="str">
            <v/>
          </cell>
          <cell r="G1350" t="str">
            <v>APLİK</v>
          </cell>
          <cell r="H1350" t="str">
            <v/>
          </cell>
          <cell r="I1350" t="str">
            <v>İÇ</v>
          </cell>
          <cell r="J1350" t="str">
            <v>APLİK</v>
          </cell>
          <cell r="K1350" t="str">
            <v>LABRANDA</v>
          </cell>
          <cell r="L1350" t="str">
            <v/>
          </cell>
          <cell r="M1350" t="str">
            <v>05.05.2026</v>
          </cell>
          <cell r="N1350" t="str">
            <v>HKA-23098</v>
          </cell>
          <cell r="O1350" t="str">
            <v>HEKA</v>
          </cell>
          <cell r="P1350" t="str">
            <v>ADET</v>
          </cell>
          <cell r="Q1350" t="str">
            <v>LED</v>
          </cell>
          <cell r="R1350" t="str">
            <v>METAL</v>
          </cell>
          <cell r="S1350" t="str">
            <v>SİYAH</v>
          </cell>
          <cell r="T1350" t="str">
            <v>CAM</v>
          </cell>
          <cell r="U1350" t="str">
            <v>FÜME</v>
          </cell>
          <cell r="AF1350">
            <v>34</v>
          </cell>
          <cell r="AG1350" t="str">
            <v>ADET</v>
          </cell>
          <cell r="AH1350">
            <v>45</v>
          </cell>
          <cell r="AI1350" t="str">
            <v>CNY</v>
          </cell>
          <cell r="AJ1350">
            <v>2713</v>
          </cell>
          <cell r="AK1350" t="str">
            <v>TL</v>
          </cell>
          <cell r="AL1350">
            <v>0</v>
          </cell>
          <cell r="AM1350" t="str">
            <v>8684127511858</v>
          </cell>
          <cell r="AO1350">
            <v>0</v>
          </cell>
          <cell r="AQ1350">
            <v>0</v>
          </cell>
          <cell r="AS1350">
            <v>0</v>
          </cell>
          <cell r="AU1350">
            <v>0</v>
          </cell>
          <cell r="AW1350">
            <v>0</v>
          </cell>
        </row>
        <row r="1351">
          <cell r="B1351" t="str">
            <v>H1W6JRSERFF-017</v>
          </cell>
          <cell r="C1351" t="str">
            <v>LABRANDA TEKLİ  FÜME CAMLI SİYAH LED APLİK 17cm</v>
          </cell>
          <cell r="D1351" t="str">
            <v>LABRANDA  SINGLE SMOKY GLASS BLACK LED WALL LAMP 17cm</v>
          </cell>
          <cell r="E1351" t="str">
            <v xml:space="preserve">METAL CAM  SİYAH FÜME   </v>
          </cell>
          <cell r="F1351" t="str">
            <v/>
          </cell>
          <cell r="G1351" t="str">
            <v>APLİK</v>
          </cell>
          <cell r="H1351" t="str">
            <v/>
          </cell>
          <cell r="I1351" t="str">
            <v>İÇ</v>
          </cell>
          <cell r="J1351" t="str">
            <v>APLİK</v>
          </cell>
          <cell r="K1351" t="str">
            <v>LABRANDA</v>
          </cell>
          <cell r="L1351" t="str">
            <v/>
          </cell>
          <cell r="M1351" t="str">
            <v>05.05.2026</v>
          </cell>
          <cell r="N1351" t="str">
            <v>HKA-23104</v>
          </cell>
          <cell r="O1351" t="str">
            <v>HEKA</v>
          </cell>
          <cell r="P1351" t="str">
            <v>ADET</v>
          </cell>
          <cell r="Q1351" t="str">
            <v>LED</v>
          </cell>
          <cell r="R1351" t="str">
            <v>METAL</v>
          </cell>
          <cell r="S1351" t="str">
            <v>SİYAH</v>
          </cell>
          <cell r="T1351" t="str">
            <v>CAM</v>
          </cell>
          <cell r="U1351" t="str">
            <v>FÜME</v>
          </cell>
          <cell r="AF1351">
            <v>3</v>
          </cell>
          <cell r="AG1351" t="str">
            <v>ADET</v>
          </cell>
          <cell r="AH1351">
            <v>65</v>
          </cell>
          <cell r="AI1351" t="str">
            <v>CNY</v>
          </cell>
          <cell r="AJ1351">
            <v>3930</v>
          </cell>
          <cell r="AK1351" t="str">
            <v>TL</v>
          </cell>
          <cell r="AL1351">
            <v>0</v>
          </cell>
          <cell r="AM1351" t="str">
            <v>8684127511926</v>
          </cell>
          <cell r="AO1351">
            <v>0</v>
          </cell>
          <cell r="AQ1351">
            <v>0</v>
          </cell>
          <cell r="AS1351">
            <v>0</v>
          </cell>
          <cell r="AU1351">
            <v>0</v>
          </cell>
          <cell r="AW1351">
            <v>0</v>
          </cell>
        </row>
        <row r="1352">
          <cell r="B1352" t="str">
            <v>H1C6JMEWRBM-013</v>
          </cell>
          <cell r="C1352" t="str">
            <v>KUBEY TEKLİ MERMER  SARKIT</v>
          </cell>
          <cell r="D1352" t="str">
            <v>KUBEY SINGLE MARBLE PENDANT</v>
          </cell>
          <cell r="E1352" t="str">
            <v xml:space="preserve">METAL MERMER ESKİTME BEYAZ   </v>
          </cell>
          <cell r="F1352" t="str">
            <v/>
          </cell>
          <cell r="G1352" t="str">
            <v>AVİZE</v>
          </cell>
          <cell r="H1352" t="str">
            <v/>
          </cell>
          <cell r="I1352" t="str">
            <v>İÇ</v>
          </cell>
          <cell r="J1352" t="str">
            <v>AVİZE.SARK</v>
          </cell>
          <cell r="K1352" t="str">
            <v>KUBEY</v>
          </cell>
          <cell r="L1352" t="str">
            <v/>
          </cell>
          <cell r="M1352" t="str">
            <v/>
          </cell>
          <cell r="N1352" t="str">
            <v>HKA-86-S</v>
          </cell>
          <cell r="O1352" t="str">
            <v>HEKA</v>
          </cell>
          <cell r="P1352" t="str">
            <v>ADET</v>
          </cell>
          <cell r="Q1352" t="str">
            <v>LED</v>
          </cell>
          <cell r="R1352" t="str">
            <v>METAL</v>
          </cell>
          <cell r="S1352" t="str">
            <v>ESKİTME</v>
          </cell>
          <cell r="T1352" t="str">
            <v>MERMER</v>
          </cell>
          <cell r="U1352" t="str">
            <v>BEYAZ</v>
          </cell>
          <cell r="Z1352" t="str">
            <v>3000 K</v>
          </cell>
          <cell r="AD1352" t="str">
            <v>ÇİFT AYDINLATMA</v>
          </cell>
          <cell r="AE1352" t="str">
            <v>02</v>
          </cell>
          <cell r="AF1352">
            <v>11</v>
          </cell>
          <cell r="AG1352" t="str">
            <v>ADET</v>
          </cell>
          <cell r="AJ1352">
            <v>7770</v>
          </cell>
          <cell r="AK1352" t="str">
            <v>TL</v>
          </cell>
          <cell r="AL1352">
            <v>1</v>
          </cell>
          <cell r="AM1352" t="str">
            <v>8684127512039</v>
          </cell>
          <cell r="AO1352">
            <v>0</v>
          </cell>
          <cell r="AQ1352">
            <v>5.5</v>
          </cell>
          <cell r="AR1352" t="str">
            <v>CM</v>
          </cell>
          <cell r="AS1352">
            <v>13</v>
          </cell>
          <cell r="AT1352" t="str">
            <v>CM</v>
          </cell>
          <cell r="AU1352">
            <v>0</v>
          </cell>
          <cell r="AW1352">
            <v>0</v>
          </cell>
        </row>
        <row r="1353">
          <cell r="B1353" t="str">
            <v>L1T6AAAJMKJ-055</v>
          </cell>
          <cell r="C1353" t="str">
            <v>SOLARIX DİMMERLİ ŞARJLI AKÇAAĞAÇ AHŞAP MASA LAMBAS</v>
          </cell>
          <cell r="D1353" t="str">
            <v>SOLARIX DIMMABLE RECHARGEABLE MAPLE WOODEN TABLE LAMP</v>
          </cell>
          <cell r="E1353" t="str">
            <v xml:space="preserve">AHŞAP METAL AKÇAAĞAÇ KROM   </v>
          </cell>
          <cell r="F1353" t="str">
            <v/>
          </cell>
          <cell r="G1353" t="str">
            <v>MASAABAJ</v>
          </cell>
          <cell r="H1353" t="str">
            <v/>
          </cell>
          <cell r="I1353" t="str">
            <v>İÇ</v>
          </cell>
          <cell r="J1353" t="str">
            <v>MASAKAMP</v>
          </cell>
          <cell r="K1353" t="str">
            <v>SOLARIX</v>
          </cell>
          <cell r="L1353" t="str">
            <v>NET</v>
          </cell>
          <cell r="M1353" t="str">
            <v/>
          </cell>
          <cell r="N1353" t="str">
            <v>HKA-24031</v>
          </cell>
          <cell r="O1353" t="str">
            <v>LAMBAM</v>
          </cell>
          <cell r="P1353" t="str">
            <v>ADET</v>
          </cell>
          <cell r="Q1353" t="str">
            <v>LED</v>
          </cell>
          <cell r="R1353" t="str">
            <v>AHŞAP</v>
          </cell>
          <cell r="S1353" t="str">
            <v>AKÇAAĞAÇ</v>
          </cell>
          <cell r="T1353" t="str">
            <v>METAL</v>
          </cell>
          <cell r="U1353" t="str">
            <v>GOLD</v>
          </cell>
          <cell r="AD1353" t="str">
            <v>ŞARJLI</v>
          </cell>
          <cell r="AF1353">
            <v>165</v>
          </cell>
          <cell r="AG1353" t="str">
            <v>ADET</v>
          </cell>
          <cell r="AH1353">
            <v>58</v>
          </cell>
          <cell r="AI1353" t="str">
            <v>CNY</v>
          </cell>
          <cell r="AJ1353">
            <v>2475</v>
          </cell>
          <cell r="AK1353" t="str">
            <v>TL</v>
          </cell>
          <cell r="AL1353">
            <v>0</v>
          </cell>
          <cell r="AM1353" t="str">
            <v>8684127512046</v>
          </cell>
          <cell r="AO1353">
            <v>0</v>
          </cell>
          <cell r="AQ1353">
            <v>55</v>
          </cell>
          <cell r="AR1353" t="str">
            <v>CM</v>
          </cell>
          <cell r="AS1353">
            <v>12</v>
          </cell>
          <cell r="AT1353" t="str">
            <v>CM</v>
          </cell>
          <cell r="AU1353">
            <v>0</v>
          </cell>
          <cell r="AW1353">
            <v>0</v>
          </cell>
        </row>
        <row r="1354">
          <cell r="B1354" t="str">
            <v>L1T6JMKLCTJ-016</v>
          </cell>
          <cell r="C1354" t="str">
            <v>LUMIRA DİMMERLİ ŞARJLI  LED MİNİ  KROM MASA LAMBAS</v>
          </cell>
          <cell r="D1354" t="str">
            <v>LUMIRA DIMMABLE RECHARGEABLE LED MINI CHROME TABLE LAMP</v>
          </cell>
          <cell r="E1354" t="str">
            <v>METAL PLEKSİ KROM SOFT</v>
          </cell>
          <cell r="F1354" t="str">
            <v/>
          </cell>
          <cell r="G1354" t="str">
            <v>MASAABAJ</v>
          </cell>
          <cell r="H1354" t="str">
            <v/>
          </cell>
          <cell r="I1354" t="str">
            <v>İÇ</v>
          </cell>
          <cell r="J1354" t="str">
            <v>MASAKAMP</v>
          </cell>
          <cell r="K1354" t="str">
            <v>LUMIRA</v>
          </cell>
          <cell r="L1354" t="str">
            <v>NET</v>
          </cell>
          <cell r="M1354" t="str">
            <v/>
          </cell>
          <cell r="N1354" t="str">
            <v>HKA-24042</v>
          </cell>
          <cell r="O1354" t="str">
            <v>LAMBAM</v>
          </cell>
          <cell r="P1354" t="str">
            <v>ADET</v>
          </cell>
          <cell r="Q1354" t="str">
            <v>LED</v>
          </cell>
          <cell r="R1354" t="str">
            <v>METAL</v>
          </cell>
          <cell r="S1354" t="str">
            <v>KROM</v>
          </cell>
          <cell r="T1354" t="str">
            <v>PLEKSİ</v>
          </cell>
          <cell r="U1354" t="str">
            <v>SOFT</v>
          </cell>
          <cell r="AD1354" t="str">
            <v>ŞARJLI</v>
          </cell>
          <cell r="AF1354">
            <v>21</v>
          </cell>
          <cell r="AG1354" t="str">
            <v>ADET</v>
          </cell>
          <cell r="AH1354">
            <v>31</v>
          </cell>
          <cell r="AI1354" t="str">
            <v>CNY</v>
          </cell>
          <cell r="AJ1354">
            <v>1155</v>
          </cell>
          <cell r="AK1354" t="str">
            <v>TL</v>
          </cell>
          <cell r="AL1354">
            <v>0</v>
          </cell>
          <cell r="AM1354" t="str">
            <v>8684127512152</v>
          </cell>
          <cell r="AO1354">
            <v>1</v>
          </cell>
          <cell r="AP1354" t="str">
            <v>KG</v>
          </cell>
          <cell r="AQ1354">
            <v>22.5</v>
          </cell>
          <cell r="AR1354" t="str">
            <v>CM</v>
          </cell>
          <cell r="AS1354">
            <v>13.5</v>
          </cell>
          <cell r="AT1354" t="str">
            <v>CM</v>
          </cell>
          <cell r="AU1354">
            <v>0</v>
          </cell>
          <cell r="AW1354">
            <v>0</v>
          </cell>
        </row>
        <row r="1355">
          <cell r="B1355" t="str">
            <v>ERD-30X10</v>
          </cell>
          <cell r="C1355" t="str">
            <v>Lambam 10'lu LED Ampul 4W 2500K E27 (Gün Işığı)</v>
          </cell>
          <cell r="D1355" t="str">
            <v>Gün Işığı-1 - 10 W</v>
          </cell>
          <cell r="E1355" t="str">
            <v/>
          </cell>
          <cell r="F1355" t="str">
            <v/>
          </cell>
          <cell r="G1355" t="str">
            <v/>
          </cell>
          <cell r="H1355" t="str">
            <v/>
          </cell>
          <cell r="I1355" t="str">
            <v/>
          </cell>
          <cell r="J1355" t="str">
            <v/>
          </cell>
          <cell r="K1355" t="str">
            <v/>
          </cell>
          <cell r="L1355" t="str">
            <v/>
          </cell>
          <cell r="M1355" t="str">
            <v/>
          </cell>
          <cell r="N1355" t="str">
            <v/>
          </cell>
          <cell r="P1355" t="str">
            <v>ADET</v>
          </cell>
          <cell r="AG1355" t="str">
            <v>ADET</v>
          </cell>
          <cell r="AL1355">
            <v>0</v>
          </cell>
          <cell r="AO1355">
            <v>0</v>
          </cell>
          <cell r="AQ1355">
            <v>0</v>
          </cell>
          <cell r="AS1355">
            <v>0</v>
          </cell>
          <cell r="AU1355">
            <v>0</v>
          </cell>
          <cell r="AW1355">
            <v>0</v>
          </cell>
        </row>
        <row r="1356">
          <cell r="B1356" t="str">
            <v>H1W6JMNLCSP-080</v>
          </cell>
          <cell r="C1356" t="str">
            <v>SURINAM KRİSTAL AKRİLİK NİKEL TEKLİ APLİK</v>
          </cell>
          <cell r="D1356" t="str">
            <v>SURINAM CRYSTAL ACRYLIC NICKEL SINGLE WALL LAMP</v>
          </cell>
          <cell r="E1356" t="str">
            <v>METAL AKRİLİK NİKEL ŞEFFAF</v>
          </cell>
          <cell r="F1356" t="str">
            <v/>
          </cell>
          <cell r="G1356" t="str">
            <v>APLİK</v>
          </cell>
          <cell r="H1356" t="str">
            <v/>
          </cell>
          <cell r="I1356" t="str">
            <v>İÇ</v>
          </cell>
          <cell r="J1356" t="str">
            <v>APLİK</v>
          </cell>
          <cell r="K1356" t="str">
            <v>SURINAM</v>
          </cell>
          <cell r="L1356" t="str">
            <v/>
          </cell>
          <cell r="M1356" t="str">
            <v/>
          </cell>
          <cell r="N1356" t="str">
            <v>HKA-24318</v>
          </cell>
          <cell r="O1356" t="str">
            <v>HEKA</v>
          </cell>
          <cell r="P1356" t="str">
            <v>ADET</v>
          </cell>
          <cell r="Q1356" t="str">
            <v>LED</v>
          </cell>
          <cell r="R1356" t="str">
            <v>METAL</v>
          </cell>
          <cell r="S1356" t="str">
            <v>NİKEL</v>
          </cell>
          <cell r="T1356" t="str">
            <v>AKRİLİK</v>
          </cell>
          <cell r="U1356" t="str">
            <v>ŞEFFAF</v>
          </cell>
          <cell r="AD1356" t="str">
            <v>POLİGONAL</v>
          </cell>
          <cell r="AF1356">
            <v>2</v>
          </cell>
          <cell r="AG1356" t="str">
            <v>ADET</v>
          </cell>
          <cell r="AH1356">
            <v>259</v>
          </cell>
          <cell r="AI1356" t="str">
            <v>CNY</v>
          </cell>
          <cell r="AJ1356">
            <v>21750</v>
          </cell>
          <cell r="AK1356" t="str">
            <v>TL</v>
          </cell>
          <cell r="AL1356">
            <v>1</v>
          </cell>
          <cell r="AM1356" t="str">
            <v>8684127513982</v>
          </cell>
          <cell r="AO1356">
            <v>0</v>
          </cell>
          <cell r="AQ1356">
            <v>9</v>
          </cell>
          <cell r="AR1356" t="str">
            <v>CM</v>
          </cell>
          <cell r="AS1356">
            <v>16</v>
          </cell>
          <cell r="AT1356" t="str">
            <v>CM</v>
          </cell>
          <cell r="AU1356">
            <v>0</v>
          </cell>
          <cell r="AW1356">
            <v>0</v>
          </cell>
        </row>
        <row r="1357">
          <cell r="B1357" t="str">
            <v>H1T6AAWAAWJ-017</v>
          </cell>
          <cell r="C1357" t="str">
            <v>MORCHELLA ŞARJLI WENGE MASA LAMBASI</v>
          </cell>
          <cell r="D1357" t="str">
            <v>MORCHELLA CHARGEABLE WENGE TABLE LAMP</v>
          </cell>
          <cell r="E1357" t="str">
            <v xml:space="preserve">AHŞAP AHŞAP WENGE WENGE </v>
          </cell>
          <cell r="F1357" t="str">
            <v/>
          </cell>
          <cell r="G1357" t="str">
            <v>MASAABAJ</v>
          </cell>
          <cell r="H1357" t="str">
            <v/>
          </cell>
          <cell r="I1357" t="str">
            <v>İÇ</v>
          </cell>
          <cell r="J1357" t="str">
            <v>MASAKAMP</v>
          </cell>
          <cell r="K1357" t="str">
            <v>MORCHELLA</v>
          </cell>
          <cell r="L1357" t="str">
            <v/>
          </cell>
          <cell r="M1357" t="str">
            <v/>
          </cell>
          <cell r="N1357" t="str">
            <v>HKA-24092</v>
          </cell>
          <cell r="O1357" t="str">
            <v>HEKA</v>
          </cell>
          <cell r="P1357" t="str">
            <v>ADET</v>
          </cell>
          <cell r="Q1357" t="str">
            <v>LED</v>
          </cell>
          <cell r="R1357" t="str">
            <v>AHŞAP</v>
          </cell>
          <cell r="S1357" t="str">
            <v>KIZIL AĞAÇ</v>
          </cell>
          <cell r="T1357" t="str">
            <v>AHŞAP</v>
          </cell>
          <cell r="U1357" t="str">
            <v>WENGE</v>
          </cell>
          <cell r="AD1357" t="str">
            <v>ŞARJLI</v>
          </cell>
          <cell r="AF1357">
            <v>143</v>
          </cell>
          <cell r="AG1357" t="str">
            <v>ADET</v>
          </cell>
          <cell r="AH1357">
            <v>300</v>
          </cell>
          <cell r="AI1357" t="str">
            <v>TL</v>
          </cell>
          <cell r="AJ1357">
            <v>2295</v>
          </cell>
          <cell r="AK1357" t="str">
            <v>TL</v>
          </cell>
          <cell r="AL1357">
            <v>0</v>
          </cell>
          <cell r="AM1357" t="str">
            <v>8684127512190</v>
          </cell>
          <cell r="AO1357">
            <v>0</v>
          </cell>
          <cell r="AQ1357">
            <v>0</v>
          </cell>
          <cell r="AS1357">
            <v>0</v>
          </cell>
          <cell r="AU1357">
            <v>0</v>
          </cell>
          <cell r="AW1357">
            <v>0</v>
          </cell>
        </row>
        <row r="1358">
          <cell r="B1358" t="str">
            <v>H1C2JMEERL0-021</v>
          </cell>
          <cell r="C1358" t="str">
            <v>ELEGAN ESKİTME TEKLİ GLOP BAL CAMLI SARKIT AVİZE</v>
          </cell>
          <cell r="D1358" t="str">
            <v>ELEGAN SINGLE GLOPE AMBER GLASS  BRUSHED BRASS PENDANT</v>
          </cell>
          <cell r="E1358" t="str">
            <v xml:space="preserve">METAL CAM  ESKİTME BAL   </v>
          </cell>
          <cell r="F1358" t="str">
            <v/>
          </cell>
          <cell r="G1358" t="str">
            <v>AVİZE</v>
          </cell>
          <cell r="H1358" t="str">
            <v/>
          </cell>
          <cell r="I1358" t="str">
            <v>İÇ</v>
          </cell>
          <cell r="J1358" t="str">
            <v>AVİZE</v>
          </cell>
          <cell r="K1358" t="str">
            <v>ELEGAN</v>
          </cell>
          <cell r="L1358" t="str">
            <v/>
          </cell>
          <cell r="M1358" t="str">
            <v/>
          </cell>
          <cell r="N1358" t="str">
            <v>HKA-24348</v>
          </cell>
          <cell r="O1358" t="str">
            <v>HEKA</v>
          </cell>
          <cell r="P1358" t="str">
            <v>ADET</v>
          </cell>
          <cell r="Q1358" t="str">
            <v>E27</v>
          </cell>
          <cell r="R1358" t="str">
            <v>METAL</v>
          </cell>
          <cell r="S1358" t="str">
            <v>ESKİTME</v>
          </cell>
          <cell r="T1358" t="str">
            <v>CAM</v>
          </cell>
          <cell r="U1358" t="str">
            <v>BAL</v>
          </cell>
          <cell r="AE1358" t="str">
            <v>02</v>
          </cell>
          <cell r="AG1358" t="str">
            <v>ADET</v>
          </cell>
          <cell r="AL1358">
            <v>0</v>
          </cell>
          <cell r="AM1358" t="str">
            <v>8684127512305</v>
          </cell>
          <cell r="AO1358">
            <v>0</v>
          </cell>
          <cell r="AQ1358">
            <v>0</v>
          </cell>
          <cell r="AS1358">
            <v>0</v>
          </cell>
          <cell r="AU1358">
            <v>0</v>
          </cell>
          <cell r="AW1358">
            <v>0</v>
          </cell>
        </row>
        <row r="1359">
          <cell r="B1359" t="str">
            <v>H1C2JMEECT0-036</v>
          </cell>
          <cell r="C1359" t="str">
            <v>RUBİS ESKİTME ÜÇLÜ GLOP BEYAZ CAMLI SARKIT AVİZE</v>
          </cell>
          <cell r="D1359" t="str">
            <v>RUBİS TRIPLE GLOPE WHITE GLASS  BRUSHED BRASS PENDANT</v>
          </cell>
          <cell r="E1359" t="str">
            <v xml:space="preserve">METAL CAM  ESKİTME BAL   </v>
          </cell>
          <cell r="F1359" t="str">
            <v/>
          </cell>
          <cell r="G1359" t="str">
            <v>AVİZE</v>
          </cell>
          <cell r="H1359" t="str">
            <v/>
          </cell>
          <cell r="I1359" t="str">
            <v>İÇ</v>
          </cell>
          <cell r="J1359" t="str">
            <v>AVİZE</v>
          </cell>
          <cell r="K1359" t="str">
            <v>RUBİS</v>
          </cell>
          <cell r="L1359" t="str">
            <v/>
          </cell>
          <cell r="M1359" t="str">
            <v/>
          </cell>
          <cell r="N1359" t="str">
            <v>HKA-24354</v>
          </cell>
          <cell r="O1359" t="str">
            <v>HEKA</v>
          </cell>
          <cell r="P1359" t="str">
            <v>ADET</v>
          </cell>
          <cell r="Q1359" t="str">
            <v>E27</v>
          </cell>
          <cell r="R1359" t="str">
            <v>METAL</v>
          </cell>
          <cell r="S1359" t="str">
            <v>ESKİTME</v>
          </cell>
          <cell r="T1359" t="str">
            <v>CAM</v>
          </cell>
          <cell r="U1359" t="str">
            <v>SOFT</v>
          </cell>
          <cell r="AE1359" t="str">
            <v>04</v>
          </cell>
          <cell r="AF1359">
            <v>0</v>
          </cell>
          <cell r="AG1359" t="str">
            <v>ADET</v>
          </cell>
          <cell r="AL1359">
            <v>0</v>
          </cell>
          <cell r="AM1359" t="str">
            <v>8684127512367</v>
          </cell>
          <cell r="AO1359">
            <v>0</v>
          </cell>
          <cell r="AQ1359">
            <v>0</v>
          </cell>
          <cell r="AS1359">
            <v>0</v>
          </cell>
          <cell r="AU1359">
            <v>0</v>
          </cell>
          <cell r="AW1359">
            <v>0</v>
          </cell>
        </row>
        <row r="1360">
          <cell r="B1360" t="str">
            <v>H1W6JMEWRBE-027</v>
          </cell>
          <cell r="C1360" t="str">
            <v>MEDUSA BEYAZ MERMERLİ ESKİTME APLİK  27cm</v>
          </cell>
          <cell r="D1360" t="str">
            <v>MEDUSA WHITE MARBLE BRUSHED BRASS WALL LAMP 27cm</v>
          </cell>
          <cell r="E1360" t="str">
            <v xml:space="preserve">METAL MERMER ESKİTME BEYAZ   </v>
          </cell>
          <cell r="F1360" t="str">
            <v/>
          </cell>
          <cell r="G1360" t="str">
            <v>APLİK</v>
          </cell>
          <cell r="H1360" t="str">
            <v/>
          </cell>
          <cell r="I1360" t="str">
            <v>İÇ</v>
          </cell>
          <cell r="J1360" t="str">
            <v>APLİK</v>
          </cell>
          <cell r="K1360" t="str">
            <v>MEDUSA</v>
          </cell>
          <cell r="L1360" t="str">
            <v/>
          </cell>
          <cell r="M1360" t="str">
            <v/>
          </cell>
          <cell r="N1360" t="str">
            <v>HKA-23027</v>
          </cell>
          <cell r="O1360" t="str">
            <v>HEKA</v>
          </cell>
          <cell r="P1360" t="str">
            <v>ADET</v>
          </cell>
          <cell r="Q1360" t="str">
            <v>LED</v>
          </cell>
          <cell r="R1360" t="str">
            <v>METAL</v>
          </cell>
          <cell r="S1360" t="str">
            <v>ESKİTME</v>
          </cell>
          <cell r="T1360" t="str">
            <v>MERMER</v>
          </cell>
          <cell r="U1360" t="str">
            <v>BEYAZ</v>
          </cell>
          <cell r="AD1360" t="str">
            <v>ELİPS</v>
          </cell>
          <cell r="AF1360">
            <v>18</v>
          </cell>
          <cell r="AG1360" t="str">
            <v>ADET</v>
          </cell>
          <cell r="AH1360">
            <v>90</v>
          </cell>
          <cell r="AI1360" t="str">
            <v>CNY</v>
          </cell>
          <cell r="AJ1360">
            <v>5500</v>
          </cell>
          <cell r="AK1360" t="str">
            <v>TL</v>
          </cell>
          <cell r="AL1360">
            <v>1</v>
          </cell>
          <cell r="AM1360" t="str">
            <v>8684127511537</v>
          </cell>
          <cell r="AO1360">
            <v>2.2999999999999998</v>
          </cell>
          <cell r="AP1360" t="str">
            <v>KG</v>
          </cell>
          <cell r="AQ1360">
            <v>5</v>
          </cell>
          <cell r="AR1360" t="str">
            <v>CM</v>
          </cell>
          <cell r="AS1360">
            <v>27</v>
          </cell>
          <cell r="AT1360" t="str">
            <v>CM</v>
          </cell>
          <cell r="AU1360">
            <v>0</v>
          </cell>
          <cell r="AW1360">
            <v>0</v>
          </cell>
        </row>
        <row r="1361">
          <cell r="B1361" t="str">
            <v>H1W6JMEWRBE-038</v>
          </cell>
          <cell r="C1361" t="str">
            <v>MEDUSA BEYAZ MERMERLİ ESKİTME APLİK  38cm</v>
          </cell>
          <cell r="D1361" t="str">
            <v>MEDUSA WHITE MARBLE BRUSHED BRASS WALL LAMP 38cm</v>
          </cell>
          <cell r="E1361" t="str">
            <v>METAL MERMER ESKİTME BEYAZ</v>
          </cell>
          <cell r="F1361" t="str">
            <v/>
          </cell>
          <cell r="G1361" t="str">
            <v>APLİK</v>
          </cell>
          <cell r="H1361" t="str">
            <v/>
          </cell>
          <cell r="I1361" t="str">
            <v>İÇ</v>
          </cell>
          <cell r="J1361" t="str">
            <v>APLİK</v>
          </cell>
          <cell r="K1361" t="str">
            <v>MEDUSA</v>
          </cell>
          <cell r="L1361" t="str">
            <v/>
          </cell>
          <cell r="M1361" t="str">
            <v/>
          </cell>
          <cell r="N1361" t="str">
            <v>HKA-23029</v>
          </cell>
          <cell r="O1361" t="str">
            <v>HEKA</v>
          </cell>
          <cell r="P1361" t="str">
            <v>ADET</v>
          </cell>
          <cell r="Q1361" t="str">
            <v>LED</v>
          </cell>
          <cell r="R1361" t="str">
            <v>METAL</v>
          </cell>
          <cell r="S1361" t="str">
            <v>ESKİTME</v>
          </cell>
          <cell r="T1361" t="str">
            <v>MERMER</v>
          </cell>
          <cell r="U1361" t="str">
            <v>BEYAZ</v>
          </cell>
          <cell r="AD1361" t="str">
            <v>ELİPS</v>
          </cell>
          <cell r="AF1361">
            <v>28</v>
          </cell>
          <cell r="AG1361" t="str">
            <v>ADET</v>
          </cell>
          <cell r="AH1361">
            <v>150</v>
          </cell>
          <cell r="AI1361" t="str">
            <v>CNY</v>
          </cell>
          <cell r="AJ1361">
            <v>8750</v>
          </cell>
          <cell r="AK1361" t="str">
            <v>TL</v>
          </cell>
          <cell r="AL1361">
            <v>1</v>
          </cell>
          <cell r="AM1361" t="str">
            <v>8684127511568</v>
          </cell>
          <cell r="AO1361">
            <v>4.2</v>
          </cell>
          <cell r="AP1361" t="str">
            <v>KG</v>
          </cell>
          <cell r="AQ1361">
            <v>5</v>
          </cell>
          <cell r="AR1361" t="str">
            <v>CM</v>
          </cell>
          <cell r="AS1361">
            <v>38</v>
          </cell>
          <cell r="AT1361" t="str">
            <v>CM</v>
          </cell>
          <cell r="AU1361">
            <v>0</v>
          </cell>
          <cell r="AW1361">
            <v>0</v>
          </cell>
        </row>
        <row r="1362">
          <cell r="B1362" t="str">
            <v>H1W3JMEECTY-015</v>
          </cell>
          <cell r="C1362" t="str">
            <v xml:space="preserve">PAMİR TEKLİ OPAL CAM ESKİTME APLİK </v>
          </cell>
          <cell r="D1362" t="str">
            <v>PAMIR SINGLE OPAL GLASS BRUSHED BRASS WALL LAMP</v>
          </cell>
          <cell r="E1362" t="str">
            <v xml:space="preserve">METAL CAM  ESKİTME SOFT   </v>
          </cell>
          <cell r="F1362" t="str">
            <v/>
          </cell>
          <cell r="G1362" t="str">
            <v>APLİK</v>
          </cell>
          <cell r="H1362" t="str">
            <v/>
          </cell>
          <cell r="I1362" t="str">
            <v>İÇ</v>
          </cell>
          <cell r="J1362" t="str">
            <v>APLİK</v>
          </cell>
          <cell r="K1362" t="str">
            <v>PAMİR</v>
          </cell>
          <cell r="L1362" t="str">
            <v/>
          </cell>
          <cell r="M1362" t="str">
            <v/>
          </cell>
          <cell r="N1362" t="str">
            <v>HKA-23060</v>
          </cell>
          <cell r="O1362" t="str">
            <v>HEKA</v>
          </cell>
          <cell r="P1362" t="str">
            <v>ADET</v>
          </cell>
          <cell r="Q1362" t="str">
            <v>G9</v>
          </cell>
          <cell r="R1362" t="str">
            <v>METAL</v>
          </cell>
          <cell r="S1362" t="str">
            <v>ESKİTME</v>
          </cell>
          <cell r="T1362" t="str">
            <v>CAM</v>
          </cell>
          <cell r="U1362" t="str">
            <v>SOFT</v>
          </cell>
          <cell r="AD1362" t="str">
            <v>KÜRE</v>
          </cell>
          <cell r="AE1362" t="str">
            <v>01</v>
          </cell>
          <cell r="AF1362">
            <v>52</v>
          </cell>
          <cell r="AG1362" t="str">
            <v>ADET</v>
          </cell>
          <cell r="AH1362">
            <v>45</v>
          </cell>
          <cell r="AI1362" t="str">
            <v>CNY</v>
          </cell>
          <cell r="AJ1362">
            <v>2295</v>
          </cell>
          <cell r="AK1362" t="str">
            <v>TL</v>
          </cell>
          <cell r="AL1362">
            <v>1</v>
          </cell>
          <cell r="AM1362" t="str">
            <v>8684127511704</v>
          </cell>
          <cell r="AO1362">
            <v>0</v>
          </cell>
          <cell r="AP1362" t="str">
            <v>KG</v>
          </cell>
          <cell r="AQ1362">
            <v>0</v>
          </cell>
          <cell r="AR1362" t="str">
            <v>CM</v>
          </cell>
          <cell r="AS1362">
            <v>0</v>
          </cell>
          <cell r="AT1362" t="str">
            <v>CM</v>
          </cell>
          <cell r="AU1362">
            <v>0</v>
          </cell>
          <cell r="AW1362">
            <v>0</v>
          </cell>
        </row>
        <row r="1363">
          <cell r="B1363" t="str">
            <v>H1W3JMEECTY-030</v>
          </cell>
          <cell r="C1363" t="str">
            <v xml:space="preserve">PAMİR İKİLİ OPAL CAM ESKİTME APLİK </v>
          </cell>
          <cell r="D1363" t="str">
            <v>PAMIR DOUBLE OPAL GLASS BRUSHED BRASS WALL LAMP</v>
          </cell>
          <cell r="E1363" t="str">
            <v xml:space="preserve">METAL CAM  ESKİTME SOFT   </v>
          </cell>
          <cell r="F1363" t="str">
            <v/>
          </cell>
          <cell r="G1363" t="str">
            <v>APLİK</v>
          </cell>
          <cell r="H1363" t="str">
            <v/>
          </cell>
          <cell r="I1363" t="str">
            <v>İÇ</v>
          </cell>
          <cell r="J1363" t="str">
            <v>APLİK</v>
          </cell>
          <cell r="K1363" t="str">
            <v>PAMİR</v>
          </cell>
          <cell r="L1363" t="str">
            <v/>
          </cell>
          <cell r="M1363" t="str">
            <v/>
          </cell>
          <cell r="N1363" t="str">
            <v>HKA-23061</v>
          </cell>
          <cell r="O1363" t="str">
            <v>HEKA</v>
          </cell>
          <cell r="P1363" t="str">
            <v>ADET</v>
          </cell>
          <cell r="Q1363" t="str">
            <v>G9</v>
          </cell>
          <cell r="R1363" t="str">
            <v>METAL</v>
          </cell>
          <cell r="S1363" t="str">
            <v>ESKİTME</v>
          </cell>
          <cell r="T1363" t="str">
            <v>CAM</v>
          </cell>
          <cell r="U1363" t="str">
            <v>SOFT</v>
          </cell>
          <cell r="AD1363" t="str">
            <v>KÜRE</v>
          </cell>
          <cell r="AE1363" t="str">
            <v>02</v>
          </cell>
          <cell r="AF1363">
            <v>49</v>
          </cell>
          <cell r="AG1363" t="str">
            <v>ADET</v>
          </cell>
          <cell r="AH1363">
            <v>95</v>
          </cell>
          <cell r="AI1363" t="str">
            <v>CNY</v>
          </cell>
          <cell r="AJ1363">
            <v>3315</v>
          </cell>
          <cell r="AK1363" t="str">
            <v>TL</v>
          </cell>
          <cell r="AL1363">
            <v>1</v>
          </cell>
          <cell r="AM1363" t="str">
            <v>8684127511711</v>
          </cell>
          <cell r="AO1363">
            <v>0</v>
          </cell>
          <cell r="AP1363" t="str">
            <v>KG</v>
          </cell>
          <cell r="AQ1363">
            <v>0</v>
          </cell>
          <cell r="AR1363" t="str">
            <v>CM</v>
          </cell>
          <cell r="AS1363">
            <v>0</v>
          </cell>
          <cell r="AT1363" t="str">
            <v>CM</v>
          </cell>
          <cell r="AU1363">
            <v>0</v>
          </cell>
          <cell r="AW1363">
            <v>0</v>
          </cell>
        </row>
        <row r="1364">
          <cell r="B1364" t="str">
            <v>H1W6JRSERFF-012</v>
          </cell>
          <cell r="C1364" t="str">
            <v>LABRANDA TEKLİ FÜME CAMLI SİYAH LED APLİK 12cm</v>
          </cell>
          <cell r="D1364" t="str">
            <v>LABRANDA  SINGLE SMOKY GLASS BLACK LED WALL LAMP 12cm</v>
          </cell>
          <cell r="E1364" t="str">
            <v xml:space="preserve">METAL CAM  SİYAH FÜME   </v>
          </cell>
          <cell r="F1364" t="str">
            <v/>
          </cell>
          <cell r="G1364" t="str">
            <v>APLİK</v>
          </cell>
          <cell r="H1364" t="str">
            <v/>
          </cell>
          <cell r="I1364" t="str">
            <v>İÇ</v>
          </cell>
          <cell r="J1364" t="str">
            <v>APLİK</v>
          </cell>
          <cell r="K1364" t="str">
            <v>LABRANDA</v>
          </cell>
          <cell r="L1364" t="str">
            <v/>
          </cell>
          <cell r="M1364" t="str">
            <v>05.05.2026</v>
          </cell>
          <cell r="N1364" t="str">
            <v>HKA-23100</v>
          </cell>
          <cell r="O1364" t="str">
            <v>HEKA</v>
          </cell>
          <cell r="P1364" t="str">
            <v>ADET</v>
          </cell>
          <cell r="Q1364" t="str">
            <v>LED</v>
          </cell>
          <cell r="R1364" t="str">
            <v>METAL</v>
          </cell>
          <cell r="S1364" t="str">
            <v>SİYAH</v>
          </cell>
          <cell r="T1364" t="str">
            <v>CAM</v>
          </cell>
          <cell r="U1364" t="str">
            <v>FÜME</v>
          </cell>
          <cell r="AF1364">
            <v>28</v>
          </cell>
          <cell r="AG1364" t="str">
            <v>ADET</v>
          </cell>
          <cell r="AH1364">
            <v>55</v>
          </cell>
          <cell r="AI1364" t="str">
            <v>CNY</v>
          </cell>
          <cell r="AJ1364">
            <v>3213</v>
          </cell>
          <cell r="AK1364" t="str">
            <v>TL</v>
          </cell>
          <cell r="AL1364">
            <v>0</v>
          </cell>
          <cell r="AM1364" t="str">
            <v>8684127511889</v>
          </cell>
          <cell r="AO1364">
            <v>0</v>
          </cell>
          <cell r="AQ1364">
            <v>0</v>
          </cell>
          <cell r="AS1364">
            <v>0</v>
          </cell>
          <cell r="AU1364">
            <v>0</v>
          </cell>
          <cell r="AW1364">
            <v>0</v>
          </cell>
        </row>
        <row r="1365">
          <cell r="B1365" t="str">
            <v>H1W6JRSERFF-015</v>
          </cell>
          <cell r="C1365" t="str">
            <v>LABRANDA TEKLİ  FÜME CAMLI SİYAH LED APLİK 15cm</v>
          </cell>
          <cell r="D1365" t="str">
            <v>LABRANDA  SINGLE SMOKY GLASS BLACK LED WALL LAMP 15cm</v>
          </cell>
          <cell r="E1365" t="str">
            <v xml:space="preserve">METAL CAM  SİYAH FÜME   </v>
          </cell>
          <cell r="F1365" t="str">
            <v/>
          </cell>
          <cell r="G1365" t="str">
            <v>APLİK</v>
          </cell>
          <cell r="H1365" t="str">
            <v/>
          </cell>
          <cell r="I1365" t="str">
            <v>İÇ</v>
          </cell>
          <cell r="J1365" t="str">
            <v>APLİK</v>
          </cell>
          <cell r="K1365" t="str">
            <v>LABRANDA</v>
          </cell>
          <cell r="L1365" t="str">
            <v>Ç</v>
          </cell>
          <cell r="M1365" t="str">
            <v>05.05.2026</v>
          </cell>
          <cell r="N1365" t="str">
            <v>HKA-23102</v>
          </cell>
          <cell r="O1365" t="str">
            <v>HEKA</v>
          </cell>
          <cell r="P1365" t="str">
            <v>ADET</v>
          </cell>
          <cell r="Q1365" t="str">
            <v>LED</v>
          </cell>
          <cell r="R1365" t="str">
            <v>METAL</v>
          </cell>
          <cell r="S1365" t="str">
            <v>SİYAH</v>
          </cell>
          <cell r="T1365" t="str">
            <v>CAM</v>
          </cell>
          <cell r="U1365" t="str">
            <v>FÜME</v>
          </cell>
          <cell r="AF1365">
            <v>3</v>
          </cell>
          <cell r="AG1365" t="str">
            <v>ADET</v>
          </cell>
          <cell r="AH1365">
            <v>60</v>
          </cell>
          <cell r="AI1365" t="str">
            <v>CNY</v>
          </cell>
          <cell r="AJ1365">
            <v>3570</v>
          </cell>
          <cell r="AK1365" t="str">
            <v>TL</v>
          </cell>
          <cell r="AL1365">
            <v>0</v>
          </cell>
          <cell r="AM1365" t="str">
            <v>8684127511896</v>
          </cell>
          <cell r="AO1365">
            <v>0</v>
          </cell>
          <cell r="AQ1365">
            <v>0</v>
          </cell>
          <cell r="AS1365">
            <v>0</v>
          </cell>
          <cell r="AU1365">
            <v>0</v>
          </cell>
          <cell r="AW1365">
            <v>0</v>
          </cell>
        </row>
        <row r="1366">
          <cell r="B1366" t="str">
            <v>H1C3JMEWRBY-120</v>
          </cell>
          <cell r="C1366" t="str">
            <v>NANGA MERMER KÜRE ESKİTME SARKIT 120mm</v>
          </cell>
          <cell r="D1366" t="str">
            <v>NANGA MARBLE SPHARE BRUSHED BRASS PENDANT 120mm</v>
          </cell>
          <cell r="E1366" t="str">
            <v xml:space="preserve">METAL MERMER ESKİTME BEYAZ   </v>
          </cell>
          <cell r="F1366" t="str">
            <v/>
          </cell>
          <cell r="G1366" t="str">
            <v>AVİZE</v>
          </cell>
          <cell r="H1366" t="str">
            <v/>
          </cell>
          <cell r="I1366" t="str">
            <v>İÇ</v>
          </cell>
          <cell r="J1366" t="str">
            <v>AVİZE.SARK</v>
          </cell>
          <cell r="K1366" t="str">
            <v>NANGA</v>
          </cell>
          <cell r="L1366" t="str">
            <v/>
          </cell>
          <cell r="M1366" t="str">
            <v/>
          </cell>
          <cell r="N1366" t="str">
            <v/>
          </cell>
          <cell r="O1366" t="str">
            <v>HEKA</v>
          </cell>
          <cell r="P1366" t="str">
            <v>ADET</v>
          </cell>
          <cell r="Q1366" t="str">
            <v>G9</v>
          </cell>
          <cell r="R1366" t="str">
            <v>METAL</v>
          </cell>
          <cell r="S1366" t="str">
            <v>ESKİTME</v>
          </cell>
          <cell r="T1366" t="str">
            <v>MERMER</v>
          </cell>
          <cell r="U1366" t="str">
            <v>BEYAZ</v>
          </cell>
          <cell r="AD1366" t="str">
            <v>KÜRE</v>
          </cell>
          <cell r="AE1366" t="str">
            <v>02</v>
          </cell>
          <cell r="AG1366" t="str">
            <v>ADET</v>
          </cell>
          <cell r="AL1366">
            <v>0</v>
          </cell>
          <cell r="AO1366">
            <v>1.9</v>
          </cell>
          <cell r="AP1366" t="str">
            <v>KG</v>
          </cell>
          <cell r="AQ1366">
            <v>12</v>
          </cell>
          <cell r="AR1366" t="str">
            <v>CM</v>
          </cell>
          <cell r="AS1366">
            <v>12</v>
          </cell>
          <cell r="AT1366" t="str">
            <v>CM</v>
          </cell>
          <cell r="AU1366">
            <v>0</v>
          </cell>
          <cell r="AW1366">
            <v>0</v>
          </cell>
        </row>
        <row r="1367">
          <cell r="B1367" t="str">
            <v>250-SOFT-GLOP-CAM</v>
          </cell>
          <cell r="C1367" t="str">
            <v>25 LİK GLOP SOFT CAM</v>
          </cell>
          <cell r="D1367" t="str">
            <v/>
          </cell>
          <cell r="E1367" t="str">
            <v/>
          </cell>
          <cell r="F1367" t="str">
            <v/>
          </cell>
          <cell r="G1367" t="str">
            <v/>
          </cell>
          <cell r="H1367" t="str">
            <v/>
          </cell>
          <cell r="I1367" t="str">
            <v>İÇ</v>
          </cell>
          <cell r="J1367" t="str">
            <v/>
          </cell>
          <cell r="K1367" t="str">
            <v/>
          </cell>
          <cell r="L1367" t="str">
            <v/>
          </cell>
          <cell r="M1367" t="str">
            <v/>
          </cell>
          <cell r="N1367" t="str">
            <v/>
          </cell>
          <cell r="P1367" t="str">
            <v>ADET</v>
          </cell>
          <cell r="AF1367">
            <v>1</v>
          </cell>
          <cell r="AG1367" t="str">
            <v>ADET</v>
          </cell>
          <cell r="AH1367">
            <v>300</v>
          </cell>
          <cell r="AI1367" t="str">
            <v>TL</v>
          </cell>
          <cell r="AL1367">
            <v>0</v>
          </cell>
          <cell r="AM1367" t="str">
            <v>250-SOFT-GLOP</v>
          </cell>
          <cell r="AO1367">
            <v>0</v>
          </cell>
          <cell r="AQ1367">
            <v>0</v>
          </cell>
          <cell r="AS1367">
            <v>0</v>
          </cell>
          <cell r="AU1367">
            <v>0</v>
          </cell>
          <cell r="AW1367">
            <v>0</v>
          </cell>
        </row>
        <row r="1368">
          <cell r="B1368" t="str">
            <v>H1C6JMEWRB1-020</v>
          </cell>
          <cell r="C1368" t="str">
            <v>ADAGAN TEKLİ BEŞ MERMERLİ SARKIT</v>
          </cell>
          <cell r="D1368" t="str">
            <v xml:space="preserve">ADAGAN  QUATERNARY SINGLE MARBLE PENDANT </v>
          </cell>
          <cell r="E1368" t="str">
            <v xml:space="preserve">METAL MERMER ESKİTME BEYAZ   </v>
          </cell>
          <cell r="F1368" t="str">
            <v/>
          </cell>
          <cell r="G1368" t="str">
            <v>AVİZE</v>
          </cell>
          <cell r="H1368" t="str">
            <v/>
          </cell>
          <cell r="I1368" t="str">
            <v>İÇ</v>
          </cell>
          <cell r="J1368" t="str">
            <v>AVİZE.SARK</v>
          </cell>
          <cell r="K1368" t="str">
            <v>ADAGAN</v>
          </cell>
          <cell r="L1368" t="str">
            <v/>
          </cell>
          <cell r="M1368" t="str">
            <v/>
          </cell>
          <cell r="N1368" t="str">
            <v>HKA-88-1</v>
          </cell>
          <cell r="O1368" t="str">
            <v>HEKA</v>
          </cell>
          <cell r="P1368" t="str">
            <v>ADET</v>
          </cell>
          <cell r="Q1368" t="str">
            <v>LED</v>
          </cell>
          <cell r="R1368" t="str">
            <v>METAL</v>
          </cell>
          <cell r="S1368" t="str">
            <v>ESKİTME</v>
          </cell>
          <cell r="T1368" t="str">
            <v>MERMER</v>
          </cell>
          <cell r="U1368" t="str">
            <v>BEYAZ</v>
          </cell>
          <cell r="Z1368" t="str">
            <v>3000 K</v>
          </cell>
          <cell r="AD1368" t="str">
            <v>TEKLİ</v>
          </cell>
          <cell r="AE1368" t="str">
            <v>01</v>
          </cell>
          <cell r="AF1368">
            <v>5</v>
          </cell>
          <cell r="AG1368" t="str">
            <v>ADET</v>
          </cell>
          <cell r="AJ1368">
            <v>5015</v>
          </cell>
          <cell r="AK1368" t="str">
            <v>TL</v>
          </cell>
          <cell r="AL1368">
            <v>0</v>
          </cell>
          <cell r="AM1368" t="str">
            <v>8684127519137</v>
          </cell>
          <cell r="AO1368">
            <v>0</v>
          </cell>
          <cell r="AQ1368">
            <v>0</v>
          </cell>
          <cell r="AS1368">
            <v>0</v>
          </cell>
          <cell r="AU1368">
            <v>0</v>
          </cell>
          <cell r="AW1368">
            <v>0</v>
          </cell>
        </row>
        <row r="1369">
          <cell r="B1369" t="str">
            <v>H1C6JMEWRBD-062</v>
          </cell>
          <cell r="C1369" t="str">
            <v>TETA BEYAZ MERMERLİ ESKİTME SARKIT  60cm</v>
          </cell>
          <cell r="D1369" t="str">
            <v>TETA WHITE MARBLE BRUSHED BRASS PENDANT LAMP 60cm</v>
          </cell>
          <cell r="E1369" t="str">
            <v xml:space="preserve">METAL MERMER ESKİTME BEYAZ   </v>
          </cell>
          <cell r="F1369" t="str">
            <v/>
          </cell>
          <cell r="G1369" t="str">
            <v>AVİZE</v>
          </cell>
          <cell r="H1369" t="str">
            <v/>
          </cell>
          <cell r="I1369" t="str">
            <v>İÇ</v>
          </cell>
          <cell r="J1369" t="str">
            <v>AVİZE.SARK</v>
          </cell>
          <cell r="K1369" t="str">
            <v>TETA</v>
          </cell>
          <cell r="L1369" t="str">
            <v>Ç</v>
          </cell>
          <cell r="M1369" t="str">
            <v>30.01.2026</v>
          </cell>
          <cell r="N1369" t="str">
            <v>HKA-24083</v>
          </cell>
          <cell r="O1369" t="str">
            <v>HEKA</v>
          </cell>
          <cell r="P1369" t="str">
            <v>ADET</v>
          </cell>
          <cell r="Q1369" t="str">
            <v>LED</v>
          </cell>
          <cell r="R1369" t="str">
            <v>METAL</v>
          </cell>
          <cell r="S1369" t="str">
            <v>ESKİTME</v>
          </cell>
          <cell r="T1369" t="str">
            <v>MERMER</v>
          </cell>
          <cell r="U1369" t="str">
            <v>BEYAZ</v>
          </cell>
          <cell r="AD1369" t="str">
            <v>N/A</v>
          </cell>
          <cell r="AF1369">
            <v>8</v>
          </cell>
          <cell r="AG1369" t="str">
            <v>ADET</v>
          </cell>
          <cell r="AH1369">
            <v>2400</v>
          </cell>
          <cell r="AI1369" t="str">
            <v>CNY</v>
          </cell>
          <cell r="AJ1369">
            <v>174750</v>
          </cell>
          <cell r="AK1369" t="str">
            <v>TL</v>
          </cell>
          <cell r="AL1369">
            <v>0</v>
          </cell>
          <cell r="AM1369" t="str">
            <v>8684127512220</v>
          </cell>
          <cell r="AO1369">
            <v>0</v>
          </cell>
          <cell r="AQ1369">
            <v>0</v>
          </cell>
          <cell r="AS1369">
            <v>0</v>
          </cell>
          <cell r="AU1369">
            <v>0</v>
          </cell>
          <cell r="AW1369">
            <v>0</v>
          </cell>
        </row>
        <row r="1370">
          <cell r="B1370" t="str">
            <v>H1C6JMNLCSP-090</v>
          </cell>
          <cell r="C1370" t="str">
            <v>SURINAM KRİSTAL AKRİLİK NİKEL AVİZE</v>
          </cell>
          <cell r="D1370" t="str">
            <v>SURINAM CRYSTAL ACRYLIC NICKEL CHANDELIER</v>
          </cell>
          <cell r="E1370" t="str">
            <v>METAL AKRİLİK NİKEL ŞEFFAF</v>
          </cell>
          <cell r="F1370" t="str">
            <v/>
          </cell>
          <cell r="G1370" t="str">
            <v>AVİZE</v>
          </cell>
          <cell r="H1370" t="str">
            <v/>
          </cell>
          <cell r="I1370" t="str">
            <v>İÇ</v>
          </cell>
          <cell r="J1370" t="str">
            <v>AVİZE</v>
          </cell>
          <cell r="K1370" t="str">
            <v>SURINAM</v>
          </cell>
          <cell r="L1370" t="str">
            <v/>
          </cell>
          <cell r="M1370" t="str">
            <v/>
          </cell>
          <cell r="N1370" t="str">
            <v>HKA-24314</v>
          </cell>
          <cell r="O1370" t="str">
            <v>HEKA</v>
          </cell>
          <cell r="P1370" t="str">
            <v>ADET</v>
          </cell>
          <cell r="Q1370" t="str">
            <v>LED</v>
          </cell>
          <cell r="R1370" t="str">
            <v>METAL</v>
          </cell>
          <cell r="S1370" t="str">
            <v>NİKEL</v>
          </cell>
          <cell r="T1370" t="str">
            <v>AKRİLİK</v>
          </cell>
          <cell r="U1370" t="str">
            <v>ŞEFFAF</v>
          </cell>
          <cell r="AD1370" t="str">
            <v>POLİGONAL</v>
          </cell>
          <cell r="AF1370">
            <v>8</v>
          </cell>
          <cell r="AG1370" t="str">
            <v>ADET</v>
          </cell>
          <cell r="AH1370">
            <v>10500</v>
          </cell>
          <cell r="AI1370" t="str">
            <v>TL</v>
          </cell>
          <cell r="AJ1370">
            <v>117600</v>
          </cell>
          <cell r="AK1370" t="str">
            <v>TL</v>
          </cell>
          <cell r="AL1370">
            <v>1</v>
          </cell>
          <cell r="AM1370" t="str">
            <v>8684127513944</v>
          </cell>
          <cell r="AO1370">
            <v>0</v>
          </cell>
          <cell r="AQ1370">
            <v>120</v>
          </cell>
          <cell r="AR1370" t="str">
            <v>CM</v>
          </cell>
          <cell r="AS1370">
            <v>90</v>
          </cell>
          <cell r="AT1370" t="str">
            <v>CM</v>
          </cell>
          <cell r="AU1370">
            <v>0</v>
          </cell>
          <cell r="AW1370">
            <v>0</v>
          </cell>
        </row>
        <row r="1371">
          <cell r="B1371" t="str">
            <v>H1C6JMELCSP-155</v>
          </cell>
          <cell r="C1371" t="str">
            <v>SURINAM KRİSTAL AKRİLİK ESKİTME YEMEK MASASI AVİZE</v>
          </cell>
          <cell r="D1371" t="str">
            <v>SURINAM CRYSTAL ACRYLIC BRUSHED BRASS DINING TABLE CHANDELIER</v>
          </cell>
          <cell r="E1371" t="str">
            <v>METAL AKRİLİK ESKİTME ŞEFFAF</v>
          </cell>
          <cell r="F1371" t="str">
            <v/>
          </cell>
          <cell r="G1371" t="str">
            <v>AVİZE</v>
          </cell>
          <cell r="H1371" t="str">
            <v/>
          </cell>
          <cell r="I1371" t="str">
            <v>İÇ</v>
          </cell>
          <cell r="J1371" t="str">
            <v>AVİZE</v>
          </cell>
          <cell r="K1371" t="str">
            <v>SURINAM</v>
          </cell>
          <cell r="L1371" t="str">
            <v/>
          </cell>
          <cell r="M1371" t="str">
            <v/>
          </cell>
          <cell r="N1371" t="str">
            <v>HKA-24315</v>
          </cell>
          <cell r="O1371" t="str">
            <v>HEKA</v>
          </cell>
          <cell r="P1371" t="str">
            <v>ADET</v>
          </cell>
          <cell r="Q1371" t="str">
            <v>LED</v>
          </cell>
          <cell r="R1371" t="str">
            <v>METAL</v>
          </cell>
          <cell r="S1371" t="str">
            <v>ESKİTME</v>
          </cell>
          <cell r="T1371" t="str">
            <v>AKRİLİK</v>
          </cell>
          <cell r="U1371" t="str">
            <v>ŞEFFAF</v>
          </cell>
          <cell r="AD1371" t="str">
            <v>POLİGONAL</v>
          </cell>
          <cell r="AF1371">
            <v>12</v>
          </cell>
          <cell r="AG1371" t="str">
            <v>ADET</v>
          </cell>
          <cell r="AH1371">
            <v>1785</v>
          </cell>
          <cell r="AI1371" t="str">
            <v>CNY</v>
          </cell>
          <cell r="AJ1371">
            <v>149940</v>
          </cell>
          <cell r="AK1371" t="str">
            <v>TL</v>
          </cell>
          <cell r="AL1371">
            <v>1</v>
          </cell>
          <cell r="AM1371" t="str">
            <v>8684127513951</v>
          </cell>
          <cell r="AO1371">
            <v>0</v>
          </cell>
          <cell r="AQ1371">
            <v>120</v>
          </cell>
          <cell r="AR1371" t="str">
            <v>CM</v>
          </cell>
          <cell r="AS1371">
            <v>35</v>
          </cell>
          <cell r="AT1371" t="str">
            <v>CM</v>
          </cell>
          <cell r="AU1371">
            <v>0</v>
          </cell>
          <cell r="AW1371">
            <v>0</v>
          </cell>
        </row>
        <row r="1372">
          <cell r="B1372" t="str">
            <v>H1C6JMEURBY-060</v>
          </cell>
          <cell r="C1372" t="str">
            <v>PLASTİK KÜRE ESKİTME SARKIT 60cm</v>
          </cell>
          <cell r="D1372" t="str">
            <v>PLASTIC SPHERE BRUSHED BRASS PENDANT 60cm</v>
          </cell>
          <cell r="E1372" t="str">
            <v xml:space="preserve">METAL PLASTİK ESKİTME BEYAZ   </v>
          </cell>
          <cell r="F1372" t="str">
            <v/>
          </cell>
          <cell r="G1372" t="str">
            <v>AVİZE</v>
          </cell>
          <cell r="H1372" t="str">
            <v/>
          </cell>
          <cell r="I1372" t="str">
            <v>İÇ</v>
          </cell>
          <cell r="J1372" t="str">
            <v>AVİZE.SARK</v>
          </cell>
          <cell r="K1372" t="str">
            <v/>
          </cell>
          <cell r="L1372" t="str">
            <v/>
          </cell>
          <cell r="M1372" t="str">
            <v/>
          </cell>
          <cell r="N1372" t="str">
            <v/>
          </cell>
          <cell r="P1372" t="str">
            <v>ADET</v>
          </cell>
          <cell r="Q1372" t="str">
            <v>LED</v>
          </cell>
          <cell r="R1372" t="str">
            <v>METAL</v>
          </cell>
          <cell r="S1372" t="str">
            <v>ESKİTME</v>
          </cell>
          <cell r="T1372" t="str">
            <v>PLASTİK</v>
          </cell>
          <cell r="U1372" t="str">
            <v>BEYAZ</v>
          </cell>
          <cell r="AD1372" t="str">
            <v>KÜRE</v>
          </cell>
          <cell r="AF1372">
            <v>1</v>
          </cell>
          <cell r="AG1372" t="str">
            <v>ADET</v>
          </cell>
          <cell r="AL1372">
            <v>0</v>
          </cell>
          <cell r="AO1372">
            <v>0</v>
          </cell>
          <cell r="AQ1372">
            <v>0</v>
          </cell>
          <cell r="AS1372">
            <v>60</v>
          </cell>
          <cell r="AT1372" t="str">
            <v>CM</v>
          </cell>
          <cell r="AU1372">
            <v>0</v>
          </cell>
          <cell r="AW1372">
            <v>0</v>
          </cell>
        </row>
        <row r="1373">
          <cell r="B1373" t="str">
            <v>H1C2YRBJRSY-050</v>
          </cell>
          <cell r="C1373" t="str">
            <v>SOLAR BEYAZ SOFT TOUCH BOĞUMLU SARKIT 50x47 cm</v>
          </cell>
          <cell r="D1373" t="str">
            <v>SOLAR WHITE SOFT TOUCH KNOTTY PENDANT LAMP 50x47 cm</v>
          </cell>
          <cell r="E1373" t="str">
            <v xml:space="preserve">POLİMER METAL BEYAZ SİYAH   </v>
          </cell>
          <cell r="F1373" t="str">
            <v/>
          </cell>
          <cell r="G1373" t="str">
            <v>AVİZE</v>
          </cell>
          <cell r="H1373" t="str">
            <v/>
          </cell>
          <cell r="I1373" t="str">
            <v>İÇ</v>
          </cell>
          <cell r="J1373" t="str">
            <v>AVİZE</v>
          </cell>
          <cell r="K1373" t="str">
            <v>SOLAR</v>
          </cell>
          <cell r="L1373" t="str">
            <v/>
          </cell>
          <cell r="M1373" t="str">
            <v/>
          </cell>
          <cell r="N1373" t="str">
            <v>HKA-24289</v>
          </cell>
          <cell r="O1373" t="str">
            <v>HEKA</v>
          </cell>
          <cell r="P1373" t="str">
            <v>ADET</v>
          </cell>
          <cell r="Q1373" t="str">
            <v>E27</v>
          </cell>
          <cell r="R1373" t="str">
            <v>POLİMER</v>
          </cell>
          <cell r="S1373" t="str">
            <v>BEYAZ</v>
          </cell>
          <cell r="T1373" t="str">
            <v>METAL</v>
          </cell>
          <cell r="U1373" t="str">
            <v>SİYAH</v>
          </cell>
          <cell r="AD1373" t="str">
            <v>KÜRE</v>
          </cell>
          <cell r="AE1373" t="str">
            <v>03</v>
          </cell>
          <cell r="AF1373">
            <v>45</v>
          </cell>
          <cell r="AG1373" t="str">
            <v>ADET</v>
          </cell>
          <cell r="AH1373">
            <v>405</v>
          </cell>
          <cell r="AI1373" t="str">
            <v>CNY</v>
          </cell>
          <cell r="AJ1373">
            <v>32330</v>
          </cell>
          <cell r="AK1373" t="str">
            <v>TL</v>
          </cell>
          <cell r="AL1373">
            <v>1</v>
          </cell>
          <cell r="AM1373" t="str">
            <v>8684127512725</v>
          </cell>
          <cell r="AO1373">
            <v>0</v>
          </cell>
          <cell r="AQ1373">
            <v>0</v>
          </cell>
          <cell r="AS1373">
            <v>0</v>
          </cell>
          <cell r="AU1373">
            <v>0</v>
          </cell>
          <cell r="AW1373">
            <v>0</v>
          </cell>
        </row>
        <row r="1374">
          <cell r="B1374" t="str">
            <v>H1C2YRBJM3Y-033</v>
          </cell>
          <cell r="C1374" t="str">
            <v>ORION BEYAZ SOFT TOUCH KÜRE SARKIT 33cm</v>
          </cell>
          <cell r="D1374" t="str">
            <v>ORION WHITE SOFT TOUCH SPHERE PENDANT LAMP 33cm</v>
          </cell>
          <cell r="E1374" t="str">
            <v xml:space="preserve">POLİMER METAL BEYAZ MAT KROM   </v>
          </cell>
          <cell r="F1374" t="str">
            <v/>
          </cell>
          <cell r="G1374" t="str">
            <v>AVİZE</v>
          </cell>
          <cell r="H1374" t="str">
            <v/>
          </cell>
          <cell r="I1374" t="str">
            <v>İÇ</v>
          </cell>
          <cell r="J1374" t="str">
            <v>AVİZE</v>
          </cell>
          <cell r="K1374" t="str">
            <v>ORION</v>
          </cell>
          <cell r="L1374" t="str">
            <v/>
          </cell>
          <cell r="M1374" t="str">
            <v/>
          </cell>
          <cell r="N1374" t="str">
            <v>HKA-24297</v>
          </cell>
          <cell r="O1374" t="str">
            <v>HEKA</v>
          </cell>
          <cell r="P1374" t="str">
            <v>ADET</v>
          </cell>
          <cell r="Q1374" t="str">
            <v>E27</v>
          </cell>
          <cell r="R1374" t="str">
            <v>POLİMER</v>
          </cell>
          <cell r="S1374" t="str">
            <v>BEYAZ</v>
          </cell>
          <cell r="T1374" t="str">
            <v>METAL</v>
          </cell>
          <cell r="U1374" t="str">
            <v>MAT KROM</v>
          </cell>
          <cell r="AD1374" t="str">
            <v>KÜRE</v>
          </cell>
          <cell r="AE1374" t="str">
            <v>01</v>
          </cell>
          <cell r="AF1374">
            <v>29</v>
          </cell>
          <cell r="AG1374" t="str">
            <v>ADET</v>
          </cell>
          <cell r="AH1374">
            <v>144</v>
          </cell>
          <cell r="AI1374" t="str">
            <v>CNY</v>
          </cell>
          <cell r="AJ1374">
            <v>11530</v>
          </cell>
          <cell r="AK1374" t="str">
            <v>TL</v>
          </cell>
          <cell r="AL1374">
            <v>1</v>
          </cell>
          <cell r="AM1374" t="str">
            <v>8684127512794</v>
          </cell>
          <cell r="AO1374">
            <v>0</v>
          </cell>
          <cell r="AQ1374">
            <v>0</v>
          </cell>
          <cell r="AS1374">
            <v>0</v>
          </cell>
          <cell r="AU1374">
            <v>0</v>
          </cell>
          <cell r="AW1374">
            <v>0</v>
          </cell>
        </row>
        <row r="1375">
          <cell r="B1375" t="str">
            <v>H1C2YRBJM3C-028</v>
          </cell>
          <cell r="C1375" t="str">
            <v>ORION BEYAZ SOFT TOUCH SİLİNDİR SARKIT 28cm</v>
          </cell>
          <cell r="D1375" t="str">
            <v>ORION WHITE SOFT TOUCH CYLINDER PENDANT LAMP 28cm</v>
          </cell>
          <cell r="E1375" t="str">
            <v xml:space="preserve">POLİMER METAL BEYAZ MAT KROM   </v>
          </cell>
          <cell r="F1375" t="str">
            <v/>
          </cell>
          <cell r="G1375" t="str">
            <v>AVİZE</v>
          </cell>
          <cell r="H1375" t="str">
            <v/>
          </cell>
          <cell r="I1375" t="str">
            <v>İÇ</v>
          </cell>
          <cell r="J1375" t="str">
            <v>AVİZE</v>
          </cell>
          <cell r="K1375" t="str">
            <v>ORION</v>
          </cell>
          <cell r="L1375" t="str">
            <v/>
          </cell>
          <cell r="M1375" t="str">
            <v/>
          </cell>
          <cell r="N1375" t="str">
            <v>HKA-24301</v>
          </cell>
          <cell r="O1375" t="str">
            <v>HEKA</v>
          </cell>
          <cell r="P1375" t="str">
            <v>ADET</v>
          </cell>
          <cell r="Q1375" t="str">
            <v>E27</v>
          </cell>
          <cell r="R1375" t="str">
            <v>POLİMER</v>
          </cell>
          <cell r="S1375" t="str">
            <v>BEYAZ</v>
          </cell>
          <cell r="T1375" t="str">
            <v>METAL</v>
          </cell>
          <cell r="U1375" t="str">
            <v>MAT KROM</v>
          </cell>
          <cell r="AD1375" t="str">
            <v>SİLİNDİR</v>
          </cell>
          <cell r="AE1375" t="str">
            <v>01</v>
          </cell>
          <cell r="AF1375">
            <v>24</v>
          </cell>
          <cell r="AG1375" t="str">
            <v>ADET</v>
          </cell>
          <cell r="AH1375">
            <v>180</v>
          </cell>
          <cell r="AI1375" t="str">
            <v>CNY</v>
          </cell>
          <cell r="AJ1375">
            <v>14365</v>
          </cell>
          <cell r="AK1375" t="str">
            <v>TL</v>
          </cell>
          <cell r="AL1375">
            <v>1</v>
          </cell>
          <cell r="AM1375" t="str">
            <v>8684127512817</v>
          </cell>
          <cell r="AO1375">
            <v>0</v>
          </cell>
          <cell r="AQ1375">
            <v>0</v>
          </cell>
          <cell r="AS1375">
            <v>0</v>
          </cell>
          <cell r="AU1375">
            <v>0</v>
          </cell>
          <cell r="AW1375">
            <v>0</v>
          </cell>
        </row>
        <row r="1376">
          <cell r="B1376" t="str">
            <v>H1W6JMEWRS0-026</v>
          </cell>
          <cell r="C1376" t="str">
            <v>TEKFUR SİYAH MERMER APLİK KÜÇÜK</v>
          </cell>
          <cell r="D1376" t="str">
            <v>TEKFUR BLACK MARBLE WALL LAMP SMALL</v>
          </cell>
          <cell r="E1376" t="str">
            <v>METAL MERMER ESKİTME SİYAH</v>
          </cell>
          <cell r="F1376" t="str">
            <v>9405.11.90.00.00</v>
          </cell>
          <cell r="G1376" t="str">
            <v>APLİK</v>
          </cell>
          <cell r="H1376" t="str">
            <v>T1W6113100-26</v>
          </cell>
          <cell r="I1376" t="str">
            <v>İÇ</v>
          </cell>
          <cell r="J1376" t="str">
            <v>APLİK</v>
          </cell>
          <cell r="K1376" t="str">
            <v>TEKFUR</v>
          </cell>
          <cell r="L1376" t="str">
            <v>Ç</v>
          </cell>
          <cell r="M1376" t="str">
            <v/>
          </cell>
          <cell r="N1376" t="str">
            <v>HKA-24326</v>
          </cell>
          <cell r="O1376" t="str">
            <v>HEKA</v>
          </cell>
          <cell r="P1376" t="str">
            <v>ADET</v>
          </cell>
          <cell r="Q1376" t="str">
            <v>LED</v>
          </cell>
          <cell r="R1376" t="str">
            <v>METAL</v>
          </cell>
          <cell r="S1376" t="str">
            <v>ESKİTME</v>
          </cell>
          <cell r="T1376" t="str">
            <v>MERMER</v>
          </cell>
          <cell r="U1376" t="str">
            <v>BEYAZ</v>
          </cell>
          <cell r="AD1376" t="str">
            <v>N/A</v>
          </cell>
          <cell r="AF1376">
            <v>45</v>
          </cell>
          <cell r="AG1376" t="str">
            <v>ADET</v>
          </cell>
          <cell r="AH1376">
            <v>105</v>
          </cell>
          <cell r="AI1376" t="str">
            <v>CNY</v>
          </cell>
          <cell r="AJ1376">
            <v>7475</v>
          </cell>
          <cell r="AK1376" t="str">
            <v>TL</v>
          </cell>
          <cell r="AL1376">
            <v>1</v>
          </cell>
          <cell r="AM1376" t="str">
            <v>8684127512992</v>
          </cell>
          <cell r="AO1376">
            <v>1.3</v>
          </cell>
          <cell r="AP1376" t="str">
            <v>KG</v>
          </cell>
          <cell r="AQ1376">
            <v>9</v>
          </cell>
          <cell r="AR1376" t="str">
            <v>CM</v>
          </cell>
          <cell r="AS1376">
            <v>9</v>
          </cell>
          <cell r="AT1376" t="str">
            <v>CM</v>
          </cell>
          <cell r="AU1376">
            <v>0</v>
          </cell>
          <cell r="AW1376">
            <v>0</v>
          </cell>
        </row>
        <row r="1377">
          <cell r="B1377" t="str">
            <v>H1C3CMGERB0-080</v>
          </cell>
          <cell r="C1377" t="str">
            <v>DOHA 20 Lİ ROSE GOLD AVİZE</v>
          </cell>
          <cell r="D1377" t="str">
            <v>DOHA 20 ROSE GOLD CHANDELIER</v>
          </cell>
          <cell r="E1377" t="str">
            <v xml:space="preserve">ALUMİNYUM CAM  ROSE GOLD BEYAZ   </v>
          </cell>
          <cell r="F1377" t="str">
            <v/>
          </cell>
          <cell r="G1377" t="str">
            <v>AVİZE</v>
          </cell>
          <cell r="H1377" t="str">
            <v/>
          </cell>
          <cell r="I1377" t="str">
            <v>İÇ</v>
          </cell>
          <cell r="J1377" t="str">
            <v>AVİZE</v>
          </cell>
          <cell r="K1377" t="str">
            <v>DOHA</v>
          </cell>
          <cell r="L1377" t="str">
            <v/>
          </cell>
          <cell r="M1377" t="str">
            <v/>
          </cell>
          <cell r="N1377" t="str">
            <v>HKA-24175</v>
          </cell>
          <cell r="O1377" t="str">
            <v>HEKA</v>
          </cell>
          <cell r="P1377" t="str">
            <v>ADET</v>
          </cell>
          <cell r="Q1377" t="str">
            <v>G9</v>
          </cell>
          <cell r="R1377" t="str">
            <v>ALUMİNYUM</v>
          </cell>
          <cell r="S1377" t="str">
            <v>ROSE GOLD</v>
          </cell>
          <cell r="T1377" t="str">
            <v>CAM</v>
          </cell>
          <cell r="U1377" t="str">
            <v>BEYAZ</v>
          </cell>
          <cell r="AE1377" t="str">
            <v>20</v>
          </cell>
          <cell r="AF1377">
            <v>15</v>
          </cell>
          <cell r="AG1377" t="str">
            <v>ADET</v>
          </cell>
          <cell r="AH1377">
            <v>1468.19</v>
          </cell>
          <cell r="AI1377" t="str">
            <v>CNY</v>
          </cell>
          <cell r="AJ1377">
            <v>89000</v>
          </cell>
          <cell r="AK1377" t="str">
            <v>TL</v>
          </cell>
          <cell r="AL1377">
            <v>1</v>
          </cell>
          <cell r="AM1377" t="str">
            <v>8684127513036</v>
          </cell>
          <cell r="AO1377">
            <v>5.0599999999999996</v>
          </cell>
          <cell r="AP1377" t="str">
            <v>KG</v>
          </cell>
          <cell r="AQ1377">
            <v>150</v>
          </cell>
          <cell r="AR1377" t="str">
            <v>CM</v>
          </cell>
          <cell r="AS1377">
            <v>80</v>
          </cell>
          <cell r="AT1377" t="str">
            <v>CM</v>
          </cell>
          <cell r="AU1377">
            <v>0</v>
          </cell>
          <cell r="AW1377">
            <v>0</v>
          </cell>
        </row>
        <row r="1378">
          <cell r="B1378" t="str">
            <v>H1W3CMGERB0-150</v>
          </cell>
          <cell r="C1378" t="str">
            <v>DOHA 6 LI ROSE GOLD APLİK</v>
          </cell>
          <cell r="D1378" t="str">
            <v>DOHA 6 ROSE GOLD WALL LAMP</v>
          </cell>
          <cell r="E1378" t="str">
            <v xml:space="preserve">ALUMİNYUM CAM  ROSE GOLD BEYAZ   </v>
          </cell>
          <cell r="F1378" t="str">
            <v/>
          </cell>
          <cell r="G1378" t="str">
            <v>APLİK</v>
          </cell>
          <cell r="H1378" t="str">
            <v/>
          </cell>
          <cell r="I1378" t="str">
            <v>İÇ</v>
          </cell>
          <cell r="J1378" t="str">
            <v>APLİK</v>
          </cell>
          <cell r="K1378" t="str">
            <v>DOHA</v>
          </cell>
          <cell r="L1378" t="str">
            <v/>
          </cell>
          <cell r="M1378" t="str">
            <v/>
          </cell>
          <cell r="N1378" t="str">
            <v>HKA-24177</v>
          </cell>
          <cell r="O1378" t="str">
            <v>HEKA</v>
          </cell>
          <cell r="P1378" t="str">
            <v>ADET</v>
          </cell>
          <cell r="Q1378" t="str">
            <v>G9</v>
          </cell>
          <cell r="R1378" t="str">
            <v>ALUMİNYUM</v>
          </cell>
          <cell r="S1378" t="str">
            <v>ROSE GOLD</v>
          </cell>
          <cell r="T1378" t="str">
            <v>CAM</v>
          </cell>
          <cell r="U1378" t="str">
            <v>BEYAZ</v>
          </cell>
          <cell r="AE1378" t="str">
            <v>06</v>
          </cell>
          <cell r="AF1378">
            <v>8</v>
          </cell>
          <cell r="AG1378" t="str">
            <v>ADET</v>
          </cell>
          <cell r="AH1378">
            <v>823.17</v>
          </cell>
          <cell r="AI1378" t="str">
            <v>CNY</v>
          </cell>
          <cell r="AJ1378">
            <v>49000</v>
          </cell>
          <cell r="AK1378" t="str">
            <v>TL</v>
          </cell>
          <cell r="AL1378">
            <v>1</v>
          </cell>
          <cell r="AM1378" t="str">
            <v>8684127514651</v>
          </cell>
          <cell r="AO1378">
            <v>3.62</v>
          </cell>
          <cell r="AP1378" t="str">
            <v>KG</v>
          </cell>
          <cell r="AQ1378">
            <v>130</v>
          </cell>
          <cell r="AR1378" t="str">
            <v>CM</v>
          </cell>
          <cell r="AS1378">
            <v>30</v>
          </cell>
          <cell r="AT1378" t="str">
            <v>CM</v>
          </cell>
          <cell r="AU1378">
            <v>0</v>
          </cell>
          <cell r="AW1378">
            <v>0</v>
          </cell>
        </row>
        <row r="1379">
          <cell r="B1379" t="str">
            <v>H1C3CMGERB0-150</v>
          </cell>
          <cell r="C1379" t="str">
            <v>DOHA 9 LU GOLD YEMEK MASASI AVİZE</v>
          </cell>
          <cell r="D1379" t="str">
            <v>DOHA 9 GOLD DINING ROOM CHANDELIER</v>
          </cell>
          <cell r="E1379" t="str">
            <v xml:space="preserve">ALUMİNYUM CAM  GOLD BEYAZ   </v>
          </cell>
          <cell r="F1379" t="str">
            <v/>
          </cell>
          <cell r="G1379" t="str">
            <v>AVİZE</v>
          </cell>
          <cell r="H1379" t="str">
            <v/>
          </cell>
          <cell r="I1379" t="str">
            <v>İÇ</v>
          </cell>
          <cell r="J1379" t="str">
            <v>AVİZE</v>
          </cell>
          <cell r="K1379" t="str">
            <v>DOHA</v>
          </cell>
          <cell r="L1379" t="str">
            <v/>
          </cell>
          <cell r="M1379" t="str">
            <v/>
          </cell>
          <cell r="N1379" t="str">
            <v>HKA-24179</v>
          </cell>
          <cell r="O1379" t="str">
            <v>HEKA</v>
          </cell>
          <cell r="P1379" t="str">
            <v>ADET</v>
          </cell>
          <cell r="Q1379" t="str">
            <v>G9</v>
          </cell>
          <cell r="R1379" t="str">
            <v>ALUMİNYUM</v>
          </cell>
          <cell r="S1379" t="str">
            <v>GOLD</v>
          </cell>
          <cell r="T1379" t="str">
            <v>CAM</v>
          </cell>
          <cell r="U1379" t="str">
            <v>BEYAZ</v>
          </cell>
          <cell r="AE1379" t="str">
            <v>9</v>
          </cell>
          <cell r="AF1379">
            <v>12</v>
          </cell>
          <cell r="AG1379" t="str">
            <v>ADET</v>
          </cell>
          <cell r="AH1379">
            <v>1385.7</v>
          </cell>
          <cell r="AI1379" t="str">
            <v>CNY</v>
          </cell>
          <cell r="AJ1379">
            <v>89000</v>
          </cell>
          <cell r="AK1379" t="str">
            <v>TL</v>
          </cell>
          <cell r="AL1379">
            <v>1</v>
          </cell>
          <cell r="AM1379" t="str">
            <v>8684127513074</v>
          </cell>
          <cell r="AO1379">
            <v>4.79</v>
          </cell>
          <cell r="AP1379" t="str">
            <v>KG</v>
          </cell>
          <cell r="AQ1379">
            <v>150</v>
          </cell>
          <cell r="AR1379" t="str">
            <v>CM</v>
          </cell>
          <cell r="AS1379">
            <v>150</v>
          </cell>
          <cell r="AT1379" t="str">
            <v>CM</v>
          </cell>
          <cell r="AU1379">
            <v>0</v>
          </cell>
          <cell r="AW1379">
            <v>0</v>
          </cell>
        </row>
        <row r="1380">
          <cell r="B1380" t="str">
            <v>H1W6JRSBCS0-033</v>
          </cell>
          <cell r="C1380" t="str">
            <v>PANAMA ÜÇ ŞEFFAF AKRİLİK SİYAH APLİK</v>
          </cell>
          <cell r="D1380" t="str">
            <v>PANAMA THREE CLEAR ACYRLIC BLACK WALL LAMP</v>
          </cell>
          <cell r="E1380" t="str">
            <v xml:space="preserve">METAL AKRİLİK SİYAH ŞEFFAF   </v>
          </cell>
          <cell r="F1380" t="str">
            <v/>
          </cell>
          <cell r="G1380" t="str">
            <v>APLİK</v>
          </cell>
          <cell r="H1380" t="str">
            <v/>
          </cell>
          <cell r="I1380" t="str">
            <v>İÇ</v>
          </cell>
          <cell r="J1380" t="str">
            <v>APLİK</v>
          </cell>
          <cell r="K1380" t="str">
            <v>PANAMA</v>
          </cell>
          <cell r="L1380" t="str">
            <v/>
          </cell>
          <cell r="M1380" t="str">
            <v/>
          </cell>
          <cell r="N1380" t="str">
            <v>HKA-24197</v>
          </cell>
          <cell r="O1380" t="str">
            <v>HEKA</v>
          </cell>
          <cell r="P1380" t="str">
            <v>ADET</v>
          </cell>
          <cell r="Q1380" t="str">
            <v>LED</v>
          </cell>
          <cell r="R1380" t="str">
            <v>METAL</v>
          </cell>
          <cell r="S1380" t="str">
            <v>SİYAH</v>
          </cell>
          <cell r="T1380" t="str">
            <v>AKRİLİK</v>
          </cell>
          <cell r="U1380" t="str">
            <v>ŞEFFAF</v>
          </cell>
          <cell r="X1380" t="str">
            <v>110V-220V</v>
          </cell>
          <cell r="Z1380" t="str">
            <v>3000 K</v>
          </cell>
          <cell r="AF1380">
            <v>23</v>
          </cell>
          <cell r="AG1380" t="str">
            <v>ADET</v>
          </cell>
          <cell r="AH1380">
            <v>88.35</v>
          </cell>
          <cell r="AI1380" t="str">
            <v>CNY</v>
          </cell>
          <cell r="AJ1380">
            <v>7810</v>
          </cell>
          <cell r="AK1380" t="str">
            <v>TL</v>
          </cell>
          <cell r="AL1380">
            <v>1</v>
          </cell>
          <cell r="AM1380" t="str">
            <v>8684127513265</v>
          </cell>
          <cell r="AO1380">
            <v>1.05</v>
          </cell>
          <cell r="AP1380" t="str">
            <v>KG</v>
          </cell>
          <cell r="AQ1380">
            <v>12</v>
          </cell>
          <cell r="AR1380" t="str">
            <v>CM</v>
          </cell>
          <cell r="AS1380">
            <v>10</v>
          </cell>
          <cell r="AT1380" t="str">
            <v>CM</v>
          </cell>
          <cell r="AU1380">
            <v>0</v>
          </cell>
          <cell r="AW1380">
            <v>0</v>
          </cell>
        </row>
        <row r="1381">
          <cell r="B1381" t="str">
            <v>H1C6VRSJRS0-120</v>
          </cell>
          <cell r="C1381" t="str">
            <v>LİZBON SİYAH DERİ AVİZE</v>
          </cell>
          <cell r="D1381" t="str">
            <v>LİZBON BLACK LEATHER CHANDELIER</v>
          </cell>
          <cell r="E1381" t="str">
            <v xml:space="preserve">DERİ METAL SİYAH SİYAH   </v>
          </cell>
          <cell r="F1381" t="str">
            <v/>
          </cell>
          <cell r="G1381" t="str">
            <v>AVİZE</v>
          </cell>
          <cell r="H1381" t="str">
            <v/>
          </cell>
          <cell r="I1381" t="str">
            <v>İÇ</v>
          </cell>
          <cell r="J1381" t="str">
            <v>AVİZE</v>
          </cell>
          <cell r="K1381" t="str">
            <v>LİZBON</v>
          </cell>
          <cell r="L1381" t="str">
            <v/>
          </cell>
          <cell r="M1381" t="str">
            <v/>
          </cell>
          <cell r="N1381" t="str">
            <v>HKA-24243</v>
          </cell>
          <cell r="O1381" t="str">
            <v>HEKA</v>
          </cell>
          <cell r="P1381" t="str">
            <v>ADET</v>
          </cell>
          <cell r="Q1381" t="str">
            <v>LED</v>
          </cell>
          <cell r="R1381" t="str">
            <v>DERİ</v>
          </cell>
          <cell r="S1381" t="str">
            <v>SİYAH</v>
          </cell>
          <cell r="T1381" t="str">
            <v>METAL</v>
          </cell>
          <cell r="U1381" t="str">
            <v>SİYAH</v>
          </cell>
          <cell r="X1381" t="str">
            <v>85V-265V</v>
          </cell>
          <cell r="Z1381" t="str">
            <v>3000 K</v>
          </cell>
          <cell r="AF1381">
            <v>8</v>
          </cell>
          <cell r="AG1381" t="str">
            <v>ADET</v>
          </cell>
          <cell r="AH1381">
            <v>279.68</v>
          </cell>
          <cell r="AI1381" t="str">
            <v>CNY</v>
          </cell>
          <cell r="AJ1381">
            <v>23500</v>
          </cell>
          <cell r="AK1381" t="str">
            <v>TL</v>
          </cell>
          <cell r="AL1381">
            <v>1</v>
          </cell>
          <cell r="AM1381" t="str">
            <v>8684127513289</v>
          </cell>
          <cell r="AO1381">
            <v>1</v>
          </cell>
          <cell r="AP1381" t="str">
            <v>KG</v>
          </cell>
          <cell r="AQ1381">
            <v>100</v>
          </cell>
          <cell r="AR1381" t="str">
            <v>CM</v>
          </cell>
          <cell r="AS1381">
            <v>2</v>
          </cell>
          <cell r="AT1381" t="str">
            <v>CM</v>
          </cell>
          <cell r="AU1381">
            <v>0</v>
          </cell>
          <cell r="AW1381">
            <v>0</v>
          </cell>
        </row>
        <row r="1382">
          <cell r="B1382" t="str">
            <v>H1C6JMPVRG0-120</v>
          </cell>
          <cell r="C1382" t="str">
            <v>LUSAKA PLATİN GRİ DERİ AVİZE</v>
          </cell>
          <cell r="D1382" t="str">
            <v>LUSAKA PLATINUM GREY LEATHER CHANDELIER</v>
          </cell>
          <cell r="E1382" t="str">
            <v xml:space="preserve">METAL DERİ PLATİN GRİ   </v>
          </cell>
          <cell r="F1382" t="str">
            <v/>
          </cell>
          <cell r="G1382" t="str">
            <v>AVİZE</v>
          </cell>
          <cell r="H1382" t="str">
            <v/>
          </cell>
          <cell r="I1382" t="str">
            <v>İÇ</v>
          </cell>
          <cell r="J1382" t="str">
            <v>AVİZE</v>
          </cell>
          <cell r="K1382" t="str">
            <v>LUSAKA</v>
          </cell>
          <cell r="L1382" t="str">
            <v/>
          </cell>
          <cell r="M1382" t="str">
            <v/>
          </cell>
          <cell r="N1382" t="str">
            <v>HKA-24245</v>
          </cell>
          <cell r="O1382" t="str">
            <v>HEKA</v>
          </cell>
          <cell r="P1382" t="str">
            <v>ADET</v>
          </cell>
          <cell r="Q1382" t="str">
            <v>LED</v>
          </cell>
          <cell r="R1382" t="str">
            <v>METAL</v>
          </cell>
          <cell r="S1382" t="str">
            <v>PLATİN</v>
          </cell>
          <cell r="T1382" t="str">
            <v>DERİ</v>
          </cell>
          <cell r="U1382" t="str">
            <v>GRİ</v>
          </cell>
          <cell r="X1382" t="str">
            <v>110V-220V</v>
          </cell>
          <cell r="Z1382" t="str">
            <v>3000 K</v>
          </cell>
          <cell r="AF1382">
            <v>0</v>
          </cell>
          <cell r="AG1382" t="str">
            <v>ADET</v>
          </cell>
          <cell r="AH1382">
            <v>294.39999999999998</v>
          </cell>
          <cell r="AI1382" t="str">
            <v>CNY</v>
          </cell>
          <cell r="AJ1382">
            <v>24750</v>
          </cell>
          <cell r="AK1382" t="str">
            <v>TL</v>
          </cell>
          <cell r="AL1382">
            <v>1</v>
          </cell>
          <cell r="AM1382" t="str">
            <v>8684127514668</v>
          </cell>
          <cell r="AO1382">
            <v>1.2</v>
          </cell>
          <cell r="AP1382" t="str">
            <v>KG</v>
          </cell>
          <cell r="AQ1382">
            <v>120</v>
          </cell>
          <cell r="AR1382" t="str">
            <v>CM</v>
          </cell>
          <cell r="AS1382">
            <v>5.5</v>
          </cell>
          <cell r="AT1382" t="str">
            <v>CM</v>
          </cell>
          <cell r="AU1382">
            <v>0</v>
          </cell>
          <cell r="AW1382">
            <v>0</v>
          </cell>
        </row>
        <row r="1383">
          <cell r="B1383" t="str">
            <v>H1C6WRBJMEC-090</v>
          </cell>
          <cell r="C1383" t="str">
            <v>HELSİNKİ MERMER ESKİTME SARKIT 90cm</v>
          </cell>
          <cell r="D1383" t="str">
            <v>HELSİNKİ MARBLE BRUSHED BRASS PENDANT 90cm</v>
          </cell>
          <cell r="E1383" t="str">
            <v xml:space="preserve">MERMER METAL BEYAZ ESKİTME   </v>
          </cell>
          <cell r="F1383" t="str">
            <v/>
          </cell>
          <cell r="G1383" t="str">
            <v>AVİZE</v>
          </cell>
          <cell r="H1383" t="str">
            <v/>
          </cell>
          <cell r="I1383" t="str">
            <v>İÇ</v>
          </cell>
          <cell r="J1383" t="str">
            <v>AVİZE.SARK</v>
          </cell>
          <cell r="K1383" t="str">
            <v>HELSİNKİ</v>
          </cell>
          <cell r="L1383" t="str">
            <v/>
          </cell>
          <cell r="M1383" t="str">
            <v/>
          </cell>
          <cell r="N1383" t="str">
            <v>HKA-24232</v>
          </cell>
          <cell r="O1383" t="str">
            <v>HEKA</v>
          </cell>
          <cell r="P1383" t="str">
            <v>ADET</v>
          </cell>
          <cell r="Q1383" t="str">
            <v>LED</v>
          </cell>
          <cell r="R1383" t="str">
            <v>MERMER</v>
          </cell>
          <cell r="S1383" t="str">
            <v>BEYAZ</v>
          </cell>
          <cell r="T1383" t="str">
            <v>METAL</v>
          </cell>
          <cell r="U1383" t="str">
            <v>ESKİTME</v>
          </cell>
          <cell r="X1383" t="str">
            <v>220V</v>
          </cell>
          <cell r="Z1383" t="str">
            <v>3000 K</v>
          </cell>
          <cell r="AD1383" t="str">
            <v>SİLİNDİR</v>
          </cell>
          <cell r="AF1383">
            <v>0</v>
          </cell>
          <cell r="AG1383" t="str">
            <v>ADET</v>
          </cell>
          <cell r="AH1383">
            <v>863.2</v>
          </cell>
          <cell r="AI1383" t="str">
            <v>CNY</v>
          </cell>
          <cell r="AJ1383">
            <v>59900</v>
          </cell>
          <cell r="AK1383" t="str">
            <v>TL</v>
          </cell>
          <cell r="AL1383">
            <v>1</v>
          </cell>
          <cell r="AM1383" t="str">
            <v>8684127513357</v>
          </cell>
          <cell r="AO1383">
            <v>8.8000000000000007</v>
          </cell>
          <cell r="AP1383" t="str">
            <v>KG</v>
          </cell>
          <cell r="AQ1383">
            <v>200</v>
          </cell>
          <cell r="AR1383" t="str">
            <v>CM</v>
          </cell>
          <cell r="AS1383">
            <v>90</v>
          </cell>
          <cell r="AT1383" t="str">
            <v>CM</v>
          </cell>
          <cell r="AU1383">
            <v>0</v>
          </cell>
          <cell r="AW1383">
            <v>0</v>
          </cell>
        </row>
        <row r="1384">
          <cell r="B1384" t="str">
            <v>H1C6WRBJME0-013</v>
          </cell>
          <cell r="C1384" t="str">
            <v>HARARE MERMER ESKİTME SARKIT</v>
          </cell>
          <cell r="D1384" t="str">
            <v>HARARE MARBLE BRUSHED BRASS PENDANT</v>
          </cell>
          <cell r="E1384" t="str">
            <v xml:space="preserve">MERMER METAL BEYAZ ESKİTME   </v>
          </cell>
          <cell r="F1384" t="str">
            <v/>
          </cell>
          <cell r="G1384" t="str">
            <v>AVİZE</v>
          </cell>
          <cell r="H1384" t="str">
            <v/>
          </cell>
          <cell r="I1384" t="str">
            <v>İÇ</v>
          </cell>
          <cell r="J1384" t="str">
            <v>AVİZE.SARK</v>
          </cell>
          <cell r="K1384" t="str">
            <v>HARARE</v>
          </cell>
          <cell r="L1384" t="str">
            <v/>
          </cell>
          <cell r="M1384" t="str">
            <v/>
          </cell>
          <cell r="N1384" t="str">
            <v>HKA-24234</v>
          </cell>
          <cell r="O1384" t="str">
            <v>HEKA</v>
          </cell>
          <cell r="P1384" t="str">
            <v>ADET</v>
          </cell>
          <cell r="Q1384" t="str">
            <v>LED</v>
          </cell>
          <cell r="R1384" t="str">
            <v>MERMER</v>
          </cell>
          <cell r="S1384" t="str">
            <v>BEYAZ</v>
          </cell>
          <cell r="T1384" t="str">
            <v>METAL</v>
          </cell>
          <cell r="U1384" t="str">
            <v>ESKİTME</v>
          </cell>
          <cell r="X1384" t="str">
            <v>220V</v>
          </cell>
          <cell r="Z1384" t="str">
            <v>3000 K</v>
          </cell>
          <cell r="AD1384" t="str">
            <v>SİLİNDİR</v>
          </cell>
          <cell r="AF1384">
            <v>14</v>
          </cell>
          <cell r="AG1384" t="str">
            <v>ADET</v>
          </cell>
          <cell r="AH1384">
            <v>574.20000000000005</v>
          </cell>
          <cell r="AI1384" t="str">
            <v>CNY</v>
          </cell>
          <cell r="AJ1384">
            <v>48200</v>
          </cell>
          <cell r="AK1384" t="str">
            <v>TL</v>
          </cell>
          <cell r="AL1384">
            <v>0</v>
          </cell>
          <cell r="AM1384" t="str">
            <v>8684127513371</v>
          </cell>
          <cell r="AO1384">
            <v>3.8</v>
          </cell>
          <cell r="AP1384" t="str">
            <v>KG</v>
          </cell>
          <cell r="AQ1384">
            <v>1000</v>
          </cell>
          <cell r="AR1384" t="str">
            <v>CM</v>
          </cell>
          <cell r="AS1384">
            <v>80</v>
          </cell>
          <cell r="AT1384" t="str">
            <v>CM</v>
          </cell>
          <cell r="AU1384">
            <v>0</v>
          </cell>
          <cell r="AW1384">
            <v>0</v>
          </cell>
        </row>
        <row r="1385">
          <cell r="B1385" t="str">
            <v>H1W6JMGECT0-022</v>
          </cell>
          <cell r="C1385" t="str">
            <v>NEPAL PLATİN TEKLİ SOFT CAM APLİK</v>
          </cell>
          <cell r="D1385" t="str">
            <v>NEPAL PLATINUM SINGLE SOFT GLASS WALL LAMP</v>
          </cell>
          <cell r="E1385" t="str">
            <v xml:space="preserve">METAL CAM  PLATİN SOFT   </v>
          </cell>
          <cell r="F1385" t="str">
            <v/>
          </cell>
          <cell r="G1385" t="str">
            <v>APLİK</v>
          </cell>
          <cell r="H1385" t="str">
            <v/>
          </cell>
          <cell r="I1385" t="str">
            <v>İÇ</v>
          </cell>
          <cell r="J1385" t="str">
            <v>APLİK</v>
          </cell>
          <cell r="K1385" t="str">
            <v>NEPAL</v>
          </cell>
          <cell r="L1385" t="str">
            <v>Y</v>
          </cell>
          <cell r="M1385" t="str">
            <v>ÜRTM:15GÜN</v>
          </cell>
          <cell r="N1385" t="str">
            <v>HKA-24192</v>
          </cell>
          <cell r="O1385" t="str">
            <v>HEKA</v>
          </cell>
          <cell r="P1385" t="str">
            <v>ADET</v>
          </cell>
          <cell r="Q1385" t="str">
            <v>LED</v>
          </cell>
          <cell r="R1385" t="str">
            <v>METAL</v>
          </cell>
          <cell r="S1385" t="str">
            <v>PLATİN</v>
          </cell>
          <cell r="T1385" t="str">
            <v>CAM</v>
          </cell>
          <cell r="U1385" t="str">
            <v>SOFT</v>
          </cell>
          <cell r="X1385" t="str">
            <v>110V-220V</v>
          </cell>
          <cell r="Z1385" t="str">
            <v>3000 K</v>
          </cell>
          <cell r="AF1385">
            <v>10</v>
          </cell>
          <cell r="AG1385" t="str">
            <v>ADET</v>
          </cell>
          <cell r="AH1385">
            <v>60</v>
          </cell>
          <cell r="AI1385" t="str">
            <v>CNY</v>
          </cell>
          <cell r="AJ1385">
            <v>5040</v>
          </cell>
          <cell r="AK1385" t="str">
            <v>TL</v>
          </cell>
          <cell r="AL1385">
            <v>1</v>
          </cell>
          <cell r="AM1385" t="str">
            <v>8684127513593</v>
          </cell>
          <cell r="AO1385">
            <v>0.91</v>
          </cell>
          <cell r="AP1385" t="str">
            <v>KG</v>
          </cell>
          <cell r="AQ1385">
            <v>17</v>
          </cell>
          <cell r="AR1385" t="str">
            <v>CM</v>
          </cell>
          <cell r="AS1385">
            <v>13</v>
          </cell>
          <cell r="AT1385" t="str">
            <v>CM</v>
          </cell>
          <cell r="AU1385">
            <v>0</v>
          </cell>
          <cell r="AW1385">
            <v>0</v>
          </cell>
        </row>
        <row r="1386">
          <cell r="B1386" t="str">
            <v>H1W6JME000P-047</v>
          </cell>
          <cell r="C1386" t="str">
            <v xml:space="preserve">MAHYA  ESKİTME LED APLİK </v>
          </cell>
          <cell r="D1386" t="str">
            <v>MAHYA  BRUSHED BRASS LED WALL LAMP</v>
          </cell>
          <cell r="E1386" t="str">
            <v xml:space="preserve">METAL YOK ESKİTME YOK   </v>
          </cell>
          <cell r="F1386" t="str">
            <v/>
          </cell>
          <cell r="G1386" t="str">
            <v>APLİK</v>
          </cell>
          <cell r="H1386" t="str">
            <v/>
          </cell>
          <cell r="I1386" t="str">
            <v>İÇ</v>
          </cell>
          <cell r="J1386" t="str">
            <v>APLİK</v>
          </cell>
          <cell r="K1386" t="str">
            <v>MAHYA</v>
          </cell>
          <cell r="L1386" t="str">
            <v/>
          </cell>
          <cell r="M1386" t="str">
            <v/>
          </cell>
          <cell r="N1386" t="str">
            <v>HKA-23062</v>
          </cell>
          <cell r="O1386" t="str">
            <v>HEKA</v>
          </cell>
          <cell r="P1386" t="str">
            <v>ADET</v>
          </cell>
          <cell r="Q1386" t="str">
            <v>LED</v>
          </cell>
          <cell r="R1386" t="str">
            <v>METAL</v>
          </cell>
          <cell r="S1386" t="str">
            <v>ESKİTME</v>
          </cell>
          <cell r="AD1386" t="str">
            <v>POLİGONAL</v>
          </cell>
          <cell r="AF1386">
            <v>5</v>
          </cell>
          <cell r="AG1386" t="str">
            <v>ADET</v>
          </cell>
          <cell r="AH1386">
            <v>95</v>
          </cell>
          <cell r="AI1386" t="str">
            <v>CNY</v>
          </cell>
          <cell r="AJ1386">
            <v>4845</v>
          </cell>
          <cell r="AK1386" t="str">
            <v>TL</v>
          </cell>
          <cell r="AL1386">
            <v>0</v>
          </cell>
          <cell r="AM1386" t="str">
            <v>8684127511728</v>
          </cell>
          <cell r="AO1386">
            <v>0</v>
          </cell>
          <cell r="AQ1386">
            <v>0</v>
          </cell>
          <cell r="AS1386">
            <v>0</v>
          </cell>
          <cell r="AU1386">
            <v>0</v>
          </cell>
          <cell r="AW1386">
            <v>0</v>
          </cell>
        </row>
        <row r="1387">
          <cell r="B1387" t="str">
            <v>H1W2JMEECSC-068</v>
          </cell>
          <cell r="C1387" t="str">
            <v xml:space="preserve">ALFA ŞEFFAF CAMLI ESKİTME LED APLİK </v>
          </cell>
          <cell r="D1387" t="str">
            <v>ALFA CLEAR GLASS BRUSHED BRASS LED WALL LAMP</v>
          </cell>
          <cell r="E1387" t="str">
            <v xml:space="preserve">METAL CAM  ESKİTME ŞEFFAF   </v>
          </cell>
          <cell r="F1387" t="str">
            <v/>
          </cell>
          <cell r="G1387" t="str">
            <v>APLİK</v>
          </cell>
          <cell r="H1387" t="str">
            <v/>
          </cell>
          <cell r="I1387" t="str">
            <v>İÇ</v>
          </cell>
          <cell r="J1387" t="str">
            <v>APLİK</v>
          </cell>
          <cell r="K1387" t="str">
            <v>ALFA</v>
          </cell>
          <cell r="L1387" t="str">
            <v/>
          </cell>
          <cell r="M1387" t="str">
            <v/>
          </cell>
          <cell r="N1387" t="str">
            <v>HKA-23063</v>
          </cell>
          <cell r="O1387" t="str">
            <v>HEKA</v>
          </cell>
          <cell r="P1387" t="str">
            <v>ADET</v>
          </cell>
          <cell r="Q1387" t="str">
            <v>E27</v>
          </cell>
          <cell r="R1387" t="str">
            <v>METAL</v>
          </cell>
          <cell r="S1387" t="str">
            <v>ESKİTME</v>
          </cell>
          <cell r="T1387" t="str">
            <v>CAM</v>
          </cell>
          <cell r="U1387" t="str">
            <v>ŞEFFAF</v>
          </cell>
          <cell r="AD1387" t="str">
            <v>SİLİNDİR</v>
          </cell>
          <cell r="AE1387" t="str">
            <v>01</v>
          </cell>
          <cell r="AF1387">
            <v>0</v>
          </cell>
          <cell r="AG1387" t="str">
            <v>ADET</v>
          </cell>
          <cell r="AH1387">
            <v>85</v>
          </cell>
          <cell r="AI1387" t="str">
            <v>CNY</v>
          </cell>
          <cell r="AJ1387">
            <v>6250</v>
          </cell>
          <cell r="AK1387" t="str">
            <v>TL</v>
          </cell>
          <cell r="AL1387">
            <v>0</v>
          </cell>
          <cell r="AM1387" t="str">
            <v>8684127511735</v>
          </cell>
          <cell r="AO1387">
            <v>0</v>
          </cell>
          <cell r="AQ1387">
            <v>0</v>
          </cell>
          <cell r="AS1387">
            <v>0</v>
          </cell>
          <cell r="AU1387">
            <v>0</v>
          </cell>
          <cell r="AW1387">
            <v>0</v>
          </cell>
        </row>
        <row r="1388">
          <cell r="B1388" t="str">
            <v>H1W6JRSERLF-012</v>
          </cell>
          <cell r="C1388" t="str">
            <v>LABRANDA TEKLİ  BAL CAMLI SİYAH LED APLİK 12cm</v>
          </cell>
          <cell r="D1388" t="str">
            <v>LABRANDA  SINGLE AMBER GLASS BLACK LED WALL LAMP 12cm</v>
          </cell>
          <cell r="E1388" t="str">
            <v xml:space="preserve">METAL CAM  SİYAH BAL   </v>
          </cell>
          <cell r="F1388" t="str">
            <v/>
          </cell>
          <cell r="G1388" t="str">
            <v>APLİK</v>
          </cell>
          <cell r="H1388" t="str">
            <v/>
          </cell>
          <cell r="I1388" t="str">
            <v>İÇ</v>
          </cell>
          <cell r="J1388" t="str">
            <v>APLİK</v>
          </cell>
          <cell r="K1388" t="str">
            <v>LABRANDA</v>
          </cell>
          <cell r="L1388" t="str">
            <v/>
          </cell>
          <cell r="M1388" t="str">
            <v>05.05.2026</v>
          </cell>
          <cell r="N1388" t="str">
            <v>HKA-23099</v>
          </cell>
          <cell r="O1388" t="str">
            <v>HEKA</v>
          </cell>
          <cell r="P1388" t="str">
            <v>ADET</v>
          </cell>
          <cell r="Q1388" t="str">
            <v>LED</v>
          </cell>
          <cell r="R1388" t="str">
            <v>METAL</v>
          </cell>
          <cell r="S1388" t="str">
            <v>SİYAH</v>
          </cell>
          <cell r="T1388" t="str">
            <v>CAM</v>
          </cell>
          <cell r="U1388" t="str">
            <v>BAL</v>
          </cell>
          <cell r="AF1388">
            <v>27</v>
          </cell>
          <cell r="AG1388" t="str">
            <v>ADET</v>
          </cell>
          <cell r="AH1388">
            <v>55</v>
          </cell>
          <cell r="AI1388" t="str">
            <v>CNY</v>
          </cell>
          <cell r="AJ1388">
            <v>3213</v>
          </cell>
          <cell r="AK1388" t="str">
            <v>TL</v>
          </cell>
          <cell r="AL1388">
            <v>1</v>
          </cell>
          <cell r="AM1388" t="str">
            <v>8684127511872</v>
          </cell>
          <cell r="AO1388">
            <v>0</v>
          </cell>
          <cell r="AQ1388">
            <v>0</v>
          </cell>
          <cell r="AS1388">
            <v>0</v>
          </cell>
          <cell r="AU1388">
            <v>0</v>
          </cell>
          <cell r="AW1388">
            <v>0</v>
          </cell>
        </row>
        <row r="1389">
          <cell r="B1389" t="str">
            <v>H1W6JRSERLF-015</v>
          </cell>
          <cell r="C1389" t="str">
            <v>LABRANDA TEKLİ  BAL CAMLI SİYAH LED APLİK 15cm</v>
          </cell>
          <cell r="D1389" t="str">
            <v>LABRANDA  SINGLE AMBER GLASS BLACK LED WALL LAMP 15cm</v>
          </cell>
          <cell r="E1389" t="str">
            <v xml:space="preserve">METAL CAM  SİYAH BAL   </v>
          </cell>
          <cell r="F1389" t="str">
            <v/>
          </cell>
          <cell r="G1389" t="str">
            <v>APLİK</v>
          </cell>
          <cell r="H1389" t="str">
            <v/>
          </cell>
          <cell r="I1389" t="str">
            <v>İÇ</v>
          </cell>
          <cell r="J1389" t="str">
            <v>APLİK</v>
          </cell>
          <cell r="K1389" t="str">
            <v>LABRANDA</v>
          </cell>
          <cell r="L1389" t="str">
            <v/>
          </cell>
          <cell r="M1389" t="str">
            <v>05.05.2026</v>
          </cell>
          <cell r="N1389" t="str">
            <v>HKA-23101</v>
          </cell>
          <cell r="O1389" t="str">
            <v>HEKA</v>
          </cell>
          <cell r="P1389" t="str">
            <v>ADET</v>
          </cell>
          <cell r="Q1389" t="str">
            <v>LED</v>
          </cell>
          <cell r="R1389" t="str">
            <v>METAL</v>
          </cell>
          <cell r="S1389" t="str">
            <v>SİYAH</v>
          </cell>
          <cell r="T1389" t="str">
            <v>CAM</v>
          </cell>
          <cell r="U1389" t="str">
            <v>BAL</v>
          </cell>
          <cell r="AF1389">
            <v>2</v>
          </cell>
          <cell r="AG1389" t="str">
            <v>ADET</v>
          </cell>
          <cell r="AH1389">
            <v>60</v>
          </cell>
          <cell r="AI1389" t="str">
            <v>CNY</v>
          </cell>
          <cell r="AJ1389">
            <v>3570</v>
          </cell>
          <cell r="AK1389" t="str">
            <v>TL</v>
          </cell>
          <cell r="AL1389">
            <v>1</v>
          </cell>
          <cell r="AM1389" t="str">
            <v>8684127511902</v>
          </cell>
          <cell r="AO1389">
            <v>0</v>
          </cell>
          <cell r="AQ1389">
            <v>0</v>
          </cell>
          <cell r="AS1389">
            <v>0</v>
          </cell>
          <cell r="AU1389">
            <v>0</v>
          </cell>
          <cell r="AW1389">
            <v>0</v>
          </cell>
        </row>
        <row r="1390">
          <cell r="B1390" t="str">
            <v>H1F6JMEWRBP-160</v>
          </cell>
          <cell r="C1390" t="str">
            <v>YASUR  MERMER  ESKİTME LAMBADER  160cm</v>
          </cell>
          <cell r="D1390" t="str">
            <v>YASUR  MERMER  ESKİTME LAMBADER  160cm</v>
          </cell>
          <cell r="E1390" t="str">
            <v xml:space="preserve">METAL MERMER ESKİTME BEYAZ   </v>
          </cell>
          <cell r="F1390" t="str">
            <v/>
          </cell>
          <cell r="G1390" t="str">
            <v>LAMBADER</v>
          </cell>
          <cell r="H1390" t="str">
            <v/>
          </cell>
          <cell r="I1390" t="str">
            <v>İÇ</v>
          </cell>
          <cell r="J1390" t="str">
            <v>LAMBADER</v>
          </cell>
          <cell r="K1390" t="str">
            <v>YASUR</v>
          </cell>
          <cell r="L1390" t="str">
            <v/>
          </cell>
          <cell r="M1390" t="str">
            <v/>
          </cell>
          <cell r="N1390" t="str">
            <v/>
          </cell>
          <cell r="O1390" t="str">
            <v>HEKA</v>
          </cell>
          <cell r="P1390" t="str">
            <v>ADET</v>
          </cell>
          <cell r="Q1390" t="str">
            <v>LED</v>
          </cell>
          <cell r="R1390" t="str">
            <v>METAL</v>
          </cell>
          <cell r="S1390" t="str">
            <v>ESKİTME</v>
          </cell>
          <cell r="T1390" t="str">
            <v>MERMER</v>
          </cell>
          <cell r="U1390" t="str">
            <v>BEYAZ</v>
          </cell>
          <cell r="AD1390" t="str">
            <v>POLİGONAL</v>
          </cell>
          <cell r="AG1390" t="str">
            <v>ADET</v>
          </cell>
          <cell r="AL1390">
            <v>0</v>
          </cell>
          <cell r="AO1390">
            <v>32</v>
          </cell>
          <cell r="AP1390" t="str">
            <v>KG</v>
          </cell>
          <cell r="AQ1390">
            <v>28</v>
          </cell>
          <cell r="AR1390" t="str">
            <v>CM</v>
          </cell>
          <cell r="AS1390">
            <v>28</v>
          </cell>
          <cell r="AT1390" t="str">
            <v>CM</v>
          </cell>
          <cell r="AU1390">
            <v>0</v>
          </cell>
          <cell r="AW1390">
            <v>0</v>
          </cell>
        </row>
        <row r="1391">
          <cell r="B1391" t="str">
            <v>H1F6JMEWRBY-160</v>
          </cell>
          <cell r="C1391" t="str">
            <v>ETNA  MERMER  ESKİTME LAMBADER  160cm</v>
          </cell>
          <cell r="D1391" t="str">
            <v>ETNA  MARBLE BRUSHED BRASS FLOOR LAMP 160cm</v>
          </cell>
          <cell r="E1391" t="str">
            <v xml:space="preserve">METAL MERMER ESKİTME BEYAZ   </v>
          </cell>
          <cell r="F1391" t="str">
            <v/>
          </cell>
          <cell r="G1391" t="str">
            <v>LAMBADER</v>
          </cell>
          <cell r="H1391" t="str">
            <v/>
          </cell>
          <cell r="I1391" t="str">
            <v>İÇ</v>
          </cell>
          <cell r="J1391" t="str">
            <v>LAMBADER</v>
          </cell>
          <cell r="K1391" t="str">
            <v>ETNA</v>
          </cell>
          <cell r="L1391" t="str">
            <v/>
          </cell>
          <cell r="M1391" t="str">
            <v/>
          </cell>
          <cell r="N1391" t="str">
            <v/>
          </cell>
          <cell r="O1391" t="str">
            <v>HEKA</v>
          </cell>
          <cell r="P1391" t="str">
            <v>ADET</v>
          </cell>
          <cell r="Q1391" t="str">
            <v>LED</v>
          </cell>
          <cell r="R1391" t="str">
            <v>METAL</v>
          </cell>
          <cell r="S1391" t="str">
            <v>ESKİTME</v>
          </cell>
          <cell r="T1391" t="str">
            <v>MERMER</v>
          </cell>
          <cell r="U1391" t="str">
            <v>BEYAZ</v>
          </cell>
          <cell r="AD1391" t="str">
            <v>KÜRE</v>
          </cell>
          <cell r="AG1391" t="str">
            <v>ADET</v>
          </cell>
          <cell r="AL1391">
            <v>0</v>
          </cell>
          <cell r="AO1391">
            <v>28</v>
          </cell>
          <cell r="AP1391" t="str">
            <v>KG</v>
          </cell>
          <cell r="AQ1391">
            <v>30</v>
          </cell>
          <cell r="AR1391" t="str">
            <v>CM</v>
          </cell>
          <cell r="AS1391">
            <v>30</v>
          </cell>
          <cell r="AT1391" t="str">
            <v>CM</v>
          </cell>
          <cell r="AU1391">
            <v>0</v>
          </cell>
          <cell r="AW1391">
            <v>0</v>
          </cell>
        </row>
        <row r="1392">
          <cell r="B1392" t="str">
            <v>H1C6JMEWRBD-080</v>
          </cell>
          <cell r="C1392" t="str">
            <v>TETA BEYAZ MERMERLİ ESKİTME SARKIT  80cm</v>
          </cell>
          <cell r="D1392" t="str">
            <v>TETA WHITE MARBLE BRUSHED BRASS PENDANT LAMP 80cm</v>
          </cell>
          <cell r="E1392" t="str">
            <v xml:space="preserve">METAL MERMER ESKİTME BEYAZ   </v>
          </cell>
          <cell r="F1392" t="str">
            <v/>
          </cell>
          <cell r="G1392" t="str">
            <v>AVİZE</v>
          </cell>
          <cell r="H1392" t="str">
            <v/>
          </cell>
          <cell r="I1392" t="str">
            <v>İÇ</v>
          </cell>
          <cell r="J1392" t="str">
            <v>AVİZE.SARK</v>
          </cell>
          <cell r="K1392" t="str">
            <v>TETA</v>
          </cell>
          <cell r="L1392" t="str">
            <v/>
          </cell>
          <cell r="M1392" t="str">
            <v>30.01.2026</v>
          </cell>
          <cell r="N1392" t="str">
            <v>HKA-24084</v>
          </cell>
          <cell r="O1392" t="str">
            <v>HEKA</v>
          </cell>
          <cell r="P1392" t="str">
            <v>ADET</v>
          </cell>
          <cell r="Q1392" t="str">
            <v>LED</v>
          </cell>
          <cell r="R1392" t="str">
            <v>METAL</v>
          </cell>
          <cell r="S1392" t="str">
            <v>ESKİTME</v>
          </cell>
          <cell r="T1392" t="str">
            <v>MERMER</v>
          </cell>
          <cell r="U1392" t="str">
            <v>BEYAZ</v>
          </cell>
          <cell r="AD1392" t="str">
            <v>N/A</v>
          </cell>
          <cell r="AF1392">
            <v>6</v>
          </cell>
          <cell r="AG1392" t="str">
            <v>ADET</v>
          </cell>
          <cell r="AH1392">
            <v>3600</v>
          </cell>
          <cell r="AI1392" t="str">
            <v>CNY</v>
          </cell>
          <cell r="AJ1392">
            <v>244750</v>
          </cell>
          <cell r="AK1392" t="str">
            <v>TL</v>
          </cell>
          <cell r="AL1392">
            <v>0</v>
          </cell>
          <cell r="AM1392" t="str">
            <v>8684127512237</v>
          </cell>
          <cell r="AO1392">
            <v>0</v>
          </cell>
          <cell r="AQ1392">
            <v>0</v>
          </cell>
          <cell r="AS1392">
            <v>0</v>
          </cell>
          <cell r="AU1392">
            <v>0</v>
          </cell>
          <cell r="AW1392">
            <v>0</v>
          </cell>
        </row>
        <row r="1393">
          <cell r="B1393" t="str">
            <v>H1C6JMELCSP-090</v>
          </cell>
          <cell r="C1393" t="str">
            <v>SURINAM KRİSTAL AKRİLİK ESKİTME AVİZE</v>
          </cell>
          <cell r="D1393" t="str">
            <v>SURINAM CRYSTAL ACRYLIC BRUSHED BRASS CHANDELIER</v>
          </cell>
          <cell r="E1393" t="str">
            <v>METAL AKRİLİK ESKİTME ŞEFFAF</v>
          </cell>
          <cell r="F1393" t="str">
            <v/>
          </cell>
          <cell r="G1393" t="str">
            <v>AVİZE</v>
          </cell>
          <cell r="H1393" t="str">
            <v/>
          </cell>
          <cell r="I1393" t="str">
            <v>İÇ</v>
          </cell>
          <cell r="J1393" t="str">
            <v>AVİZE</v>
          </cell>
          <cell r="K1393" t="str">
            <v>SURINAM</v>
          </cell>
          <cell r="L1393" t="str">
            <v/>
          </cell>
          <cell r="M1393" t="str">
            <v/>
          </cell>
          <cell r="N1393" t="str">
            <v>HKA-24313</v>
          </cell>
          <cell r="O1393" t="str">
            <v>HEKA</v>
          </cell>
          <cell r="P1393" t="str">
            <v>ADET</v>
          </cell>
          <cell r="Q1393" t="str">
            <v>LED</v>
          </cell>
          <cell r="R1393" t="str">
            <v>METAL</v>
          </cell>
          <cell r="S1393" t="str">
            <v>ESKİTME</v>
          </cell>
          <cell r="T1393" t="str">
            <v>AKRİLİK</v>
          </cell>
          <cell r="U1393" t="str">
            <v>ŞEFFAF</v>
          </cell>
          <cell r="AD1393" t="str">
            <v>POLİGONAL</v>
          </cell>
          <cell r="AF1393">
            <v>13</v>
          </cell>
          <cell r="AG1393" t="str">
            <v>ADET</v>
          </cell>
          <cell r="AH1393">
            <v>1400</v>
          </cell>
          <cell r="AI1393" t="str">
            <v>CNY</v>
          </cell>
          <cell r="AJ1393">
            <v>117600</v>
          </cell>
          <cell r="AK1393" t="str">
            <v>TL</v>
          </cell>
          <cell r="AL1393">
            <v>1</v>
          </cell>
          <cell r="AM1393" t="str">
            <v>8684127513937</v>
          </cell>
          <cell r="AO1393">
            <v>0</v>
          </cell>
          <cell r="AQ1393">
            <v>120</v>
          </cell>
          <cell r="AR1393" t="str">
            <v>CM</v>
          </cell>
          <cell r="AS1393">
            <v>90</v>
          </cell>
          <cell r="AT1393" t="str">
            <v>CM</v>
          </cell>
          <cell r="AU1393">
            <v>0</v>
          </cell>
          <cell r="AW1393">
            <v>0</v>
          </cell>
        </row>
        <row r="1394">
          <cell r="B1394" t="str">
            <v>H1W6JRSWRBC-052</v>
          </cell>
          <cell r="C1394" t="str">
            <v>ORKOS BEYAZ MERMERLİ SİYAH APLİK  52cm</v>
          </cell>
          <cell r="D1394" t="str">
            <v>ORKOS WHITE MARBLE BLACK WALL LAMP 52cm</v>
          </cell>
          <cell r="E1394" t="str">
            <v xml:space="preserve">METAL MERMER SİYAH BEYAZ   </v>
          </cell>
          <cell r="F1394" t="str">
            <v/>
          </cell>
          <cell r="G1394" t="str">
            <v>APLİK</v>
          </cell>
          <cell r="H1394" t="str">
            <v/>
          </cell>
          <cell r="I1394" t="str">
            <v>İÇ</v>
          </cell>
          <cell r="J1394" t="str">
            <v>APLİK</v>
          </cell>
          <cell r="K1394" t="str">
            <v>ORKOS</v>
          </cell>
          <cell r="L1394" t="str">
            <v/>
          </cell>
          <cell r="M1394" t="str">
            <v/>
          </cell>
          <cell r="N1394" t="str">
            <v>HKA-24325</v>
          </cell>
          <cell r="O1394" t="str">
            <v>HEKA</v>
          </cell>
          <cell r="P1394" t="str">
            <v>ADET</v>
          </cell>
          <cell r="Q1394" t="str">
            <v>LED</v>
          </cell>
          <cell r="R1394" t="str">
            <v>METAL</v>
          </cell>
          <cell r="S1394" t="str">
            <v>SİYAH</v>
          </cell>
          <cell r="T1394" t="str">
            <v>MERMER</v>
          </cell>
          <cell r="U1394" t="str">
            <v>BEYAZ</v>
          </cell>
          <cell r="AD1394" t="str">
            <v>DAİRE</v>
          </cell>
          <cell r="AF1394">
            <v>50</v>
          </cell>
          <cell r="AG1394" t="str">
            <v>ADET</v>
          </cell>
          <cell r="AH1394">
            <v>150</v>
          </cell>
          <cell r="AI1394" t="str">
            <v>CNY</v>
          </cell>
          <cell r="AJ1394">
            <v>16800</v>
          </cell>
          <cell r="AK1394" t="str">
            <v>TL</v>
          </cell>
          <cell r="AL1394">
            <v>0</v>
          </cell>
          <cell r="AM1394" t="str">
            <v>8684127512589</v>
          </cell>
          <cell r="AO1394">
            <v>0</v>
          </cell>
          <cell r="AQ1394">
            <v>0</v>
          </cell>
          <cell r="AS1394">
            <v>0</v>
          </cell>
          <cell r="AU1394">
            <v>0</v>
          </cell>
          <cell r="AW1394">
            <v>0</v>
          </cell>
        </row>
        <row r="1395">
          <cell r="B1395" t="str">
            <v>H1C3JMEECTD-200</v>
          </cell>
          <cell r="C1395" t="str">
            <v>DEMET ESKİTME YEMEK MASASI AVİZESİ 17 Lİ</v>
          </cell>
          <cell r="D1395" t="str">
            <v>DEMET DINING TABLE BRUSHED BRASS CHANDELIER 17 BULB</v>
          </cell>
          <cell r="E1395" t="str">
            <v xml:space="preserve">METAL CAM  ESKİTME SOFT   </v>
          </cell>
          <cell r="F1395" t="str">
            <v/>
          </cell>
          <cell r="G1395" t="str">
            <v>AVİZE</v>
          </cell>
          <cell r="H1395" t="str">
            <v/>
          </cell>
          <cell r="I1395" t="str">
            <v>İÇ</v>
          </cell>
          <cell r="J1395" t="str">
            <v>AVİZE</v>
          </cell>
          <cell r="K1395" t="str">
            <v>DEMET</v>
          </cell>
          <cell r="L1395" t="str">
            <v/>
          </cell>
          <cell r="M1395" t="str">
            <v/>
          </cell>
          <cell r="N1395" t="str">
            <v>HKA-24343</v>
          </cell>
          <cell r="P1395" t="str">
            <v>ADET</v>
          </cell>
          <cell r="Q1395" t="str">
            <v>G9</v>
          </cell>
          <cell r="R1395" t="str">
            <v>METAL</v>
          </cell>
          <cell r="S1395" t="str">
            <v>ESKİTME</v>
          </cell>
          <cell r="T1395" t="str">
            <v>CAM</v>
          </cell>
          <cell r="U1395" t="str">
            <v>SOFT</v>
          </cell>
          <cell r="AD1395" t="str">
            <v>DİKDÖRTGEN</v>
          </cell>
          <cell r="AE1395" t="str">
            <v>17</v>
          </cell>
          <cell r="AF1395">
            <v>1</v>
          </cell>
          <cell r="AG1395" t="str">
            <v>ADET</v>
          </cell>
          <cell r="AL1395">
            <v>0</v>
          </cell>
          <cell r="AO1395">
            <v>0</v>
          </cell>
          <cell r="AQ1395">
            <v>0</v>
          </cell>
          <cell r="AS1395">
            <v>0</v>
          </cell>
          <cell r="AU1395">
            <v>0</v>
          </cell>
          <cell r="AW1395">
            <v>0</v>
          </cell>
        </row>
        <row r="1396">
          <cell r="B1396" t="str">
            <v>H1C2JMEECT0-035</v>
          </cell>
          <cell r="C1396" t="str">
            <v>ELEGAN ESKİTME ÜÇLÜ GLOP BEYAZ CAMLI SARKIT AVİZE</v>
          </cell>
          <cell r="D1396" t="str">
            <v>ELEGAN DUAL TRIPLE WHITE GLASS  BRUSHED BRASS PENDANT</v>
          </cell>
          <cell r="E1396" t="str">
            <v xml:space="preserve">METAL CAM  ESKİTME SOFT   </v>
          </cell>
          <cell r="F1396" t="str">
            <v/>
          </cell>
          <cell r="G1396" t="str">
            <v>AVİZE</v>
          </cell>
          <cell r="H1396" t="str">
            <v/>
          </cell>
          <cell r="I1396" t="str">
            <v>İÇ</v>
          </cell>
          <cell r="J1396" t="str">
            <v>AVİZE</v>
          </cell>
          <cell r="K1396" t="str">
            <v>ELEGAN</v>
          </cell>
          <cell r="L1396" t="str">
            <v/>
          </cell>
          <cell r="M1396" t="str">
            <v/>
          </cell>
          <cell r="N1396" t="str">
            <v>HKA-24346</v>
          </cell>
          <cell r="O1396" t="str">
            <v>HEKA</v>
          </cell>
          <cell r="P1396" t="str">
            <v>ADET</v>
          </cell>
          <cell r="Q1396" t="str">
            <v>E27</v>
          </cell>
          <cell r="R1396" t="str">
            <v>METAL</v>
          </cell>
          <cell r="S1396" t="str">
            <v>ESKİTME</v>
          </cell>
          <cell r="T1396" t="str">
            <v>CAM</v>
          </cell>
          <cell r="U1396" t="str">
            <v>SOFT</v>
          </cell>
          <cell r="AE1396" t="str">
            <v>04</v>
          </cell>
          <cell r="AF1396">
            <v>5</v>
          </cell>
          <cell r="AG1396" t="str">
            <v>ADET</v>
          </cell>
          <cell r="AL1396">
            <v>0</v>
          </cell>
          <cell r="AM1396" t="str">
            <v>8684127512282</v>
          </cell>
          <cell r="AO1396">
            <v>0</v>
          </cell>
          <cell r="AQ1396">
            <v>0</v>
          </cell>
          <cell r="AS1396">
            <v>0</v>
          </cell>
          <cell r="AU1396">
            <v>0</v>
          </cell>
          <cell r="AW1396">
            <v>0</v>
          </cell>
        </row>
        <row r="1397">
          <cell r="B1397" t="str">
            <v>H1C2JMEECT0-017</v>
          </cell>
          <cell r="C1397" t="str">
            <v>SAFİR ESKİTME TEKLİ GLOP BEYAZ CAMLI SARKIT AVİZE</v>
          </cell>
          <cell r="D1397" t="str">
            <v>SAFİR SINGLE GLOPE WHITE GLASS  BRUSHED BRASS PENDANT</v>
          </cell>
          <cell r="E1397" t="str">
            <v xml:space="preserve">METAL CAM  ESKİTME SOFT   </v>
          </cell>
          <cell r="F1397" t="str">
            <v/>
          </cell>
          <cell r="G1397" t="str">
            <v>AVİZE</v>
          </cell>
          <cell r="H1397" t="str">
            <v/>
          </cell>
          <cell r="I1397" t="str">
            <v>İÇ</v>
          </cell>
          <cell r="J1397" t="str">
            <v>AVİZE</v>
          </cell>
          <cell r="K1397" t="str">
            <v>SAFİR</v>
          </cell>
          <cell r="L1397" t="str">
            <v/>
          </cell>
          <cell r="M1397" t="str">
            <v/>
          </cell>
          <cell r="N1397" t="str">
            <v>HKA-24360</v>
          </cell>
          <cell r="O1397" t="str">
            <v>HEKA</v>
          </cell>
          <cell r="P1397" t="str">
            <v>ADET</v>
          </cell>
          <cell r="Q1397" t="str">
            <v>E27</v>
          </cell>
          <cell r="R1397" t="str">
            <v>METAL</v>
          </cell>
          <cell r="S1397" t="str">
            <v>ESKİTME</v>
          </cell>
          <cell r="T1397" t="str">
            <v>CAM</v>
          </cell>
          <cell r="U1397" t="str">
            <v>SOFT</v>
          </cell>
          <cell r="AE1397" t="str">
            <v>02</v>
          </cell>
          <cell r="AG1397" t="str">
            <v>ADET</v>
          </cell>
          <cell r="AL1397">
            <v>0</v>
          </cell>
          <cell r="AM1397" t="str">
            <v>8684127512428</v>
          </cell>
          <cell r="AO1397">
            <v>0</v>
          </cell>
          <cell r="AQ1397">
            <v>0</v>
          </cell>
          <cell r="AS1397">
            <v>0</v>
          </cell>
          <cell r="AU1397">
            <v>0</v>
          </cell>
          <cell r="AW1397">
            <v>0</v>
          </cell>
        </row>
        <row r="1398">
          <cell r="B1398" t="str">
            <v>H1C2JMEERL0-017</v>
          </cell>
          <cell r="C1398" t="str">
            <v>SAFİR ESKİTME TEKLİ GLOP BAL CAMLI SARKIT AVİZE</v>
          </cell>
          <cell r="D1398" t="str">
            <v>SAFİR SINGLE GLOPE AMBER GLASS  BRUSHED BRASS PENDANT</v>
          </cell>
          <cell r="E1398" t="str">
            <v xml:space="preserve">METAL CAM  ESKİTME BAL   </v>
          </cell>
          <cell r="F1398" t="str">
            <v/>
          </cell>
          <cell r="G1398" t="str">
            <v>AVİZE</v>
          </cell>
          <cell r="H1398" t="str">
            <v/>
          </cell>
          <cell r="I1398" t="str">
            <v>İÇ</v>
          </cell>
          <cell r="J1398" t="str">
            <v>AVİZE</v>
          </cell>
          <cell r="K1398" t="str">
            <v>SAFİR</v>
          </cell>
          <cell r="L1398" t="str">
            <v/>
          </cell>
          <cell r="M1398" t="str">
            <v/>
          </cell>
          <cell r="N1398" t="str">
            <v>HKA-24364</v>
          </cell>
          <cell r="O1398" t="str">
            <v>HEKA</v>
          </cell>
          <cell r="P1398" t="str">
            <v>ADET</v>
          </cell>
          <cell r="Q1398" t="str">
            <v>E27</v>
          </cell>
          <cell r="R1398" t="str">
            <v>METAL</v>
          </cell>
          <cell r="S1398" t="str">
            <v>ESKİTME</v>
          </cell>
          <cell r="T1398" t="str">
            <v>CAM</v>
          </cell>
          <cell r="U1398" t="str">
            <v>BAL</v>
          </cell>
          <cell r="AE1398" t="str">
            <v>02</v>
          </cell>
          <cell r="AG1398" t="str">
            <v>ADET</v>
          </cell>
          <cell r="AL1398">
            <v>0</v>
          </cell>
          <cell r="AM1398" t="str">
            <v>8684127512466</v>
          </cell>
          <cell r="AO1398">
            <v>0</v>
          </cell>
          <cell r="AQ1398">
            <v>0</v>
          </cell>
          <cell r="AS1398">
            <v>0</v>
          </cell>
          <cell r="AU1398">
            <v>0</v>
          </cell>
          <cell r="AW1398">
            <v>0</v>
          </cell>
        </row>
        <row r="1399">
          <cell r="B1399" t="str">
            <v>H1C2YRBJRSC-030</v>
          </cell>
          <cell r="C1399" t="str">
            <v>ORBIT BEYAZ SOFT TOUCH SİLİNDİR SARKIT 25cm</v>
          </cell>
          <cell r="D1399" t="str">
            <v>ORBIT WHITE SOFT TOUCH CYLINDER PENDANT LAMP 25cm</v>
          </cell>
          <cell r="E1399" t="str">
            <v xml:space="preserve">POLİMER METAL BEYAZ SİYAH   </v>
          </cell>
          <cell r="F1399" t="str">
            <v/>
          </cell>
          <cell r="G1399" t="str">
            <v>AVİZE</v>
          </cell>
          <cell r="H1399" t="str">
            <v/>
          </cell>
          <cell r="I1399" t="str">
            <v>İÇ</v>
          </cell>
          <cell r="J1399" t="str">
            <v>AVİZE</v>
          </cell>
          <cell r="K1399" t="str">
            <v>ORBIT</v>
          </cell>
          <cell r="L1399" t="str">
            <v/>
          </cell>
          <cell r="M1399" t="str">
            <v/>
          </cell>
          <cell r="N1399" t="str">
            <v>HKA-24303</v>
          </cell>
          <cell r="O1399" t="str">
            <v>HEKA</v>
          </cell>
          <cell r="P1399" t="str">
            <v>ADET</v>
          </cell>
          <cell r="Q1399" t="str">
            <v>E27</v>
          </cell>
          <cell r="R1399" t="str">
            <v>POLİMER</v>
          </cell>
          <cell r="S1399" t="str">
            <v>BEYAZ</v>
          </cell>
          <cell r="T1399" t="str">
            <v>METAL</v>
          </cell>
          <cell r="U1399" t="str">
            <v>SİYAH</v>
          </cell>
          <cell r="AD1399" t="str">
            <v>SİLİNDİR</v>
          </cell>
          <cell r="AE1399" t="str">
            <v>01</v>
          </cell>
          <cell r="AF1399">
            <v>44</v>
          </cell>
          <cell r="AG1399" t="str">
            <v>ADET</v>
          </cell>
          <cell r="AH1399">
            <v>117</v>
          </cell>
          <cell r="AI1399" t="str">
            <v>CNY</v>
          </cell>
          <cell r="AJ1399">
            <v>9335</v>
          </cell>
          <cell r="AK1399" t="str">
            <v>TL</v>
          </cell>
          <cell r="AL1399">
            <v>1</v>
          </cell>
          <cell r="AM1399" t="str">
            <v>8684127512862</v>
          </cell>
          <cell r="AO1399">
            <v>0</v>
          </cell>
          <cell r="AQ1399">
            <v>0</v>
          </cell>
          <cell r="AS1399">
            <v>0</v>
          </cell>
          <cell r="AU1399">
            <v>0</v>
          </cell>
          <cell r="AW1399">
            <v>0</v>
          </cell>
        </row>
        <row r="1400">
          <cell r="B1400" t="str">
            <v>H1C2YRBLCS0-080</v>
          </cell>
          <cell r="C1400" t="str">
            <v>EPSILON BEYAZ SOFT TOUCH ŞEFFAF PLEKSİ SARKIT 80cm</v>
          </cell>
          <cell r="D1400" t="str">
            <v>EPSILON WHITE SOFT TOUCH CLEAR PLEXY PENDANT LAMP 80cm</v>
          </cell>
          <cell r="E1400" t="str">
            <v xml:space="preserve">POLİMER PLEKSİ BEYAZ ŞEFFAF   </v>
          </cell>
          <cell r="F1400" t="str">
            <v/>
          </cell>
          <cell r="G1400" t="str">
            <v>AVİZE</v>
          </cell>
          <cell r="H1400" t="str">
            <v/>
          </cell>
          <cell r="I1400" t="str">
            <v>İÇ</v>
          </cell>
          <cell r="J1400" t="str">
            <v>AVİZE</v>
          </cell>
          <cell r="K1400" t="str">
            <v>EPSILON</v>
          </cell>
          <cell r="L1400" t="str">
            <v/>
          </cell>
          <cell r="M1400" t="str">
            <v/>
          </cell>
          <cell r="N1400" t="str">
            <v>HKA-24305</v>
          </cell>
          <cell r="O1400" t="str">
            <v>HEKA</v>
          </cell>
          <cell r="P1400" t="str">
            <v>ADET</v>
          </cell>
          <cell r="Q1400" t="str">
            <v>E27</v>
          </cell>
          <cell r="R1400" t="str">
            <v>POLİMER</v>
          </cell>
          <cell r="S1400" t="str">
            <v>BEYAZ</v>
          </cell>
          <cell r="T1400" t="str">
            <v>PLEKSİ</v>
          </cell>
          <cell r="U1400" t="str">
            <v>ŞEFFAF</v>
          </cell>
          <cell r="AD1400" t="str">
            <v>N/A</v>
          </cell>
          <cell r="AE1400" t="str">
            <v>06</v>
          </cell>
          <cell r="AF1400">
            <v>11</v>
          </cell>
          <cell r="AG1400" t="str">
            <v>ADET</v>
          </cell>
          <cell r="AH1400">
            <v>675</v>
          </cell>
          <cell r="AI1400" t="str">
            <v>CNY</v>
          </cell>
          <cell r="AJ1400">
            <v>53820</v>
          </cell>
          <cell r="AK1400" t="str">
            <v>TL</v>
          </cell>
          <cell r="AL1400">
            <v>1</v>
          </cell>
          <cell r="AM1400" t="str">
            <v>8684127512886</v>
          </cell>
          <cell r="AO1400">
            <v>0</v>
          </cell>
          <cell r="AQ1400">
            <v>0</v>
          </cell>
          <cell r="AS1400">
            <v>0</v>
          </cell>
          <cell r="AU1400">
            <v>0</v>
          </cell>
          <cell r="AW1400">
            <v>0</v>
          </cell>
        </row>
        <row r="1401">
          <cell r="B1401" t="str">
            <v>H1C6YRBJRSP-174</v>
          </cell>
          <cell r="C1401" t="str">
            <v>ALTAIR BEYAZ SOFT TOUCH POLİGONAL SARKIT 190cm</v>
          </cell>
          <cell r="D1401" t="str">
            <v>ALTAIR WHITE SOFT TOUCH POLYGONAL PENDANT LAMP 190cm</v>
          </cell>
          <cell r="E1401" t="str">
            <v xml:space="preserve">POLİMER METAL BEYAZ SİYAH   </v>
          </cell>
          <cell r="F1401" t="str">
            <v/>
          </cell>
          <cell r="G1401" t="str">
            <v>AVİZE</v>
          </cell>
          <cell r="H1401" t="str">
            <v/>
          </cell>
          <cell r="I1401" t="str">
            <v>İÇ</v>
          </cell>
          <cell r="J1401" t="str">
            <v>AVİZE</v>
          </cell>
          <cell r="K1401" t="str">
            <v>ALTAIR</v>
          </cell>
          <cell r="L1401" t="str">
            <v/>
          </cell>
          <cell r="M1401" t="str">
            <v/>
          </cell>
          <cell r="N1401" t="str">
            <v>HKA-24312</v>
          </cell>
          <cell r="O1401" t="str">
            <v>HEKA</v>
          </cell>
          <cell r="P1401" t="str">
            <v>ADET</v>
          </cell>
          <cell r="Q1401" t="str">
            <v>LED</v>
          </cell>
          <cell r="R1401" t="str">
            <v>POLİMER</v>
          </cell>
          <cell r="S1401" t="str">
            <v>BEYAZ</v>
          </cell>
          <cell r="T1401" t="str">
            <v>METAL</v>
          </cell>
          <cell r="U1401" t="str">
            <v>SİYAH</v>
          </cell>
          <cell r="AD1401" t="str">
            <v>POLİGONAL</v>
          </cell>
          <cell r="AE1401" t="str">
            <v>02</v>
          </cell>
          <cell r="AF1401">
            <v>19</v>
          </cell>
          <cell r="AG1401" t="str">
            <v>ADET</v>
          </cell>
          <cell r="AH1401">
            <v>1782</v>
          </cell>
          <cell r="AI1401" t="str">
            <v>CNY</v>
          </cell>
          <cell r="AJ1401">
            <v>142220</v>
          </cell>
          <cell r="AK1401" t="str">
            <v>TL</v>
          </cell>
          <cell r="AL1401">
            <v>1</v>
          </cell>
          <cell r="AM1401" t="str">
            <v>8684127512954</v>
          </cell>
          <cell r="AO1401">
            <v>0</v>
          </cell>
          <cell r="AQ1401">
            <v>0</v>
          </cell>
          <cell r="AS1401">
            <v>0</v>
          </cell>
          <cell r="AU1401">
            <v>0</v>
          </cell>
          <cell r="AW1401">
            <v>0</v>
          </cell>
        </row>
        <row r="1402">
          <cell r="B1402" t="str">
            <v>H1W6JMKECS0-083</v>
          </cell>
          <cell r="C1402" t="str">
            <v>ÜSKÜP ŞEFFAF KRİSTAL KROM ÜÇLÜ APLİK</v>
          </cell>
          <cell r="D1402" t="str">
            <v>ÜSKÜP TRIPLE CLEAR CRYSTAL CHROME  WALL LAMP</v>
          </cell>
          <cell r="E1402" t="str">
            <v>METAL KRİSTAL  KROM ŞEFFAF</v>
          </cell>
          <cell r="F1402" t="str">
            <v/>
          </cell>
          <cell r="G1402" t="str">
            <v>APLİK</v>
          </cell>
          <cell r="H1402" t="str">
            <v/>
          </cell>
          <cell r="I1402" t="str">
            <v>İÇ</v>
          </cell>
          <cell r="J1402" t="str">
            <v>APLİK</v>
          </cell>
          <cell r="K1402" t="str">
            <v>ÜSKÜP</v>
          </cell>
          <cell r="L1402" t="str">
            <v/>
          </cell>
          <cell r="M1402" t="str">
            <v/>
          </cell>
          <cell r="N1402" t="str">
            <v>HKA-24183</v>
          </cell>
          <cell r="O1402" t="str">
            <v>HEKA</v>
          </cell>
          <cell r="P1402" t="str">
            <v>ADET</v>
          </cell>
          <cell r="Q1402" t="str">
            <v>LED</v>
          </cell>
          <cell r="R1402" t="str">
            <v>METAL</v>
          </cell>
          <cell r="S1402" t="str">
            <v>KROM</v>
          </cell>
          <cell r="T1402" t="str">
            <v>KRİSTAL</v>
          </cell>
          <cell r="U1402" t="str">
            <v>ŞEFFAF</v>
          </cell>
          <cell r="X1402" t="str">
            <v>110V-220V</v>
          </cell>
          <cell r="Z1402" t="str">
            <v>3000 K</v>
          </cell>
          <cell r="AB1402" t="str">
            <v>401-500</v>
          </cell>
          <cell r="AF1402">
            <v>9</v>
          </cell>
          <cell r="AG1402" t="str">
            <v>ADET</v>
          </cell>
          <cell r="AH1402">
            <v>738</v>
          </cell>
          <cell r="AI1402" t="str">
            <v>CNY</v>
          </cell>
          <cell r="AJ1402">
            <v>47500</v>
          </cell>
          <cell r="AK1402" t="str">
            <v>TL</v>
          </cell>
          <cell r="AL1402">
            <v>1</v>
          </cell>
          <cell r="AM1402" t="str">
            <v>8684127513104</v>
          </cell>
          <cell r="AO1402">
            <v>1.61</v>
          </cell>
          <cell r="AP1402" t="str">
            <v>KG</v>
          </cell>
          <cell r="AQ1402">
            <v>9</v>
          </cell>
          <cell r="AR1402" t="str">
            <v>CM</v>
          </cell>
          <cell r="AS1402">
            <v>18</v>
          </cell>
          <cell r="AT1402" t="str">
            <v>CM</v>
          </cell>
          <cell r="AU1402">
            <v>0</v>
          </cell>
          <cell r="AW1402">
            <v>0</v>
          </cell>
        </row>
        <row r="1403">
          <cell r="B1403" t="str">
            <v>H1C6JMKECS0-135</v>
          </cell>
          <cell r="C1403" t="str">
            <v>ÜSKÜP ALTILI ŞEFFAF KRİSTAL KROM Y.MASASI AVİZE</v>
          </cell>
          <cell r="D1403" t="str">
            <v>ÜSKÜP SIX CLEAR CRYSTAL CHROME DINNING ROOM CHANDELIER</v>
          </cell>
          <cell r="E1403" t="str">
            <v>METAL KRİSTAL  KROM ŞEFFAF</v>
          </cell>
          <cell r="F1403" t="str">
            <v/>
          </cell>
          <cell r="G1403" t="str">
            <v>AVİZE</v>
          </cell>
          <cell r="H1403" t="str">
            <v/>
          </cell>
          <cell r="I1403" t="str">
            <v>İÇ</v>
          </cell>
          <cell r="J1403" t="str">
            <v>AVİZE</v>
          </cell>
          <cell r="K1403" t="str">
            <v>ÜSKÜP</v>
          </cell>
          <cell r="L1403" t="str">
            <v/>
          </cell>
          <cell r="M1403" t="str">
            <v/>
          </cell>
          <cell r="N1403" t="str">
            <v>HKA-24185</v>
          </cell>
          <cell r="O1403" t="str">
            <v>HEKA</v>
          </cell>
          <cell r="P1403" t="str">
            <v>ADET</v>
          </cell>
          <cell r="Q1403" t="str">
            <v>LED</v>
          </cell>
          <cell r="R1403" t="str">
            <v>METAL</v>
          </cell>
          <cell r="S1403" t="str">
            <v>KROM</v>
          </cell>
          <cell r="T1403" t="str">
            <v>KRİSTAL</v>
          </cell>
          <cell r="U1403" t="str">
            <v>ŞEFFAF</v>
          </cell>
          <cell r="X1403" t="str">
            <v>110V-220V</v>
          </cell>
          <cell r="Z1403" t="str">
            <v>3000 K</v>
          </cell>
          <cell r="AB1403" t="str">
            <v>401-500</v>
          </cell>
          <cell r="AF1403">
            <v>12</v>
          </cell>
          <cell r="AG1403" t="str">
            <v>ADET</v>
          </cell>
          <cell r="AH1403">
            <v>1379.24</v>
          </cell>
          <cell r="AI1403" t="str">
            <v>CNY</v>
          </cell>
          <cell r="AJ1403">
            <v>88900</v>
          </cell>
          <cell r="AK1403" t="str">
            <v>TL</v>
          </cell>
          <cell r="AL1403">
            <v>1</v>
          </cell>
          <cell r="AM1403" t="str">
            <v>8684127513128</v>
          </cell>
          <cell r="AO1403">
            <v>2.83</v>
          </cell>
          <cell r="AP1403" t="str">
            <v>KG</v>
          </cell>
          <cell r="AQ1403">
            <v>18</v>
          </cell>
          <cell r="AR1403" t="str">
            <v>CM</v>
          </cell>
          <cell r="AS1403">
            <v>11</v>
          </cell>
          <cell r="AT1403" t="str">
            <v>CM</v>
          </cell>
          <cell r="AU1403">
            <v>0</v>
          </cell>
          <cell r="AW1403">
            <v>0</v>
          </cell>
        </row>
        <row r="1404">
          <cell r="B1404" t="str">
            <v>H1W6JRSBCS0-010</v>
          </cell>
          <cell r="C1404" t="str">
            <v>LİMA TEKLİ ŞEFFAF AKRİLİK PLATİN APLİK</v>
          </cell>
          <cell r="D1404" t="str">
            <v>LİMA SINGLE CLEAR ACYRLIC PLATINUM WALL LAMP</v>
          </cell>
          <cell r="E1404" t="str">
            <v xml:space="preserve">METAL AKRİLİK PLATİN ŞEFFAF   </v>
          </cell>
          <cell r="F1404" t="str">
            <v/>
          </cell>
          <cell r="G1404" t="str">
            <v>APLİK</v>
          </cell>
          <cell r="H1404" t="str">
            <v/>
          </cell>
          <cell r="I1404" t="str">
            <v>İÇ</v>
          </cell>
          <cell r="J1404" t="str">
            <v>APLİK</v>
          </cell>
          <cell r="K1404" t="str">
            <v>LİMA</v>
          </cell>
          <cell r="L1404" t="str">
            <v/>
          </cell>
          <cell r="M1404" t="str">
            <v/>
          </cell>
          <cell r="N1404" t="str">
            <v>HKA-24240</v>
          </cell>
          <cell r="O1404" t="str">
            <v>HEKA</v>
          </cell>
          <cell r="P1404" t="str">
            <v>ADET</v>
          </cell>
          <cell r="Q1404" t="str">
            <v>LED</v>
          </cell>
          <cell r="R1404" t="str">
            <v>METAL</v>
          </cell>
          <cell r="S1404" t="str">
            <v>PLATİN</v>
          </cell>
          <cell r="T1404" t="str">
            <v>AKRİLİK</v>
          </cell>
          <cell r="U1404" t="str">
            <v>ŞEFFAF</v>
          </cell>
          <cell r="X1404" t="str">
            <v>110V-220V</v>
          </cell>
          <cell r="Z1404" t="str">
            <v>3000 K</v>
          </cell>
          <cell r="AF1404">
            <v>40</v>
          </cell>
          <cell r="AG1404" t="str">
            <v>ADET</v>
          </cell>
          <cell r="AH1404">
            <v>96</v>
          </cell>
          <cell r="AI1404" t="str">
            <v>CNY</v>
          </cell>
          <cell r="AJ1404">
            <v>6720</v>
          </cell>
          <cell r="AK1404" t="str">
            <v>TL</v>
          </cell>
          <cell r="AL1404">
            <v>1</v>
          </cell>
          <cell r="AM1404" t="str">
            <v>8684127513197</v>
          </cell>
          <cell r="AO1404">
            <v>4</v>
          </cell>
          <cell r="AP1404" t="str">
            <v>KG</v>
          </cell>
          <cell r="AQ1404">
            <v>10</v>
          </cell>
          <cell r="AR1404" t="str">
            <v>CM</v>
          </cell>
          <cell r="AS1404">
            <v>10</v>
          </cell>
          <cell r="AT1404" t="str">
            <v>CM</v>
          </cell>
          <cell r="AU1404">
            <v>0</v>
          </cell>
          <cell r="AW1404">
            <v>0</v>
          </cell>
        </row>
        <row r="1405">
          <cell r="B1405" t="str">
            <v>H1W6JRSBCS0-039</v>
          </cell>
          <cell r="C1405" t="str">
            <v>LİMA ÜÇLÜ ŞEFFAF AKRİLİK PLATİN APLİK</v>
          </cell>
          <cell r="D1405" t="str">
            <v>LİMA TRIPLE CLEAR ACYRLIC PLATINUM WALL LAMP</v>
          </cell>
          <cell r="E1405" t="str">
            <v xml:space="preserve">METAL AKRİLİK PLATİN ŞEFFAF   </v>
          </cell>
          <cell r="F1405" t="str">
            <v/>
          </cell>
          <cell r="G1405" t="str">
            <v>APLİK</v>
          </cell>
          <cell r="H1405" t="str">
            <v/>
          </cell>
          <cell r="I1405" t="str">
            <v>İÇ</v>
          </cell>
          <cell r="J1405" t="str">
            <v>APLİK</v>
          </cell>
          <cell r="K1405" t="str">
            <v>LİMA</v>
          </cell>
          <cell r="L1405" t="str">
            <v/>
          </cell>
          <cell r="M1405" t="str">
            <v/>
          </cell>
          <cell r="N1405" t="str">
            <v>HKA-24242</v>
          </cell>
          <cell r="O1405" t="str">
            <v>HEKA</v>
          </cell>
          <cell r="P1405" t="str">
            <v>ADET</v>
          </cell>
          <cell r="Q1405" t="str">
            <v>LED</v>
          </cell>
          <cell r="R1405" t="str">
            <v>METAL</v>
          </cell>
          <cell r="S1405" t="str">
            <v>PLATİN</v>
          </cell>
          <cell r="T1405" t="str">
            <v>AKRİLİK</v>
          </cell>
          <cell r="U1405" t="str">
            <v>ŞEFFAF</v>
          </cell>
          <cell r="X1405" t="str">
            <v>110V-220V</v>
          </cell>
          <cell r="Z1405" t="str">
            <v>3000 K</v>
          </cell>
          <cell r="AF1405">
            <v>13</v>
          </cell>
          <cell r="AG1405" t="str">
            <v>ADET</v>
          </cell>
          <cell r="AH1405">
            <v>158.4</v>
          </cell>
          <cell r="AI1405" t="str">
            <v>CNY</v>
          </cell>
          <cell r="AJ1405">
            <v>11100</v>
          </cell>
          <cell r="AK1405" t="str">
            <v>TL</v>
          </cell>
          <cell r="AL1405">
            <v>1</v>
          </cell>
          <cell r="AM1405" t="str">
            <v>8684127513210</v>
          </cell>
          <cell r="AO1405">
            <v>6</v>
          </cell>
          <cell r="AP1405" t="str">
            <v>KG</v>
          </cell>
          <cell r="AQ1405">
            <v>3</v>
          </cell>
          <cell r="AR1405" t="str">
            <v>CM</v>
          </cell>
          <cell r="AS1405">
            <v>6</v>
          </cell>
          <cell r="AT1405" t="str">
            <v>CM</v>
          </cell>
          <cell r="AU1405">
            <v>0</v>
          </cell>
          <cell r="AW1405">
            <v>0</v>
          </cell>
        </row>
        <row r="1406">
          <cell r="B1406" t="str">
            <v>H1W6KRSBRB0-056</v>
          </cell>
          <cell r="C1406" t="str">
            <v>OSLO PLATİN PASLANMAZ BEYAZ AKRİLİK APLİK</v>
          </cell>
          <cell r="D1406" t="str">
            <v>OSLO PLATINUM STAINLESS STEEL WHITE ACYRLIC WALL LAMP</v>
          </cell>
          <cell r="E1406" t="str">
            <v xml:space="preserve">PASLANMAZ AKRİLİK PLATİN BEYAZ   </v>
          </cell>
          <cell r="F1406" t="str">
            <v/>
          </cell>
          <cell r="G1406" t="str">
            <v>APLİK</v>
          </cell>
          <cell r="H1406" t="str">
            <v/>
          </cell>
          <cell r="I1406" t="str">
            <v>İÇ</v>
          </cell>
          <cell r="J1406" t="str">
            <v>APLİK</v>
          </cell>
          <cell r="K1406" t="str">
            <v>OSLO</v>
          </cell>
          <cell r="L1406" t="str">
            <v/>
          </cell>
          <cell r="M1406" t="str">
            <v/>
          </cell>
          <cell r="N1406" t="str">
            <v>HKA-24161</v>
          </cell>
          <cell r="O1406" t="str">
            <v>HEKA</v>
          </cell>
          <cell r="P1406" t="str">
            <v>ADET</v>
          </cell>
          <cell r="Q1406" t="str">
            <v>LED</v>
          </cell>
          <cell r="R1406" t="str">
            <v>PASLANMAZ</v>
          </cell>
          <cell r="S1406" t="str">
            <v>PLATİN</v>
          </cell>
          <cell r="T1406" t="str">
            <v>AKRİLİK</v>
          </cell>
          <cell r="U1406" t="str">
            <v>BEYAZ</v>
          </cell>
          <cell r="X1406" t="str">
            <v>110V-220V</v>
          </cell>
          <cell r="Z1406" t="str">
            <v>3000 K</v>
          </cell>
          <cell r="AF1406">
            <v>17</v>
          </cell>
          <cell r="AG1406" t="str">
            <v>ADET</v>
          </cell>
          <cell r="AH1406">
            <v>124.8</v>
          </cell>
          <cell r="AI1406" t="str">
            <v>CNY</v>
          </cell>
          <cell r="AJ1406">
            <v>10450</v>
          </cell>
          <cell r="AK1406" t="str">
            <v>TL</v>
          </cell>
          <cell r="AL1406">
            <v>1</v>
          </cell>
          <cell r="AM1406" t="str">
            <v>8684127513432</v>
          </cell>
          <cell r="AO1406">
            <v>0</v>
          </cell>
          <cell r="AQ1406">
            <v>0</v>
          </cell>
          <cell r="AS1406">
            <v>0</v>
          </cell>
          <cell r="AU1406">
            <v>0</v>
          </cell>
          <cell r="AW1406">
            <v>0</v>
          </cell>
        </row>
        <row r="1407">
          <cell r="B1407" t="str">
            <v>H1C6KRSBRB0-056</v>
          </cell>
          <cell r="C1407" t="str">
            <v xml:space="preserve">OSLO TEKLİ PLATİN PASLANMAZ BEYAZ AKRİLİK AVİZE </v>
          </cell>
          <cell r="D1407" t="str">
            <v>OSLO SINGLE  PLATINUM STAINLESS STEEL WHITE ACYRLIC CHANDELIER</v>
          </cell>
          <cell r="E1407" t="str">
            <v xml:space="preserve">PASLANMAZ AKRİLİK PLATİN BEYAZ   </v>
          </cell>
          <cell r="F1407" t="str">
            <v/>
          </cell>
          <cell r="G1407" t="str">
            <v>AVİZE</v>
          </cell>
          <cell r="H1407" t="str">
            <v/>
          </cell>
          <cell r="I1407" t="str">
            <v>İÇ</v>
          </cell>
          <cell r="J1407" t="str">
            <v>AVİZE</v>
          </cell>
          <cell r="K1407" t="str">
            <v>OSLO</v>
          </cell>
          <cell r="L1407" t="str">
            <v/>
          </cell>
          <cell r="M1407" t="str">
            <v/>
          </cell>
          <cell r="N1407" t="str">
            <v>HKA-24163</v>
          </cell>
          <cell r="O1407" t="str">
            <v>HEKA</v>
          </cell>
          <cell r="P1407" t="str">
            <v>ADET</v>
          </cell>
          <cell r="Q1407" t="str">
            <v>LED</v>
          </cell>
          <cell r="R1407" t="str">
            <v>PASLANMAZ</v>
          </cell>
          <cell r="S1407" t="str">
            <v>PLATİN</v>
          </cell>
          <cell r="T1407" t="str">
            <v>AKRİLİK</v>
          </cell>
          <cell r="U1407" t="str">
            <v>BEYAZ</v>
          </cell>
          <cell r="X1407" t="str">
            <v>110V-220V</v>
          </cell>
          <cell r="Z1407" t="str">
            <v>3000 K</v>
          </cell>
          <cell r="AF1407">
            <v>151</v>
          </cell>
          <cell r="AG1407" t="str">
            <v>ADET</v>
          </cell>
          <cell r="AH1407">
            <v>124.8</v>
          </cell>
          <cell r="AI1407" t="str">
            <v>CNY</v>
          </cell>
          <cell r="AJ1407">
            <v>10450</v>
          </cell>
          <cell r="AK1407" t="str">
            <v>TL</v>
          </cell>
          <cell r="AL1407">
            <v>1</v>
          </cell>
          <cell r="AM1407" t="str">
            <v>8684127513456</v>
          </cell>
          <cell r="AO1407">
            <v>0</v>
          </cell>
          <cell r="AQ1407">
            <v>0</v>
          </cell>
          <cell r="AS1407">
            <v>0</v>
          </cell>
          <cell r="AU1407">
            <v>0</v>
          </cell>
          <cell r="AW1407">
            <v>0</v>
          </cell>
        </row>
        <row r="1408">
          <cell r="B1408" t="str">
            <v>H1C6KRSBRB0-045</v>
          </cell>
          <cell r="C1408" t="str">
            <v>BERN PLATİN PASLANMAZ AKRİLİK PLAFONYER 45 CM</v>
          </cell>
          <cell r="D1408" t="str">
            <v>BERN PLATINUM STAINLESS STEEL ACYRLIC PLAFONIER 45 CM</v>
          </cell>
          <cell r="E1408" t="str">
            <v xml:space="preserve">PASLANMAZ AKRİLİK PLATİN BEYAZ   </v>
          </cell>
          <cell r="F1408" t="str">
            <v/>
          </cell>
          <cell r="G1408" t="str">
            <v>AVİZE</v>
          </cell>
          <cell r="H1408" t="str">
            <v/>
          </cell>
          <cell r="I1408" t="str">
            <v>İÇ</v>
          </cell>
          <cell r="J1408" t="str">
            <v>AVİZE.PLF</v>
          </cell>
          <cell r="K1408" t="str">
            <v>BERN</v>
          </cell>
          <cell r="L1408" t="str">
            <v/>
          </cell>
          <cell r="M1408" t="str">
            <v/>
          </cell>
          <cell r="N1408" t="str">
            <v>HKA-24168</v>
          </cell>
          <cell r="O1408" t="str">
            <v>HEKA</v>
          </cell>
          <cell r="P1408" t="str">
            <v>ADET</v>
          </cell>
          <cell r="Q1408" t="str">
            <v>LED</v>
          </cell>
          <cell r="R1408" t="str">
            <v>PASLANMAZ</v>
          </cell>
          <cell r="S1408" t="str">
            <v>PLATİN</v>
          </cell>
          <cell r="T1408" t="str">
            <v>AKRİLİK</v>
          </cell>
          <cell r="U1408" t="str">
            <v>BEYAZ</v>
          </cell>
          <cell r="X1408" t="str">
            <v>110V-220V</v>
          </cell>
          <cell r="Z1408" t="str">
            <v>3000 K</v>
          </cell>
          <cell r="AF1408">
            <v>8</v>
          </cell>
          <cell r="AG1408" t="str">
            <v>ADET</v>
          </cell>
          <cell r="AH1408">
            <v>297.5</v>
          </cell>
          <cell r="AI1408" t="str">
            <v>CNY</v>
          </cell>
          <cell r="AJ1408">
            <v>19900</v>
          </cell>
          <cell r="AK1408" t="str">
            <v>TL</v>
          </cell>
          <cell r="AL1408">
            <v>1</v>
          </cell>
          <cell r="AM1408" t="str">
            <v>8684127516457</v>
          </cell>
          <cell r="AO1408">
            <v>0</v>
          </cell>
          <cell r="AQ1408">
            <v>0</v>
          </cell>
          <cell r="AS1408">
            <v>45</v>
          </cell>
          <cell r="AT1408" t="str">
            <v>CM</v>
          </cell>
          <cell r="AU1408">
            <v>0</v>
          </cell>
          <cell r="AW1408">
            <v>0</v>
          </cell>
        </row>
        <row r="1409">
          <cell r="B1409" t="str">
            <v>H1C6KRSBRB0-080</v>
          </cell>
          <cell r="C1409" t="str">
            <v>BERN PLATİN PASLANMAZ AKRİLİK PLAFONYER 80 CM</v>
          </cell>
          <cell r="D1409" t="str">
            <v>BERN PLATINUM STAINLESS STEEL ACYRLIC PLAFONIER 80 CM</v>
          </cell>
          <cell r="E1409" t="str">
            <v xml:space="preserve">PASLANMAZ AKRİLİK PLATİN BEYAZ   </v>
          </cell>
          <cell r="F1409" t="str">
            <v/>
          </cell>
          <cell r="G1409" t="str">
            <v>AVİZE</v>
          </cell>
          <cell r="H1409" t="str">
            <v/>
          </cell>
          <cell r="I1409" t="str">
            <v>İÇ</v>
          </cell>
          <cell r="J1409" t="str">
            <v>AVİZE.PLF</v>
          </cell>
          <cell r="K1409" t="str">
            <v>BERN</v>
          </cell>
          <cell r="L1409" t="str">
            <v/>
          </cell>
          <cell r="M1409" t="str">
            <v/>
          </cell>
          <cell r="N1409" t="str">
            <v>HKA-24170</v>
          </cell>
          <cell r="O1409" t="str">
            <v>HEKA</v>
          </cell>
          <cell r="P1409" t="str">
            <v>ADET</v>
          </cell>
          <cell r="Q1409" t="str">
            <v>LED</v>
          </cell>
          <cell r="R1409" t="str">
            <v>PASLANMAZ</v>
          </cell>
          <cell r="S1409" t="str">
            <v>PLATİN</v>
          </cell>
          <cell r="T1409" t="str">
            <v>AKRİLİK</v>
          </cell>
          <cell r="U1409" t="str">
            <v>BEYAZ</v>
          </cell>
          <cell r="X1409" t="str">
            <v>110V-220V</v>
          </cell>
          <cell r="Z1409" t="str">
            <v>3000 K</v>
          </cell>
          <cell r="AF1409">
            <v>8</v>
          </cell>
          <cell r="AG1409" t="str">
            <v>ADET</v>
          </cell>
          <cell r="AH1409">
            <v>577.5</v>
          </cell>
          <cell r="AI1409" t="str">
            <v>CNY</v>
          </cell>
          <cell r="AJ1409">
            <v>48500</v>
          </cell>
          <cell r="AK1409" t="str">
            <v>TL</v>
          </cell>
          <cell r="AL1409">
            <v>1</v>
          </cell>
          <cell r="AM1409" t="str">
            <v>8684127513524</v>
          </cell>
          <cell r="AO1409">
            <v>0</v>
          </cell>
          <cell r="AQ1409">
            <v>0</v>
          </cell>
          <cell r="AS1409">
            <v>80</v>
          </cell>
          <cell r="AT1409" t="str">
            <v>CM</v>
          </cell>
          <cell r="AU1409">
            <v>0</v>
          </cell>
          <cell r="AW1409">
            <v>0</v>
          </cell>
        </row>
        <row r="1410">
          <cell r="B1410" t="str">
            <v>H1C6KRSBRB0-088</v>
          </cell>
          <cell r="C1410" t="str">
            <v>BİŞKEK PLATİN PASLANMAZ AKRİLİK PLAFONYER 88 CM</v>
          </cell>
          <cell r="D1410" t="str">
            <v>BİŞKEK PLATINUM STAINLESS STEEL ACYRLIC PLAFONIER 88 CM</v>
          </cell>
          <cell r="E1410" t="str">
            <v xml:space="preserve">PASLANMAZ AKRİLİK PLATİN BEYAZ   </v>
          </cell>
          <cell r="F1410" t="str">
            <v/>
          </cell>
          <cell r="G1410" t="str">
            <v>AVİZE</v>
          </cell>
          <cell r="H1410" t="str">
            <v/>
          </cell>
          <cell r="I1410" t="str">
            <v>İÇ</v>
          </cell>
          <cell r="J1410" t="str">
            <v>AVİZE.PLF</v>
          </cell>
          <cell r="K1410" t="str">
            <v>BİŞKEK</v>
          </cell>
          <cell r="L1410" t="str">
            <v/>
          </cell>
          <cell r="M1410" t="str">
            <v/>
          </cell>
          <cell r="N1410" t="str">
            <v>HKA-24172</v>
          </cell>
          <cell r="O1410" t="str">
            <v>HEKA</v>
          </cell>
          <cell r="P1410" t="str">
            <v>ADET</v>
          </cell>
          <cell r="Q1410" t="str">
            <v>LED</v>
          </cell>
          <cell r="R1410" t="str">
            <v>PASLANMAZ</v>
          </cell>
          <cell r="S1410" t="str">
            <v>PLATİN</v>
          </cell>
          <cell r="T1410" t="str">
            <v>AKRİLİK</v>
          </cell>
          <cell r="U1410" t="str">
            <v>BEYAZ</v>
          </cell>
          <cell r="X1410" t="str">
            <v>110V-220V</v>
          </cell>
          <cell r="Z1410" t="str">
            <v>3000 K</v>
          </cell>
          <cell r="AF1410">
            <v>0</v>
          </cell>
          <cell r="AG1410" t="str">
            <v>ADET</v>
          </cell>
          <cell r="AH1410">
            <v>665</v>
          </cell>
          <cell r="AI1410" t="str">
            <v>CNY</v>
          </cell>
          <cell r="AJ1410">
            <v>67100</v>
          </cell>
          <cell r="AK1410" t="str">
            <v>TL</v>
          </cell>
          <cell r="AL1410">
            <v>1</v>
          </cell>
          <cell r="AM1410" t="str">
            <v>8684127516440</v>
          </cell>
          <cell r="AO1410">
            <v>0</v>
          </cell>
          <cell r="AQ1410">
            <v>0</v>
          </cell>
          <cell r="AS1410">
            <v>88</v>
          </cell>
          <cell r="AT1410" t="str">
            <v>CM</v>
          </cell>
          <cell r="AU1410">
            <v>0</v>
          </cell>
          <cell r="AW1410">
            <v>0</v>
          </cell>
        </row>
        <row r="1411">
          <cell r="B1411" t="str">
            <v>H1C2JMEECT0-046</v>
          </cell>
          <cell r="C1411" t="str">
            <v>RUBİS ESKİTME DÖRTLÜ GLOP BEYAZ CAMLI SARKIT AVİZE</v>
          </cell>
          <cell r="D1411" t="str">
            <v>RUBİS QUATERNARY GLOPE WHITE GLASS  BRUSHED BRASS PENDANT</v>
          </cell>
          <cell r="E1411" t="str">
            <v xml:space="preserve">METAL CAM  ESKİTME BAL   </v>
          </cell>
          <cell r="F1411" t="str">
            <v/>
          </cell>
          <cell r="G1411" t="str">
            <v>AVİZE</v>
          </cell>
          <cell r="H1411" t="str">
            <v/>
          </cell>
          <cell r="I1411" t="str">
            <v>İÇ</v>
          </cell>
          <cell r="J1411" t="str">
            <v>AVİZE</v>
          </cell>
          <cell r="K1411" t="str">
            <v>RUBİS</v>
          </cell>
          <cell r="L1411" t="str">
            <v/>
          </cell>
          <cell r="M1411" t="str">
            <v/>
          </cell>
          <cell r="N1411" t="str">
            <v>HKA-24355</v>
          </cell>
          <cell r="O1411" t="str">
            <v>HEKA</v>
          </cell>
          <cell r="P1411" t="str">
            <v>ADET</v>
          </cell>
          <cell r="Q1411" t="str">
            <v>E27</v>
          </cell>
          <cell r="R1411" t="str">
            <v>METAL</v>
          </cell>
          <cell r="S1411" t="str">
            <v>ESKİTME</v>
          </cell>
          <cell r="T1411" t="str">
            <v>CAM</v>
          </cell>
          <cell r="U1411" t="str">
            <v>SOFT</v>
          </cell>
          <cell r="AE1411" t="str">
            <v>05</v>
          </cell>
          <cell r="AG1411" t="str">
            <v>ADET</v>
          </cell>
          <cell r="AL1411">
            <v>0</v>
          </cell>
          <cell r="AM1411" t="str">
            <v>8684127512374</v>
          </cell>
          <cell r="AO1411">
            <v>0</v>
          </cell>
          <cell r="AQ1411">
            <v>0</v>
          </cell>
          <cell r="AS1411">
            <v>0</v>
          </cell>
          <cell r="AU1411">
            <v>0</v>
          </cell>
          <cell r="AW1411">
            <v>0</v>
          </cell>
        </row>
        <row r="1412">
          <cell r="B1412" t="str">
            <v>H1C2JMEERL0-013</v>
          </cell>
          <cell r="C1412" t="str">
            <v>VELVET ESKİTME TEKLİ GLOP BAL CAMLI SARKIT AVİZE</v>
          </cell>
          <cell r="D1412" t="str">
            <v>VELVET SINGLE GLOPE AMBER GLASS  BRUSHED BRASS PENDANT</v>
          </cell>
          <cell r="E1412" t="str">
            <v xml:space="preserve">METAL CAM  ESKİTME BAL   </v>
          </cell>
          <cell r="F1412" t="str">
            <v/>
          </cell>
          <cell r="G1412" t="str">
            <v>AVİZE</v>
          </cell>
          <cell r="H1412" t="str">
            <v/>
          </cell>
          <cell r="I1412" t="str">
            <v>İÇ</v>
          </cell>
          <cell r="J1412" t="str">
            <v>AVİZE</v>
          </cell>
          <cell r="K1412" t="str">
            <v>VELVET</v>
          </cell>
          <cell r="L1412" t="str">
            <v/>
          </cell>
          <cell r="M1412" t="str">
            <v/>
          </cell>
          <cell r="N1412" t="str">
            <v>HKA-24372</v>
          </cell>
          <cell r="O1412" t="str">
            <v>HEKA</v>
          </cell>
          <cell r="P1412" t="str">
            <v>ADET</v>
          </cell>
          <cell r="Q1412" t="str">
            <v>E27</v>
          </cell>
          <cell r="R1412" t="str">
            <v>METAL</v>
          </cell>
          <cell r="S1412" t="str">
            <v>ESKİTME</v>
          </cell>
          <cell r="T1412" t="str">
            <v>CAM</v>
          </cell>
          <cell r="U1412" t="str">
            <v>BAL</v>
          </cell>
          <cell r="AE1412" t="str">
            <v>02</v>
          </cell>
          <cell r="AG1412" t="str">
            <v>ADET</v>
          </cell>
          <cell r="AL1412">
            <v>0</v>
          </cell>
          <cell r="AM1412" t="str">
            <v>8684127512541</v>
          </cell>
          <cell r="AO1412">
            <v>0</v>
          </cell>
          <cell r="AQ1412">
            <v>0</v>
          </cell>
          <cell r="AS1412">
            <v>0</v>
          </cell>
          <cell r="AU1412">
            <v>0</v>
          </cell>
          <cell r="AW1412">
            <v>0</v>
          </cell>
        </row>
        <row r="1413">
          <cell r="B1413" t="str">
            <v>H1C2JMEECT0-037</v>
          </cell>
          <cell r="C1413" t="str">
            <v>VELVET ESKİTME ÜÇLÜ GLOP BEYAZ CAMLI SARKIT AVİZE</v>
          </cell>
          <cell r="D1413" t="str">
            <v>VELVET TRIPLE GLOPE WHITE GLASS  BRUSHED BRASS PENDANT</v>
          </cell>
          <cell r="E1413" t="str">
            <v xml:space="preserve">METAL CAM  ESKİTME SOFT   </v>
          </cell>
          <cell r="F1413" t="str">
            <v/>
          </cell>
          <cell r="G1413" t="str">
            <v>AVİZE</v>
          </cell>
          <cell r="H1413" t="str">
            <v/>
          </cell>
          <cell r="I1413" t="str">
            <v>İÇ</v>
          </cell>
          <cell r="J1413" t="str">
            <v>AVİZE</v>
          </cell>
          <cell r="K1413" t="str">
            <v>VELVET</v>
          </cell>
          <cell r="L1413" t="str">
            <v/>
          </cell>
          <cell r="M1413" t="str">
            <v/>
          </cell>
          <cell r="N1413" t="str">
            <v>HKA-24370</v>
          </cell>
          <cell r="O1413" t="str">
            <v>HEKA</v>
          </cell>
          <cell r="P1413" t="str">
            <v>ADET</v>
          </cell>
          <cell r="Q1413" t="str">
            <v>E27</v>
          </cell>
          <cell r="R1413" t="str">
            <v>METAL</v>
          </cell>
          <cell r="S1413" t="str">
            <v>ESKİTME</v>
          </cell>
          <cell r="T1413" t="str">
            <v>CAM</v>
          </cell>
          <cell r="U1413" t="str">
            <v>SOFT</v>
          </cell>
          <cell r="AE1413" t="str">
            <v>04</v>
          </cell>
          <cell r="AG1413" t="str">
            <v>ADET</v>
          </cell>
          <cell r="AL1413">
            <v>0</v>
          </cell>
          <cell r="AM1413" t="str">
            <v>8684127512527</v>
          </cell>
          <cell r="AO1413">
            <v>0</v>
          </cell>
          <cell r="AQ1413">
            <v>0</v>
          </cell>
          <cell r="AS1413">
            <v>0</v>
          </cell>
          <cell r="AU1413">
            <v>0</v>
          </cell>
          <cell r="AW1413">
            <v>0</v>
          </cell>
        </row>
        <row r="1414">
          <cell r="B1414" t="str">
            <v>H1F6WRBJRSY-158</v>
          </cell>
          <cell r="C1414" t="str">
            <v>LUMI  KÜRE MERMERLİ LED LAMBADER</v>
          </cell>
          <cell r="D1414" t="str">
            <v>LUMI SPHERE MARBLE LED FLOOR LAMP</v>
          </cell>
          <cell r="E1414" t="str">
            <v xml:space="preserve">MERMER METAL BEYAZ SİYAH   </v>
          </cell>
          <cell r="F1414" t="str">
            <v/>
          </cell>
          <cell r="G1414" t="str">
            <v>LAMBADER</v>
          </cell>
          <cell r="H1414" t="str">
            <v/>
          </cell>
          <cell r="I1414" t="str">
            <v>İÇ</v>
          </cell>
          <cell r="J1414" t="str">
            <v>LAMBADER</v>
          </cell>
          <cell r="K1414" t="str">
            <v>LUMI</v>
          </cell>
          <cell r="L1414" t="str">
            <v/>
          </cell>
          <cell r="M1414" t="str">
            <v/>
          </cell>
          <cell r="N1414" t="str">
            <v>HKA-24380</v>
          </cell>
          <cell r="O1414" t="str">
            <v>HEKA</v>
          </cell>
          <cell r="P1414" t="str">
            <v>ADET</v>
          </cell>
          <cell r="Q1414" t="str">
            <v>LED</v>
          </cell>
          <cell r="R1414" t="str">
            <v>MERMER</v>
          </cell>
          <cell r="S1414" t="str">
            <v>BEYAZ</v>
          </cell>
          <cell r="T1414" t="str">
            <v>METAL</v>
          </cell>
          <cell r="U1414" t="str">
            <v>SİYAH</v>
          </cell>
          <cell r="AD1414" t="str">
            <v>KARE</v>
          </cell>
          <cell r="AE1414" t="str">
            <v>01</v>
          </cell>
          <cell r="AF1414">
            <v>0</v>
          </cell>
          <cell r="AG1414" t="str">
            <v>ADET</v>
          </cell>
          <cell r="AJ1414">
            <v>178000</v>
          </cell>
          <cell r="AK1414" t="str">
            <v>TL</v>
          </cell>
          <cell r="AL1414">
            <v>0</v>
          </cell>
          <cell r="AO1414">
            <v>0</v>
          </cell>
          <cell r="AQ1414">
            <v>0</v>
          </cell>
          <cell r="AS1414">
            <v>0</v>
          </cell>
          <cell r="AU1414">
            <v>0</v>
          </cell>
          <cell r="AW1414">
            <v>0</v>
          </cell>
        </row>
        <row r="1415">
          <cell r="B1415" t="str">
            <v>CG2G1C3M1E5D1</v>
          </cell>
          <cell r="C1415" t="str">
            <v>ERD-906 G45 ŞEFFAF 6W 3000K E27 DİMLİ LED AMPUL</v>
          </cell>
          <cell r="D1415" t="str">
            <v>ERD-906 G45 CLEAR 6W 3000K E27 DIMMABLE LED BULB</v>
          </cell>
          <cell r="E1415" t="str">
            <v>CAM  METAL ŞEFFAF  FİLAMENT DİMMLİ G45</v>
          </cell>
          <cell r="F1415" t="str">
            <v>8539.52.00.00.00</v>
          </cell>
          <cell r="G1415" t="str">
            <v>AMPUL</v>
          </cell>
          <cell r="H1415" t="str">
            <v>CE21132D50V01</v>
          </cell>
          <cell r="I1415" t="str">
            <v>İÇ</v>
          </cell>
          <cell r="J1415" t="str">
            <v>AMPUL</v>
          </cell>
          <cell r="K1415" t="str">
            <v>ERD-906</v>
          </cell>
          <cell r="L1415" t="str">
            <v/>
          </cell>
          <cell r="M1415" t="str">
            <v/>
          </cell>
          <cell r="N1415" t="str">
            <v>ERD-906</v>
          </cell>
          <cell r="O1415" t="str">
            <v>HEKA</v>
          </cell>
          <cell r="P1415" t="str">
            <v>ADET</v>
          </cell>
          <cell r="Q1415" t="str">
            <v>E27</v>
          </cell>
          <cell r="R1415" t="str">
            <v>CAM</v>
          </cell>
          <cell r="S1415" t="str">
            <v>ŞEFFAF</v>
          </cell>
          <cell r="T1415" t="str">
            <v>METAL</v>
          </cell>
          <cell r="V1415" t="str">
            <v>G</v>
          </cell>
          <cell r="W1415" t="str">
            <v>FLAMENT</v>
          </cell>
          <cell r="X1415" t="str">
            <v>110V</v>
          </cell>
          <cell r="Y1415" t="str">
            <v>6 WATT</v>
          </cell>
          <cell r="Z1415" t="str">
            <v>3000 K</v>
          </cell>
          <cell r="AA1415" t="str">
            <v>DIMMLI</v>
          </cell>
          <cell r="AB1415" t="str">
            <v>601-700</v>
          </cell>
          <cell r="AC1415" t="str">
            <v>G45</v>
          </cell>
          <cell r="AD1415" t="str">
            <v>N/A</v>
          </cell>
          <cell r="AF1415">
            <v>116</v>
          </cell>
          <cell r="AG1415" t="str">
            <v>ADET</v>
          </cell>
          <cell r="AH1415">
            <v>3.7</v>
          </cell>
          <cell r="AI1415" t="str">
            <v>CNY</v>
          </cell>
          <cell r="AJ1415">
            <v>4.5999999999999996</v>
          </cell>
          <cell r="AK1415" t="str">
            <v>USD</v>
          </cell>
          <cell r="AL1415">
            <v>1</v>
          </cell>
          <cell r="AM1415" t="str">
            <v>8684127514712</v>
          </cell>
          <cell r="AO1415">
            <v>0</v>
          </cell>
          <cell r="AQ1415">
            <v>4.5</v>
          </cell>
          <cell r="AR1415" t="str">
            <v>CM</v>
          </cell>
          <cell r="AS1415">
            <v>4.5</v>
          </cell>
          <cell r="AT1415" t="str">
            <v>CM</v>
          </cell>
          <cell r="AU1415">
            <v>0</v>
          </cell>
          <cell r="AW1415">
            <v>0</v>
          </cell>
        </row>
        <row r="1416">
          <cell r="B1416" t="str">
            <v>H1F2YRBJM30-138</v>
          </cell>
          <cell r="C1416" t="str">
            <v>MIMOSA BEYAZ SOFT TOUCH LAMBADER 30cm</v>
          </cell>
          <cell r="D1416" t="str">
            <v>MIMOSA ELLIPSE WHITE SOFT TOUCH FLOOR LAMP 30cm</v>
          </cell>
          <cell r="E1416" t="str">
            <v xml:space="preserve">POLİMER METAL BEYAZ MAT KROM   </v>
          </cell>
          <cell r="F1416" t="str">
            <v/>
          </cell>
          <cell r="G1416" t="str">
            <v>LAMBADER</v>
          </cell>
          <cell r="H1416" t="str">
            <v/>
          </cell>
          <cell r="I1416" t="str">
            <v>İÇ</v>
          </cell>
          <cell r="J1416" t="str">
            <v>LAMBADER</v>
          </cell>
          <cell r="K1416" t="str">
            <v>MIMOSA</v>
          </cell>
          <cell r="L1416" t="str">
            <v/>
          </cell>
          <cell r="M1416" t="str">
            <v/>
          </cell>
          <cell r="N1416" t="str">
            <v>HKA-24282</v>
          </cell>
          <cell r="O1416" t="str">
            <v>HEKA</v>
          </cell>
          <cell r="P1416" t="str">
            <v>ADET</v>
          </cell>
          <cell r="Q1416" t="str">
            <v>E27</v>
          </cell>
          <cell r="R1416" t="str">
            <v>POLİMER</v>
          </cell>
          <cell r="S1416" t="str">
            <v>BEYAZ</v>
          </cell>
          <cell r="T1416" t="str">
            <v>METAL</v>
          </cell>
          <cell r="U1416" t="str">
            <v>MAT KROM</v>
          </cell>
          <cell r="AE1416" t="str">
            <v>01</v>
          </cell>
          <cell r="AF1416">
            <v>6</v>
          </cell>
          <cell r="AG1416" t="str">
            <v>ADET</v>
          </cell>
          <cell r="AH1416">
            <v>405</v>
          </cell>
          <cell r="AI1416" t="str">
            <v>CNY</v>
          </cell>
          <cell r="AJ1416">
            <v>32330</v>
          </cell>
          <cell r="AK1416" t="str">
            <v>TL</v>
          </cell>
          <cell r="AL1416">
            <v>1</v>
          </cell>
          <cell r="AM1416" t="str">
            <v>8684127512657</v>
          </cell>
          <cell r="AO1416">
            <v>0</v>
          </cell>
          <cell r="AQ1416">
            <v>0</v>
          </cell>
          <cell r="AS1416">
            <v>0</v>
          </cell>
          <cell r="AU1416">
            <v>0</v>
          </cell>
          <cell r="AW1416">
            <v>0</v>
          </cell>
        </row>
        <row r="1417">
          <cell r="B1417" t="str">
            <v>H1F2YRBJM30-117</v>
          </cell>
          <cell r="C1417" t="str">
            <v>MIMOSA BEYAZ SOFT TOUCH ÜÇ AYAKLI LAMBADER 45cm</v>
          </cell>
          <cell r="D1417" t="str">
            <v>MIMOSA WHITE SOFT TOUCH THREE LEGS FLOOR LAMP 45cm</v>
          </cell>
          <cell r="E1417" t="str">
            <v xml:space="preserve">POLİMER METAL BEYAZ MAT KROM   </v>
          </cell>
          <cell r="F1417" t="str">
            <v/>
          </cell>
          <cell r="G1417" t="str">
            <v>LAMBADER</v>
          </cell>
          <cell r="H1417" t="str">
            <v/>
          </cell>
          <cell r="I1417" t="str">
            <v>İÇ</v>
          </cell>
          <cell r="J1417" t="str">
            <v>LAMBADER</v>
          </cell>
          <cell r="K1417" t="str">
            <v>MIMOSA</v>
          </cell>
          <cell r="L1417" t="str">
            <v/>
          </cell>
          <cell r="M1417" t="str">
            <v/>
          </cell>
          <cell r="N1417" t="str">
            <v>HKA-24284</v>
          </cell>
          <cell r="O1417" t="str">
            <v>HEKA</v>
          </cell>
          <cell r="P1417" t="str">
            <v>ADET</v>
          </cell>
          <cell r="Q1417" t="str">
            <v>E27</v>
          </cell>
          <cell r="R1417" t="str">
            <v>POLİMER</v>
          </cell>
          <cell r="S1417" t="str">
            <v>BEYAZ</v>
          </cell>
          <cell r="T1417" t="str">
            <v>METAL</v>
          </cell>
          <cell r="U1417" t="str">
            <v>MAT KROM</v>
          </cell>
          <cell r="AE1417" t="str">
            <v>01</v>
          </cell>
          <cell r="AF1417">
            <v>8</v>
          </cell>
          <cell r="AG1417" t="str">
            <v>ADET</v>
          </cell>
          <cell r="AH1417">
            <v>765</v>
          </cell>
          <cell r="AI1417" t="str">
            <v>CNY</v>
          </cell>
          <cell r="AJ1417">
            <v>61075</v>
          </cell>
          <cell r="AK1417" t="str">
            <v>TL</v>
          </cell>
          <cell r="AL1417">
            <v>1</v>
          </cell>
          <cell r="AM1417" t="str">
            <v>8684127512671</v>
          </cell>
          <cell r="AO1417">
            <v>0</v>
          </cell>
          <cell r="AQ1417">
            <v>0</v>
          </cell>
          <cell r="AS1417">
            <v>0</v>
          </cell>
          <cell r="AU1417">
            <v>0</v>
          </cell>
          <cell r="AW1417">
            <v>0</v>
          </cell>
        </row>
        <row r="1418">
          <cell r="B1418" t="str">
            <v>H1F6YRBJM30-130</v>
          </cell>
          <cell r="C1418" t="str">
            <v>MIMOSA BEYAZ SOFT TOUCH  BOĞUMLU LAMBADER 28cm</v>
          </cell>
          <cell r="D1418" t="str">
            <v>MIMOSA WHITE SOFT TOUCH  KNOTTY FLOOR LAMP 28cm</v>
          </cell>
          <cell r="E1418" t="str">
            <v xml:space="preserve">POLİMER METAL BEYAZ MAT KROM   </v>
          </cell>
          <cell r="F1418" t="str">
            <v/>
          </cell>
          <cell r="G1418" t="str">
            <v>LAMBADER</v>
          </cell>
          <cell r="H1418" t="str">
            <v/>
          </cell>
          <cell r="I1418" t="str">
            <v>İÇ</v>
          </cell>
          <cell r="J1418" t="str">
            <v>LAMBADER</v>
          </cell>
          <cell r="K1418" t="str">
            <v>MIMOSA</v>
          </cell>
          <cell r="L1418" t="str">
            <v/>
          </cell>
          <cell r="M1418" t="str">
            <v/>
          </cell>
          <cell r="N1418" t="str">
            <v>HKA-24286</v>
          </cell>
          <cell r="O1418" t="str">
            <v>HEKA</v>
          </cell>
          <cell r="P1418" t="str">
            <v>ADET</v>
          </cell>
          <cell r="Q1418" t="str">
            <v>LED</v>
          </cell>
          <cell r="R1418" t="str">
            <v>POLİMER</v>
          </cell>
          <cell r="S1418" t="str">
            <v>BEYAZ</v>
          </cell>
          <cell r="T1418" t="str">
            <v>METAL</v>
          </cell>
          <cell r="U1418" t="str">
            <v>MAT KROM</v>
          </cell>
          <cell r="AE1418" t="str">
            <v>02</v>
          </cell>
          <cell r="AF1418">
            <v>8</v>
          </cell>
          <cell r="AG1418" t="str">
            <v>ADET</v>
          </cell>
          <cell r="AH1418">
            <v>585</v>
          </cell>
          <cell r="AI1418" t="str">
            <v>CNY</v>
          </cell>
          <cell r="AJ1418">
            <v>46695</v>
          </cell>
          <cell r="AK1418" t="str">
            <v>TL</v>
          </cell>
          <cell r="AL1418">
            <v>1</v>
          </cell>
          <cell r="AM1418" t="str">
            <v>8684127512695</v>
          </cell>
          <cell r="AO1418">
            <v>0</v>
          </cell>
          <cell r="AQ1418">
            <v>0</v>
          </cell>
          <cell r="AS1418">
            <v>0</v>
          </cell>
          <cell r="AU1418">
            <v>0</v>
          </cell>
          <cell r="AW1418">
            <v>0</v>
          </cell>
        </row>
        <row r="1419">
          <cell r="B1419" t="str">
            <v>H1C2YRBJM3E-051</v>
          </cell>
          <cell r="C1419" t="str">
            <v>STAR BEYAZ SOFT TOUCH ÇAPRAZ ELİPS SARKIT 50cm</v>
          </cell>
          <cell r="D1419" t="str">
            <v>STAR WHITE SOFT TOUCH CROSS ELLIPSE PENDANT LAMP 50cm</v>
          </cell>
          <cell r="E1419" t="str">
            <v xml:space="preserve">POLİMER METAL BEYAZ MAT KROM   </v>
          </cell>
          <cell r="F1419" t="str">
            <v/>
          </cell>
          <cell r="G1419" t="str">
            <v>AVİZE</v>
          </cell>
          <cell r="H1419" t="str">
            <v/>
          </cell>
          <cell r="I1419" t="str">
            <v>İÇ</v>
          </cell>
          <cell r="J1419" t="str">
            <v>AVİZE</v>
          </cell>
          <cell r="K1419" t="str">
            <v>STAR</v>
          </cell>
          <cell r="L1419" t="str">
            <v/>
          </cell>
          <cell r="M1419" t="str">
            <v/>
          </cell>
          <cell r="N1419" t="str">
            <v>HKA-24296</v>
          </cell>
          <cell r="O1419" t="str">
            <v>HEKA</v>
          </cell>
          <cell r="P1419" t="str">
            <v>ADET</v>
          </cell>
          <cell r="Q1419" t="str">
            <v>E27</v>
          </cell>
          <cell r="R1419" t="str">
            <v>POLİMER</v>
          </cell>
          <cell r="S1419" t="str">
            <v>BEYAZ</v>
          </cell>
          <cell r="T1419" t="str">
            <v>METAL</v>
          </cell>
          <cell r="U1419" t="str">
            <v>MAT KROM</v>
          </cell>
          <cell r="AD1419" t="str">
            <v>ELİPS</v>
          </cell>
          <cell r="AE1419" t="str">
            <v>01</v>
          </cell>
          <cell r="AF1419">
            <v>25</v>
          </cell>
          <cell r="AG1419" t="str">
            <v>ADET</v>
          </cell>
          <cell r="AH1419">
            <v>189</v>
          </cell>
          <cell r="AI1419" t="str">
            <v>CNY</v>
          </cell>
          <cell r="AJ1419">
            <v>15145</v>
          </cell>
          <cell r="AK1419" t="str">
            <v>TL</v>
          </cell>
          <cell r="AL1419">
            <v>1</v>
          </cell>
          <cell r="AM1419" t="str">
            <v>8684127512824</v>
          </cell>
          <cell r="AO1419">
            <v>0</v>
          </cell>
          <cell r="AQ1419">
            <v>0</v>
          </cell>
          <cell r="AS1419">
            <v>0</v>
          </cell>
          <cell r="AU1419">
            <v>0</v>
          </cell>
          <cell r="AW1419">
            <v>0</v>
          </cell>
        </row>
        <row r="1420">
          <cell r="B1420" t="str">
            <v>H1C2YRBJM3Y-030</v>
          </cell>
          <cell r="C1420" t="str">
            <v>STAR BEYAZ SOFT TOUCH ÇAPRAZ SARKIT 30cm</v>
          </cell>
          <cell r="D1420" t="str">
            <v>STAR WHITE SOFT TOUCH CROSS PENDANT LAMP 30cm</v>
          </cell>
          <cell r="E1420" t="str">
            <v xml:space="preserve">POLİMER METAL BEYAZ MAT KROM   </v>
          </cell>
          <cell r="F1420" t="str">
            <v/>
          </cell>
          <cell r="G1420" t="str">
            <v>AVİZE</v>
          </cell>
          <cell r="H1420" t="str">
            <v/>
          </cell>
          <cell r="I1420" t="str">
            <v>İÇ</v>
          </cell>
          <cell r="J1420" t="str">
            <v>AVİZE</v>
          </cell>
          <cell r="K1420" t="str">
            <v>STAR</v>
          </cell>
          <cell r="L1420" t="str">
            <v/>
          </cell>
          <cell r="M1420" t="str">
            <v/>
          </cell>
          <cell r="N1420" t="str">
            <v>HKA-24300</v>
          </cell>
          <cell r="O1420" t="str">
            <v>HEKA</v>
          </cell>
          <cell r="P1420" t="str">
            <v>ADET</v>
          </cell>
          <cell r="Q1420" t="str">
            <v>E27</v>
          </cell>
          <cell r="R1420" t="str">
            <v>POLİMER</v>
          </cell>
          <cell r="S1420" t="str">
            <v>BEYAZ</v>
          </cell>
          <cell r="T1420" t="str">
            <v>METAL</v>
          </cell>
          <cell r="U1420" t="str">
            <v>MAT KROM</v>
          </cell>
          <cell r="AD1420" t="str">
            <v>KÜRE</v>
          </cell>
          <cell r="AE1420" t="str">
            <v>01</v>
          </cell>
          <cell r="AF1420">
            <v>28</v>
          </cell>
          <cell r="AG1420" t="str">
            <v>ADET</v>
          </cell>
          <cell r="AH1420">
            <v>153</v>
          </cell>
          <cell r="AI1420" t="str">
            <v>CNY</v>
          </cell>
          <cell r="AJ1420">
            <v>12285</v>
          </cell>
          <cell r="AK1420" t="str">
            <v>TL</v>
          </cell>
          <cell r="AL1420">
            <v>1</v>
          </cell>
          <cell r="AM1420" t="str">
            <v>8684127512848</v>
          </cell>
          <cell r="AO1420">
            <v>0</v>
          </cell>
          <cell r="AQ1420">
            <v>0</v>
          </cell>
          <cell r="AS1420">
            <v>0</v>
          </cell>
          <cell r="AU1420">
            <v>0</v>
          </cell>
          <cell r="AW1420">
            <v>0</v>
          </cell>
        </row>
        <row r="1421">
          <cell r="B1421" t="str">
            <v>KUTU</v>
          </cell>
          <cell r="C1421" t="str">
            <v>KARTON KUTU</v>
          </cell>
          <cell r="D1421" t="str">
            <v/>
          </cell>
          <cell r="E1421" t="str">
            <v/>
          </cell>
          <cell r="F1421" t="str">
            <v>4819.20.00.00.19</v>
          </cell>
          <cell r="G1421" t="str">
            <v/>
          </cell>
          <cell r="H1421" t="str">
            <v/>
          </cell>
          <cell r="I1421" t="str">
            <v/>
          </cell>
          <cell r="J1421" t="str">
            <v/>
          </cell>
          <cell r="K1421" t="str">
            <v/>
          </cell>
          <cell r="L1421" t="str">
            <v/>
          </cell>
          <cell r="M1421" t="str">
            <v/>
          </cell>
          <cell r="N1421" t="str">
            <v/>
          </cell>
          <cell r="P1421" t="str">
            <v>ADET</v>
          </cell>
          <cell r="AF1421">
            <v>0</v>
          </cell>
          <cell r="AG1421" t="str">
            <v>ADET</v>
          </cell>
          <cell r="AL1421">
            <v>0</v>
          </cell>
          <cell r="AO1421">
            <v>0</v>
          </cell>
          <cell r="AQ1421">
            <v>0</v>
          </cell>
          <cell r="AS1421">
            <v>0</v>
          </cell>
          <cell r="AU1421">
            <v>0</v>
          </cell>
          <cell r="AW1421">
            <v>0</v>
          </cell>
        </row>
        <row r="1422">
          <cell r="B1422" t="str">
            <v>H1F3CMGERB0-156</v>
          </cell>
          <cell r="C1422" t="str">
            <v>DOHA 9 LU ROSE GOLD LAMBADER</v>
          </cell>
          <cell r="D1422" t="str">
            <v>DOHA 9 ROSE GOLD FLOOR LAMP</v>
          </cell>
          <cell r="E1422" t="str">
            <v xml:space="preserve">ALUMİNYUM CAM  ROSE GOLD BEYAZ   </v>
          </cell>
          <cell r="F1422" t="str">
            <v/>
          </cell>
          <cell r="G1422" t="str">
            <v>LAMBADER</v>
          </cell>
          <cell r="H1422" t="str">
            <v/>
          </cell>
          <cell r="I1422" t="str">
            <v>İÇ</v>
          </cell>
          <cell r="J1422" t="str">
            <v>LAMBADER</v>
          </cell>
          <cell r="K1422" t="str">
            <v>DOHA</v>
          </cell>
          <cell r="L1422" t="str">
            <v/>
          </cell>
          <cell r="M1422" t="str">
            <v/>
          </cell>
          <cell r="N1422" t="str">
            <v>HKA-24180</v>
          </cell>
          <cell r="O1422" t="str">
            <v>HEKA</v>
          </cell>
          <cell r="P1422" t="str">
            <v>ADET</v>
          </cell>
          <cell r="Q1422" t="str">
            <v>G9</v>
          </cell>
          <cell r="R1422" t="str">
            <v>ALUMİNYUM</v>
          </cell>
          <cell r="S1422" t="str">
            <v>ROSE GOLD</v>
          </cell>
          <cell r="T1422" t="str">
            <v>CAM</v>
          </cell>
          <cell r="U1422" t="str">
            <v>BEYAZ</v>
          </cell>
          <cell r="AE1422" t="str">
            <v>9</v>
          </cell>
          <cell r="AF1422">
            <v>8</v>
          </cell>
          <cell r="AG1422" t="str">
            <v>ADET</v>
          </cell>
          <cell r="AH1422">
            <v>1964.72</v>
          </cell>
          <cell r="AI1422" t="str">
            <v>CNY</v>
          </cell>
          <cell r="AJ1422">
            <v>129000</v>
          </cell>
          <cell r="AK1422" t="str">
            <v>TL</v>
          </cell>
          <cell r="AL1422">
            <v>1</v>
          </cell>
          <cell r="AM1422" t="str">
            <v>8684127513784</v>
          </cell>
          <cell r="AO1422">
            <v>5.28</v>
          </cell>
          <cell r="AP1422" t="str">
            <v>KG</v>
          </cell>
          <cell r="AQ1422">
            <v>38</v>
          </cell>
          <cell r="AR1422" t="str">
            <v>CM</v>
          </cell>
          <cell r="AS1422">
            <v>45</v>
          </cell>
          <cell r="AT1422" t="str">
            <v>CM</v>
          </cell>
          <cell r="AU1422">
            <v>0</v>
          </cell>
          <cell r="AW1422">
            <v>0</v>
          </cell>
        </row>
        <row r="1423">
          <cell r="B1423" t="str">
            <v>H1W6JMKECS0-030</v>
          </cell>
          <cell r="C1423" t="str">
            <v>ÜSKÜP ŞEFFAF KRİSTAL KROM TEKLİ APLİK</v>
          </cell>
          <cell r="D1423" t="str">
            <v>ÜSKÜP SINGLE CLEAR CRYSTAL CHROME WALL LAMP</v>
          </cell>
          <cell r="E1423" t="str">
            <v>METAL KRİSTAL  KROM ŞEFFAF</v>
          </cell>
          <cell r="F1423" t="str">
            <v/>
          </cell>
          <cell r="G1423" t="str">
            <v>APLİK</v>
          </cell>
          <cell r="H1423" t="str">
            <v/>
          </cell>
          <cell r="I1423" t="str">
            <v>İÇ</v>
          </cell>
          <cell r="J1423" t="str">
            <v>APLİK</v>
          </cell>
          <cell r="K1423" t="str">
            <v>ÜSKÜP</v>
          </cell>
          <cell r="L1423" t="str">
            <v/>
          </cell>
          <cell r="M1423" t="str">
            <v/>
          </cell>
          <cell r="N1423" t="str">
            <v>HKA-24181</v>
          </cell>
          <cell r="O1423" t="str">
            <v>HEKA</v>
          </cell>
          <cell r="P1423" t="str">
            <v>ADET</v>
          </cell>
          <cell r="Q1423" t="str">
            <v>LED</v>
          </cell>
          <cell r="R1423" t="str">
            <v>METAL</v>
          </cell>
          <cell r="S1423" t="str">
            <v>KROM</v>
          </cell>
          <cell r="T1423" t="str">
            <v>KRİSTAL</v>
          </cell>
          <cell r="U1423" t="str">
            <v>ŞEFFAF</v>
          </cell>
          <cell r="X1423" t="str">
            <v>110V-220V</v>
          </cell>
          <cell r="Z1423" t="str">
            <v>3000 K</v>
          </cell>
          <cell r="AB1423" t="str">
            <v>401-500</v>
          </cell>
          <cell r="AF1423">
            <v>14</v>
          </cell>
          <cell r="AG1423" t="str">
            <v>ADET</v>
          </cell>
          <cell r="AH1423">
            <v>239.44</v>
          </cell>
          <cell r="AI1423" t="str">
            <v>CNY</v>
          </cell>
          <cell r="AJ1423">
            <v>15400</v>
          </cell>
          <cell r="AK1423" t="str">
            <v>TL</v>
          </cell>
          <cell r="AL1423">
            <v>1</v>
          </cell>
          <cell r="AM1423" t="str">
            <v>8684127513081</v>
          </cell>
          <cell r="AO1423">
            <v>0.88</v>
          </cell>
          <cell r="AP1423" t="str">
            <v>KG</v>
          </cell>
          <cell r="AQ1423">
            <v>9</v>
          </cell>
          <cell r="AS1423">
            <v>15</v>
          </cell>
          <cell r="AU1423">
            <v>0</v>
          </cell>
          <cell r="AW1423">
            <v>0</v>
          </cell>
        </row>
        <row r="1424">
          <cell r="B1424" t="str">
            <v>H1C2JMEECT0-029</v>
          </cell>
          <cell r="C1424" t="str">
            <v>VELVET ESKİTME İKİLİ GLOP BEYAZ CAMLI SARKIT AVİZE</v>
          </cell>
          <cell r="D1424" t="str">
            <v>VELVET DUAL GLOPE WHITE GLASS  BRUSHED BRASS PENDANT</v>
          </cell>
          <cell r="E1424" t="str">
            <v xml:space="preserve">METAL CAM  ESKİTME SOFT   </v>
          </cell>
          <cell r="F1424" t="str">
            <v/>
          </cell>
          <cell r="G1424" t="str">
            <v>AVİZE</v>
          </cell>
          <cell r="H1424" t="str">
            <v/>
          </cell>
          <cell r="I1424" t="str">
            <v>İÇ</v>
          </cell>
          <cell r="J1424" t="str">
            <v>AVİZE</v>
          </cell>
          <cell r="K1424" t="str">
            <v>VELVET</v>
          </cell>
          <cell r="L1424" t="str">
            <v/>
          </cell>
          <cell r="M1424" t="str">
            <v/>
          </cell>
          <cell r="N1424" t="str">
            <v>HKA-24369</v>
          </cell>
          <cell r="O1424" t="str">
            <v>HEKA</v>
          </cell>
          <cell r="P1424" t="str">
            <v>ADET</v>
          </cell>
          <cell r="Q1424" t="str">
            <v>E27</v>
          </cell>
          <cell r="R1424" t="str">
            <v>METAL</v>
          </cell>
          <cell r="S1424" t="str">
            <v>ESKİTME</v>
          </cell>
          <cell r="T1424" t="str">
            <v>CAM</v>
          </cell>
          <cell r="U1424" t="str">
            <v>SOFT</v>
          </cell>
          <cell r="AE1424" t="str">
            <v>03</v>
          </cell>
          <cell r="AF1424">
            <v>0</v>
          </cell>
          <cell r="AG1424" t="str">
            <v>ADET</v>
          </cell>
          <cell r="AL1424">
            <v>0</v>
          </cell>
          <cell r="AM1424" t="str">
            <v>8684127512510</v>
          </cell>
          <cell r="AO1424">
            <v>0</v>
          </cell>
          <cell r="AQ1424">
            <v>0</v>
          </cell>
          <cell r="AS1424">
            <v>0</v>
          </cell>
          <cell r="AU1424">
            <v>0</v>
          </cell>
          <cell r="AW1424">
            <v>0</v>
          </cell>
        </row>
        <row r="1425">
          <cell r="B1425" t="str">
            <v>H1F6WRBJRSK-159</v>
          </cell>
          <cell r="C1425" t="str">
            <v>LUMIX  KARE MERMERLİ LED LAMBADER</v>
          </cell>
          <cell r="D1425" t="str">
            <v>LUMIX SQUARE MARBLE LED FLOORLAMP</v>
          </cell>
          <cell r="E1425" t="str">
            <v xml:space="preserve">MERMER METAL BEYAZ SİYAH   </v>
          </cell>
          <cell r="F1425" t="str">
            <v/>
          </cell>
          <cell r="G1425" t="str">
            <v>LAMBADER</v>
          </cell>
          <cell r="H1425" t="str">
            <v/>
          </cell>
          <cell r="I1425" t="str">
            <v>İÇ</v>
          </cell>
          <cell r="J1425" t="str">
            <v>LAMBADER</v>
          </cell>
          <cell r="K1425" t="str">
            <v>LUMIX</v>
          </cell>
          <cell r="L1425" t="str">
            <v/>
          </cell>
          <cell r="M1425" t="str">
            <v/>
          </cell>
          <cell r="N1425" t="str">
            <v>HKA-24379</v>
          </cell>
          <cell r="O1425" t="str">
            <v>HEKA</v>
          </cell>
          <cell r="P1425" t="str">
            <v>ADET</v>
          </cell>
          <cell r="Q1425" t="str">
            <v>LED</v>
          </cell>
          <cell r="R1425" t="str">
            <v>MERMER</v>
          </cell>
          <cell r="S1425" t="str">
            <v>BEYAZ</v>
          </cell>
          <cell r="T1425" t="str">
            <v>METAL</v>
          </cell>
          <cell r="U1425" t="str">
            <v>SİYAH</v>
          </cell>
          <cell r="AD1425" t="str">
            <v>KARE</v>
          </cell>
          <cell r="AE1425" t="str">
            <v>01</v>
          </cell>
          <cell r="AF1425">
            <v>1</v>
          </cell>
          <cell r="AG1425" t="str">
            <v>ADET</v>
          </cell>
          <cell r="AJ1425">
            <v>178000</v>
          </cell>
          <cell r="AK1425" t="str">
            <v>TL</v>
          </cell>
          <cell r="AL1425">
            <v>0</v>
          </cell>
          <cell r="AO1425">
            <v>0</v>
          </cell>
          <cell r="AQ1425">
            <v>0</v>
          </cell>
          <cell r="AS1425">
            <v>0</v>
          </cell>
          <cell r="AU1425">
            <v>0</v>
          </cell>
          <cell r="AW1425">
            <v>0</v>
          </cell>
        </row>
        <row r="1426">
          <cell r="B1426" t="str">
            <v>H1F6WRBJMEC-150</v>
          </cell>
          <cell r="C1426" t="str">
            <v>CAPRI ÜÇ SİLİNDİR MERMERLİ ESKİTME LED LAMBADER</v>
          </cell>
          <cell r="D1426" t="str">
            <v>CAPRI THREE CYLINDER MARBLE BRUSHED BRASS LED FLOOR LAMP</v>
          </cell>
          <cell r="E1426" t="str">
            <v xml:space="preserve">MERMER METAL BEYAZ ESKİTME    </v>
          </cell>
          <cell r="F1426" t="str">
            <v/>
          </cell>
          <cell r="G1426" t="str">
            <v>LAMBADER</v>
          </cell>
          <cell r="H1426" t="str">
            <v/>
          </cell>
          <cell r="I1426" t="str">
            <v>İÇ</v>
          </cell>
          <cell r="J1426" t="str">
            <v>LAMBADER</v>
          </cell>
          <cell r="K1426" t="str">
            <v>LUMIX</v>
          </cell>
          <cell r="L1426" t="str">
            <v/>
          </cell>
          <cell r="M1426" t="str">
            <v/>
          </cell>
          <cell r="N1426" t="str">
            <v>HKA-24086</v>
          </cell>
          <cell r="O1426" t="str">
            <v>HEKA</v>
          </cell>
          <cell r="P1426" t="str">
            <v>ADET</v>
          </cell>
          <cell r="Q1426" t="str">
            <v>LED</v>
          </cell>
          <cell r="R1426" t="str">
            <v>MERMER</v>
          </cell>
          <cell r="S1426" t="str">
            <v>BEYAZ</v>
          </cell>
          <cell r="T1426" t="str">
            <v>METAL</v>
          </cell>
          <cell r="U1426" t="str">
            <v>ESKİTME</v>
          </cell>
          <cell r="AD1426" t="str">
            <v>SİLİNDİR</v>
          </cell>
          <cell r="AE1426" t="str">
            <v>01</v>
          </cell>
          <cell r="AF1426">
            <v>2</v>
          </cell>
          <cell r="AG1426" t="str">
            <v>ADET</v>
          </cell>
          <cell r="AH1426">
            <v>3850</v>
          </cell>
          <cell r="AI1426" t="str">
            <v>CNY</v>
          </cell>
          <cell r="AJ1426">
            <v>249750</v>
          </cell>
          <cell r="AK1426" t="str">
            <v>TL</v>
          </cell>
          <cell r="AL1426">
            <v>1</v>
          </cell>
          <cell r="AM1426" t="str">
            <v>8684127516501</v>
          </cell>
          <cell r="AO1426">
            <v>0</v>
          </cell>
          <cell r="AQ1426">
            <v>0</v>
          </cell>
          <cell r="AS1426">
            <v>0</v>
          </cell>
          <cell r="AU1426">
            <v>0</v>
          </cell>
          <cell r="AW1426">
            <v>0</v>
          </cell>
        </row>
        <row r="1427">
          <cell r="B1427" t="str">
            <v>H1F2YRBJM30-105</v>
          </cell>
          <cell r="C1427" t="str">
            <v>MIMOSA BEYAZ SOFT TOUCH ÜÇ AYAKLI LAMBADER 68cm</v>
          </cell>
          <cell r="D1427" t="str">
            <v>MIMOSA WHITE SOFT TOUCH THREE LEGS FLOOR LAMP 68cm</v>
          </cell>
          <cell r="E1427" t="str">
            <v xml:space="preserve">POLİMER METAL BEYAZ MAT KROM   </v>
          </cell>
          <cell r="F1427" t="str">
            <v/>
          </cell>
          <cell r="G1427" t="str">
            <v>LAMBADER</v>
          </cell>
          <cell r="H1427" t="str">
            <v/>
          </cell>
          <cell r="I1427" t="str">
            <v>İÇ</v>
          </cell>
          <cell r="J1427" t="str">
            <v>LAMBADER</v>
          </cell>
          <cell r="K1427" t="str">
            <v>MIMOSA</v>
          </cell>
          <cell r="L1427" t="str">
            <v/>
          </cell>
          <cell r="M1427" t="str">
            <v/>
          </cell>
          <cell r="N1427" t="str">
            <v>HKA-24283</v>
          </cell>
          <cell r="O1427" t="str">
            <v>HEKA</v>
          </cell>
          <cell r="P1427" t="str">
            <v>ADET</v>
          </cell>
          <cell r="Q1427" t="str">
            <v>E27</v>
          </cell>
          <cell r="R1427" t="str">
            <v>POLİMER</v>
          </cell>
          <cell r="S1427" t="str">
            <v>BEYAZ</v>
          </cell>
          <cell r="T1427" t="str">
            <v>METAL</v>
          </cell>
          <cell r="U1427" t="str">
            <v>MAT KROM</v>
          </cell>
          <cell r="AE1427" t="str">
            <v>01</v>
          </cell>
          <cell r="AF1427">
            <v>9</v>
          </cell>
          <cell r="AG1427" t="str">
            <v>ADET</v>
          </cell>
          <cell r="AH1427">
            <v>765</v>
          </cell>
          <cell r="AI1427" t="str">
            <v>CNY</v>
          </cell>
          <cell r="AJ1427">
            <v>61075</v>
          </cell>
          <cell r="AK1427" t="str">
            <v>TL</v>
          </cell>
          <cell r="AL1427">
            <v>1</v>
          </cell>
          <cell r="AM1427" t="str">
            <v>8684127512664</v>
          </cell>
          <cell r="AO1427">
            <v>0</v>
          </cell>
          <cell r="AQ1427">
            <v>0</v>
          </cell>
          <cell r="AS1427">
            <v>0</v>
          </cell>
          <cell r="AU1427">
            <v>0</v>
          </cell>
          <cell r="AW1427">
            <v>0</v>
          </cell>
        </row>
        <row r="1428">
          <cell r="B1428" t="str">
            <v>H1F6YRBJM30-160</v>
          </cell>
          <cell r="C1428" t="str">
            <v>MIMOSA BEYAZ SOFT TOUCH MANTAR LAMBADER 60cm</v>
          </cell>
          <cell r="D1428" t="str">
            <v>MIMOSA WHITE SOFT TOUCH  MUSHROOM FLOOR LAMP 60cm</v>
          </cell>
          <cell r="E1428" t="str">
            <v xml:space="preserve">POLİMER METAL BEYAZ MAT KROM   </v>
          </cell>
          <cell r="F1428" t="str">
            <v/>
          </cell>
          <cell r="G1428" t="str">
            <v>LAMBADER</v>
          </cell>
          <cell r="H1428" t="str">
            <v/>
          </cell>
          <cell r="I1428" t="str">
            <v>İÇ</v>
          </cell>
          <cell r="J1428" t="str">
            <v>LAMBADER</v>
          </cell>
          <cell r="K1428" t="str">
            <v>MIMOSA</v>
          </cell>
          <cell r="L1428" t="str">
            <v/>
          </cell>
          <cell r="M1428" t="str">
            <v/>
          </cell>
          <cell r="N1428" t="str">
            <v>HKA-24285</v>
          </cell>
          <cell r="O1428" t="str">
            <v>HEKA</v>
          </cell>
          <cell r="P1428" t="str">
            <v>ADET</v>
          </cell>
          <cell r="Q1428" t="str">
            <v>LED</v>
          </cell>
          <cell r="R1428" t="str">
            <v>POLİMER</v>
          </cell>
          <cell r="S1428" t="str">
            <v>BEYAZ</v>
          </cell>
          <cell r="T1428" t="str">
            <v>METAL</v>
          </cell>
          <cell r="U1428" t="str">
            <v>MAT KROM</v>
          </cell>
          <cell r="AE1428" t="str">
            <v>01</v>
          </cell>
          <cell r="AF1428">
            <v>9</v>
          </cell>
          <cell r="AG1428" t="str">
            <v>ADET</v>
          </cell>
          <cell r="AH1428">
            <v>1305</v>
          </cell>
          <cell r="AI1428" t="str">
            <v>CNY</v>
          </cell>
          <cell r="AJ1428">
            <v>92235</v>
          </cell>
          <cell r="AK1428" t="str">
            <v>TL</v>
          </cell>
          <cell r="AL1428">
            <v>1</v>
          </cell>
          <cell r="AM1428" t="str">
            <v>8684127512688</v>
          </cell>
          <cell r="AO1428">
            <v>0</v>
          </cell>
          <cell r="AQ1428">
            <v>0</v>
          </cell>
          <cell r="AS1428">
            <v>0</v>
          </cell>
          <cell r="AU1428">
            <v>0</v>
          </cell>
          <cell r="AW1428">
            <v>0</v>
          </cell>
        </row>
        <row r="1429">
          <cell r="B1429" t="str">
            <v>H1C2YRBJM3Y-050</v>
          </cell>
          <cell r="C1429" t="str">
            <v>STAR BEYAZ SOFT TOUCH ÇAPRAZ KÜRE SARKIT 50cm</v>
          </cell>
          <cell r="D1429" t="str">
            <v>STAR WHITE SOFT TOUCH CROSS SPHEREE PENDANT LAMP 50cm</v>
          </cell>
          <cell r="E1429" t="str">
            <v xml:space="preserve">POLİMER METAL BEYAZ MAT KROM   </v>
          </cell>
          <cell r="F1429" t="str">
            <v/>
          </cell>
          <cell r="G1429" t="str">
            <v>AVİZE</v>
          </cell>
          <cell r="H1429" t="str">
            <v/>
          </cell>
          <cell r="I1429" t="str">
            <v>İÇ</v>
          </cell>
          <cell r="J1429" t="str">
            <v>AVİZE</v>
          </cell>
          <cell r="K1429" t="str">
            <v>STAR</v>
          </cell>
          <cell r="L1429" t="str">
            <v/>
          </cell>
          <cell r="M1429" t="str">
            <v/>
          </cell>
          <cell r="N1429" t="str">
            <v>HKA-24298</v>
          </cell>
          <cell r="O1429" t="str">
            <v>HEKA</v>
          </cell>
          <cell r="P1429" t="str">
            <v>ADET</v>
          </cell>
          <cell r="Q1429" t="str">
            <v>E27</v>
          </cell>
          <cell r="R1429" t="str">
            <v>POLİMER</v>
          </cell>
          <cell r="S1429" t="str">
            <v>BEYAZ</v>
          </cell>
          <cell r="T1429" t="str">
            <v>METAL</v>
          </cell>
          <cell r="U1429" t="str">
            <v>MAT KROM</v>
          </cell>
          <cell r="AD1429" t="str">
            <v>KÜRE</v>
          </cell>
          <cell r="AE1429" t="str">
            <v>01</v>
          </cell>
          <cell r="AF1429">
            <v>34</v>
          </cell>
          <cell r="AG1429" t="str">
            <v>ADET</v>
          </cell>
          <cell r="AH1429">
            <v>243</v>
          </cell>
          <cell r="AI1429" t="str">
            <v>CNY</v>
          </cell>
          <cell r="AJ1429">
            <v>19395</v>
          </cell>
          <cell r="AK1429" t="str">
            <v>TL</v>
          </cell>
          <cell r="AL1429">
            <v>1</v>
          </cell>
          <cell r="AM1429" t="str">
            <v>8684127512831</v>
          </cell>
          <cell r="AO1429">
            <v>0</v>
          </cell>
          <cell r="AQ1429">
            <v>0</v>
          </cell>
          <cell r="AS1429">
            <v>0</v>
          </cell>
          <cell r="AU1429">
            <v>0</v>
          </cell>
          <cell r="AW1429">
            <v>0</v>
          </cell>
        </row>
        <row r="1430">
          <cell r="B1430" t="str">
            <v>H1C2YRBJM3C-029</v>
          </cell>
          <cell r="C1430" t="str">
            <v>STAR BEYAZ SOFT TOUCH ÇAPRAZ SİLİNDİR SARKIT 28cm</v>
          </cell>
          <cell r="D1430" t="str">
            <v>STAR WHITE SOFT TOUCH CROSS CYLINDER PENDANT LAMP 28cm</v>
          </cell>
          <cell r="E1430" t="str">
            <v xml:space="preserve">POLİMER METAL BEYAZ MAT KROM   </v>
          </cell>
          <cell r="F1430" t="str">
            <v/>
          </cell>
          <cell r="G1430" t="str">
            <v>AVİZE</v>
          </cell>
          <cell r="H1430" t="str">
            <v/>
          </cell>
          <cell r="I1430" t="str">
            <v>İÇ</v>
          </cell>
          <cell r="J1430" t="str">
            <v>AVİZE</v>
          </cell>
          <cell r="K1430" t="str">
            <v>STAR</v>
          </cell>
          <cell r="L1430" t="str">
            <v/>
          </cell>
          <cell r="M1430" t="str">
            <v/>
          </cell>
          <cell r="N1430" t="str">
            <v>HKA-24302</v>
          </cell>
          <cell r="O1430" t="str">
            <v>HEKA</v>
          </cell>
          <cell r="P1430" t="str">
            <v>ADET</v>
          </cell>
          <cell r="Q1430" t="str">
            <v>E27</v>
          </cell>
          <cell r="R1430" t="str">
            <v>POLİMER</v>
          </cell>
          <cell r="S1430" t="str">
            <v>BEYAZ</v>
          </cell>
          <cell r="T1430" t="str">
            <v>METAL</v>
          </cell>
          <cell r="U1430" t="str">
            <v>MAT KROM</v>
          </cell>
          <cell r="AD1430" t="str">
            <v>SİLİNDİR</v>
          </cell>
          <cell r="AE1430" t="str">
            <v>01</v>
          </cell>
          <cell r="AF1430">
            <v>35</v>
          </cell>
          <cell r="AG1430" t="str">
            <v>ADET</v>
          </cell>
          <cell r="AH1430">
            <v>189</v>
          </cell>
          <cell r="AI1430" t="str">
            <v>CNY</v>
          </cell>
          <cell r="AJ1430">
            <v>15080</v>
          </cell>
          <cell r="AK1430" t="str">
            <v>TL</v>
          </cell>
          <cell r="AL1430">
            <v>1</v>
          </cell>
          <cell r="AM1430" t="str">
            <v>8684127512855</v>
          </cell>
          <cell r="AO1430">
            <v>0</v>
          </cell>
          <cell r="AQ1430">
            <v>0</v>
          </cell>
          <cell r="AS1430">
            <v>0</v>
          </cell>
          <cell r="AU1430">
            <v>0</v>
          </cell>
          <cell r="AW1430">
            <v>0</v>
          </cell>
        </row>
        <row r="1431">
          <cell r="B1431" t="str">
            <v>ENF-24072024</v>
          </cell>
          <cell r="C1431" t="str">
            <v>ENF-24072024-CEZVE</v>
          </cell>
          <cell r="D1431" t="str">
            <v/>
          </cell>
          <cell r="E1431" t="str">
            <v/>
          </cell>
          <cell r="F1431" t="str">
            <v>7323.93.00.00.00</v>
          </cell>
          <cell r="G1431" t="str">
            <v/>
          </cell>
          <cell r="H1431" t="str">
            <v/>
          </cell>
          <cell r="I1431" t="str">
            <v/>
          </cell>
          <cell r="J1431" t="str">
            <v/>
          </cell>
          <cell r="K1431" t="str">
            <v/>
          </cell>
          <cell r="L1431" t="str">
            <v/>
          </cell>
          <cell r="M1431" t="str">
            <v/>
          </cell>
          <cell r="N1431" t="str">
            <v/>
          </cell>
          <cell r="P1431" t="str">
            <v>ADET</v>
          </cell>
          <cell r="AF1431">
            <v>0</v>
          </cell>
          <cell r="AG1431" t="str">
            <v>ADET</v>
          </cell>
          <cell r="AL1431">
            <v>0</v>
          </cell>
          <cell r="AO1431">
            <v>0</v>
          </cell>
          <cell r="AQ1431">
            <v>0</v>
          </cell>
          <cell r="AS1431">
            <v>0</v>
          </cell>
          <cell r="AU1431">
            <v>0</v>
          </cell>
          <cell r="AW1431">
            <v>0</v>
          </cell>
        </row>
        <row r="1432">
          <cell r="B1432" t="str">
            <v>ERP-01</v>
          </cell>
          <cell r="C1432" t="str">
            <v>AVİZE PARÇASI</v>
          </cell>
          <cell r="D1432" t="str">
            <v/>
          </cell>
          <cell r="E1432" t="str">
            <v/>
          </cell>
          <cell r="F1432" t="str">
            <v/>
          </cell>
          <cell r="G1432" t="str">
            <v/>
          </cell>
          <cell r="H1432" t="str">
            <v/>
          </cell>
          <cell r="I1432" t="str">
            <v/>
          </cell>
          <cell r="J1432" t="str">
            <v/>
          </cell>
          <cell r="K1432" t="str">
            <v/>
          </cell>
          <cell r="L1432" t="str">
            <v/>
          </cell>
          <cell r="M1432" t="str">
            <v/>
          </cell>
          <cell r="N1432" t="str">
            <v/>
          </cell>
          <cell r="P1432" t="str">
            <v>ADET</v>
          </cell>
          <cell r="AF1432">
            <v>0</v>
          </cell>
          <cell r="AG1432" t="str">
            <v>ADET</v>
          </cell>
          <cell r="AL1432">
            <v>0</v>
          </cell>
          <cell r="AO1432">
            <v>0</v>
          </cell>
          <cell r="AQ1432">
            <v>0</v>
          </cell>
          <cell r="AS1432">
            <v>0</v>
          </cell>
          <cell r="AU1432">
            <v>0</v>
          </cell>
          <cell r="AW1432">
            <v>0</v>
          </cell>
        </row>
        <row r="1433">
          <cell r="B1433" t="str">
            <v>H1W6JMKECS0-058</v>
          </cell>
          <cell r="C1433" t="str">
            <v>ÜSKÜP ŞEFFAF KRİSTAL KROM İKİLİ APLİK</v>
          </cell>
          <cell r="D1433" t="str">
            <v>ÜSKÜP DOUBLE CLEAR CRYSTAL CHROME  WALL LAMP</v>
          </cell>
          <cell r="E1433" t="str">
            <v>METAL KRİSTAL  KROM ŞEFFAF</v>
          </cell>
          <cell r="F1433" t="str">
            <v/>
          </cell>
          <cell r="G1433" t="str">
            <v>APLİK</v>
          </cell>
          <cell r="H1433" t="str">
            <v/>
          </cell>
          <cell r="I1433" t="str">
            <v>İÇ</v>
          </cell>
          <cell r="J1433" t="str">
            <v>APLİK</v>
          </cell>
          <cell r="K1433" t="str">
            <v>ÜSKÜP</v>
          </cell>
          <cell r="L1433" t="str">
            <v/>
          </cell>
          <cell r="M1433" t="str">
            <v/>
          </cell>
          <cell r="N1433" t="str">
            <v>HKA-24182</v>
          </cell>
          <cell r="O1433" t="str">
            <v>HEKA</v>
          </cell>
          <cell r="P1433" t="str">
            <v>ADET</v>
          </cell>
          <cell r="Q1433" t="str">
            <v>LED</v>
          </cell>
          <cell r="R1433" t="str">
            <v>METAL</v>
          </cell>
          <cell r="S1433" t="str">
            <v>KROM</v>
          </cell>
          <cell r="T1433" t="str">
            <v>KRİSTAL</v>
          </cell>
          <cell r="U1433" t="str">
            <v>ŞEFFAF</v>
          </cell>
          <cell r="X1433" t="str">
            <v>110V-220V</v>
          </cell>
          <cell r="Z1433" t="str">
            <v>3000 K</v>
          </cell>
          <cell r="AB1433" t="str">
            <v>401-500</v>
          </cell>
          <cell r="AF1433">
            <v>11</v>
          </cell>
          <cell r="AG1433" t="str">
            <v>ADET</v>
          </cell>
          <cell r="AH1433">
            <v>512.5</v>
          </cell>
          <cell r="AI1433" t="str">
            <v>CNY</v>
          </cell>
          <cell r="AJ1433">
            <v>32950</v>
          </cell>
          <cell r="AK1433" t="str">
            <v>TL</v>
          </cell>
          <cell r="AL1433">
            <v>1</v>
          </cell>
          <cell r="AM1433" t="str">
            <v>8684127513098</v>
          </cell>
          <cell r="AO1433">
            <v>1.61</v>
          </cell>
          <cell r="AP1433" t="str">
            <v>KG</v>
          </cell>
          <cell r="AQ1433">
            <v>9</v>
          </cell>
          <cell r="AR1433" t="str">
            <v>CM</v>
          </cell>
          <cell r="AS1433">
            <v>18</v>
          </cell>
          <cell r="AT1433" t="str">
            <v>CM</v>
          </cell>
          <cell r="AU1433">
            <v>0</v>
          </cell>
          <cell r="AW1433">
            <v>0</v>
          </cell>
        </row>
        <row r="1434">
          <cell r="B1434" t="str">
            <v>H1C6JRSBCS0-068</v>
          </cell>
          <cell r="C1434" t="str">
            <v>PANAMA YİRMİ ŞEFFAF AKRİLİK SİYAH SALON AVİZE</v>
          </cell>
          <cell r="D1434" t="str">
            <v>PANAMA TWENTY CLEAR ACYRLIC BLACK LIVING ROOM CHANDELIER</v>
          </cell>
          <cell r="E1434" t="str">
            <v xml:space="preserve">METAL AKRİLİK SİYAH ŞEFFAF   </v>
          </cell>
          <cell r="F1434" t="str">
            <v/>
          </cell>
          <cell r="G1434" t="str">
            <v>AVİZE</v>
          </cell>
          <cell r="H1434" t="str">
            <v/>
          </cell>
          <cell r="I1434" t="str">
            <v>İÇ</v>
          </cell>
          <cell r="J1434" t="str">
            <v>AVİZE</v>
          </cell>
          <cell r="K1434" t="str">
            <v>PANAMA</v>
          </cell>
          <cell r="L1434" t="str">
            <v/>
          </cell>
          <cell r="M1434" t="str">
            <v/>
          </cell>
          <cell r="N1434" t="str">
            <v>HKA-24193</v>
          </cell>
          <cell r="O1434" t="str">
            <v>HEKA</v>
          </cell>
          <cell r="P1434" t="str">
            <v>ADET</v>
          </cell>
          <cell r="Q1434" t="str">
            <v>LED</v>
          </cell>
          <cell r="R1434" t="str">
            <v>METAL</v>
          </cell>
          <cell r="S1434" t="str">
            <v>SİYAH</v>
          </cell>
          <cell r="T1434" t="str">
            <v>AKRİLİK</v>
          </cell>
          <cell r="U1434" t="str">
            <v>ŞEFFAF</v>
          </cell>
          <cell r="X1434" t="str">
            <v>110V-220V</v>
          </cell>
          <cell r="Z1434" t="str">
            <v>3000 K</v>
          </cell>
          <cell r="AF1434">
            <v>5</v>
          </cell>
          <cell r="AG1434" t="str">
            <v>ADET</v>
          </cell>
          <cell r="AH1434">
            <v>376.2</v>
          </cell>
          <cell r="AI1434" t="str">
            <v>CNY</v>
          </cell>
          <cell r="AJ1434">
            <v>33200</v>
          </cell>
          <cell r="AK1434" t="str">
            <v>TL</v>
          </cell>
          <cell r="AL1434">
            <v>1</v>
          </cell>
          <cell r="AM1434" t="str">
            <v>8684127513227</v>
          </cell>
          <cell r="AO1434">
            <v>3.6</v>
          </cell>
          <cell r="AP1434" t="str">
            <v>KG</v>
          </cell>
          <cell r="AQ1434">
            <v>8</v>
          </cell>
          <cell r="AR1434" t="str">
            <v>CM</v>
          </cell>
          <cell r="AS1434">
            <v>65</v>
          </cell>
          <cell r="AT1434" t="str">
            <v>CM</v>
          </cell>
          <cell r="AU1434">
            <v>0</v>
          </cell>
          <cell r="AW1434">
            <v>0</v>
          </cell>
        </row>
        <row r="1435">
          <cell r="B1435" t="str">
            <v>H1C6JRSBCS0-093</v>
          </cell>
          <cell r="C1435" t="str">
            <v>PANAMA 12+20+28 ŞEFFAF AKRİLİK SİYAH SALON AVİZE</v>
          </cell>
          <cell r="D1435" t="str">
            <v>PANAMA 12+20+28 CLEAR ACYRLIC BLACK LIVING ROOM CHANDELIER</v>
          </cell>
          <cell r="E1435" t="str">
            <v xml:space="preserve">METAL AKRİLİK SİYAH ŞEFFAF   </v>
          </cell>
          <cell r="F1435" t="str">
            <v/>
          </cell>
          <cell r="G1435" t="str">
            <v>AVİZE</v>
          </cell>
          <cell r="H1435" t="str">
            <v/>
          </cell>
          <cell r="I1435" t="str">
            <v>İÇ</v>
          </cell>
          <cell r="J1435" t="str">
            <v>AVİZE</v>
          </cell>
          <cell r="K1435" t="str">
            <v>PANAMA</v>
          </cell>
          <cell r="L1435" t="str">
            <v/>
          </cell>
          <cell r="M1435" t="str">
            <v/>
          </cell>
          <cell r="N1435" t="str">
            <v>HKA-24195</v>
          </cell>
          <cell r="O1435" t="str">
            <v>HEKA</v>
          </cell>
          <cell r="P1435" t="str">
            <v>ADET</v>
          </cell>
          <cell r="Q1435" t="str">
            <v>LED</v>
          </cell>
          <cell r="R1435" t="str">
            <v>METAL</v>
          </cell>
          <cell r="S1435" t="str">
            <v>SİYAH</v>
          </cell>
          <cell r="T1435" t="str">
            <v>AKRİLİK</v>
          </cell>
          <cell r="U1435" t="str">
            <v>ŞEFFAF</v>
          </cell>
          <cell r="X1435" t="str">
            <v>110V-220V</v>
          </cell>
          <cell r="Z1435" t="str">
            <v>3000 K</v>
          </cell>
          <cell r="AF1435">
            <v>0</v>
          </cell>
          <cell r="AG1435" t="str">
            <v>ADET</v>
          </cell>
          <cell r="AH1435">
            <v>1007</v>
          </cell>
          <cell r="AI1435" t="str">
            <v>CNY</v>
          </cell>
          <cell r="AJ1435">
            <v>88900</v>
          </cell>
          <cell r="AK1435" t="str">
            <v>TL</v>
          </cell>
          <cell r="AL1435">
            <v>1</v>
          </cell>
          <cell r="AM1435" t="str">
            <v>8684127513241</v>
          </cell>
          <cell r="AO1435">
            <v>9.1</v>
          </cell>
          <cell r="AP1435" t="str">
            <v>KG</v>
          </cell>
          <cell r="AQ1435">
            <v>80</v>
          </cell>
          <cell r="AR1435" t="str">
            <v>CM</v>
          </cell>
          <cell r="AS1435">
            <v>85</v>
          </cell>
          <cell r="AT1435" t="str">
            <v>CM</v>
          </cell>
          <cell r="AU1435">
            <v>0</v>
          </cell>
          <cell r="AW1435">
            <v>0</v>
          </cell>
        </row>
        <row r="1436">
          <cell r="B1436" t="str">
            <v>H1C6CMGECS0-042</v>
          </cell>
          <cell r="C1436" t="str">
            <v>LÜKSEMBURG 12+12 CAM KAHVERENGİ ALUMİNYUM Y.MASA A</v>
          </cell>
          <cell r="D1436" t="str">
            <v xml:space="preserve">LÜKSEMBURG 12+12 CLEAR GLASS BROWN ALUMINIUM DINNING ROOM CHANDELIER </v>
          </cell>
          <cell r="E1436" t="str">
            <v xml:space="preserve">ALUMİNYUM CAM  KAHVERENGİ ŞEFFAF   </v>
          </cell>
          <cell r="F1436" t="str">
            <v/>
          </cell>
          <cell r="G1436" t="str">
            <v>AVİZE</v>
          </cell>
          <cell r="H1436" t="str">
            <v/>
          </cell>
          <cell r="I1436" t="str">
            <v>İÇ</v>
          </cell>
          <cell r="J1436" t="str">
            <v>AVİZE</v>
          </cell>
          <cell r="K1436" t="str">
            <v>LÜKSEMBURG</v>
          </cell>
          <cell r="L1436" t="str">
            <v/>
          </cell>
          <cell r="M1436" t="str">
            <v/>
          </cell>
          <cell r="N1436" t="str">
            <v>HKA-24249</v>
          </cell>
          <cell r="O1436" t="str">
            <v>HEKA</v>
          </cell>
          <cell r="P1436" t="str">
            <v>ADET</v>
          </cell>
          <cell r="Q1436" t="str">
            <v>LED</v>
          </cell>
          <cell r="R1436" t="str">
            <v>ALUMİNYUM</v>
          </cell>
          <cell r="S1436" t="str">
            <v>KAHVERENGİ</v>
          </cell>
          <cell r="T1436" t="str">
            <v>CAM</v>
          </cell>
          <cell r="U1436" t="str">
            <v>ŞEFFAF</v>
          </cell>
          <cell r="X1436" t="str">
            <v>110V-220V</v>
          </cell>
          <cell r="Z1436" t="str">
            <v>3000 K</v>
          </cell>
          <cell r="AF1436">
            <v>1</v>
          </cell>
          <cell r="AG1436" t="str">
            <v>ADET</v>
          </cell>
          <cell r="AH1436">
            <v>2970</v>
          </cell>
          <cell r="AI1436" t="str">
            <v>CNY</v>
          </cell>
          <cell r="AJ1436">
            <v>177900</v>
          </cell>
          <cell r="AK1436" t="str">
            <v>TL</v>
          </cell>
          <cell r="AL1436">
            <v>1</v>
          </cell>
          <cell r="AM1436" t="str">
            <v>8684127513395</v>
          </cell>
          <cell r="AO1436">
            <v>6.8</v>
          </cell>
          <cell r="AP1436" t="str">
            <v>KG</v>
          </cell>
          <cell r="AQ1436">
            <v>52</v>
          </cell>
          <cell r="AR1436" t="str">
            <v>CM</v>
          </cell>
          <cell r="AS1436">
            <v>42</v>
          </cell>
          <cell r="AT1436" t="str">
            <v>CM</v>
          </cell>
          <cell r="AU1436">
            <v>0</v>
          </cell>
          <cell r="AW1436">
            <v>0</v>
          </cell>
        </row>
        <row r="1437">
          <cell r="B1437" t="str">
            <v>H1C3JMEWRBY-018</v>
          </cell>
          <cell r="C1437" t="str">
            <v>DELTA BEYAZ MERMERLİ ESKİTME SARKIT  18cm</v>
          </cell>
          <cell r="D1437" t="str">
            <v>DELTA WHITE MARBLE BRUSHED BRASS PENDANT LAMP 18cm</v>
          </cell>
          <cell r="E1437" t="str">
            <v>METAL MERMER ESKİTME BEYAZ</v>
          </cell>
          <cell r="F1437" t="str">
            <v/>
          </cell>
          <cell r="G1437" t="str">
            <v>AVİZE</v>
          </cell>
          <cell r="H1437" t="str">
            <v/>
          </cell>
          <cell r="I1437" t="str">
            <v>İÇ</v>
          </cell>
          <cell r="J1437" t="str">
            <v>AVİZE.SARK</v>
          </cell>
          <cell r="K1437" t="str">
            <v>DELTA</v>
          </cell>
          <cell r="L1437" t="str">
            <v/>
          </cell>
          <cell r="M1437" t="str">
            <v/>
          </cell>
          <cell r="N1437" t="str">
            <v>HKA-23032</v>
          </cell>
          <cell r="O1437" t="str">
            <v>HEKA</v>
          </cell>
          <cell r="P1437" t="str">
            <v>ADET</v>
          </cell>
          <cell r="Q1437" t="str">
            <v>LED</v>
          </cell>
          <cell r="R1437" t="str">
            <v>METAL</v>
          </cell>
          <cell r="S1437" t="str">
            <v>ESKİTME</v>
          </cell>
          <cell r="T1437" t="str">
            <v>MERMER</v>
          </cell>
          <cell r="U1437" t="str">
            <v>BEYAZ</v>
          </cell>
          <cell r="AD1437" t="str">
            <v>KÜRE</v>
          </cell>
          <cell r="AE1437" t="str">
            <v>02</v>
          </cell>
          <cell r="AF1437">
            <v>0</v>
          </cell>
          <cell r="AG1437" t="str">
            <v>ADET</v>
          </cell>
          <cell r="AH1437">
            <v>580</v>
          </cell>
          <cell r="AI1437" t="str">
            <v>CNY</v>
          </cell>
          <cell r="AJ1437">
            <v>24480</v>
          </cell>
          <cell r="AK1437" t="str">
            <v>TL</v>
          </cell>
          <cell r="AL1437">
            <v>0</v>
          </cell>
          <cell r="AM1437" t="str">
            <v>8684127511582</v>
          </cell>
          <cell r="AO1437">
            <v>0</v>
          </cell>
          <cell r="AP1437" t="str">
            <v>KG</v>
          </cell>
          <cell r="AQ1437">
            <v>0</v>
          </cell>
          <cell r="AR1437" t="str">
            <v>CM</v>
          </cell>
          <cell r="AS1437">
            <v>0</v>
          </cell>
          <cell r="AT1437" t="str">
            <v>CM</v>
          </cell>
          <cell r="AU1437">
            <v>0</v>
          </cell>
          <cell r="AW1437">
            <v>0</v>
          </cell>
        </row>
        <row r="1438">
          <cell r="B1438" t="str">
            <v>H1W6JMEWRBE-042</v>
          </cell>
          <cell r="C1438" t="str">
            <v>TERMESSOS BEYAZ MERMERLİ ESKİTME APLİK 17x42cm</v>
          </cell>
          <cell r="D1438" t="str">
            <v>TERMESSOS WHITE MARBLE BRUSHED BRASS WALL LAMP 17x42cm</v>
          </cell>
          <cell r="E1438" t="str">
            <v xml:space="preserve">METAL MERMER ESKİTME BEYAZ   </v>
          </cell>
          <cell r="F1438" t="str">
            <v>9405.11.90.00.00</v>
          </cell>
          <cell r="G1438" t="str">
            <v>APLİK</v>
          </cell>
          <cell r="H1438" t="str">
            <v/>
          </cell>
          <cell r="I1438" t="str">
            <v>İÇ</v>
          </cell>
          <cell r="J1438" t="str">
            <v>APLİK</v>
          </cell>
          <cell r="K1438" t="str">
            <v>TERMESSOS</v>
          </cell>
          <cell r="L1438" t="str">
            <v>Ç</v>
          </cell>
          <cell r="M1438" t="str">
            <v/>
          </cell>
          <cell r="N1438" t="str">
            <v>HKA-23048</v>
          </cell>
          <cell r="O1438" t="str">
            <v>HEKA</v>
          </cell>
          <cell r="P1438" t="str">
            <v>ADET</v>
          </cell>
          <cell r="Q1438" t="str">
            <v>LED</v>
          </cell>
          <cell r="R1438" t="str">
            <v>METAL</v>
          </cell>
          <cell r="S1438" t="str">
            <v>ESKİTME</v>
          </cell>
          <cell r="T1438" t="str">
            <v>MERMER</v>
          </cell>
          <cell r="U1438" t="str">
            <v>BEYAZ</v>
          </cell>
          <cell r="AD1438" t="str">
            <v>DAİRE</v>
          </cell>
          <cell r="AF1438">
            <v>33</v>
          </cell>
          <cell r="AG1438" t="str">
            <v>ADET</v>
          </cell>
          <cell r="AH1438">
            <v>160</v>
          </cell>
          <cell r="AI1438" t="str">
            <v>CNY</v>
          </cell>
          <cell r="AJ1438">
            <v>13300</v>
          </cell>
          <cell r="AK1438" t="str">
            <v>TL</v>
          </cell>
          <cell r="AL1438">
            <v>1</v>
          </cell>
          <cell r="AM1438" t="str">
            <v>8684127511698</v>
          </cell>
          <cell r="AO1438">
            <v>0</v>
          </cell>
          <cell r="AQ1438">
            <v>0</v>
          </cell>
          <cell r="AS1438">
            <v>0</v>
          </cell>
          <cell r="AU1438">
            <v>0</v>
          </cell>
          <cell r="AW1438">
            <v>0</v>
          </cell>
        </row>
        <row r="1439">
          <cell r="B1439" t="str">
            <v>H1W6JMEECB0-053</v>
          </cell>
          <cell r="C1439" t="str">
            <v xml:space="preserve">VİTALE TEK CAMLI ESKİTME LED APLİK </v>
          </cell>
          <cell r="D1439" t="str">
            <v>VITALE SINGLE GLASS BRUSHED BRASS LED WALL LAMP</v>
          </cell>
          <cell r="E1439" t="str">
            <v xml:space="preserve">METAL CAM  ESKİTME BUZLU   </v>
          </cell>
          <cell r="F1439" t="str">
            <v/>
          </cell>
          <cell r="G1439" t="str">
            <v>APLİK</v>
          </cell>
          <cell r="H1439" t="str">
            <v/>
          </cell>
          <cell r="I1439" t="str">
            <v>İÇ</v>
          </cell>
          <cell r="J1439" t="str">
            <v>APLİK</v>
          </cell>
          <cell r="K1439" t="str">
            <v>VİTALE</v>
          </cell>
          <cell r="L1439" t="str">
            <v>Y</v>
          </cell>
          <cell r="M1439" t="str">
            <v/>
          </cell>
          <cell r="N1439" t="str">
            <v>HKA-23067</v>
          </cell>
          <cell r="O1439" t="str">
            <v>HEKA</v>
          </cell>
          <cell r="P1439" t="str">
            <v>ADET</v>
          </cell>
          <cell r="Q1439" t="str">
            <v>LED</v>
          </cell>
          <cell r="R1439" t="str">
            <v>METAL</v>
          </cell>
          <cell r="S1439" t="str">
            <v>ESKİTME</v>
          </cell>
          <cell r="T1439" t="str">
            <v>CAM</v>
          </cell>
          <cell r="U1439" t="str">
            <v>BUZLU</v>
          </cell>
          <cell r="AD1439" t="str">
            <v>N/A</v>
          </cell>
          <cell r="AF1439">
            <v>34</v>
          </cell>
          <cell r="AG1439" t="str">
            <v>ADET</v>
          </cell>
          <cell r="AH1439">
            <v>88</v>
          </cell>
          <cell r="AI1439" t="str">
            <v>CNY</v>
          </cell>
          <cell r="AJ1439">
            <v>4450</v>
          </cell>
          <cell r="AK1439" t="str">
            <v>TL</v>
          </cell>
          <cell r="AL1439">
            <v>0</v>
          </cell>
          <cell r="AM1439" t="str">
            <v>8684127511773</v>
          </cell>
          <cell r="AO1439">
            <v>0</v>
          </cell>
          <cell r="AQ1439">
            <v>0</v>
          </cell>
          <cell r="AS1439">
            <v>0</v>
          </cell>
          <cell r="AU1439">
            <v>0</v>
          </cell>
          <cell r="AW1439">
            <v>0</v>
          </cell>
        </row>
        <row r="1440">
          <cell r="B1440" t="str">
            <v>H1F6JRSERF0-163</v>
          </cell>
          <cell r="C1440" t="str">
            <v>LABRANDA 6 FÜME CAMLI SİYAH LED LAMBADER</v>
          </cell>
          <cell r="D1440" t="str">
            <v xml:space="preserve">LABRANDA  6 SMOKY GLASS BLACK LED FLOOR LAMP </v>
          </cell>
          <cell r="E1440" t="str">
            <v>METAL CAM  SİYAH FÜME</v>
          </cell>
          <cell r="F1440" t="str">
            <v/>
          </cell>
          <cell r="G1440" t="str">
            <v>LAMBADER</v>
          </cell>
          <cell r="H1440" t="str">
            <v/>
          </cell>
          <cell r="I1440" t="str">
            <v>İÇ</v>
          </cell>
          <cell r="J1440" t="str">
            <v>LAMBADER</v>
          </cell>
          <cell r="K1440" t="str">
            <v>LABRANDA</v>
          </cell>
          <cell r="L1440" t="str">
            <v>Y</v>
          </cell>
          <cell r="M1440" t="str">
            <v>15.02.2026</v>
          </cell>
          <cell r="N1440" t="str">
            <v>HKA-24087</v>
          </cell>
          <cell r="O1440" t="str">
            <v>HEKA</v>
          </cell>
          <cell r="P1440" t="str">
            <v>ADET</v>
          </cell>
          <cell r="Q1440" t="str">
            <v>LED</v>
          </cell>
          <cell r="R1440" t="str">
            <v>METAL</v>
          </cell>
          <cell r="S1440" t="str">
            <v>SİYAH</v>
          </cell>
          <cell r="T1440" t="str">
            <v>CAM</v>
          </cell>
          <cell r="U1440" t="str">
            <v>FÜME</v>
          </cell>
          <cell r="AF1440">
            <v>5</v>
          </cell>
          <cell r="AG1440" t="str">
            <v>ADET</v>
          </cell>
          <cell r="AH1440">
            <v>450</v>
          </cell>
          <cell r="AI1440" t="str">
            <v>CNY</v>
          </cell>
          <cell r="AJ1440">
            <v>33800</v>
          </cell>
          <cell r="AK1440" t="str">
            <v>TL</v>
          </cell>
          <cell r="AL1440">
            <v>1</v>
          </cell>
          <cell r="AM1440" t="str">
            <v>8684127511834</v>
          </cell>
          <cell r="AO1440">
            <v>0</v>
          </cell>
          <cell r="AQ1440">
            <v>0</v>
          </cell>
          <cell r="AS1440">
            <v>0</v>
          </cell>
          <cell r="AU1440">
            <v>0</v>
          </cell>
          <cell r="AW1440">
            <v>0</v>
          </cell>
        </row>
        <row r="1441">
          <cell r="B1441" t="str">
            <v>H1C6BCSJMGG-050</v>
          </cell>
          <cell r="C1441" t="str">
            <v>KARDAL ŞEFFAF AKRİLİK GOLD LED SARKIT 50cm</v>
          </cell>
          <cell r="D1441" t="str">
            <v>KARDAL CLEAR ACRYLIC GOLD LED PENDANT LAMP 50cm</v>
          </cell>
          <cell r="E1441" t="str">
            <v xml:space="preserve">AKRiLİK METAL ŞEFFAF GOLD   </v>
          </cell>
          <cell r="F1441" t="str">
            <v>9405.11.40.00.00</v>
          </cell>
          <cell r="G1441" t="str">
            <v>AVİZE</v>
          </cell>
          <cell r="H1441" t="str">
            <v/>
          </cell>
          <cell r="I1441" t="str">
            <v>İÇ</v>
          </cell>
          <cell r="J1441" t="str">
            <v>AVİZE.SARK</v>
          </cell>
          <cell r="K1441" t="str">
            <v>KARDAL</v>
          </cell>
          <cell r="L1441" t="str">
            <v/>
          </cell>
          <cell r="M1441" t="str">
            <v/>
          </cell>
          <cell r="N1441" t="str">
            <v>HKA-23106</v>
          </cell>
          <cell r="O1441" t="str">
            <v>HEKA</v>
          </cell>
          <cell r="P1441" t="str">
            <v>ADET</v>
          </cell>
          <cell r="Q1441" t="str">
            <v>LED</v>
          </cell>
          <cell r="R1441" t="str">
            <v>AKRİLİK</v>
          </cell>
          <cell r="S1441" t="str">
            <v>ŞEFFAF</v>
          </cell>
          <cell r="T1441" t="str">
            <v>METAL</v>
          </cell>
          <cell r="U1441" t="str">
            <v>GOLD</v>
          </cell>
          <cell r="AD1441" t="str">
            <v>KAYA</v>
          </cell>
          <cell r="AF1441">
            <v>41</v>
          </cell>
          <cell r="AG1441" t="str">
            <v>ADET</v>
          </cell>
          <cell r="AH1441">
            <v>293</v>
          </cell>
          <cell r="AI1441" t="str">
            <v>CNY</v>
          </cell>
          <cell r="AJ1441">
            <v>14943</v>
          </cell>
          <cell r="AK1441" t="str">
            <v>TL</v>
          </cell>
          <cell r="AL1441">
            <v>0</v>
          </cell>
          <cell r="AM1441" t="str">
            <v>8684127511940</v>
          </cell>
          <cell r="AO1441">
            <v>0</v>
          </cell>
          <cell r="AQ1441">
            <v>0</v>
          </cell>
          <cell r="AS1441">
            <v>0</v>
          </cell>
          <cell r="AU1441">
            <v>0</v>
          </cell>
          <cell r="AW1441">
            <v>0</v>
          </cell>
        </row>
        <row r="1442">
          <cell r="B1442" t="str">
            <v>H1W6BCSJMGG-030</v>
          </cell>
          <cell r="C1442" t="str">
            <v>KARDAL ŞEFFAF AKRİLİK GOLD LED APLİK 30cm</v>
          </cell>
          <cell r="D1442" t="str">
            <v>KARDAL CLEAR ACRYLIC GOLD LED WALL LAMP 30cm</v>
          </cell>
          <cell r="E1442" t="str">
            <v xml:space="preserve">AKRiLİK METAL ŞEFFAF GOLD   </v>
          </cell>
          <cell r="F1442" t="str">
            <v>9405.11.40.00.00</v>
          </cell>
          <cell r="G1442" t="str">
            <v>APLİK</v>
          </cell>
          <cell r="H1442" t="str">
            <v/>
          </cell>
          <cell r="I1442" t="str">
            <v>İÇ</v>
          </cell>
          <cell r="J1442" t="str">
            <v>APLİK</v>
          </cell>
          <cell r="K1442" t="str">
            <v>KARDAL</v>
          </cell>
          <cell r="L1442" t="str">
            <v/>
          </cell>
          <cell r="M1442" t="str">
            <v>ÜRTM;5 GÜN</v>
          </cell>
          <cell r="N1442" t="str">
            <v/>
          </cell>
          <cell r="O1442" t="str">
            <v>HEKA</v>
          </cell>
          <cell r="P1442" t="str">
            <v>ADET</v>
          </cell>
          <cell r="Q1442" t="str">
            <v>LED</v>
          </cell>
          <cell r="R1442" t="str">
            <v>AKRİLİK</v>
          </cell>
          <cell r="S1442" t="str">
            <v>ŞEFFAF</v>
          </cell>
          <cell r="T1442" t="str">
            <v>METAL</v>
          </cell>
          <cell r="U1442" t="str">
            <v>GOLD</v>
          </cell>
          <cell r="AD1442" t="str">
            <v>KAYA</v>
          </cell>
          <cell r="AF1442">
            <v>4</v>
          </cell>
          <cell r="AG1442" t="str">
            <v>ADET</v>
          </cell>
          <cell r="AH1442">
            <v>241</v>
          </cell>
          <cell r="AI1442" t="str">
            <v>CNY</v>
          </cell>
          <cell r="AJ1442">
            <v>12291</v>
          </cell>
          <cell r="AK1442" t="str">
            <v>TL</v>
          </cell>
          <cell r="AL1442">
            <v>0</v>
          </cell>
          <cell r="AM1442" t="str">
            <v>8684127519120</v>
          </cell>
          <cell r="AO1442">
            <v>0</v>
          </cell>
          <cell r="AQ1442">
            <v>0</v>
          </cell>
          <cell r="AS1442">
            <v>0</v>
          </cell>
          <cell r="AU1442">
            <v>0</v>
          </cell>
          <cell r="AW1442">
            <v>0</v>
          </cell>
        </row>
        <row r="1443">
          <cell r="B1443" t="str">
            <v>L1T6JMGBCSJ-018</v>
          </cell>
          <cell r="C1443" t="str">
            <v>CLARA DİMMERLİ ŞARJLI KRİSTAL AKRİLİK ALTIN MASA L</v>
          </cell>
          <cell r="D1443" t="str">
            <v>CLARA DIMMABLE RECHARGEABLE CRYSTAL ACRYLIC GOLD TABLE LAMP</v>
          </cell>
          <cell r="E1443" t="str">
            <v xml:space="preserve">METAL AKRİLİK GOLD ŞEFFAF   </v>
          </cell>
          <cell r="F1443" t="str">
            <v/>
          </cell>
          <cell r="G1443" t="str">
            <v>MASAABAJ</v>
          </cell>
          <cell r="H1443" t="str">
            <v/>
          </cell>
          <cell r="I1443" t="str">
            <v>İÇ</v>
          </cell>
          <cell r="J1443" t="str">
            <v>MASAKAMP</v>
          </cell>
          <cell r="K1443" t="str">
            <v>CLARA</v>
          </cell>
          <cell r="L1443" t="str">
            <v>NET</v>
          </cell>
          <cell r="M1443" t="str">
            <v/>
          </cell>
          <cell r="N1443" t="str">
            <v>HKA-24033</v>
          </cell>
          <cell r="O1443" t="str">
            <v>LAMBAM</v>
          </cell>
          <cell r="P1443" t="str">
            <v>ADET</v>
          </cell>
          <cell r="Q1443" t="str">
            <v>LED</v>
          </cell>
          <cell r="R1443" t="str">
            <v>METAL</v>
          </cell>
          <cell r="S1443" t="str">
            <v>GOLD</v>
          </cell>
          <cell r="T1443" t="str">
            <v>AKRİLİK</v>
          </cell>
          <cell r="U1443" t="str">
            <v>ŞEFFAF</v>
          </cell>
          <cell r="AD1443" t="str">
            <v>ŞARJLI</v>
          </cell>
          <cell r="AF1443">
            <v>132</v>
          </cell>
          <cell r="AG1443" t="str">
            <v>ADET</v>
          </cell>
          <cell r="AH1443">
            <v>55</v>
          </cell>
          <cell r="AI1443" t="str">
            <v>CNY</v>
          </cell>
          <cell r="AJ1443">
            <v>1980</v>
          </cell>
          <cell r="AK1443" t="str">
            <v>TL</v>
          </cell>
          <cell r="AL1443">
            <v>0</v>
          </cell>
          <cell r="AM1443" t="str">
            <v>8684127512060</v>
          </cell>
          <cell r="AO1443">
            <v>0.56000000000000005</v>
          </cell>
          <cell r="AP1443" t="str">
            <v>KG</v>
          </cell>
          <cell r="AQ1443">
            <v>18</v>
          </cell>
          <cell r="AR1443" t="str">
            <v>CM</v>
          </cell>
          <cell r="AS1443">
            <v>9</v>
          </cell>
          <cell r="AT1443" t="str">
            <v>CM</v>
          </cell>
          <cell r="AU1443">
            <v>0</v>
          </cell>
          <cell r="AW1443">
            <v>0</v>
          </cell>
        </row>
        <row r="1444">
          <cell r="B1444" t="str">
            <v>L1T6JMBLCTJ-016</v>
          </cell>
          <cell r="C1444" t="str">
            <v>LUMIRA DİMMERLİ ŞARJLI LED MİNİ  BAKIR MASA LAMBA</v>
          </cell>
          <cell r="D1444" t="str">
            <v>LUMIRA DIMMERED RECHARGEABLE LED MINI COPPER TABLE LAMP</v>
          </cell>
          <cell r="E1444" t="str">
            <v>METAL PLEKSİ BAKIR SOFT</v>
          </cell>
          <cell r="F1444" t="str">
            <v/>
          </cell>
          <cell r="G1444" t="str">
            <v>MASAABAJ</v>
          </cell>
          <cell r="H1444" t="str">
            <v/>
          </cell>
          <cell r="I1444" t="str">
            <v>İÇ</v>
          </cell>
          <cell r="J1444" t="str">
            <v>MASAKAMP</v>
          </cell>
          <cell r="K1444" t="str">
            <v>LUMIRA</v>
          </cell>
          <cell r="L1444" t="str">
            <v>NET</v>
          </cell>
          <cell r="M1444" t="str">
            <v/>
          </cell>
          <cell r="N1444" t="str">
            <v>HKA-24040</v>
          </cell>
          <cell r="O1444" t="str">
            <v>LAMBAM</v>
          </cell>
          <cell r="P1444" t="str">
            <v>ADET</v>
          </cell>
          <cell r="Q1444" t="str">
            <v>LED</v>
          </cell>
          <cell r="R1444" t="str">
            <v>METAL</v>
          </cell>
          <cell r="S1444" t="str">
            <v>BAKIR</v>
          </cell>
          <cell r="T1444" t="str">
            <v>PLEKSİ</v>
          </cell>
          <cell r="U1444" t="str">
            <v>SOFT</v>
          </cell>
          <cell r="AD1444" t="str">
            <v>ŞARJLI</v>
          </cell>
          <cell r="AF1444">
            <v>270</v>
          </cell>
          <cell r="AG1444" t="str">
            <v>ADET</v>
          </cell>
          <cell r="AH1444">
            <v>31</v>
          </cell>
          <cell r="AI1444" t="str">
            <v>CNY</v>
          </cell>
          <cell r="AJ1444">
            <v>1155</v>
          </cell>
          <cell r="AK1444" t="str">
            <v>TL</v>
          </cell>
          <cell r="AL1444">
            <v>0</v>
          </cell>
          <cell r="AM1444" t="str">
            <v>8684127512138</v>
          </cell>
          <cell r="AO1444">
            <v>1</v>
          </cell>
          <cell r="AP1444" t="str">
            <v>KG</v>
          </cell>
          <cell r="AQ1444">
            <v>22.5</v>
          </cell>
          <cell r="AR1444" t="str">
            <v>CM</v>
          </cell>
          <cell r="AS1444">
            <v>13.5</v>
          </cell>
          <cell r="AT1444" t="str">
            <v>CM</v>
          </cell>
          <cell r="AU1444">
            <v>0</v>
          </cell>
          <cell r="AW1444">
            <v>0</v>
          </cell>
        </row>
        <row r="1445">
          <cell r="B1445" t="str">
            <v>1451555852541285</v>
          </cell>
          <cell r="C1445" t="str">
            <v xml:space="preserve">Erd37 A60 Standart Tip Edison Flamanlı Rustik Led </v>
          </cell>
          <cell r="D1445" t="str">
            <v/>
          </cell>
          <cell r="E1445" t="str">
            <v/>
          </cell>
          <cell r="F1445" t="str">
            <v/>
          </cell>
          <cell r="G1445" t="str">
            <v/>
          </cell>
          <cell r="H1445" t="str">
            <v/>
          </cell>
          <cell r="I1445" t="str">
            <v/>
          </cell>
          <cell r="J1445" t="str">
            <v/>
          </cell>
          <cell r="K1445" t="str">
            <v/>
          </cell>
          <cell r="L1445" t="str">
            <v/>
          </cell>
          <cell r="M1445" t="str">
            <v/>
          </cell>
          <cell r="N1445" t="str">
            <v/>
          </cell>
          <cell r="P1445" t="str">
            <v>ADET</v>
          </cell>
          <cell r="AG1445" t="str">
            <v>ADET</v>
          </cell>
          <cell r="AL1445">
            <v>0</v>
          </cell>
          <cell r="AO1445">
            <v>0</v>
          </cell>
          <cell r="AQ1445">
            <v>0</v>
          </cell>
          <cell r="AS1445">
            <v>0</v>
          </cell>
          <cell r="AU1445">
            <v>0</v>
          </cell>
          <cell r="AW1445">
            <v>0</v>
          </cell>
        </row>
        <row r="1446">
          <cell r="B1446" t="str">
            <v>H1C6JMNLCSP-155</v>
          </cell>
          <cell r="C1446" t="str">
            <v>SURINAM KRİSTAL AKRİLİK NİKEL YEMEK MASASI AVİZE</v>
          </cell>
          <cell r="D1446" t="str">
            <v>SURINAM CRYSTAL ACRYLIC NICKEL DINING TABLE CHANDELIER</v>
          </cell>
          <cell r="E1446" t="str">
            <v>METAL AKRİLİK NİKEL ŞEFFAF</v>
          </cell>
          <cell r="F1446" t="str">
            <v/>
          </cell>
          <cell r="G1446" t="str">
            <v>AVİZE</v>
          </cell>
          <cell r="H1446" t="str">
            <v/>
          </cell>
          <cell r="I1446" t="str">
            <v>İÇ</v>
          </cell>
          <cell r="J1446" t="str">
            <v>AVİZE</v>
          </cell>
          <cell r="K1446" t="str">
            <v>SURINAM</v>
          </cell>
          <cell r="L1446" t="str">
            <v/>
          </cell>
          <cell r="M1446" t="str">
            <v/>
          </cell>
          <cell r="N1446" t="str">
            <v>HKA-24316</v>
          </cell>
          <cell r="O1446" t="str">
            <v>HEKA</v>
          </cell>
          <cell r="P1446" t="str">
            <v>ADET</v>
          </cell>
          <cell r="Q1446" t="str">
            <v>LED</v>
          </cell>
          <cell r="R1446" t="str">
            <v>METAL</v>
          </cell>
          <cell r="S1446" t="str">
            <v>NİKEL</v>
          </cell>
          <cell r="T1446" t="str">
            <v>AKRİLİK</v>
          </cell>
          <cell r="U1446" t="str">
            <v>ŞEFFAF</v>
          </cell>
          <cell r="AD1446" t="str">
            <v>POLİGONAL</v>
          </cell>
          <cell r="AF1446">
            <v>10</v>
          </cell>
          <cell r="AG1446" t="str">
            <v>ADET</v>
          </cell>
          <cell r="AH1446">
            <v>1690.5</v>
          </cell>
          <cell r="AI1446" t="str">
            <v>CNY</v>
          </cell>
          <cell r="AJ1446">
            <v>149940</v>
          </cell>
          <cell r="AK1446" t="str">
            <v>TL</v>
          </cell>
          <cell r="AL1446">
            <v>1</v>
          </cell>
          <cell r="AM1446" t="str">
            <v>8684127513968</v>
          </cell>
          <cell r="AO1446">
            <v>0</v>
          </cell>
          <cell r="AQ1446">
            <v>120</v>
          </cell>
          <cell r="AR1446" t="str">
            <v>CM</v>
          </cell>
          <cell r="AS1446">
            <v>35</v>
          </cell>
          <cell r="AT1446" t="str">
            <v>CM</v>
          </cell>
          <cell r="AU1446">
            <v>0</v>
          </cell>
          <cell r="AW1446">
            <v>0</v>
          </cell>
        </row>
        <row r="1447">
          <cell r="B1447" t="str">
            <v>H1C6JMEURBY-050</v>
          </cell>
          <cell r="C1447" t="str">
            <v>PLASTİK KÜRE ESKİTME SARKIT 50cm</v>
          </cell>
          <cell r="D1447" t="str">
            <v>PLASTIC SPHERE BRUSHED BRASS PENDANT 50cm</v>
          </cell>
          <cell r="E1447" t="str">
            <v xml:space="preserve">METAL PLASTİK ESKİTME BEYAZ   </v>
          </cell>
          <cell r="F1447" t="str">
            <v/>
          </cell>
          <cell r="G1447" t="str">
            <v>AVİZE</v>
          </cell>
          <cell r="H1447" t="str">
            <v/>
          </cell>
          <cell r="I1447" t="str">
            <v>İÇ</v>
          </cell>
          <cell r="J1447" t="str">
            <v>AVİZE.SARK</v>
          </cell>
          <cell r="K1447" t="str">
            <v/>
          </cell>
          <cell r="L1447" t="str">
            <v/>
          </cell>
          <cell r="M1447" t="str">
            <v/>
          </cell>
          <cell r="N1447" t="str">
            <v/>
          </cell>
          <cell r="P1447" t="str">
            <v>ADET</v>
          </cell>
          <cell r="Q1447" t="str">
            <v>LED</v>
          </cell>
          <cell r="R1447" t="str">
            <v>METAL</v>
          </cell>
          <cell r="S1447" t="str">
            <v>ESKİTME</v>
          </cell>
          <cell r="T1447" t="str">
            <v>PLASTİK</v>
          </cell>
          <cell r="U1447" t="str">
            <v>BEYAZ</v>
          </cell>
          <cell r="AD1447" t="str">
            <v>KÜRE</v>
          </cell>
          <cell r="AF1447">
            <v>1</v>
          </cell>
          <cell r="AG1447" t="str">
            <v>ADET</v>
          </cell>
          <cell r="AL1447">
            <v>0</v>
          </cell>
          <cell r="AO1447">
            <v>0</v>
          </cell>
          <cell r="AQ1447">
            <v>0</v>
          </cell>
          <cell r="AS1447">
            <v>50</v>
          </cell>
          <cell r="AT1447" t="str">
            <v>CM</v>
          </cell>
          <cell r="AU1447">
            <v>0</v>
          </cell>
          <cell r="AW1447">
            <v>0</v>
          </cell>
        </row>
        <row r="1448">
          <cell r="B1448" t="str">
            <v>H1C6JMEWRB1-120</v>
          </cell>
          <cell r="C1448" t="str">
            <v>TETUS TEKLİ MERMER SARKIT 120cm</v>
          </cell>
          <cell r="D1448" t="str">
            <v>TETUS SINGLE MARBLE PENDANT 120cm</v>
          </cell>
          <cell r="E1448" t="str">
            <v>METAL MERMER ESKİTME BEYAZ</v>
          </cell>
          <cell r="F1448" t="str">
            <v/>
          </cell>
          <cell r="G1448" t="str">
            <v>AVİZE</v>
          </cell>
          <cell r="H1448" t="str">
            <v/>
          </cell>
          <cell r="I1448" t="str">
            <v>İÇ</v>
          </cell>
          <cell r="J1448" t="str">
            <v>AVİZE.AVİZ</v>
          </cell>
          <cell r="K1448" t="str">
            <v>TETUS</v>
          </cell>
          <cell r="L1448" t="str">
            <v>Ç</v>
          </cell>
          <cell r="M1448" t="str">
            <v>30.01.2026</v>
          </cell>
          <cell r="N1448" t="str">
            <v>HKA-24085</v>
          </cell>
          <cell r="O1448" t="str">
            <v>HEKA</v>
          </cell>
          <cell r="P1448" t="str">
            <v>ADET</v>
          </cell>
          <cell r="Q1448" t="str">
            <v>LED</v>
          </cell>
          <cell r="R1448" t="str">
            <v>METAL</v>
          </cell>
          <cell r="S1448" t="str">
            <v>ESKİTME</v>
          </cell>
          <cell r="T1448" t="str">
            <v>MERMER</v>
          </cell>
          <cell r="U1448" t="str">
            <v>BEYAZ</v>
          </cell>
          <cell r="AD1448" t="str">
            <v>TEKLİ</v>
          </cell>
          <cell r="AF1448">
            <v>0</v>
          </cell>
          <cell r="AG1448" t="str">
            <v>ADET</v>
          </cell>
          <cell r="AH1448">
            <v>750</v>
          </cell>
          <cell r="AI1448" t="str">
            <v>CNY</v>
          </cell>
          <cell r="AJ1448">
            <v>59750</v>
          </cell>
          <cell r="AK1448" t="str">
            <v>TL</v>
          </cell>
          <cell r="AL1448">
            <v>1</v>
          </cell>
          <cell r="AM1448" t="str">
            <v>8684127512244</v>
          </cell>
          <cell r="AO1448">
            <v>0</v>
          </cell>
          <cell r="AQ1448">
            <v>0</v>
          </cell>
          <cell r="AS1448">
            <v>0</v>
          </cell>
          <cell r="AU1448">
            <v>0</v>
          </cell>
          <cell r="AW1448">
            <v>0</v>
          </cell>
        </row>
        <row r="1449">
          <cell r="B1449" t="str">
            <v>H1T6AAAARAJ-017</v>
          </cell>
          <cell r="C1449" t="str">
            <v>MORCHELLA ŞARJLI SARI MASA LAMBASI</v>
          </cell>
          <cell r="D1449" t="str">
            <v>MORCHELLA CHARGEABLE YELLOW TABLE LAMP</v>
          </cell>
          <cell r="E1449" t="str">
            <v>AHŞAP AHŞAP KIZIL AĞAÇ SARI</v>
          </cell>
          <cell r="F1449" t="str">
            <v/>
          </cell>
          <cell r="G1449" t="str">
            <v>MASAABAJ</v>
          </cell>
          <cell r="H1449" t="str">
            <v/>
          </cell>
          <cell r="I1449" t="str">
            <v>İÇ</v>
          </cell>
          <cell r="J1449" t="str">
            <v>MASAKAMP</v>
          </cell>
          <cell r="K1449" t="str">
            <v>MORCHELLA</v>
          </cell>
          <cell r="L1449" t="str">
            <v/>
          </cell>
          <cell r="M1449" t="str">
            <v/>
          </cell>
          <cell r="N1449" t="str">
            <v>HKA-24090</v>
          </cell>
          <cell r="O1449" t="str">
            <v>HEKA</v>
          </cell>
          <cell r="P1449" t="str">
            <v>ADET</v>
          </cell>
          <cell r="Q1449" t="str">
            <v>LED</v>
          </cell>
          <cell r="R1449" t="str">
            <v>AHŞAP</v>
          </cell>
          <cell r="S1449" t="str">
            <v>KIZIL AĞAÇ</v>
          </cell>
          <cell r="T1449" t="str">
            <v>AHŞAP</v>
          </cell>
          <cell r="U1449" t="str">
            <v>SARI</v>
          </cell>
          <cell r="AD1449" t="str">
            <v>ŞARJLI</v>
          </cell>
          <cell r="AF1449">
            <v>217</v>
          </cell>
          <cell r="AG1449" t="str">
            <v>ADET</v>
          </cell>
          <cell r="AH1449">
            <v>300</v>
          </cell>
          <cell r="AI1449" t="str">
            <v>TL</v>
          </cell>
          <cell r="AJ1449">
            <v>2295</v>
          </cell>
          <cell r="AK1449" t="str">
            <v>TL</v>
          </cell>
          <cell r="AL1449">
            <v>0</v>
          </cell>
          <cell r="AM1449" t="str">
            <v>8684127512176</v>
          </cell>
          <cell r="AO1449">
            <v>0</v>
          </cell>
          <cell r="AQ1449">
            <v>0</v>
          </cell>
          <cell r="AS1449">
            <v>0</v>
          </cell>
          <cell r="AU1449">
            <v>0</v>
          </cell>
          <cell r="AW1449">
            <v>0</v>
          </cell>
        </row>
        <row r="1450">
          <cell r="B1450" t="str">
            <v>H1C2JMEERL0-046</v>
          </cell>
          <cell r="C1450" t="str">
            <v>RUBİS ESKİTME DÖRTLÜ GLOP BAL CAMLI SARKIT AVİZE</v>
          </cell>
          <cell r="D1450" t="str">
            <v>RUBİS QUATERNARY GLOPE AMBER GLASS  BRUSHED BRASS PENDANT</v>
          </cell>
          <cell r="E1450" t="str">
            <v xml:space="preserve">METAL CAM  ESKİTME BAL   </v>
          </cell>
          <cell r="F1450" t="str">
            <v/>
          </cell>
          <cell r="G1450" t="str">
            <v>AVİZE</v>
          </cell>
          <cell r="H1450" t="str">
            <v/>
          </cell>
          <cell r="I1450" t="str">
            <v>İÇ</v>
          </cell>
          <cell r="J1450" t="str">
            <v>AVİZE</v>
          </cell>
          <cell r="K1450" t="str">
            <v>RUBİS</v>
          </cell>
          <cell r="L1450" t="str">
            <v/>
          </cell>
          <cell r="M1450" t="str">
            <v/>
          </cell>
          <cell r="N1450" t="str">
            <v>HKA-24359</v>
          </cell>
          <cell r="O1450" t="str">
            <v>HEKA</v>
          </cell>
          <cell r="P1450" t="str">
            <v>ADET</v>
          </cell>
          <cell r="Q1450" t="str">
            <v>E27</v>
          </cell>
          <cell r="R1450" t="str">
            <v>METAL</v>
          </cell>
          <cell r="S1450" t="str">
            <v>ESKİTME</v>
          </cell>
          <cell r="T1450" t="str">
            <v>CAM</v>
          </cell>
          <cell r="U1450" t="str">
            <v>BAL</v>
          </cell>
          <cell r="AE1450" t="str">
            <v>05</v>
          </cell>
          <cell r="AG1450" t="str">
            <v>ADET</v>
          </cell>
          <cell r="AL1450">
            <v>0</v>
          </cell>
          <cell r="AM1450" t="str">
            <v>8684127512411</v>
          </cell>
          <cell r="AO1450">
            <v>0</v>
          </cell>
          <cell r="AQ1450">
            <v>0</v>
          </cell>
          <cell r="AS1450">
            <v>0</v>
          </cell>
          <cell r="AU1450">
            <v>0</v>
          </cell>
          <cell r="AW1450">
            <v>0</v>
          </cell>
        </row>
        <row r="1451">
          <cell r="B1451" t="str">
            <v>H1C2JMEERL0-044</v>
          </cell>
          <cell r="C1451" t="str">
            <v>SAFİR ESKİTME ÜÇLÜ GLOP BAL CAMLI SARKIT AVİZE</v>
          </cell>
          <cell r="D1451" t="str">
            <v>SAFİR TRIPLE GLOPE AMBER GLASS  BRUSHED BRASS PENDANT</v>
          </cell>
          <cell r="E1451" t="str">
            <v xml:space="preserve">METAL CAM  ESKİTME BAL   </v>
          </cell>
          <cell r="F1451" t="str">
            <v/>
          </cell>
          <cell r="G1451" t="str">
            <v>AVİZE</v>
          </cell>
          <cell r="H1451" t="str">
            <v/>
          </cell>
          <cell r="I1451" t="str">
            <v>İÇ</v>
          </cell>
          <cell r="J1451" t="str">
            <v>AVİZE</v>
          </cell>
          <cell r="K1451" t="str">
            <v>SAFİR</v>
          </cell>
          <cell r="L1451" t="str">
            <v/>
          </cell>
          <cell r="M1451" t="str">
            <v/>
          </cell>
          <cell r="N1451" t="str">
            <v>HKA-24366</v>
          </cell>
          <cell r="O1451" t="str">
            <v>HEKA</v>
          </cell>
          <cell r="P1451" t="str">
            <v>ADET</v>
          </cell>
          <cell r="Q1451" t="str">
            <v>E27</v>
          </cell>
          <cell r="R1451" t="str">
            <v>METAL</v>
          </cell>
          <cell r="S1451" t="str">
            <v>ESKİTME</v>
          </cell>
          <cell r="T1451" t="str">
            <v>CAM</v>
          </cell>
          <cell r="U1451" t="str">
            <v>BAL</v>
          </cell>
          <cell r="AE1451" t="str">
            <v>04</v>
          </cell>
          <cell r="AG1451" t="str">
            <v>ADET</v>
          </cell>
          <cell r="AL1451">
            <v>0</v>
          </cell>
          <cell r="AM1451" t="str">
            <v>8684127512480</v>
          </cell>
          <cell r="AO1451">
            <v>0</v>
          </cell>
          <cell r="AQ1451">
            <v>0</v>
          </cell>
          <cell r="AS1451">
            <v>0</v>
          </cell>
          <cell r="AU1451">
            <v>0</v>
          </cell>
          <cell r="AW1451">
            <v>0</v>
          </cell>
        </row>
        <row r="1452">
          <cell r="B1452" t="str">
            <v>H1C2JMEERL0-029</v>
          </cell>
          <cell r="C1452" t="str">
            <v>VELVET ESKİTME İKİLİ GLOP BAL CAMLI SARKIT AVİZE</v>
          </cell>
          <cell r="D1452" t="str">
            <v>VELVET DUAL GLOPE AMBER GLASS  BRUSHED BRASS PENDANT</v>
          </cell>
          <cell r="E1452" t="str">
            <v xml:space="preserve">METAL CAM  ESKİTME BAL   </v>
          </cell>
          <cell r="F1452" t="str">
            <v/>
          </cell>
          <cell r="G1452" t="str">
            <v>AVİZE</v>
          </cell>
          <cell r="H1452" t="str">
            <v/>
          </cell>
          <cell r="I1452" t="str">
            <v>İÇ</v>
          </cell>
          <cell r="J1452" t="str">
            <v>AVİZE</v>
          </cell>
          <cell r="K1452" t="str">
            <v>VELVET</v>
          </cell>
          <cell r="L1452" t="str">
            <v/>
          </cell>
          <cell r="M1452" t="str">
            <v/>
          </cell>
          <cell r="N1452" t="str">
            <v>HKA-24373</v>
          </cell>
          <cell r="O1452" t="str">
            <v>HEKA</v>
          </cell>
          <cell r="P1452" t="str">
            <v>ADET</v>
          </cell>
          <cell r="Q1452" t="str">
            <v>E27</v>
          </cell>
          <cell r="R1452" t="str">
            <v>METAL</v>
          </cell>
          <cell r="S1452" t="str">
            <v>ESKİTME</v>
          </cell>
          <cell r="T1452" t="str">
            <v>CAM</v>
          </cell>
          <cell r="U1452" t="str">
            <v>BAL</v>
          </cell>
          <cell r="AE1452" t="str">
            <v>03</v>
          </cell>
          <cell r="AG1452" t="str">
            <v>ADET</v>
          </cell>
          <cell r="AL1452">
            <v>0</v>
          </cell>
          <cell r="AM1452" t="str">
            <v>8684127512558</v>
          </cell>
          <cell r="AO1452">
            <v>0</v>
          </cell>
          <cell r="AQ1452">
            <v>0</v>
          </cell>
          <cell r="AS1452">
            <v>0</v>
          </cell>
          <cell r="AU1452">
            <v>0</v>
          </cell>
          <cell r="AW1452">
            <v>0</v>
          </cell>
        </row>
        <row r="1453">
          <cell r="B1453" t="str">
            <v>NE024277045-2GH</v>
          </cell>
          <cell r="C1453" t="str">
            <v>NOVBO 120-277V_33W_450mA DİMLİ  LED SÜRÜCÜ</v>
          </cell>
          <cell r="D1453" t="str">
            <v>NOVBO 120-277V_33W_450mA DIMMBLE LED DRIVER</v>
          </cell>
          <cell r="E1453" t="str">
            <v/>
          </cell>
          <cell r="F1453" t="str">
            <v/>
          </cell>
          <cell r="G1453" t="str">
            <v>ZPARCA</v>
          </cell>
          <cell r="H1453" t="str">
            <v/>
          </cell>
          <cell r="I1453" t="str">
            <v>İÇ</v>
          </cell>
          <cell r="J1453" t="str">
            <v>ZPARCA</v>
          </cell>
          <cell r="K1453" t="str">
            <v>NOVBO</v>
          </cell>
          <cell r="L1453" t="str">
            <v/>
          </cell>
          <cell r="M1453" t="str">
            <v/>
          </cell>
          <cell r="N1453" t="str">
            <v/>
          </cell>
          <cell r="P1453" t="str">
            <v>ADET</v>
          </cell>
          <cell r="R1453" t="str">
            <v>PLASTİK</v>
          </cell>
          <cell r="S1453" t="str">
            <v>BEYAZ</v>
          </cell>
          <cell r="X1453" t="str">
            <v>110V-220V</v>
          </cell>
          <cell r="AA1453" t="str">
            <v>DIMMLI</v>
          </cell>
          <cell r="AF1453">
            <v>50</v>
          </cell>
          <cell r="AG1453" t="str">
            <v>ADET</v>
          </cell>
          <cell r="AH1453">
            <v>23.5</v>
          </cell>
          <cell r="AI1453" t="str">
            <v>CNY</v>
          </cell>
          <cell r="AJ1453">
            <v>1120</v>
          </cell>
          <cell r="AK1453" t="str">
            <v>TL</v>
          </cell>
          <cell r="AL1453">
            <v>0</v>
          </cell>
          <cell r="AO1453">
            <v>0</v>
          </cell>
          <cell r="AQ1453">
            <v>0</v>
          </cell>
          <cell r="AS1453">
            <v>0</v>
          </cell>
          <cell r="AU1453">
            <v>0</v>
          </cell>
          <cell r="AW1453">
            <v>0</v>
          </cell>
        </row>
        <row r="1454">
          <cell r="B1454" t="str">
            <v>H1C6WRBVRVC-190</v>
          </cell>
          <cell r="C1454" t="str">
            <v>VENÜS DERİ ASKILI  MERMER LED SARKIT AVİZE 190cm</v>
          </cell>
          <cell r="D1454" t="str">
            <v>VENUS LEATHER STRAP MARBLE LED PENDANT CHANDELIER 190cm</v>
          </cell>
          <cell r="E1454" t="str">
            <v xml:space="preserve">MERMER DERİ BEYAZ KAHVERENGİ   </v>
          </cell>
          <cell r="F1454" t="str">
            <v/>
          </cell>
          <cell r="G1454" t="str">
            <v>AVİZE</v>
          </cell>
          <cell r="H1454" t="str">
            <v/>
          </cell>
          <cell r="I1454" t="str">
            <v>İÇ</v>
          </cell>
          <cell r="J1454" t="str">
            <v>AVİZE.AVİZ</v>
          </cell>
          <cell r="K1454" t="str">
            <v>VENÜS</v>
          </cell>
          <cell r="L1454" t="str">
            <v>Y</v>
          </cell>
          <cell r="M1454" t="str">
            <v>30.01.2026</v>
          </cell>
          <cell r="N1454" t="str">
            <v>HKA-24378</v>
          </cell>
          <cell r="O1454" t="str">
            <v>HEKA</v>
          </cell>
          <cell r="P1454" t="str">
            <v>ADET</v>
          </cell>
          <cell r="Q1454" t="str">
            <v>LED</v>
          </cell>
          <cell r="R1454" t="str">
            <v>MERMER</v>
          </cell>
          <cell r="S1454" t="str">
            <v>BEYAZ</v>
          </cell>
          <cell r="T1454" t="str">
            <v>DERİ</v>
          </cell>
          <cell r="U1454" t="str">
            <v>KAHVERENGİ</v>
          </cell>
          <cell r="AD1454" t="str">
            <v>SİLİNDİR</v>
          </cell>
          <cell r="AF1454">
            <v>1</v>
          </cell>
          <cell r="AG1454" t="str">
            <v>ADET</v>
          </cell>
          <cell r="AH1454">
            <v>4500</v>
          </cell>
          <cell r="AI1454" t="str">
            <v>CNY</v>
          </cell>
          <cell r="AJ1454">
            <v>336000</v>
          </cell>
          <cell r="AK1454" t="str">
            <v>TL</v>
          </cell>
          <cell r="AL1454">
            <v>0</v>
          </cell>
          <cell r="AM1454" t="str">
            <v>8684127518598</v>
          </cell>
          <cell r="AO1454">
            <v>0</v>
          </cell>
          <cell r="AQ1454">
            <v>0</v>
          </cell>
          <cell r="AS1454">
            <v>0</v>
          </cell>
          <cell r="AU1454">
            <v>0</v>
          </cell>
          <cell r="AW1454">
            <v>0</v>
          </cell>
        </row>
        <row r="1455">
          <cell r="B1455" t="str">
            <v>H1T2YRBJM3Y-030</v>
          </cell>
          <cell r="C1455" t="str">
            <v>NOVA BEYAZ SOFT TOUCH KÜRE MASA LAMBASI 30cm</v>
          </cell>
          <cell r="D1455" t="str">
            <v>NOVA WHITE SOFT TOUCH SPHERE TABLE LAMP 30cm</v>
          </cell>
          <cell r="E1455" t="str">
            <v xml:space="preserve">POLİMER METAL BEYAZ MAT KROM   </v>
          </cell>
          <cell r="F1455" t="str">
            <v/>
          </cell>
          <cell r="G1455" t="str">
            <v>MASAABAJ</v>
          </cell>
          <cell r="H1455" t="str">
            <v/>
          </cell>
          <cell r="I1455" t="str">
            <v>İÇ</v>
          </cell>
          <cell r="J1455" t="str">
            <v>MASAABAJ</v>
          </cell>
          <cell r="K1455" t="str">
            <v>NOVA</v>
          </cell>
          <cell r="L1455" t="str">
            <v/>
          </cell>
          <cell r="M1455" t="str">
            <v/>
          </cell>
          <cell r="N1455" t="str">
            <v>HKA-24279</v>
          </cell>
          <cell r="O1455" t="str">
            <v>HEKA</v>
          </cell>
          <cell r="P1455" t="str">
            <v>ADET</v>
          </cell>
          <cell r="Q1455" t="str">
            <v>E27</v>
          </cell>
          <cell r="R1455" t="str">
            <v>POLİMER</v>
          </cell>
          <cell r="S1455" t="str">
            <v>BEYAZ</v>
          </cell>
          <cell r="T1455" t="str">
            <v>METAL</v>
          </cell>
          <cell r="U1455" t="str">
            <v>MAT KROM</v>
          </cell>
          <cell r="AD1455" t="str">
            <v>KÜRE</v>
          </cell>
          <cell r="AE1455" t="str">
            <v>01</v>
          </cell>
          <cell r="AF1455">
            <v>9</v>
          </cell>
          <cell r="AG1455" t="str">
            <v>ADET</v>
          </cell>
          <cell r="AH1455">
            <v>166.5</v>
          </cell>
          <cell r="AI1455" t="str">
            <v>CNY</v>
          </cell>
          <cell r="AJ1455">
            <v>13220</v>
          </cell>
          <cell r="AK1455" t="str">
            <v>TL</v>
          </cell>
          <cell r="AL1455">
            <v>1</v>
          </cell>
          <cell r="AM1455" t="str">
            <v>8684127512626</v>
          </cell>
          <cell r="AO1455">
            <v>0</v>
          </cell>
          <cell r="AQ1455">
            <v>0</v>
          </cell>
          <cell r="AS1455">
            <v>0</v>
          </cell>
          <cell r="AU1455">
            <v>0</v>
          </cell>
          <cell r="AW1455">
            <v>0</v>
          </cell>
        </row>
        <row r="1456">
          <cell r="B1456" t="str">
            <v>H1C2YRBJRS0-050</v>
          </cell>
          <cell r="C1456" t="str">
            <v>LUNAR BEYAZ SOFT TOUCH SARKIT 50cm</v>
          </cell>
          <cell r="D1456" t="str">
            <v>LUNAR WHITE SOFT TOUCH PENDANT LAMP 50cm</v>
          </cell>
          <cell r="E1456" t="str">
            <v xml:space="preserve">POLİMER METAL BEYAZ SİYAH   </v>
          </cell>
          <cell r="F1456" t="str">
            <v/>
          </cell>
          <cell r="G1456" t="str">
            <v>AVİZE</v>
          </cell>
          <cell r="H1456" t="str">
            <v/>
          </cell>
          <cell r="I1456" t="str">
            <v>İÇ</v>
          </cell>
          <cell r="J1456" t="str">
            <v>AVİZE</v>
          </cell>
          <cell r="K1456" t="str">
            <v>LUNAR</v>
          </cell>
          <cell r="L1456" t="str">
            <v/>
          </cell>
          <cell r="M1456" t="str">
            <v/>
          </cell>
          <cell r="N1456" t="str">
            <v>HKA-24290</v>
          </cell>
          <cell r="O1456" t="str">
            <v>HEKA</v>
          </cell>
          <cell r="P1456" t="str">
            <v>ADET</v>
          </cell>
          <cell r="Q1456" t="str">
            <v>E27</v>
          </cell>
          <cell r="R1456" t="str">
            <v>POLİMER</v>
          </cell>
          <cell r="S1456" t="str">
            <v>BEYAZ</v>
          </cell>
          <cell r="T1456" t="str">
            <v>METAL</v>
          </cell>
          <cell r="U1456" t="str">
            <v>SİYAH</v>
          </cell>
          <cell r="AD1456" t="str">
            <v>N/A</v>
          </cell>
          <cell r="AE1456" t="str">
            <v>01</v>
          </cell>
          <cell r="AF1456">
            <v>51</v>
          </cell>
          <cell r="AG1456" t="str">
            <v>ADET</v>
          </cell>
          <cell r="AH1456">
            <v>252</v>
          </cell>
          <cell r="AI1456" t="str">
            <v>CNY</v>
          </cell>
          <cell r="AJ1456">
            <v>20120</v>
          </cell>
          <cell r="AK1456" t="str">
            <v>TL</v>
          </cell>
          <cell r="AL1456">
            <v>1</v>
          </cell>
          <cell r="AM1456" t="str">
            <v>8684127512732</v>
          </cell>
          <cell r="AO1456">
            <v>0</v>
          </cell>
          <cell r="AQ1456">
            <v>0</v>
          </cell>
          <cell r="AS1456">
            <v>0</v>
          </cell>
          <cell r="AU1456">
            <v>0</v>
          </cell>
          <cell r="AW1456">
            <v>0</v>
          </cell>
        </row>
        <row r="1457">
          <cell r="B1457" t="str">
            <v>H1C2YRBJM30-030</v>
          </cell>
          <cell r="C1457" t="str">
            <v>ORION BEYAZ SOFT TOUCH SARKIT 30cm</v>
          </cell>
          <cell r="D1457" t="str">
            <v>ORION WHITE SOFT TOUCH PENDANT LAMP 30cm</v>
          </cell>
          <cell r="E1457" t="str">
            <v xml:space="preserve">POLİMER METAL BEYAZ MAT KROM   </v>
          </cell>
          <cell r="F1457" t="str">
            <v/>
          </cell>
          <cell r="G1457" t="str">
            <v>AVİZE</v>
          </cell>
          <cell r="H1457" t="str">
            <v/>
          </cell>
          <cell r="I1457" t="str">
            <v>İÇ</v>
          </cell>
          <cell r="J1457" t="str">
            <v>AVİZE</v>
          </cell>
          <cell r="K1457" t="str">
            <v>ORION</v>
          </cell>
          <cell r="L1457" t="str">
            <v/>
          </cell>
          <cell r="M1457" t="str">
            <v/>
          </cell>
          <cell r="N1457" t="str">
            <v>HKA-24299</v>
          </cell>
          <cell r="O1457" t="str">
            <v>HEKA</v>
          </cell>
          <cell r="P1457" t="str">
            <v>ADET</v>
          </cell>
          <cell r="Q1457" t="str">
            <v>E27</v>
          </cell>
          <cell r="R1457" t="str">
            <v>POLİMER</v>
          </cell>
          <cell r="S1457" t="str">
            <v>BEYAZ</v>
          </cell>
          <cell r="T1457" t="str">
            <v>METAL</v>
          </cell>
          <cell r="U1457" t="str">
            <v>MAT KROM</v>
          </cell>
          <cell r="AD1457" t="str">
            <v>N/A</v>
          </cell>
          <cell r="AE1457" t="str">
            <v>01</v>
          </cell>
          <cell r="AF1457">
            <v>27</v>
          </cell>
          <cell r="AG1457" t="str">
            <v>ADET</v>
          </cell>
          <cell r="AH1457">
            <v>135</v>
          </cell>
          <cell r="AI1457" t="str">
            <v>CNY</v>
          </cell>
          <cell r="AJ1457">
            <v>10777</v>
          </cell>
          <cell r="AK1457" t="str">
            <v>TL</v>
          </cell>
          <cell r="AL1457">
            <v>1</v>
          </cell>
          <cell r="AM1457" t="str">
            <v>8684127512800</v>
          </cell>
          <cell r="AO1457">
            <v>0</v>
          </cell>
          <cell r="AQ1457">
            <v>0</v>
          </cell>
          <cell r="AS1457">
            <v>0</v>
          </cell>
          <cell r="AU1457">
            <v>0</v>
          </cell>
          <cell r="AW1457">
            <v>0</v>
          </cell>
        </row>
        <row r="1458">
          <cell r="B1458" t="str">
            <v>H1C2YRBJRSC-040</v>
          </cell>
          <cell r="C1458" t="str">
            <v>ORBIT BEYAZ SOFT TOUCH SİLİNDİR SARKIT 30cm</v>
          </cell>
          <cell r="D1458" t="str">
            <v>ORBIT WHITE SOFT TOUCH CYLINDER PENDANT LAMP 30cm</v>
          </cell>
          <cell r="E1458" t="str">
            <v xml:space="preserve">POLİMER METAL BEYAZ SİYAH   </v>
          </cell>
          <cell r="F1458" t="str">
            <v/>
          </cell>
          <cell r="G1458" t="str">
            <v>AVİZE</v>
          </cell>
          <cell r="H1458" t="str">
            <v/>
          </cell>
          <cell r="I1458" t="str">
            <v>İÇ</v>
          </cell>
          <cell r="J1458" t="str">
            <v>AVİZE</v>
          </cell>
          <cell r="K1458" t="str">
            <v>ORBIT</v>
          </cell>
          <cell r="L1458" t="str">
            <v/>
          </cell>
          <cell r="M1458" t="str">
            <v/>
          </cell>
          <cell r="N1458" t="str">
            <v>HKA-24304</v>
          </cell>
          <cell r="O1458" t="str">
            <v>HEKA</v>
          </cell>
          <cell r="P1458" t="str">
            <v>ADET</v>
          </cell>
          <cell r="Q1458" t="str">
            <v>E27</v>
          </cell>
          <cell r="R1458" t="str">
            <v>POLİMER</v>
          </cell>
          <cell r="S1458" t="str">
            <v>BEYAZ</v>
          </cell>
          <cell r="T1458" t="str">
            <v>METAL</v>
          </cell>
          <cell r="U1458" t="str">
            <v>SİYAH</v>
          </cell>
          <cell r="AD1458" t="str">
            <v>SİLİNDİR</v>
          </cell>
          <cell r="AE1458" t="str">
            <v>01</v>
          </cell>
          <cell r="AF1458">
            <v>47</v>
          </cell>
          <cell r="AG1458" t="str">
            <v>ADET</v>
          </cell>
          <cell r="AH1458">
            <v>135</v>
          </cell>
          <cell r="AI1458" t="str">
            <v>CNY</v>
          </cell>
          <cell r="AJ1458">
            <v>10777</v>
          </cell>
          <cell r="AK1458" t="str">
            <v>TL</v>
          </cell>
          <cell r="AL1458">
            <v>1</v>
          </cell>
          <cell r="AM1458" t="str">
            <v>8684127512879</v>
          </cell>
          <cell r="AO1458">
            <v>0</v>
          </cell>
          <cell r="AQ1458">
            <v>0</v>
          </cell>
          <cell r="AS1458">
            <v>0</v>
          </cell>
          <cell r="AU1458">
            <v>0</v>
          </cell>
          <cell r="AW1458">
            <v>0</v>
          </cell>
        </row>
        <row r="1459">
          <cell r="B1459" t="str">
            <v>H1C6JMEWRB1-030</v>
          </cell>
          <cell r="C1459" t="str">
            <v>UMAY TEKLİ ÇİFT MERMERLİ SARKIT AVİZE</v>
          </cell>
          <cell r="D1459" t="str">
            <v>UMAY SINGLE DOUBLE MARBLE PENDANT CHANDELIER</v>
          </cell>
          <cell r="E1459" t="str">
            <v xml:space="preserve">METAL MERMER ESKİTME BEYAZ   </v>
          </cell>
          <cell r="F1459" t="str">
            <v/>
          </cell>
          <cell r="G1459" t="str">
            <v>AVİZE</v>
          </cell>
          <cell r="H1459" t="str">
            <v/>
          </cell>
          <cell r="I1459" t="str">
            <v>İÇ</v>
          </cell>
          <cell r="J1459" t="str">
            <v>AVİZE.SARK</v>
          </cell>
          <cell r="K1459" t="str">
            <v>UMAY</v>
          </cell>
          <cell r="L1459" t="str">
            <v/>
          </cell>
          <cell r="M1459" t="str">
            <v/>
          </cell>
          <cell r="N1459" t="str">
            <v>HKA-24388</v>
          </cell>
          <cell r="O1459" t="str">
            <v>HEKA</v>
          </cell>
          <cell r="P1459" t="str">
            <v>ADET</v>
          </cell>
          <cell r="Q1459" t="str">
            <v>LED</v>
          </cell>
          <cell r="R1459" t="str">
            <v>METAL</v>
          </cell>
          <cell r="S1459" t="str">
            <v>ESKİTME</v>
          </cell>
          <cell r="T1459" t="str">
            <v>MERMER</v>
          </cell>
          <cell r="U1459" t="str">
            <v>BEYAZ</v>
          </cell>
          <cell r="Z1459" t="str">
            <v>3000 K</v>
          </cell>
          <cell r="AD1459" t="str">
            <v>TEKLİ</v>
          </cell>
          <cell r="AE1459" t="str">
            <v>01</v>
          </cell>
          <cell r="AF1459">
            <v>0</v>
          </cell>
          <cell r="AG1459" t="str">
            <v>ADET</v>
          </cell>
          <cell r="AJ1459">
            <v>5304</v>
          </cell>
          <cell r="AK1459" t="str">
            <v>TL</v>
          </cell>
          <cell r="AL1459">
            <v>1</v>
          </cell>
          <cell r="AM1459" t="str">
            <v>8684127512961</v>
          </cell>
          <cell r="AO1459">
            <v>0</v>
          </cell>
          <cell r="AQ1459">
            <v>0</v>
          </cell>
          <cell r="AS1459">
            <v>0</v>
          </cell>
          <cell r="AU1459">
            <v>0</v>
          </cell>
          <cell r="AW1459">
            <v>0</v>
          </cell>
        </row>
        <row r="1460">
          <cell r="B1460" t="str">
            <v>H1C3CMGERB0-060</v>
          </cell>
          <cell r="C1460" t="str">
            <v>DOHA 15 Lİ ROSE GOLD AVİZE</v>
          </cell>
          <cell r="D1460" t="str">
            <v>DOHA 15 ROSE GOLD CHANDELIER</v>
          </cell>
          <cell r="E1460" t="str">
            <v xml:space="preserve">ALUMİNYUM CAM  ROSE GOLD BEYAZ   </v>
          </cell>
          <cell r="F1460" t="str">
            <v/>
          </cell>
          <cell r="G1460" t="str">
            <v>AVİZE</v>
          </cell>
          <cell r="H1460" t="str">
            <v/>
          </cell>
          <cell r="I1460" t="str">
            <v>İÇ</v>
          </cell>
          <cell r="J1460" t="str">
            <v>AVİZE</v>
          </cell>
          <cell r="K1460" t="str">
            <v>DOHA</v>
          </cell>
          <cell r="L1460" t="str">
            <v/>
          </cell>
          <cell r="M1460" t="str">
            <v/>
          </cell>
          <cell r="N1460" t="str">
            <v>HKA-24176</v>
          </cell>
          <cell r="O1460" t="str">
            <v>HEKA</v>
          </cell>
          <cell r="P1460" t="str">
            <v>ADET</v>
          </cell>
          <cell r="Q1460" t="str">
            <v>G9</v>
          </cell>
          <cell r="R1460" t="str">
            <v>ALUMİNYUM</v>
          </cell>
          <cell r="S1460" t="str">
            <v>ROSE GOLD</v>
          </cell>
          <cell r="T1460" t="str">
            <v>CAM</v>
          </cell>
          <cell r="U1460" t="str">
            <v>BEYAZ</v>
          </cell>
          <cell r="AE1460" t="str">
            <v>15</v>
          </cell>
          <cell r="AF1460">
            <v>14</v>
          </cell>
          <cell r="AG1460" t="str">
            <v>ADET</v>
          </cell>
          <cell r="AH1460">
            <v>1121.76</v>
          </cell>
          <cell r="AI1460" t="str">
            <v>CNY</v>
          </cell>
          <cell r="AJ1460">
            <v>69000</v>
          </cell>
          <cell r="AK1460" t="str">
            <v>TL</v>
          </cell>
          <cell r="AL1460">
            <v>1</v>
          </cell>
          <cell r="AM1460" t="str">
            <v>8684127513043</v>
          </cell>
          <cell r="AO1460">
            <v>4.32</v>
          </cell>
          <cell r="AP1460" t="str">
            <v>KG</v>
          </cell>
          <cell r="AQ1460">
            <v>150</v>
          </cell>
          <cell r="AR1460" t="str">
            <v>CM</v>
          </cell>
          <cell r="AS1460">
            <v>60</v>
          </cell>
          <cell r="AT1460" t="str">
            <v>CM</v>
          </cell>
          <cell r="AU1460">
            <v>0</v>
          </cell>
          <cell r="AW1460">
            <v>0</v>
          </cell>
        </row>
        <row r="1461">
          <cell r="B1461" t="str">
            <v>H1C6JMKECS0-065</v>
          </cell>
          <cell r="C1461" t="str">
            <v>ÜSKÜP ALTILI ŞEFFAF KRİSTAL KROM SALON AVİZE</v>
          </cell>
          <cell r="D1461" t="str">
            <v>ÜSKÜP SIX CLEAR CRYSTAL CHROME LIVING ROOM CHANDELIER</v>
          </cell>
          <cell r="E1461" t="str">
            <v>METAL KRİSTAL  KROM ŞEFFAF</v>
          </cell>
          <cell r="F1461" t="str">
            <v/>
          </cell>
          <cell r="G1461" t="str">
            <v>AVİZE</v>
          </cell>
          <cell r="H1461" t="str">
            <v/>
          </cell>
          <cell r="I1461" t="str">
            <v>İÇ</v>
          </cell>
          <cell r="J1461" t="str">
            <v>AVİZE</v>
          </cell>
          <cell r="K1461" t="str">
            <v>ÜSKÜP</v>
          </cell>
          <cell r="L1461" t="str">
            <v/>
          </cell>
          <cell r="M1461" t="str">
            <v/>
          </cell>
          <cell r="N1461" t="str">
            <v>HKA-24186</v>
          </cell>
          <cell r="O1461" t="str">
            <v>HEKA</v>
          </cell>
          <cell r="P1461" t="str">
            <v>ADET</v>
          </cell>
          <cell r="Q1461" t="str">
            <v>LED</v>
          </cell>
          <cell r="R1461" t="str">
            <v>METAL</v>
          </cell>
          <cell r="S1461" t="str">
            <v>KROM</v>
          </cell>
          <cell r="T1461" t="str">
            <v>KRİSTAL</v>
          </cell>
          <cell r="U1461" t="str">
            <v>ŞEFFAF</v>
          </cell>
          <cell r="X1461" t="str">
            <v>110V-220V</v>
          </cell>
          <cell r="Z1461" t="str">
            <v>3000 K</v>
          </cell>
          <cell r="AB1461" t="str">
            <v>401-500</v>
          </cell>
          <cell r="AF1461">
            <v>13</v>
          </cell>
          <cell r="AG1461" t="str">
            <v>ADET</v>
          </cell>
          <cell r="AH1461">
            <v>1635.9</v>
          </cell>
          <cell r="AI1461" t="str">
            <v>CNY</v>
          </cell>
          <cell r="AJ1461">
            <v>99800</v>
          </cell>
          <cell r="AK1461" t="str">
            <v>TL</v>
          </cell>
          <cell r="AL1461">
            <v>1</v>
          </cell>
          <cell r="AM1461" t="str">
            <v>8684127513135</v>
          </cell>
          <cell r="AO1461">
            <v>5.48</v>
          </cell>
          <cell r="AP1461" t="str">
            <v>KG</v>
          </cell>
          <cell r="AQ1461">
            <v>27</v>
          </cell>
          <cell r="AR1461" t="str">
            <v>CM</v>
          </cell>
          <cell r="AS1461">
            <v>65</v>
          </cell>
          <cell r="AT1461" t="str">
            <v>CM</v>
          </cell>
          <cell r="AU1461">
            <v>0</v>
          </cell>
          <cell r="AW1461">
            <v>0</v>
          </cell>
        </row>
        <row r="1462">
          <cell r="B1462" t="str">
            <v>H1W6JRSBCS0-018</v>
          </cell>
          <cell r="C1462" t="str">
            <v>LİMA İKİLİ ŞEFFAF AKRİLİK PLATİN APLİK</v>
          </cell>
          <cell r="D1462" t="str">
            <v>LİMA DOUBLE CLEAR ACYRLIC PLATINUM WALL LAMP</v>
          </cell>
          <cell r="E1462" t="str">
            <v xml:space="preserve">METAL AKRİLİK PLATİN ŞEFFAF   </v>
          </cell>
          <cell r="F1462" t="str">
            <v/>
          </cell>
          <cell r="G1462" t="str">
            <v>APLİK</v>
          </cell>
          <cell r="H1462" t="str">
            <v/>
          </cell>
          <cell r="I1462" t="str">
            <v>İÇ</v>
          </cell>
          <cell r="J1462" t="str">
            <v>APLİK</v>
          </cell>
          <cell r="K1462" t="str">
            <v>LİMA</v>
          </cell>
          <cell r="L1462" t="str">
            <v/>
          </cell>
          <cell r="M1462" t="str">
            <v/>
          </cell>
          <cell r="N1462" t="str">
            <v>HKA-24241</v>
          </cell>
          <cell r="O1462" t="str">
            <v>HEKA</v>
          </cell>
          <cell r="P1462" t="str">
            <v>ADET</v>
          </cell>
          <cell r="Q1462" t="str">
            <v>LED</v>
          </cell>
          <cell r="R1462" t="str">
            <v>METAL</v>
          </cell>
          <cell r="S1462" t="str">
            <v>PLATİN</v>
          </cell>
          <cell r="T1462" t="str">
            <v>AKRİLİK</v>
          </cell>
          <cell r="U1462" t="str">
            <v>ŞEFFAF</v>
          </cell>
          <cell r="X1462" t="str">
            <v>110V-220V</v>
          </cell>
          <cell r="Z1462" t="str">
            <v>3000 K</v>
          </cell>
          <cell r="AF1462">
            <v>25</v>
          </cell>
          <cell r="AG1462" t="str">
            <v>ADET</v>
          </cell>
          <cell r="AH1462">
            <v>128</v>
          </cell>
          <cell r="AI1462" t="str">
            <v>CNY</v>
          </cell>
          <cell r="AJ1462">
            <v>8960</v>
          </cell>
          <cell r="AK1462" t="str">
            <v>TL</v>
          </cell>
          <cell r="AL1462">
            <v>1</v>
          </cell>
          <cell r="AM1462" t="str">
            <v>8684127513203</v>
          </cell>
          <cell r="AO1462">
            <v>6</v>
          </cell>
          <cell r="AP1462" t="str">
            <v>KG</v>
          </cell>
          <cell r="AQ1462">
            <v>6</v>
          </cell>
          <cell r="AR1462" t="str">
            <v>CM</v>
          </cell>
          <cell r="AS1462">
            <v>18</v>
          </cell>
          <cell r="AT1462" t="str">
            <v>CM</v>
          </cell>
          <cell r="AU1462">
            <v>0</v>
          </cell>
          <cell r="AW1462">
            <v>0</v>
          </cell>
        </row>
        <row r="1463">
          <cell r="B1463" t="str">
            <v>H1C6JMEURBY-080</v>
          </cell>
          <cell r="C1463" t="str">
            <v>PLASTİK KÜRE ESKİTME SARKIT 80cm</v>
          </cell>
          <cell r="D1463" t="str">
            <v>PLASTIC SPHERE BRUSHED BRASS PENDANT 80cm</v>
          </cell>
          <cell r="E1463" t="str">
            <v xml:space="preserve">METAL PLASTİK ESKİTME BEYAZ   </v>
          </cell>
          <cell r="F1463" t="str">
            <v/>
          </cell>
          <cell r="G1463" t="str">
            <v>AVİZE</v>
          </cell>
          <cell r="H1463" t="str">
            <v/>
          </cell>
          <cell r="I1463" t="str">
            <v>İÇ</v>
          </cell>
          <cell r="J1463" t="str">
            <v>AVİZE.SARK</v>
          </cell>
          <cell r="K1463" t="str">
            <v/>
          </cell>
          <cell r="L1463" t="str">
            <v/>
          </cell>
          <cell r="M1463" t="str">
            <v/>
          </cell>
          <cell r="N1463" t="str">
            <v/>
          </cell>
          <cell r="P1463" t="str">
            <v>ADET</v>
          </cell>
          <cell r="Q1463" t="str">
            <v>LED</v>
          </cell>
          <cell r="R1463" t="str">
            <v>METAL</v>
          </cell>
          <cell r="S1463" t="str">
            <v>ESKİTME</v>
          </cell>
          <cell r="T1463" t="str">
            <v>PLASTİK</v>
          </cell>
          <cell r="U1463" t="str">
            <v>BEYAZ</v>
          </cell>
          <cell r="AD1463" t="str">
            <v>KÜRE</v>
          </cell>
          <cell r="AF1463">
            <v>1</v>
          </cell>
          <cell r="AG1463" t="str">
            <v>ADET</v>
          </cell>
          <cell r="AL1463">
            <v>0</v>
          </cell>
          <cell r="AO1463">
            <v>0</v>
          </cell>
          <cell r="AQ1463">
            <v>0</v>
          </cell>
          <cell r="AS1463">
            <v>80</v>
          </cell>
          <cell r="AT1463" t="str">
            <v>CM</v>
          </cell>
          <cell r="AU1463">
            <v>0</v>
          </cell>
          <cell r="AW1463">
            <v>0</v>
          </cell>
        </row>
        <row r="1464">
          <cell r="B1464" t="str">
            <v>H1C2JMEECT0-021</v>
          </cell>
          <cell r="C1464" t="str">
            <v>ELEGAN ESKİTME TEKLİ GLOP BEYAZ CAMLI SARKIT AVİZE</v>
          </cell>
          <cell r="D1464" t="str">
            <v>ELEGAN SINGLE GLOPE WHITE GLASS  BRUSHED BRASS PENDANT</v>
          </cell>
          <cell r="E1464" t="str">
            <v xml:space="preserve">METAL CAM  ESKİTME SOFT   </v>
          </cell>
          <cell r="F1464" t="str">
            <v/>
          </cell>
          <cell r="G1464" t="str">
            <v>AVİZE</v>
          </cell>
          <cell r="H1464" t="str">
            <v/>
          </cell>
          <cell r="I1464" t="str">
            <v>İÇ</v>
          </cell>
          <cell r="J1464" t="str">
            <v>AVİZE</v>
          </cell>
          <cell r="K1464" t="str">
            <v>ELEGAN</v>
          </cell>
          <cell r="L1464" t="str">
            <v/>
          </cell>
          <cell r="M1464" t="str">
            <v/>
          </cell>
          <cell r="N1464" t="str">
            <v>HKA-24344</v>
          </cell>
          <cell r="O1464" t="str">
            <v>HEKA</v>
          </cell>
          <cell r="P1464" t="str">
            <v>ADET</v>
          </cell>
          <cell r="Q1464" t="str">
            <v>E27</v>
          </cell>
          <cell r="R1464" t="str">
            <v>METAL</v>
          </cell>
          <cell r="S1464" t="str">
            <v>ESKİTME</v>
          </cell>
          <cell r="T1464" t="str">
            <v>CAM</v>
          </cell>
          <cell r="U1464" t="str">
            <v>SOFT</v>
          </cell>
          <cell r="AE1464" t="str">
            <v>02</v>
          </cell>
          <cell r="AF1464">
            <v>21</v>
          </cell>
          <cell r="AG1464" t="str">
            <v>ADET</v>
          </cell>
          <cell r="AL1464">
            <v>0</v>
          </cell>
          <cell r="AM1464" t="str">
            <v>8684127512268</v>
          </cell>
          <cell r="AO1464">
            <v>0</v>
          </cell>
          <cell r="AQ1464">
            <v>0</v>
          </cell>
          <cell r="AS1464">
            <v>0</v>
          </cell>
          <cell r="AU1464">
            <v>0</v>
          </cell>
          <cell r="AW1464">
            <v>0</v>
          </cell>
        </row>
        <row r="1465">
          <cell r="B1465" t="str">
            <v>H1C2JMEECT0-031</v>
          </cell>
          <cell r="C1465" t="str">
            <v>ELEGAN ESKİTME İKİLİ GLOP BEYAZ CAMLI SARKIT AVİZE</v>
          </cell>
          <cell r="D1465" t="str">
            <v>ELEGAN DUAL GLOPE WHITE GLASS  BRUSHED BRASS PENDANT</v>
          </cell>
          <cell r="E1465" t="str">
            <v xml:space="preserve">METAL CAM  ESKİTME SOFT   </v>
          </cell>
          <cell r="F1465" t="str">
            <v/>
          </cell>
          <cell r="G1465" t="str">
            <v>AVİZE</v>
          </cell>
          <cell r="H1465" t="str">
            <v/>
          </cell>
          <cell r="I1465" t="str">
            <v>İÇ</v>
          </cell>
          <cell r="J1465" t="str">
            <v>AVİZE</v>
          </cell>
          <cell r="K1465" t="str">
            <v>ELEGAN</v>
          </cell>
          <cell r="L1465" t="str">
            <v/>
          </cell>
          <cell r="M1465" t="str">
            <v/>
          </cell>
          <cell r="N1465" t="str">
            <v>HKA-24345</v>
          </cell>
          <cell r="O1465" t="str">
            <v>HEKA</v>
          </cell>
          <cell r="P1465" t="str">
            <v>ADET</v>
          </cell>
          <cell r="Q1465" t="str">
            <v>E27</v>
          </cell>
          <cell r="R1465" t="str">
            <v>METAL</v>
          </cell>
          <cell r="S1465" t="str">
            <v>ESKİTME</v>
          </cell>
          <cell r="T1465" t="str">
            <v>CAM</v>
          </cell>
          <cell r="U1465" t="str">
            <v>SOFT</v>
          </cell>
          <cell r="AE1465" t="str">
            <v>03</v>
          </cell>
          <cell r="AF1465">
            <v>1</v>
          </cell>
          <cell r="AG1465" t="str">
            <v>ADET</v>
          </cell>
          <cell r="AL1465">
            <v>0</v>
          </cell>
          <cell r="AM1465" t="str">
            <v>8684127512275</v>
          </cell>
          <cell r="AO1465">
            <v>0</v>
          </cell>
          <cell r="AQ1465">
            <v>0</v>
          </cell>
          <cell r="AS1465">
            <v>0</v>
          </cell>
          <cell r="AU1465">
            <v>0</v>
          </cell>
          <cell r="AW1465">
            <v>0</v>
          </cell>
        </row>
        <row r="1466">
          <cell r="B1466" t="str">
            <v>H1C2JMEECT0-033</v>
          </cell>
          <cell r="C1466" t="str">
            <v>SAFİR ESKİTME İKİLİ GLOP BEYAZ CAMLI SARKIT AVİZE</v>
          </cell>
          <cell r="D1466" t="str">
            <v>SAFİR DUAL GLOPE WHITE GLASS  BRUSHED BRASS PENDANT</v>
          </cell>
          <cell r="E1466" t="str">
            <v xml:space="preserve">METAL CAM  ESKİTME SOFT   </v>
          </cell>
          <cell r="F1466" t="str">
            <v/>
          </cell>
          <cell r="G1466" t="str">
            <v>AVİZE</v>
          </cell>
          <cell r="H1466" t="str">
            <v/>
          </cell>
          <cell r="I1466" t="str">
            <v>İÇ</v>
          </cell>
          <cell r="J1466" t="str">
            <v>AVİZE</v>
          </cell>
          <cell r="K1466" t="str">
            <v>SAFİR</v>
          </cell>
          <cell r="L1466" t="str">
            <v/>
          </cell>
          <cell r="M1466" t="str">
            <v/>
          </cell>
          <cell r="N1466" t="str">
            <v>HKA-24361</v>
          </cell>
          <cell r="O1466" t="str">
            <v>HEKA</v>
          </cell>
          <cell r="P1466" t="str">
            <v>ADET</v>
          </cell>
          <cell r="Q1466" t="str">
            <v>E27</v>
          </cell>
          <cell r="R1466" t="str">
            <v>METAL</v>
          </cell>
          <cell r="S1466" t="str">
            <v>ESKİTME</v>
          </cell>
          <cell r="T1466" t="str">
            <v>CAM</v>
          </cell>
          <cell r="U1466" t="str">
            <v>SOFT</v>
          </cell>
          <cell r="AE1466" t="str">
            <v>03</v>
          </cell>
          <cell r="AG1466" t="str">
            <v>ADET</v>
          </cell>
          <cell r="AL1466">
            <v>0</v>
          </cell>
          <cell r="AM1466" t="str">
            <v>8684127512435</v>
          </cell>
          <cell r="AO1466">
            <v>0</v>
          </cell>
          <cell r="AQ1466">
            <v>0</v>
          </cell>
          <cell r="AS1466">
            <v>0</v>
          </cell>
          <cell r="AU1466">
            <v>0</v>
          </cell>
          <cell r="AW1466">
            <v>0</v>
          </cell>
        </row>
        <row r="1467">
          <cell r="B1467" t="str">
            <v>H1C2JMEECT0-044</v>
          </cell>
          <cell r="C1467" t="str">
            <v>SAFİR ESKİTME ÜÇLÜ GLOP BEYAZ CAMLI SARKIT AVİZE</v>
          </cell>
          <cell r="D1467" t="str">
            <v>SAFİR TRIPLE GLOPE WHITE GLASS  BRUSHED BRASS PENDANT</v>
          </cell>
          <cell r="E1467" t="str">
            <v xml:space="preserve">METAL CAM  ESKİTME SOFT   </v>
          </cell>
          <cell r="F1467" t="str">
            <v/>
          </cell>
          <cell r="G1467" t="str">
            <v>AVİZE</v>
          </cell>
          <cell r="H1467" t="str">
            <v/>
          </cell>
          <cell r="I1467" t="str">
            <v>İÇ</v>
          </cell>
          <cell r="J1467" t="str">
            <v>AVİZE</v>
          </cell>
          <cell r="K1467" t="str">
            <v>SAFİR</v>
          </cell>
          <cell r="L1467" t="str">
            <v/>
          </cell>
          <cell r="M1467" t="str">
            <v/>
          </cell>
          <cell r="N1467" t="str">
            <v>HKA-24362</v>
          </cell>
          <cell r="O1467" t="str">
            <v>HEKA</v>
          </cell>
          <cell r="P1467" t="str">
            <v>ADET</v>
          </cell>
          <cell r="Q1467" t="str">
            <v>E27</v>
          </cell>
          <cell r="R1467" t="str">
            <v>METAL</v>
          </cell>
          <cell r="S1467" t="str">
            <v>ESKİTME</v>
          </cell>
          <cell r="T1467" t="str">
            <v>CAM</v>
          </cell>
          <cell r="U1467" t="str">
            <v>SOFT</v>
          </cell>
          <cell r="AE1467" t="str">
            <v>04</v>
          </cell>
          <cell r="AG1467" t="str">
            <v>ADET</v>
          </cell>
          <cell r="AL1467">
            <v>0</v>
          </cell>
          <cell r="AM1467" t="str">
            <v>8684127512442</v>
          </cell>
          <cell r="AO1467">
            <v>0</v>
          </cell>
          <cell r="AQ1467">
            <v>0</v>
          </cell>
          <cell r="AS1467">
            <v>0</v>
          </cell>
          <cell r="AU1467">
            <v>0</v>
          </cell>
          <cell r="AW1467">
            <v>0</v>
          </cell>
        </row>
        <row r="1468">
          <cell r="B1468" t="str">
            <v>H1C6JMEWRB1-008</v>
          </cell>
          <cell r="C1468" t="str">
            <v>AYIZIT TEKLİ MERMER SARKIT AVİZE</v>
          </cell>
          <cell r="D1468" t="str">
            <v>AYIZIT SINGLE MARBLE PENDANT CHANDELIER</v>
          </cell>
          <cell r="E1468" t="str">
            <v xml:space="preserve">METAL MERMER ESKİTME BEYAZ   </v>
          </cell>
          <cell r="F1468" t="str">
            <v/>
          </cell>
          <cell r="G1468" t="str">
            <v>AVİZE</v>
          </cell>
          <cell r="H1468" t="str">
            <v/>
          </cell>
          <cell r="I1468" t="str">
            <v>İÇ</v>
          </cell>
          <cell r="J1468" t="str">
            <v>AVİZE</v>
          </cell>
          <cell r="K1468" t="str">
            <v>AYIZIT</v>
          </cell>
          <cell r="L1468" t="str">
            <v/>
          </cell>
          <cell r="M1468" t="str">
            <v/>
          </cell>
          <cell r="N1468" t="str">
            <v>HKA-24376</v>
          </cell>
          <cell r="O1468" t="str">
            <v>HEKA</v>
          </cell>
          <cell r="P1468" t="str">
            <v>ADET</v>
          </cell>
          <cell r="Q1468" t="str">
            <v>LED</v>
          </cell>
          <cell r="R1468" t="str">
            <v>METAL</v>
          </cell>
          <cell r="S1468" t="str">
            <v>ESKİTME</v>
          </cell>
          <cell r="T1468" t="str">
            <v>MERMER</v>
          </cell>
          <cell r="U1468" t="str">
            <v>BEYAZ</v>
          </cell>
          <cell r="AD1468" t="str">
            <v>TEKLİ</v>
          </cell>
          <cell r="AE1468" t="str">
            <v>02</v>
          </cell>
          <cell r="AF1468">
            <v>0</v>
          </cell>
          <cell r="AG1468" t="str">
            <v>ADET</v>
          </cell>
          <cell r="AJ1468">
            <v>7285</v>
          </cell>
          <cell r="AK1468" t="str">
            <v>TL</v>
          </cell>
          <cell r="AL1468">
            <v>0</v>
          </cell>
          <cell r="AM1468" t="str">
            <v>8684127514293</v>
          </cell>
          <cell r="AO1468">
            <v>0</v>
          </cell>
          <cell r="AQ1468">
            <v>0</v>
          </cell>
          <cell r="AS1468">
            <v>0</v>
          </cell>
          <cell r="AU1468">
            <v>0</v>
          </cell>
          <cell r="AW1468">
            <v>0</v>
          </cell>
        </row>
        <row r="1469">
          <cell r="B1469" t="str">
            <v>NE007277018-2GH</v>
          </cell>
          <cell r="C1469" t="str">
            <v>NOVBO 120-277V_13,5W_180mA DİMLİ  LED SÜRÜCÜ</v>
          </cell>
          <cell r="D1469" t="str">
            <v>NOVBO 120-277V_13,5W_180mA DIMMBLE LED DRIVER</v>
          </cell>
          <cell r="E1469" t="str">
            <v/>
          </cell>
          <cell r="F1469" t="str">
            <v/>
          </cell>
          <cell r="G1469" t="str">
            <v>ZPARCA</v>
          </cell>
          <cell r="H1469" t="str">
            <v/>
          </cell>
          <cell r="I1469" t="str">
            <v>İÇ</v>
          </cell>
          <cell r="J1469" t="str">
            <v>ZPARCA</v>
          </cell>
          <cell r="K1469" t="str">
            <v>NOVBO</v>
          </cell>
          <cell r="L1469" t="str">
            <v/>
          </cell>
          <cell r="M1469" t="str">
            <v/>
          </cell>
          <cell r="N1469" t="str">
            <v/>
          </cell>
          <cell r="P1469" t="str">
            <v>ADET</v>
          </cell>
          <cell r="R1469" t="str">
            <v>PLASTİK</v>
          </cell>
          <cell r="S1469" t="str">
            <v>BEYAZ</v>
          </cell>
          <cell r="X1469" t="str">
            <v>110V-220V</v>
          </cell>
          <cell r="AA1469" t="str">
            <v>DIMMLI</v>
          </cell>
          <cell r="AF1469">
            <v>159</v>
          </cell>
          <cell r="AG1469" t="str">
            <v>ADET</v>
          </cell>
          <cell r="AH1469">
            <v>13.5</v>
          </cell>
          <cell r="AI1469" t="str">
            <v>CNY</v>
          </cell>
          <cell r="AJ1469">
            <v>660</v>
          </cell>
          <cell r="AK1469" t="str">
            <v>TL</v>
          </cell>
          <cell r="AL1469">
            <v>0</v>
          </cell>
          <cell r="AO1469">
            <v>0</v>
          </cell>
          <cell r="AQ1469">
            <v>0</v>
          </cell>
          <cell r="AS1469">
            <v>0</v>
          </cell>
          <cell r="AU1469">
            <v>0</v>
          </cell>
          <cell r="AW1469">
            <v>0</v>
          </cell>
        </row>
        <row r="1470">
          <cell r="B1470" t="str">
            <v>H1T2YRBJRSC-030</v>
          </cell>
          <cell r="C1470" t="str">
            <v>NOVA BEYAZ SOFT TOUCH BOĞUMLU MASA LAMBASI 30cm</v>
          </cell>
          <cell r="D1470" t="str">
            <v>NOVA WHITE SOFT TOUCH KNOTTY TABLE LAMP 30cm</v>
          </cell>
          <cell r="E1470" t="str">
            <v xml:space="preserve">POLİMER METAL BEYAZ SİYAH   </v>
          </cell>
          <cell r="F1470" t="str">
            <v/>
          </cell>
          <cell r="G1470" t="str">
            <v>MASAABAJ</v>
          </cell>
          <cell r="H1470" t="str">
            <v/>
          </cell>
          <cell r="I1470" t="str">
            <v>İÇ</v>
          </cell>
          <cell r="J1470" t="str">
            <v>MASAABAJ</v>
          </cell>
          <cell r="K1470" t="str">
            <v>NOVA</v>
          </cell>
          <cell r="L1470" t="str">
            <v/>
          </cell>
          <cell r="M1470" t="str">
            <v/>
          </cell>
          <cell r="N1470" t="str">
            <v>HKA-24276</v>
          </cell>
          <cell r="O1470" t="str">
            <v>HEKA</v>
          </cell>
          <cell r="P1470" t="str">
            <v>ADET</v>
          </cell>
          <cell r="Q1470" t="str">
            <v>E27</v>
          </cell>
          <cell r="R1470" t="str">
            <v>POLİMER</v>
          </cell>
          <cell r="S1470" t="str">
            <v>BEYAZ</v>
          </cell>
          <cell r="T1470" t="str">
            <v>METAL</v>
          </cell>
          <cell r="U1470" t="str">
            <v>SİYAH</v>
          </cell>
          <cell r="AD1470" t="str">
            <v>SİLİNDİR</v>
          </cell>
          <cell r="AE1470" t="str">
            <v>03</v>
          </cell>
          <cell r="AF1470">
            <v>9</v>
          </cell>
          <cell r="AG1470" t="str">
            <v>ADET</v>
          </cell>
          <cell r="AH1470">
            <v>238.5</v>
          </cell>
          <cell r="AI1470" t="str">
            <v>CNY</v>
          </cell>
          <cell r="AJ1470">
            <v>19110</v>
          </cell>
          <cell r="AK1470" t="str">
            <v>TL</v>
          </cell>
          <cell r="AL1470">
            <v>1</v>
          </cell>
          <cell r="AM1470" t="str">
            <v>8684127512596</v>
          </cell>
          <cell r="AO1470">
            <v>0</v>
          </cell>
          <cell r="AQ1470">
            <v>0</v>
          </cell>
          <cell r="AS1470">
            <v>0</v>
          </cell>
          <cell r="AU1470">
            <v>0</v>
          </cell>
          <cell r="AW1470">
            <v>0</v>
          </cell>
        </row>
        <row r="1471">
          <cell r="B1471" t="str">
            <v>H1C6YRBJRS0-080</v>
          </cell>
          <cell r="C1471" t="str">
            <v>GALAXY BEYAZ SOFT TOUCH DALGA SARKIT 80cm</v>
          </cell>
          <cell r="D1471" t="str">
            <v>GALAXY WHITE SOFT TOUCH WAVE PENDANT LAMP 80cm</v>
          </cell>
          <cell r="E1471" t="str">
            <v xml:space="preserve">POLİMER METAL BEYAZ SİYAH   </v>
          </cell>
          <cell r="F1471" t="str">
            <v/>
          </cell>
          <cell r="G1471" t="str">
            <v>AVİZE</v>
          </cell>
          <cell r="H1471" t="str">
            <v/>
          </cell>
          <cell r="I1471" t="str">
            <v>İÇ</v>
          </cell>
          <cell r="J1471" t="str">
            <v>AVİZE</v>
          </cell>
          <cell r="K1471" t="str">
            <v>GALAXY</v>
          </cell>
          <cell r="L1471" t="str">
            <v>Ç</v>
          </cell>
          <cell r="M1471" t="str">
            <v/>
          </cell>
          <cell r="N1471" t="str">
            <v>HKA-24293</v>
          </cell>
          <cell r="O1471" t="str">
            <v>HEKA</v>
          </cell>
          <cell r="P1471" t="str">
            <v>ADET</v>
          </cell>
          <cell r="Q1471" t="str">
            <v>LED</v>
          </cell>
          <cell r="R1471" t="str">
            <v>POLİMER</v>
          </cell>
          <cell r="S1471" t="str">
            <v>BEYAZ</v>
          </cell>
          <cell r="T1471" t="str">
            <v>METAL</v>
          </cell>
          <cell r="U1471" t="str">
            <v>SİYAH</v>
          </cell>
          <cell r="AD1471" t="str">
            <v>N/A</v>
          </cell>
          <cell r="AF1471">
            <v>39</v>
          </cell>
          <cell r="AG1471" t="str">
            <v>ADET</v>
          </cell>
          <cell r="AH1471">
            <v>405</v>
          </cell>
          <cell r="AI1471" t="str">
            <v>CNY</v>
          </cell>
          <cell r="AJ1471">
            <v>32330</v>
          </cell>
          <cell r="AK1471" t="str">
            <v>TL</v>
          </cell>
          <cell r="AL1471">
            <v>1</v>
          </cell>
          <cell r="AM1471" t="str">
            <v>8684127512763</v>
          </cell>
          <cell r="AO1471">
            <v>0</v>
          </cell>
          <cell r="AQ1471">
            <v>0</v>
          </cell>
          <cell r="AS1471">
            <v>0</v>
          </cell>
          <cell r="AU1471">
            <v>0</v>
          </cell>
          <cell r="AW1471">
            <v>0</v>
          </cell>
        </row>
        <row r="1472">
          <cell r="B1472" t="str">
            <v>H1C6YRBJRS0-100</v>
          </cell>
          <cell r="C1472" t="str">
            <v>GALAXY BEYAZ SOFT TOUCH DALGA SARKIT 100cm</v>
          </cell>
          <cell r="D1472" t="str">
            <v>GALAXY WHITE SOFT TOUCH WAVE PENDANT LAMP 100cm</v>
          </cell>
          <cell r="E1472" t="str">
            <v xml:space="preserve">POLİMER METAL BEYAZ SİYAH   </v>
          </cell>
          <cell r="F1472" t="str">
            <v/>
          </cell>
          <cell r="G1472" t="str">
            <v>AVİZE</v>
          </cell>
          <cell r="H1472" t="str">
            <v/>
          </cell>
          <cell r="I1472" t="str">
            <v>İÇ</v>
          </cell>
          <cell r="J1472" t="str">
            <v>AVİZE</v>
          </cell>
          <cell r="K1472" t="str">
            <v>GALAXY</v>
          </cell>
          <cell r="L1472" t="str">
            <v/>
          </cell>
          <cell r="M1472" t="str">
            <v/>
          </cell>
          <cell r="N1472" t="str">
            <v>HKA-24294</v>
          </cell>
          <cell r="O1472" t="str">
            <v>HEKA</v>
          </cell>
          <cell r="P1472" t="str">
            <v>ADET</v>
          </cell>
          <cell r="Q1472" t="str">
            <v>LED</v>
          </cell>
          <cell r="R1472" t="str">
            <v>POLİMER</v>
          </cell>
          <cell r="S1472" t="str">
            <v>BEYAZ</v>
          </cell>
          <cell r="T1472" t="str">
            <v>METAL</v>
          </cell>
          <cell r="U1472" t="str">
            <v>SİYAH</v>
          </cell>
          <cell r="AD1472" t="str">
            <v>N/A</v>
          </cell>
          <cell r="AF1472">
            <v>60</v>
          </cell>
          <cell r="AG1472" t="str">
            <v>ADET</v>
          </cell>
          <cell r="AH1472">
            <v>585</v>
          </cell>
          <cell r="AI1472" t="str">
            <v>CNY</v>
          </cell>
          <cell r="AJ1472">
            <v>46670</v>
          </cell>
          <cell r="AK1472" t="str">
            <v>TL</v>
          </cell>
          <cell r="AL1472">
            <v>1</v>
          </cell>
          <cell r="AM1472" t="str">
            <v>8684127512770</v>
          </cell>
          <cell r="AO1472">
            <v>0</v>
          </cell>
          <cell r="AQ1472">
            <v>0</v>
          </cell>
          <cell r="AS1472">
            <v>0</v>
          </cell>
          <cell r="AU1472">
            <v>0</v>
          </cell>
          <cell r="AW1472">
            <v>0</v>
          </cell>
        </row>
        <row r="1473">
          <cell r="B1473" t="str">
            <v>H1C2YRBJRSC-068</v>
          </cell>
          <cell r="C1473" t="str">
            <v>PLANET BEYAZ SOFT TOUCH SİLİNDİR SARKIT 68cm</v>
          </cell>
          <cell r="D1473" t="str">
            <v>PLANET WHITE SOFT TOUCH CYLINDER PENDANT LAMP 68cm</v>
          </cell>
          <cell r="E1473" t="str">
            <v xml:space="preserve">POLİMER METAL BEYAZ SİYAH   </v>
          </cell>
          <cell r="F1473" t="str">
            <v/>
          </cell>
          <cell r="G1473" t="str">
            <v>AVİZE</v>
          </cell>
          <cell r="H1473" t="str">
            <v/>
          </cell>
          <cell r="I1473" t="str">
            <v>İÇ</v>
          </cell>
          <cell r="J1473" t="str">
            <v>AVİZE</v>
          </cell>
          <cell r="K1473" t="str">
            <v>PLANET</v>
          </cell>
          <cell r="L1473" t="str">
            <v/>
          </cell>
          <cell r="M1473" t="str">
            <v/>
          </cell>
          <cell r="N1473" t="str">
            <v>HKA-24307</v>
          </cell>
          <cell r="O1473" t="str">
            <v>HEKA</v>
          </cell>
          <cell r="P1473" t="str">
            <v>ADET</v>
          </cell>
          <cell r="Q1473" t="str">
            <v>E27</v>
          </cell>
          <cell r="R1473" t="str">
            <v>POLİMER</v>
          </cell>
          <cell r="S1473" t="str">
            <v>BEYAZ</v>
          </cell>
          <cell r="T1473" t="str">
            <v>METAL</v>
          </cell>
          <cell r="U1473" t="str">
            <v>SİYAH</v>
          </cell>
          <cell r="AD1473" t="str">
            <v>SİLİNDİR</v>
          </cell>
          <cell r="AE1473" t="str">
            <v>01</v>
          </cell>
          <cell r="AF1473">
            <v>19</v>
          </cell>
          <cell r="AG1473" t="str">
            <v>ADET</v>
          </cell>
          <cell r="AH1473">
            <v>432</v>
          </cell>
          <cell r="AI1473" t="str">
            <v>CNY</v>
          </cell>
          <cell r="AJ1473">
            <v>34500</v>
          </cell>
          <cell r="AK1473" t="str">
            <v>TL</v>
          </cell>
          <cell r="AL1473">
            <v>1</v>
          </cell>
          <cell r="AM1473" t="str">
            <v>8684127512909</v>
          </cell>
          <cell r="AO1473">
            <v>0</v>
          </cell>
          <cell r="AQ1473">
            <v>0</v>
          </cell>
          <cell r="AS1473">
            <v>0</v>
          </cell>
          <cell r="AU1473">
            <v>0</v>
          </cell>
          <cell r="AW1473">
            <v>0</v>
          </cell>
        </row>
        <row r="1474">
          <cell r="B1474" t="str">
            <v>H1C2YRBJRSC-054</v>
          </cell>
          <cell r="C1474" t="str">
            <v>PLANET BEYAZ SOFT TOUCH SİLİNDİR SARKIT 54cm</v>
          </cell>
          <cell r="D1474" t="str">
            <v>PLANET WHITE SOFT TOUCH CYLINDER PENDANT LAMP 54cm</v>
          </cell>
          <cell r="E1474" t="str">
            <v xml:space="preserve">POLİMER METAL BEYAZ SİYAH   </v>
          </cell>
          <cell r="F1474" t="str">
            <v/>
          </cell>
          <cell r="G1474" t="str">
            <v>AVİZE</v>
          </cell>
          <cell r="H1474" t="str">
            <v/>
          </cell>
          <cell r="I1474" t="str">
            <v>İÇ</v>
          </cell>
          <cell r="J1474" t="str">
            <v>AVİZE</v>
          </cell>
          <cell r="K1474" t="str">
            <v>PLANET</v>
          </cell>
          <cell r="L1474" t="str">
            <v/>
          </cell>
          <cell r="M1474" t="str">
            <v/>
          </cell>
          <cell r="N1474" t="str">
            <v>HKA-24308</v>
          </cell>
          <cell r="O1474" t="str">
            <v>HEKA</v>
          </cell>
          <cell r="P1474" t="str">
            <v>ADET</v>
          </cell>
          <cell r="Q1474" t="str">
            <v>E27</v>
          </cell>
          <cell r="R1474" t="str">
            <v>POLİMER</v>
          </cell>
          <cell r="S1474" t="str">
            <v>BEYAZ</v>
          </cell>
          <cell r="T1474" t="str">
            <v>METAL</v>
          </cell>
          <cell r="U1474" t="str">
            <v>SİYAH</v>
          </cell>
          <cell r="AD1474" t="str">
            <v>SİLİNDİR</v>
          </cell>
          <cell r="AE1474" t="str">
            <v>01</v>
          </cell>
          <cell r="AF1474">
            <v>50</v>
          </cell>
          <cell r="AG1474" t="str">
            <v>ADET</v>
          </cell>
          <cell r="AH1474">
            <v>306</v>
          </cell>
          <cell r="AI1474" t="str">
            <v>CNY</v>
          </cell>
          <cell r="AJ1474">
            <v>24440</v>
          </cell>
          <cell r="AK1474" t="str">
            <v>TL</v>
          </cell>
          <cell r="AL1474">
            <v>1</v>
          </cell>
          <cell r="AM1474" t="str">
            <v>8684127512916</v>
          </cell>
          <cell r="AO1474">
            <v>0</v>
          </cell>
          <cell r="AQ1474">
            <v>0</v>
          </cell>
          <cell r="AS1474">
            <v>0</v>
          </cell>
          <cell r="AU1474">
            <v>0</v>
          </cell>
          <cell r="AW1474">
            <v>0</v>
          </cell>
        </row>
        <row r="1475">
          <cell r="B1475" t="str">
            <v>H1C6YRBJRSP-173</v>
          </cell>
          <cell r="C1475" t="str">
            <v>ALTAIR BEYAZ SOFT TOUCH POLİGONAL SARKIT 130cm</v>
          </cell>
          <cell r="D1475" t="str">
            <v>ALTAIR WHITE SOFT TOUCH POLYGONAL PENDANT LAMP 130cm</v>
          </cell>
          <cell r="E1475" t="str">
            <v xml:space="preserve">POLİMER METAL BEYAZ SİYAH   </v>
          </cell>
          <cell r="F1475" t="str">
            <v/>
          </cell>
          <cell r="G1475" t="str">
            <v>AVİZE</v>
          </cell>
          <cell r="H1475" t="str">
            <v/>
          </cell>
          <cell r="I1475" t="str">
            <v>İÇ</v>
          </cell>
          <cell r="J1475" t="str">
            <v>AVİZE</v>
          </cell>
          <cell r="K1475" t="str">
            <v>ALTAIR</v>
          </cell>
          <cell r="L1475" t="str">
            <v/>
          </cell>
          <cell r="M1475" t="str">
            <v/>
          </cell>
          <cell r="N1475" t="str">
            <v>HKA-24311</v>
          </cell>
          <cell r="O1475" t="str">
            <v>HEKA</v>
          </cell>
          <cell r="P1475" t="str">
            <v>ADET</v>
          </cell>
          <cell r="Q1475" t="str">
            <v>LED</v>
          </cell>
          <cell r="R1475" t="str">
            <v>POLİMER</v>
          </cell>
          <cell r="S1475" t="str">
            <v>BEYAZ</v>
          </cell>
          <cell r="T1475" t="str">
            <v>METAL</v>
          </cell>
          <cell r="U1475" t="str">
            <v>SİYAH</v>
          </cell>
          <cell r="AD1475" t="str">
            <v>POLİGONAL</v>
          </cell>
          <cell r="AE1475" t="str">
            <v>02</v>
          </cell>
          <cell r="AF1475">
            <v>18</v>
          </cell>
          <cell r="AG1475" t="str">
            <v>ADET</v>
          </cell>
          <cell r="AH1475">
            <v>1170</v>
          </cell>
          <cell r="AI1475" t="str">
            <v>CNY</v>
          </cell>
          <cell r="AJ1475">
            <v>93405</v>
          </cell>
          <cell r="AK1475" t="str">
            <v>TL</v>
          </cell>
          <cell r="AL1475">
            <v>1</v>
          </cell>
          <cell r="AM1475" t="str">
            <v>8684127512947</v>
          </cell>
          <cell r="AO1475">
            <v>0</v>
          </cell>
          <cell r="AQ1475">
            <v>0</v>
          </cell>
          <cell r="AS1475">
            <v>0</v>
          </cell>
          <cell r="AU1475">
            <v>0</v>
          </cell>
          <cell r="AW1475">
            <v>0</v>
          </cell>
        </row>
        <row r="1476">
          <cell r="B1476" t="str">
            <v>H1C3JMKECT0-120</v>
          </cell>
          <cell r="C1476" t="str">
            <v>HAVANA KROM-PLATİN 10 SOFT CAM YEMEK M. AVİZ 120CM</v>
          </cell>
          <cell r="D1476" t="str">
            <v>HAVANA CHROME-PLATINUM 10 SOFT GLASS DINING ROOM CHANDELIER 120 CM</v>
          </cell>
          <cell r="E1476" t="str">
            <v xml:space="preserve">METAL CAM  KROM SOFT   </v>
          </cell>
          <cell r="F1476" t="str">
            <v/>
          </cell>
          <cell r="G1476" t="str">
            <v>AVİZE</v>
          </cell>
          <cell r="H1476" t="str">
            <v/>
          </cell>
          <cell r="I1476" t="str">
            <v>İÇ</v>
          </cell>
          <cell r="J1476" t="str">
            <v>AVİZE</v>
          </cell>
          <cell r="K1476" t="str">
            <v>HAVANA</v>
          </cell>
          <cell r="L1476" t="str">
            <v/>
          </cell>
          <cell r="M1476" t="str">
            <v/>
          </cell>
          <cell r="N1476" t="str">
            <v>HKA-24227</v>
          </cell>
          <cell r="O1476" t="str">
            <v>HEKA</v>
          </cell>
          <cell r="P1476" t="str">
            <v>ADET</v>
          </cell>
          <cell r="Q1476" t="str">
            <v>G9</v>
          </cell>
          <cell r="R1476" t="str">
            <v>METAL</v>
          </cell>
          <cell r="S1476" t="str">
            <v>KROM</v>
          </cell>
          <cell r="T1476" t="str">
            <v>CAM</v>
          </cell>
          <cell r="U1476" t="str">
            <v>SOFT</v>
          </cell>
          <cell r="X1476" t="str">
            <v>110V-220V</v>
          </cell>
          <cell r="Z1476" t="str">
            <v>3000 K</v>
          </cell>
          <cell r="AF1476">
            <v>10</v>
          </cell>
          <cell r="AG1476" t="str">
            <v>ADET</v>
          </cell>
          <cell r="AH1476">
            <v>624</v>
          </cell>
          <cell r="AI1476" t="str">
            <v>CNY</v>
          </cell>
          <cell r="AJ1476">
            <v>43700</v>
          </cell>
          <cell r="AK1476" t="str">
            <v>TL</v>
          </cell>
          <cell r="AL1476">
            <v>1</v>
          </cell>
          <cell r="AM1476" t="str">
            <v>8684127513616</v>
          </cell>
          <cell r="AO1476">
            <v>5.08</v>
          </cell>
          <cell r="AP1476" t="str">
            <v>KG</v>
          </cell>
          <cell r="AQ1476">
            <v>120</v>
          </cell>
          <cell r="AR1476" t="str">
            <v>CM</v>
          </cell>
          <cell r="AS1476">
            <v>77</v>
          </cell>
          <cell r="AT1476" t="str">
            <v>CM</v>
          </cell>
          <cell r="AU1476">
            <v>0</v>
          </cell>
          <cell r="AW1476">
            <v>0</v>
          </cell>
        </row>
        <row r="1477">
          <cell r="B1477" t="str">
            <v>H1F6KRSECSR-170</v>
          </cell>
          <cell r="C1477" t="str">
            <v>BERLİN PLATİN PASLANMAZ ŞEFFAF CAM LAMBADER</v>
          </cell>
          <cell r="D1477" t="str">
            <v>BERLİN PLATINUM STEEL CLEAR GLASS LAMBADER</v>
          </cell>
          <cell r="E1477" t="str">
            <v xml:space="preserve">PASLANMAZ CAM  PLATİN ŞEFFAF   </v>
          </cell>
          <cell r="F1477" t="str">
            <v/>
          </cell>
          <cell r="G1477" t="str">
            <v>LAMBADER</v>
          </cell>
          <cell r="H1477" t="str">
            <v/>
          </cell>
          <cell r="I1477" t="str">
            <v>İÇ</v>
          </cell>
          <cell r="J1477" t="str">
            <v>LAMBADER</v>
          </cell>
          <cell r="K1477" t="str">
            <v>BERLİN</v>
          </cell>
          <cell r="L1477" t="str">
            <v/>
          </cell>
          <cell r="M1477" t="str">
            <v/>
          </cell>
          <cell r="N1477" t="str">
            <v>HKA-24214</v>
          </cell>
          <cell r="O1477" t="str">
            <v>HEKA</v>
          </cell>
          <cell r="P1477" t="str">
            <v>ADET</v>
          </cell>
          <cell r="Q1477" t="str">
            <v>LED</v>
          </cell>
          <cell r="R1477" t="str">
            <v>PASLANMAZ</v>
          </cell>
          <cell r="S1477" t="str">
            <v>SİYAH</v>
          </cell>
          <cell r="T1477" t="str">
            <v>CAM</v>
          </cell>
          <cell r="U1477" t="str">
            <v>ŞEFFAF</v>
          </cell>
          <cell r="X1477" t="str">
            <v>110V-220V</v>
          </cell>
          <cell r="Z1477" t="str">
            <v>3000 K</v>
          </cell>
          <cell r="AF1477">
            <v>10</v>
          </cell>
          <cell r="AG1477" t="str">
            <v>ADET</v>
          </cell>
          <cell r="AH1477">
            <v>455</v>
          </cell>
          <cell r="AI1477" t="str">
            <v>CNY</v>
          </cell>
          <cell r="AJ1477">
            <v>27300</v>
          </cell>
          <cell r="AK1477" t="str">
            <v>TL</v>
          </cell>
          <cell r="AL1477">
            <v>1</v>
          </cell>
          <cell r="AM1477" t="str">
            <v>8684127513814</v>
          </cell>
          <cell r="AO1477">
            <v>0</v>
          </cell>
          <cell r="AQ1477">
            <v>170</v>
          </cell>
          <cell r="AR1477" t="str">
            <v>CM</v>
          </cell>
          <cell r="AS1477">
            <v>30</v>
          </cell>
          <cell r="AT1477" t="str">
            <v>CM</v>
          </cell>
          <cell r="AU1477">
            <v>0</v>
          </cell>
          <cell r="AW1477">
            <v>0</v>
          </cell>
        </row>
        <row r="1478">
          <cell r="B1478" t="str">
            <v>H1C6KRSECSR-050</v>
          </cell>
          <cell r="C1478" t="str">
            <v>BERLİN 3 LÜ PLATİN PASLANMAZ ŞEFFAF CAM PLAFONYER</v>
          </cell>
          <cell r="D1478" t="str">
            <v>BERLİN 3 PLATINUM STEEL CLEAR GLASS PLAFONIER</v>
          </cell>
          <cell r="E1478" t="str">
            <v xml:space="preserve">PASLANMAZ CAM  PLATİN ŞEFFAF   </v>
          </cell>
          <cell r="F1478" t="str">
            <v/>
          </cell>
          <cell r="G1478" t="str">
            <v>AVİZE</v>
          </cell>
          <cell r="H1478" t="str">
            <v/>
          </cell>
          <cell r="I1478" t="str">
            <v>İÇ</v>
          </cell>
          <cell r="J1478" t="str">
            <v>AVİZE</v>
          </cell>
          <cell r="K1478" t="str">
            <v>BERLİN</v>
          </cell>
          <cell r="L1478" t="str">
            <v/>
          </cell>
          <cell r="M1478" t="str">
            <v>30.03.2026</v>
          </cell>
          <cell r="N1478" t="str">
            <v>HKA-24216</v>
          </cell>
          <cell r="O1478" t="str">
            <v>HEKA</v>
          </cell>
          <cell r="P1478" t="str">
            <v>ADET</v>
          </cell>
          <cell r="Q1478" t="str">
            <v>LED</v>
          </cell>
          <cell r="R1478" t="str">
            <v>PASLANMAZ</v>
          </cell>
          <cell r="S1478" t="str">
            <v>PLATİN</v>
          </cell>
          <cell r="T1478" t="str">
            <v>CAM</v>
          </cell>
          <cell r="U1478" t="str">
            <v>ŞEFFAF</v>
          </cell>
          <cell r="X1478" t="str">
            <v>110V-220V</v>
          </cell>
          <cell r="Z1478" t="str">
            <v>3000 K</v>
          </cell>
          <cell r="AF1478">
            <v>2</v>
          </cell>
          <cell r="AG1478" t="str">
            <v>ADET</v>
          </cell>
          <cell r="AH1478">
            <v>553</v>
          </cell>
          <cell r="AI1478" t="str">
            <v>CNY</v>
          </cell>
          <cell r="AJ1478">
            <v>33180</v>
          </cell>
          <cell r="AK1478" t="str">
            <v>TL</v>
          </cell>
          <cell r="AL1478">
            <v>1</v>
          </cell>
          <cell r="AM1478" t="str">
            <v>8684127513685</v>
          </cell>
          <cell r="AO1478">
            <v>0</v>
          </cell>
          <cell r="AQ1478">
            <v>0</v>
          </cell>
          <cell r="AR1478" t="str">
            <v>CM</v>
          </cell>
          <cell r="AS1478">
            <v>50</v>
          </cell>
          <cell r="AT1478" t="str">
            <v>CM</v>
          </cell>
          <cell r="AU1478">
            <v>0</v>
          </cell>
          <cell r="AW1478">
            <v>0</v>
          </cell>
        </row>
        <row r="1479">
          <cell r="B1479" t="str">
            <v>H1C6RMGECSR-080</v>
          </cell>
          <cell r="C1479" t="str">
            <v>PERU PİRİNÇ ŞEFFAF KIRLANGIÇ CAM AVİZE 80 cm</v>
          </cell>
          <cell r="D1479" t="str">
            <v>PERU  BRASS CLEAR SWALLOW BIRD GLASS CHANDELIER 80 cm</v>
          </cell>
          <cell r="E1479" t="str">
            <v xml:space="preserve">PRİNÇ CAM   ŞEFFAF   </v>
          </cell>
          <cell r="F1479" t="str">
            <v/>
          </cell>
          <cell r="G1479" t="str">
            <v>AVİZE</v>
          </cell>
          <cell r="H1479" t="str">
            <v/>
          </cell>
          <cell r="I1479" t="str">
            <v>İÇ</v>
          </cell>
          <cell r="J1479" t="str">
            <v>AVİZE</v>
          </cell>
          <cell r="K1479" t="str">
            <v>PERU</v>
          </cell>
          <cell r="L1479" t="str">
            <v/>
          </cell>
          <cell r="M1479" t="str">
            <v/>
          </cell>
          <cell r="N1479" t="str">
            <v>HKA-24200</v>
          </cell>
          <cell r="O1479" t="str">
            <v>HEKA</v>
          </cell>
          <cell r="P1479" t="str">
            <v>ADET</v>
          </cell>
          <cell r="Q1479" t="str">
            <v>LED</v>
          </cell>
          <cell r="R1479" t="str">
            <v>PİRİNÇ</v>
          </cell>
          <cell r="S1479" t="str">
            <v>GOLD</v>
          </cell>
          <cell r="T1479" t="str">
            <v>CAM</v>
          </cell>
          <cell r="U1479" t="str">
            <v>ŞEFFAF</v>
          </cell>
          <cell r="X1479" t="str">
            <v>220V</v>
          </cell>
          <cell r="Y1479" t="str">
            <v>48 WATT</v>
          </cell>
          <cell r="Z1479" t="str">
            <v>3000 K</v>
          </cell>
          <cell r="AB1479" t="str">
            <v>401-500</v>
          </cell>
          <cell r="AF1479">
            <v>3</v>
          </cell>
          <cell r="AG1479" t="str">
            <v>ADET</v>
          </cell>
          <cell r="AH1479">
            <v>2850</v>
          </cell>
          <cell r="AI1479" t="str">
            <v>CNY</v>
          </cell>
          <cell r="AJ1479">
            <v>239400</v>
          </cell>
          <cell r="AK1479" t="str">
            <v>TL</v>
          </cell>
          <cell r="AL1479">
            <v>1</v>
          </cell>
          <cell r="AM1479" t="str">
            <v>8684127514576</v>
          </cell>
          <cell r="AO1479">
            <v>24.1</v>
          </cell>
          <cell r="AP1479" t="str">
            <v>KG</v>
          </cell>
          <cell r="AQ1479">
            <v>35</v>
          </cell>
          <cell r="AR1479" t="str">
            <v>CM</v>
          </cell>
          <cell r="AS1479">
            <v>80</v>
          </cell>
          <cell r="AT1479" t="str">
            <v>CM</v>
          </cell>
          <cell r="AU1479">
            <v>0</v>
          </cell>
          <cell r="AW1479">
            <v>0</v>
          </cell>
        </row>
        <row r="1480">
          <cell r="B1480" t="str">
            <v>TESTEMRE</v>
          </cell>
          <cell r="C1480" t="str">
            <v>TEST</v>
          </cell>
          <cell r="D1480" t="str">
            <v>TEST</v>
          </cell>
          <cell r="E1480" t="str">
            <v/>
          </cell>
          <cell r="F1480" t="str">
            <v/>
          </cell>
          <cell r="G1480" t="str">
            <v/>
          </cell>
          <cell r="H1480" t="str">
            <v/>
          </cell>
          <cell r="I1480" t="str">
            <v/>
          </cell>
          <cell r="J1480" t="str">
            <v/>
          </cell>
          <cell r="K1480" t="str">
            <v/>
          </cell>
          <cell r="L1480" t="str">
            <v/>
          </cell>
          <cell r="M1480" t="str">
            <v/>
          </cell>
          <cell r="N1480" t="str">
            <v/>
          </cell>
          <cell r="P1480" t="str">
            <v>ADET</v>
          </cell>
          <cell r="AG1480" t="str">
            <v>ADET</v>
          </cell>
          <cell r="AL1480">
            <v>0</v>
          </cell>
          <cell r="AO1480">
            <v>0</v>
          </cell>
          <cell r="AQ1480">
            <v>0</v>
          </cell>
          <cell r="AS1480">
            <v>0</v>
          </cell>
          <cell r="AU1480">
            <v>0</v>
          </cell>
          <cell r="AW1480">
            <v>0</v>
          </cell>
        </row>
        <row r="1481">
          <cell r="B1481" t="str">
            <v>H1C7JMEERL0-020</v>
          </cell>
          <cell r="C1481" t="str">
            <v>VİYANA GÖZYAŞI BAL CAM ESKİTME SARKIT 20 CM</v>
          </cell>
          <cell r="D1481" t="str">
            <v>VİYANA EYEDROP AMBER GLASS BRUSHED BRASS PENDANT LAMP 20 CM</v>
          </cell>
          <cell r="E1481" t="str">
            <v xml:space="preserve">METAL CAM  ESKİTME BAL   </v>
          </cell>
          <cell r="F1481" t="str">
            <v>9405.11.90.00.00</v>
          </cell>
          <cell r="G1481" t="str">
            <v>AVİZE</v>
          </cell>
          <cell r="H1481" t="str">
            <v>T1A6231100-20</v>
          </cell>
          <cell r="I1481" t="str">
            <v>İÇ</v>
          </cell>
          <cell r="J1481" t="str">
            <v>AVİZE.SARK</v>
          </cell>
          <cell r="K1481" t="str">
            <v>VİYANA</v>
          </cell>
          <cell r="L1481" t="str">
            <v/>
          </cell>
          <cell r="M1481" t="str">
            <v/>
          </cell>
          <cell r="N1481" t="str">
            <v>HKA-24402</v>
          </cell>
          <cell r="O1481" t="str">
            <v>HEKA</v>
          </cell>
          <cell r="P1481" t="str">
            <v>ADET</v>
          </cell>
          <cell r="Q1481" t="str">
            <v>PERİ LED</v>
          </cell>
          <cell r="R1481" t="str">
            <v>METAL</v>
          </cell>
          <cell r="S1481" t="str">
            <v>ESKİTME</v>
          </cell>
          <cell r="T1481" t="str">
            <v>CAM</v>
          </cell>
          <cell r="U1481" t="str">
            <v>BAL</v>
          </cell>
          <cell r="AD1481" t="str">
            <v>N/A</v>
          </cell>
          <cell r="AF1481">
            <v>49</v>
          </cell>
          <cell r="AG1481" t="str">
            <v>ADET</v>
          </cell>
          <cell r="AJ1481">
            <v>4250</v>
          </cell>
          <cell r="AK1481" t="str">
            <v>TL</v>
          </cell>
          <cell r="AL1481">
            <v>1</v>
          </cell>
          <cell r="AM1481" t="str">
            <v>8684127514248</v>
          </cell>
          <cell r="AO1481">
            <v>0</v>
          </cell>
          <cell r="AQ1481">
            <v>0</v>
          </cell>
          <cell r="AR1481" t="str">
            <v>CM</v>
          </cell>
          <cell r="AS1481">
            <v>0</v>
          </cell>
          <cell r="AT1481" t="str">
            <v>CM</v>
          </cell>
          <cell r="AU1481">
            <v>0</v>
          </cell>
          <cell r="AW1481">
            <v>0</v>
          </cell>
        </row>
        <row r="1482">
          <cell r="B1482" t="str">
            <v>SNC-CH-002</v>
          </cell>
          <cell r="C1482" t="str">
            <v>CH-002 ÖZEL SÜS AYDINLATMA</v>
          </cell>
          <cell r="D1482" t="str">
            <v/>
          </cell>
          <cell r="E1482" t="str">
            <v/>
          </cell>
          <cell r="F1482" t="str">
            <v>8539.52.00.00.00</v>
          </cell>
          <cell r="G1482" t="str">
            <v>AKSESUAR</v>
          </cell>
          <cell r="H1482" t="str">
            <v/>
          </cell>
          <cell r="I1482" t="str">
            <v>İÇ</v>
          </cell>
          <cell r="J1482" t="str">
            <v>AKSESUAR</v>
          </cell>
          <cell r="K1482" t="str">
            <v/>
          </cell>
          <cell r="L1482" t="str">
            <v/>
          </cell>
          <cell r="M1482" t="str">
            <v/>
          </cell>
          <cell r="N1482" t="str">
            <v/>
          </cell>
          <cell r="P1482" t="str">
            <v>ADET</v>
          </cell>
          <cell r="AF1482">
            <v>0</v>
          </cell>
          <cell r="AG1482" t="str">
            <v>ADET</v>
          </cell>
          <cell r="AH1482">
            <v>92</v>
          </cell>
          <cell r="AI1482" t="str">
            <v>TL</v>
          </cell>
          <cell r="AL1482">
            <v>0</v>
          </cell>
          <cell r="AO1482">
            <v>0</v>
          </cell>
          <cell r="AQ1482">
            <v>0</v>
          </cell>
          <cell r="AS1482">
            <v>0</v>
          </cell>
          <cell r="AU1482">
            <v>0</v>
          </cell>
          <cell r="AW1482">
            <v>0</v>
          </cell>
        </row>
        <row r="1483">
          <cell r="B1483" t="str">
            <v>H1W6JMGBCSY-014</v>
          </cell>
          <cell r="C1483" t="str">
            <v>CARİNA KÜRE ŞEFFAF AKRİLİK GOLD APLİK 14 cm</v>
          </cell>
          <cell r="D1483" t="str">
            <v>CARİNA SPHERE CLEAR ACRYLIC GOLD WALL LAMP 14cm</v>
          </cell>
          <cell r="E1483" t="str">
            <v xml:space="preserve">METAL AKRİLİK GOLD ŞEFFAF   </v>
          </cell>
          <cell r="F1483" t="str">
            <v>9405.11.90.00.00</v>
          </cell>
          <cell r="G1483" t="str">
            <v>APLİK</v>
          </cell>
          <cell r="H1483" t="str">
            <v>T1A6241100-03</v>
          </cell>
          <cell r="I1483" t="str">
            <v>İÇ</v>
          </cell>
          <cell r="J1483" t="str">
            <v>APLİK</v>
          </cell>
          <cell r="K1483" t="str">
            <v>CARİNA</v>
          </cell>
          <cell r="L1483" t="str">
            <v/>
          </cell>
          <cell r="M1483" t="str">
            <v/>
          </cell>
          <cell r="N1483" t="str">
            <v>HKA-24408</v>
          </cell>
          <cell r="O1483" t="str">
            <v>HEKA</v>
          </cell>
          <cell r="P1483" t="str">
            <v>ADET</v>
          </cell>
          <cell r="Q1483" t="str">
            <v>LED</v>
          </cell>
          <cell r="R1483" t="str">
            <v>METAL</v>
          </cell>
          <cell r="S1483" t="str">
            <v>GOLD</v>
          </cell>
          <cell r="T1483" t="str">
            <v>AKRİLİK</v>
          </cell>
          <cell r="U1483" t="str">
            <v>ŞEFFAF</v>
          </cell>
          <cell r="AD1483" t="str">
            <v>KÜRE</v>
          </cell>
          <cell r="AF1483">
            <v>28</v>
          </cell>
          <cell r="AG1483" t="str">
            <v>ADET</v>
          </cell>
          <cell r="AH1483">
            <v>114</v>
          </cell>
          <cell r="AI1483" t="str">
            <v>CNY</v>
          </cell>
          <cell r="AJ1483">
            <v>8400</v>
          </cell>
          <cell r="AK1483" t="str">
            <v>TL</v>
          </cell>
          <cell r="AL1483">
            <v>1</v>
          </cell>
          <cell r="AM1483" t="str">
            <v>8684127514071</v>
          </cell>
          <cell r="AO1483">
            <v>0</v>
          </cell>
          <cell r="AQ1483">
            <v>0</v>
          </cell>
          <cell r="AR1483" t="str">
            <v>CM</v>
          </cell>
          <cell r="AS1483">
            <v>0</v>
          </cell>
          <cell r="AT1483" t="str">
            <v>CM</v>
          </cell>
          <cell r="AU1483">
            <v>0</v>
          </cell>
          <cell r="AW1483">
            <v>0</v>
          </cell>
        </row>
        <row r="1484">
          <cell r="B1484" t="str">
            <v>H1L2JMENRB1-055</v>
          </cell>
          <cell r="C1484" t="str">
            <v>KANNUS ESKİTME BEYAZ RENK PORSELEN ABAJUR</v>
          </cell>
          <cell r="D1484" t="str">
            <v>KANNUS BRUSHED BRASS WHITE PORCELAIN LAMPSHADE</v>
          </cell>
          <cell r="E1484" t="str">
            <v xml:space="preserve">METAL PORSELEN ESKİTME BEYAZ   </v>
          </cell>
          <cell r="F1484" t="str">
            <v/>
          </cell>
          <cell r="G1484" t="str">
            <v>MASAABAJ</v>
          </cell>
          <cell r="H1484" t="str">
            <v/>
          </cell>
          <cell r="I1484" t="str">
            <v>İÇ</v>
          </cell>
          <cell r="J1484" t="str">
            <v>MASAABAJ</v>
          </cell>
          <cell r="K1484" t="str">
            <v>KANNUS</v>
          </cell>
          <cell r="L1484" t="str">
            <v/>
          </cell>
          <cell r="M1484" t="str">
            <v/>
          </cell>
          <cell r="N1484" t="str">
            <v>HKA-24274</v>
          </cell>
          <cell r="O1484" t="str">
            <v>HEKA</v>
          </cell>
          <cell r="P1484" t="str">
            <v>ADET</v>
          </cell>
          <cell r="Q1484" t="str">
            <v>E27</v>
          </cell>
          <cell r="R1484" t="str">
            <v>METAL</v>
          </cell>
          <cell r="S1484" t="str">
            <v>ESKİTME</v>
          </cell>
          <cell r="T1484" t="str">
            <v>PORSELEN</v>
          </cell>
          <cell r="U1484" t="str">
            <v>BEYAZ</v>
          </cell>
          <cell r="AD1484" t="str">
            <v>TEKLİ</v>
          </cell>
          <cell r="AE1484" t="str">
            <v>01</v>
          </cell>
          <cell r="AF1484">
            <v>0</v>
          </cell>
          <cell r="AG1484" t="str">
            <v>ADET</v>
          </cell>
          <cell r="AH1484">
            <v>114</v>
          </cell>
          <cell r="AI1484" t="str">
            <v>CNY</v>
          </cell>
          <cell r="AJ1484">
            <v>9500</v>
          </cell>
          <cell r="AK1484" t="str">
            <v>TL</v>
          </cell>
          <cell r="AL1484">
            <v>1</v>
          </cell>
          <cell r="AM1484" t="str">
            <v>8684127514798</v>
          </cell>
          <cell r="AO1484">
            <v>2.2999999999999998</v>
          </cell>
          <cell r="AP1484" t="str">
            <v>KG</v>
          </cell>
          <cell r="AQ1484">
            <v>55</v>
          </cell>
          <cell r="AR1484" t="str">
            <v>CM</v>
          </cell>
          <cell r="AS1484">
            <v>33</v>
          </cell>
          <cell r="AT1484" t="str">
            <v>CM</v>
          </cell>
          <cell r="AU1484">
            <v>0</v>
          </cell>
          <cell r="AW1484">
            <v>0</v>
          </cell>
        </row>
        <row r="1485">
          <cell r="B1485" t="str">
            <v>H1F2JMEJRV1-176</v>
          </cell>
          <cell r="C1485" t="str">
            <v>NİCE ESKİTME KAHVERENGİ LAMBADER</v>
          </cell>
          <cell r="D1485" t="str">
            <v>NİCE BURHSHED BRASS BROWN FLOOR LAMP</v>
          </cell>
          <cell r="E1485" t="str">
            <v xml:space="preserve">METAL KUMAŞ ESKİTME KAHVERENGİ   </v>
          </cell>
          <cell r="F1485" t="str">
            <v/>
          </cell>
          <cell r="G1485" t="str">
            <v>LAMBADER</v>
          </cell>
          <cell r="H1485" t="str">
            <v/>
          </cell>
          <cell r="I1485" t="str">
            <v>İÇ</v>
          </cell>
          <cell r="J1485" t="str">
            <v>LAMBADER</v>
          </cell>
          <cell r="K1485" t="str">
            <v>NİCE</v>
          </cell>
          <cell r="L1485" t="str">
            <v/>
          </cell>
          <cell r="M1485" t="str">
            <v/>
          </cell>
          <cell r="N1485" t="str">
            <v>HKA-24265</v>
          </cell>
          <cell r="O1485" t="str">
            <v>HEKA</v>
          </cell>
          <cell r="P1485" t="str">
            <v>ADET</v>
          </cell>
          <cell r="Q1485" t="str">
            <v>E27</v>
          </cell>
          <cell r="R1485" t="str">
            <v>METAL</v>
          </cell>
          <cell r="S1485" t="str">
            <v>ESKİTME</v>
          </cell>
          <cell r="T1485" t="str">
            <v>KUMAŞ</v>
          </cell>
          <cell r="U1485" t="str">
            <v>KAHVERENGİ</v>
          </cell>
          <cell r="AD1485" t="str">
            <v>TEKLİ</v>
          </cell>
          <cell r="AE1485" t="str">
            <v>01</v>
          </cell>
          <cell r="AF1485">
            <v>0</v>
          </cell>
          <cell r="AG1485" t="str">
            <v>ADET</v>
          </cell>
          <cell r="AH1485">
            <v>175.75</v>
          </cell>
          <cell r="AI1485" t="str">
            <v>CNY</v>
          </cell>
          <cell r="AJ1485">
            <v>14700</v>
          </cell>
          <cell r="AK1485" t="str">
            <v>TL</v>
          </cell>
          <cell r="AL1485">
            <v>1</v>
          </cell>
          <cell r="AO1485">
            <v>0</v>
          </cell>
          <cell r="AP1485" t="str">
            <v>KG</v>
          </cell>
          <cell r="AQ1485">
            <v>176</v>
          </cell>
          <cell r="AR1485" t="str">
            <v>CM</v>
          </cell>
          <cell r="AS1485">
            <v>45</v>
          </cell>
          <cell r="AT1485" t="str">
            <v>CM</v>
          </cell>
          <cell r="AU1485">
            <v>0</v>
          </cell>
          <cell r="AW1485">
            <v>0</v>
          </cell>
        </row>
        <row r="1486">
          <cell r="B1486" t="str">
            <v>H1C6JMEZRLV-017</v>
          </cell>
          <cell r="C1486" t="str">
            <v>KOPENHAG KABARCIKLI BAL CAM ESKİTME SARKIT</v>
          </cell>
          <cell r="D1486" t="str">
            <v>KOPENHAG BUBBLY AMBER GLASS BRUSHED BRASS PENDANT</v>
          </cell>
          <cell r="E1486" t="str">
            <v xml:space="preserve">METAL KABARCIKLI CAM ESKİTME BAL   </v>
          </cell>
          <cell r="F1486" t="str">
            <v/>
          </cell>
          <cell r="G1486" t="str">
            <v>AVİZE</v>
          </cell>
          <cell r="H1486" t="str">
            <v/>
          </cell>
          <cell r="I1486" t="str">
            <v>İÇ</v>
          </cell>
          <cell r="J1486" t="str">
            <v>AVİZE.SARK</v>
          </cell>
          <cell r="K1486" t="str">
            <v>KOPENHAG</v>
          </cell>
          <cell r="L1486" t="str">
            <v>Ç</v>
          </cell>
          <cell r="M1486" t="str">
            <v/>
          </cell>
          <cell r="N1486" t="str">
            <v>HKA-24428</v>
          </cell>
          <cell r="O1486" t="str">
            <v>HEKA</v>
          </cell>
          <cell r="P1486" t="str">
            <v>ADET</v>
          </cell>
          <cell r="Q1486" t="str">
            <v>LED</v>
          </cell>
          <cell r="R1486" t="str">
            <v>METAL</v>
          </cell>
          <cell r="S1486" t="str">
            <v>ESKİTME</v>
          </cell>
          <cell r="T1486" t="str">
            <v>KABARCIKLI CAM</v>
          </cell>
          <cell r="U1486" t="str">
            <v>BAL</v>
          </cell>
          <cell r="AD1486" t="str">
            <v>YAMUK</v>
          </cell>
          <cell r="AF1486">
            <v>90</v>
          </cell>
          <cell r="AG1486" t="str">
            <v>ADET</v>
          </cell>
          <cell r="AJ1486">
            <v>3950</v>
          </cell>
          <cell r="AK1486" t="str">
            <v>TL</v>
          </cell>
          <cell r="AL1486">
            <v>1</v>
          </cell>
          <cell r="AM1486" t="str">
            <v>8684127514323</v>
          </cell>
          <cell r="AO1486">
            <v>0</v>
          </cell>
          <cell r="AQ1486">
            <v>17</v>
          </cell>
          <cell r="AR1486" t="str">
            <v>CM</v>
          </cell>
          <cell r="AS1486">
            <v>15</v>
          </cell>
          <cell r="AT1486" t="str">
            <v>CM</v>
          </cell>
          <cell r="AU1486">
            <v>0</v>
          </cell>
          <cell r="AW1486">
            <v>0</v>
          </cell>
        </row>
        <row r="1487">
          <cell r="B1487" t="str">
            <v>H1W6JMEZRLV-016</v>
          </cell>
          <cell r="C1487" t="str">
            <v>KOPENHAG KABARCIKLI BAL CAM ESKİTME APLİK</v>
          </cell>
          <cell r="D1487" t="str">
            <v>KOPENHAG BUBBLY AMBER GLASS BRUSHED BRASS WALL LAMP</v>
          </cell>
          <cell r="E1487" t="str">
            <v xml:space="preserve">METAL KABARCIKLI CAM ESKİTME BAL   </v>
          </cell>
          <cell r="F1487" t="str">
            <v/>
          </cell>
          <cell r="G1487" t="str">
            <v>APLİK</v>
          </cell>
          <cell r="H1487" t="str">
            <v/>
          </cell>
          <cell r="I1487" t="str">
            <v>İÇ</v>
          </cell>
          <cell r="J1487" t="str">
            <v>APLİK</v>
          </cell>
          <cell r="K1487" t="str">
            <v>KOPENHAG</v>
          </cell>
          <cell r="L1487" t="str">
            <v/>
          </cell>
          <cell r="M1487" t="str">
            <v/>
          </cell>
          <cell r="N1487" t="str">
            <v>HKA-24429</v>
          </cell>
          <cell r="O1487" t="str">
            <v>HEKA</v>
          </cell>
          <cell r="P1487" t="str">
            <v>ADET</v>
          </cell>
          <cell r="Q1487" t="str">
            <v>LED</v>
          </cell>
          <cell r="R1487" t="str">
            <v>METAL</v>
          </cell>
          <cell r="S1487" t="str">
            <v>ESKİTME</v>
          </cell>
          <cell r="T1487" t="str">
            <v>KABARCIKLI CAM</v>
          </cell>
          <cell r="U1487" t="str">
            <v>BAL</v>
          </cell>
          <cell r="AD1487" t="str">
            <v>YAMUK</v>
          </cell>
          <cell r="AF1487">
            <v>20</v>
          </cell>
          <cell r="AG1487" t="str">
            <v>ADET</v>
          </cell>
          <cell r="AJ1487">
            <v>3950</v>
          </cell>
          <cell r="AK1487" t="str">
            <v>TL</v>
          </cell>
          <cell r="AL1487">
            <v>1</v>
          </cell>
          <cell r="AM1487" t="str">
            <v>8684127514330</v>
          </cell>
          <cell r="AO1487">
            <v>0</v>
          </cell>
          <cell r="AQ1487">
            <v>16</v>
          </cell>
          <cell r="AR1487" t="str">
            <v>CM</v>
          </cell>
          <cell r="AS1487">
            <v>15</v>
          </cell>
          <cell r="AT1487" t="str">
            <v>CM</v>
          </cell>
          <cell r="AU1487">
            <v>0</v>
          </cell>
          <cell r="AW1487">
            <v>0</v>
          </cell>
        </row>
        <row r="1488">
          <cell r="B1488" t="str">
            <v>H1L2JMEWRB1-059</v>
          </cell>
          <cell r="C1488" t="str">
            <v>PONZAN BEYAZ MERMER ESKİTME ABAJUR</v>
          </cell>
          <cell r="D1488" t="str">
            <v>PONZAN WHITE MARBLE BURSHED BRASS LAMPSHADE</v>
          </cell>
          <cell r="E1488" t="str">
            <v xml:space="preserve">METAL MERMER ESKİTME BEYAZ   </v>
          </cell>
          <cell r="F1488" t="str">
            <v/>
          </cell>
          <cell r="G1488" t="str">
            <v>MASAABAJ</v>
          </cell>
          <cell r="H1488" t="str">
            <v/>
          </cell>
          <cell r="I1488" t="str">
            <v>İÇ</v>
          </cell>
          <cell r="J1488" t="str">
            <v>MASAABAJ</v>
          </cell>
          <cell r="K1488" t="str">
            <v>PONZAN</v>
          </cell>
          <cell r="L1488" t="str">
            <v/>
          </cell>
          <cell r="M1488" t="str">
            <v/>
          </cell>
          <cell r="N1488" t="str">
            <v>HKA-24252</v>
          </cell>
          <cell r="O1488" t="str">
            <v>HEKA</v>
          </cell>
          <cell r="P1488" t="str">
            <v>ADET</v>
          </cell>
          <cell r="Q1488" t="str">
            <v>E27</v>
          </cell>
          <cell r="R1488" t="str">
            <v>METAL</v>
          </cell>
          <cell r="S1488" t="str">
            <v>ESKİTME</v>
          </cell>
          <cell r="T1488" t="str">
            <v>MERMER</v>
          </cell>
          <cell r="U1488" t="str">
            <v>BEYAZ</v>
          </cell>
          <cell r="AD1488" t="str">
            <v>TEKLİ</v>
          </cell>
          <cell r="AE1488" t="str">
            <v>01</v>
          </cell>
          <cell r="AF1488">
            <v>0</v>
          </cell>
          <cell r="AG1488" t="str">
            <v>ADET</v>
          </cell>
          <cell r="AH1488">
            <v>90.25</v>
          </cell>
          <cell r="AI1488" t="str">
            <v>CNY</v>
          </cell>
          <cell r="AJ1488">
            <v>7580</v>
          </cell>
          <cell r="AK1488" t="str">
            <v>TL</v>
          </cell>
          <cell r="AL1488">
            <v>1</v>
          </cell>
          <cell r="AM1488" t="str">
            <v>8684127514491</v>
          </cell>
          <cell r="AO1488">
            <v>3</v>
          </cell>
          <cell r="AP1488" t="str">
            <v>KG</v>
          </cell>
          <cell r="AQ1488">
            <v>59</v>
          </cell>
          <cell r="AR1488" t="str">
            <v>CM</v>
          </cell>
          <cell r="AS1488">
            <v>33</v>
          </cell>
          <cell r="AT1488" t="str">
            <v>CM</v>
          </cell>
          <cell r="AU1488">
            <v>0</v>
          </cell>
          <cell r="AW1488">
            <v>0</v>
          </cell>
        </row>
        <row r="1489">
          <cell r="B1489" t="str">
            <v>H1C2JMEERL0-035</v>
          </cell>
          <cell r="C1489" t="str">
            <v>ELEGAN ESKİTME ÜÇLÜ GLOP BAL CAMLI SARKIT AVİZE</v>
          </cell>
          <cell r="D1489" t="str">
            <v>ELEGAN TRIPLE GLOPE AMBER GLASS  BRUSHED BRASS PENDANT</v>
          </cell>
          <cell r="E1489" t="str">
            <v xml:space="preserve">METAL CAM  ESKİTME BAL   </v>
          </cell>
          <cell r="F1489" t="str">
            <v/>
          </cell>
          <cell r="G1489" t="str">
            <v>AVİZE</v>
          </cell>
          <cell r="H1489" t="str">
            <v/>
          </cell>
          <cell r="I1489" t="str">
            <v>İÇ</v>
          </cell>
          <cell r="J1489" t="str">
            <v>AVİZE</v>
          </cell>
          <cell r="K1489" t="str">
            <v>ELEGAN</v>
          </cell>
          <cell r="L1489" t="str">
            <v/>
          </cell>
          <cell r="M1489" t="str">
            <v/>
          </cell>
          <cell r="N1489" t="str">
            <v>HKA-24350</v>
          </cell>
          <cell r="O1489" t="str">
            <v>HEKA</v>
          </cell>
          <cell r="P1489" t="str">
            <v>ADET</v>
          </cell>
          <cell r="Q1489" t="str">
            <v>E27</v>
          </cell>
          <cell r="R1489" t="str">
            <v>METAL</v>
          </cell>
          <cell r="S1489" t="str">
            <v>ESKİTME</v>
          </cell>
          <cell r="T1489" t="str">
            <v>CAM</v>
          </cell>
          <cell r="U1489" t="str">
            <v>BAL</v>
          </cell>
          <cell r="AE1489" t="str">
            <v>04</v>
          </cell>
          <cell r="AG1489" t="str">
            <v>ADET</v>
          </cell>
          <cell r="AL1489">
            <v>0</v>
          </cell>
          <cell r="AM1489" t="str">
            <v>8684127512329</v>
          </cell>
          <cell r="AO1489">
            <v>0</v>
          </cell>
          <cell r="AQ1489">
            <v>0</v>
          </cell>
          <cell r="AS1489">
            <v>0</v>
          </cell>
          <cell r="AU1489">
            <v>0</v>
          </cell>
          <cell r="AW1489">
            <v>0</v>
          </cell>
        </row>
        <row r="1490">
          <cell r="B1490" t="str">
            <v>H1C2JMEERL0-032</v>
          </cell>
          <cell r="C1490" t="str">
            <v>RUBİS ESKİTME İKİLİ GLOP BAL CAMLI SARKIT AVİZE</v>
          </cell>
          <cell r="D1490" t="str">
            <v>RUBİS DUAL GLOPE AMBER GLASS  BRUSHED BRASS PENDANT</v>
          </cell>
          <cell r="E1490" t="str">
            <v xml:space="preserve">METAL CAM  ESKİTME BAL   </v>
          </cell>
          <cell r="F1490" t="str">
            <v/>
          </cell>
          <cell r="G1490" t="str">
            <v>AVİZE</v>
          </cell>
          <cell r="H1490" t="str">
            <v/>
          </cell>
          <cell r="I1490" t="str">
            <v>İÇ</v>
          </cell>
          <cell r="J1490" t="str">
            <v>AVİZE</v>
          </cell>
          <cell r="K1490" t="str">
            <v>RUBİS</v>
          </cell>
          <cell r="L1490" t="str">
            <v/>
          </cell>
          <cell r="M1490" t="str">
            <v/>
          </cell>
          <cell r="N1490" t="str">
            <v>HKA-24357</v>
          </cell>
          <cell r="O1490" t="str">
            <v>HEKA</v>
          </cell>
          <cell r="P1490" t="str">
            <v>ADET</v>
          </cell>
          <cell r="Q1490" t="str">
            <v>E27</v>
          </cell>
          <cell r="R1490" t="str">
            <v>METAL</v>
          </cell>
          <cell r="S1490" t="str">
            <v>ESKİTME</v>
          </cell>
          <cell r="T1490" t="str">
            <v>CAM</v>
          </cell>
          <cell r="U1490" t="str">
            <v>BAL</v>
          </cell>
          <cell r="AE1490" t="str">
            <v>03</v>
          </cell>
          <cell r="AG1490" t="str">
            <v>ADET</v>
          </cell>
          <cell r="AL1490">
            <v>0</v>
          </cell>
          <cell r="AM1490" t="str">
            <v>8684127512398</v>
          </cell>
          <cell r="AO1490">
            <v>0</v>
          </cell>
          <cell r="AQ1490">
            <v>0</v>
          </cell>
          <cell r="AS1490">
            <v>0</v>
          </cell>
          <cell r="AU1490">
            <v>0</v>
          </cell>
          <cell r="AW1490">
            <v>0</v>
          </cell>
        </row>
        <row r="1491">
          <cell r="B1491" t="str">
            <v>H1C2JMEECT0-047</v>
          </cell>
          <cell r="C1491" t="str">
            <v>SAFİR ESKİTME DÖRTLÜ GLOP BEYAZ CAMLI SARKIT AVİZE</v>
          </cell>
          <cell r="D1491" t="str">
            <v>SAFİR QUATERNARY GLOPE WHITE GLASS  BRUSHED BRASS PENDANT</v>
          </cell>
          <cell r="E1491" t="str">
            <v xml:space="preserve">METAL CAM  ESKİTME SOFT   </v>
          </cell>
          <cell r="F1491" t="str">
            <v/>
          </cell>
          <cell r="G1491" t="str">
            <v>AVİZE</v>
          </cell>
          <cell r="H1491" t="str">
            <v/>
          </cell>
          <cell r="I1491" t="str">
            <v>İÇ</v>
          </cell>
          <cell r="J1491" t="str">
            <v>AVİZE</v>
          </cell>
          <cell r="K1491" t="str">
            <v>SAFİR</v>
          </cell>
          <cell r="L1491" t="str">
            <v/>
          </cell>
          <cell r="M1491" t="str">
            <v/>
          </cell>
          <cell r="N1491" t="str">
            <v>HKA-24363</v>
          </cell>
          <cell r="O1491" t="str">
            <v>HEKA</v>
          </cell>
          <cell r="P1491" t="str">
            <v>ADET</v>
          </cell>
          <cell r="Q1491" t="str">
            <v>E27</v>
          </cell>
          <cell r="R1491" t="str">
            <v>METAL</v>
          </cell>
          <cell r="S1491" t="str">
            <v>ESKİTME</v>
          </cell>
          <cell r="T1491" t="str">
            <v>CAM</v>
          </cell>
          <cell r="U1491" t="str">
            <v>SOFT</v>
          </cell>
          <cell r="AE1491" t="str">
            <v>05</v>
          </cell>
          <cell r="AG1491" t="str">
            <v>ADET</v>
          </cell>
          <cell r="AL1491">
            <v>0</v>
          </cell>
          <cell r="AM1491" t="str">
            <v>8684127512459</v>
          </cell>
          <cell r="AO1491">
            <v>0</v>
          </cell>
          <cell r="AQ1491">
            <v>0</v>
          </cell>
          <cell r="AS1491">
            <v>0</v>
          </cell>
          <cell r="AU1491">
            <v>0</v>
          </cell>
          <cell r="AW1491">
            <v>0</v>
          </cell>
        </row>
        <row r="1492">
          <cell r="B1492" t="str">
            <v>H1C2JMEERL0-043</v>
          </cell>
          <cell r="C1492" t="str">
            <v>VELVET ESKİTME DÖRTLÜ GLOP BAL CAMLI SARKIT AVİZE</v>
          </cell>
          <cell r="D1492" t="str">
            <v>VELVET QUATERNARY GLOPE AMBER GLASS  BRUSHED BRASS PENDANT</v>
          </cell>
          <cell r="E1492" t="str">
            <v xml:space="preserve">METAL CAM  ESKİTME BAL   </v>
          </cell>
          <cell r="F1492" t="str">
            <v/>
          </cell>
          <cell r="G1492" t="str">
            <v>AVİZE</v>
          </cell>
          <cell r="H1492" t="str">
            <v/>
          </cell>
          <cell r="I1492" t="str">
            <v>İÇ</v>
          </cell>
          <cell r="J1492" t="str">
            <v>AVİZE</v>
          </cell>
          <cell r="K1492" t="str">
            <v>VELVET</v>
          </cell>
          <cell r="L1492" t="str">
            <v/>
          </cell>
          <cell r="M1492" t="str">
            <v/>
          </cell>
          <cell r="N1492" t="str">
            <v>HKA-24375</v>
          </cell>
          <cell r="O1492" t="str">
            <v>HEKA</v>
          </cell>
          <cell r="P1492" t="str">
            <v>ADET</v>
          </cell>
          <cell r="Q1492" t="str">
            <v>E27</v>
          </cell>
          <cell r="R1492" t="str">
            <v>METAL</v>
          </cell>
          <cell r="S1492" t="str">
            <v>ESKİTME</v>
          </cell>
          <cell r="T1492" t="str">
            <v>CAM</v>
          </cell>
          <cell r="U1492" t="str">
            <v>BAL</v>
          </cell>
          <cell r="AE1492" t="str">
            <v>05</v>
          </cell>
          <cell r="AG1492" t="str">
            <v>ADET</v>
          </cell>
          <cell r="AL1492">
            <v>0</v>
          </cell>
          <cell r="AM1492" t="str">
            <v>8684127512572</v>
          </cell>
          <cell r="AO1492">
            <v>0</v>
          </cell>
          <cell r="AQ1492">
            <v>0</v>
          </cell>
          <cell r="AS1492">
            <v>0</v>
          </cell>
          <cell r="AU1492">
            <v>0</v>
          </cell>
          <cell r="AW1492">
            <v>0</v>
          </cell>
        </row>
        <row r="1493">
          <cell r="B1493" t="str">
            <v>CA2G1C3M1C6D1</v>
          </cell>
          <cell r="C1493" t="str">
            <v>ERD-903 A60 ŞEFFAF 110V 4W 3200K E27 LED AMPUL</v>
          </cell>
          <cell r="D1493" t="str">
            <v>ERD-903 A60 CLEAR 110V 4W 3200K E27 LED BULB</v>
          </cell>
          <cell r="E1493" t="str">
            <v xml:space="preserve">FİLAMENT METAL CAM  110v   </v>
          </cell>
          <cell r="F1493" t="str">
            <v/>
          </cell>
          <cell r="G1493" t="str">
            <v>AMPUL</v>
          </cell>
          <cell r="H1493" t="str">
            <v/>
          </cell>
          <cell r="I1493" t="str">
            <v>İÇ</v>
          </cell>
          <cell r="J1493" t="str">
            <v>AMPUL</v>
          </cell>
          <cell r="K1493" t="str">
            <v>ERD-903</v>
          </cell>
          <cell r="L1493" t="str">
            <v/>
          </cell>
          <cell r="M1493" t="str">
            <v/>
          </cell>
          <cell r="N1493" t="str">
            <v>ERD-903</v>
          </cell>
          <cell r="O1493" t="str">
            <v>HEKA</v>
          </cell>
          <cell r="P1493" t="str">
            <v>ADET</v>
          </cell>
          <cell r="Q1493" t="str">
            <v>E27</v>
          </cell>
          <cell r="R1493" t="str">
            <v>CAM</v>
          </cell>
          <cell r="S1493" t="str">
            <v>ŞEFFAF</v>
          </cell>
          <cell r="T1493" t="str">
            <v>METAL</v>
          </cell>
          <cell r="V1493" t="str">
            <v>G</v>
          </cell>
          <cell r="W1493" t="str">
            <v>FLAMENT</v>
          </cell>
          <cell r="X1493" t="str">
            <v>110V</v>
          </cell>
          <cell r="Y1493" t="str">
            <v>4 WATT</v>
          </cell>
          <cell r="Z1493" t="str">
            <v>3200 K</v>
          </cell>
          <cell r="AA1493" t="str">
            <v>DIMMLI</v>
          </cell>
          <cell r="AB1493" t="str">
            <v>201-300</v>
          </cell>
          <cell r="AC1493" t="str">
            <v>A60</v>
          </cell>
          <cell r="AF1493">
            <v>286</v>
          </cell>
          <cell r="AG1493" t="str">
            <v>ADET</v>
          </cell>
          <cell r="AH1493">
            <v>2.2000000000000002</v>
          </cell>
          <cell r="AI1493" t="str">
            <v>CNY</v>
          </cell>
          <cell r="AJ1493">
            <v>2.2999999999999998</v>
          </cell>
          <cell r="AK1493" t="str">
            <v>USD</v>
          </cell>
          <cell r="AL1493">
            <v>1</v>
          </cell>
          <cell r="AM1493" t="str">
            <v>8684127512985</v>
          </cell>
          <cell r="AO1493">
            <v>0</v>
          </cell>
          <cell r="AQ1493">
            <v>0</v>
          </cell>
          <cell r="AS1493">
            <v>0</v>
          </cell>
          <cell r="AU1493">
            <v>0</v>
          </cell>
          <cell r="AW1493">
            <v>0</v>
          </cell>
        </row>
        <row r="1494">
          <cell r="B1494" t="str">
            <v>H1F2YRBJM3E-143</v>
          </cell>
          <cell r="C1494" t="str">
            <v>MIMOSA ELİPS BEYAZ SOFT TOUCH LAMBADER 30cm</v>
          </cell>
          <cell r="D1494" t="str">
            <v>MIMOSA ELLIPSE WHITE SOFT TOUCH FLOOR LAMP 30cm</v>
          </cell>
          <cell r="E1494" t="str">
            <v xml:space="preserve">POLİMER METAL BEYAZ MAT KROM   </v>
          </cell>
          <cell r="F1494" t="str">
            <v/>
          </cell>
          <cell r="G1494" t="str">
            <v>LAMBADER</v>
          </cell>
          <cell r="H1494" t="str">
            <v/>
          </cell>
          <cell r="I1494" t="str">
            <v>İÇ</v>
          </cell>
          <cell r="J1494" t="str">
            <v>LAMBADER</v>
          </cell>
          <cell r="K1494" t="str">
            <v>MIMOSA</v>
          </cell>
          <cell r="L1494" t="str">
            <v/>
          </cell>
          <cell r="M1494" t="str">
            <v/>
          </cell>
          <cell r="N1494" t="str">
            <v>HKA-24281</v>
          </cell>
          <cell r="O1494" t="str">
            <v>HEKA</v>
          </cell>
          <cell r="P1494" t="str">
            <v>ADET</v>
          </cell>
          <cell r="Q1494" t="str">
            <v>E27</v>
          </cell>
          <cell r="R1494" t="str">
            <v>POLİMER</v>
          </cell>
          <cell r="S1494" t="str">
            <v>BEYAZ</v>
          </cell>
          <cell r="T1494" t="str">
            <v>METAL</v>
          </cell>
          <cell r="U1494" t="str">
            <v>MAT KROM</v>
          </cell>
          <cell r="AD1494" t="str">
            <v>ELİPS</v>
          </cell>
          <cell r="AE1494" t="str">
            <v>01</v>
          </cell>
          <cell r="AF1494">
            <v>4</v>
          </cell>
          <cell r="AG1494" t="str">
            <v>ADET</v>
          </cell>
          <cell r="AH1494">
            <v>378</v>
          </cell>
          <cell r="AI1494" t="str">
            <v>CNY</v>
          </cell>
          <cell r="AJ1494">
            <v>30890</v>
          </cell>
          <cell r="AK1494" t="str">
            <v>TL</v>
          </cell>
          <cell r="AL1494">
            <v>1</v>
          </cell>
          <cell r="AM1494" t="str">
            <v>8684127512640</v>
          </cell>
          <cell r="AO1494">
            <v>0</v>
          </cell>
          <cell r="AQ1494">
            <v>0</v>
          </cell>
          <cell r="AS1494">
            <v>0</v>
          </cell>
          <cell r="AU1494">
            <v>0</v>
          </cell>
          <cell r="AW1494">
            <v>0</v>
          </cell>
        </row>
        <row r="1495">
          <cell r="B1495" t="str">
            <v>H1C2YRBJRSY-045</v>
          </cell>
          <cell r="C1495" t="str">
            <v>SOLAR BEYAZ SOFT TOUCH BOĞUMLU SARKIT 45x65 cm</v>
          </cell>
          <cell r="D1495" t="str">
            <v>SOLAR WHITE SOFT TOUCH KNOTTY PENDANT LAMP 45x65 cm</v>
          </cell>
          <cell r="E1495" t="str">
            <v xml:space="preserve">POLİMER METAL BEYAZ SİYAH   </v>
          </cell>
          <cell r="F1495" t="str">
            <v/>
          </cell>
          <cell r="G1495" t="str">
            <v>AVİZE</v>
          </cell>
          <cell r="H1495" t="str">
            <v/>
          </cell>
          <cell r="I1495" t="str">
            <v>İÇ</v>
          </cell>
          <cell r="J1495" t="str">
            <v>AVİZE</v>
          </cell>
          <cell r="K1495" t="str">
            <v>SOLAR</v>
          </cell>
          <cell r="L1495" t="str">
            <v/>
          </cell>
          <cell r="M1495" t="str">
            <v/>
          </cell>
          <cell r="N1495" t="str">
            <v>HKA-24288</v>
          </cell>
          <cell r="O1495" t="str">
            <v>HEKA</v>
          </cell>
          <cell r="P1495" t="str">
            <v>ADET</v>
          </cell>
          <cell r="Q1495" t="str">
            <v>E27</v>
          </cell>
          <cell r="R1495" t="str">
            <v>POLİMER</v>
          </cell>
          <cell r="S1495" t="str">
            <v>BEYAZ</v>
          </cell>
          <cell r="T1495" t="str">
            <v>METAL</v>
          </cell>
          <cell r="U1495" t="str">
            <v>SİYAH</v>
          </cell>
          <cell r="AD1495" t="str">
            <v>KÜRE</v>
          </cell>
          <cell r="AE1495" t="str">
            <v>03</v>
          </cell>
          <cell r="AF1495">
            <v>46</v>
          </cell>
          <cell r="AG1495" t="str">
            <v>ADET</v>
          </cell>
          <cell r="AH1495">
            <v>414</v>
          </cell>
          <cell r="AI1495" t="str">
            <v>CNY</v>
          </cell>
          <cell r="AJ1495">
            <v>33050</v>
          </cell>
          <cell r="AK1495" t="str">
            <v>TL</v>
          </cell>
          <cell r="AL1495">
            <v>1</v>
          </cell>
          <cell r="AM1495" t="str">
            <v>8684127512718</v>
          </cell>
          <cell r="AO1495">
            <v>0</v>
          </cell>
          <cell r="AQ1495">
            <v>0</v>
          </cell>
          <cell r="AS1495">
            <v>0</v>
          </cell>
          <cell r="AU1495">
            <v>0</v>
          </cell>
          <cell r="AW1495">
            <v>0</v>
          </cell>
        </row>
        <row r="1496">
          <cell r="B1496" t="str">
            <v>H1C2YRBJM3E-050</v>
          </cell>
          <cell r="C1496" t="str">
            <v>ORION BEYAZ SOFT TOUCH ELİPS SARKIT 50cm</v>
          </cell>
          <cell r="D1496" t="str">
            <v>ORION WHITE SOFT TOUCH ELLIPSE PENDANT LAMP 50cm</v>
          </cell>
          <cell r="E1496" t="str">
            <v xml:space="preserve">POLİMER METAL BEYAZ MAT KROM   </v>
          </cell>
          <cell r="F1496" t="str">
            <v/>
          </cell>
          <cell r="G1496" t="str">
            <v>AVİZE</v>
          </cell>
          <cell r="H1496" t="str">
            <v/>
          </cell>
          <cell r="I1496" t="str">
            <v>İÇ</v>
          </cell>
          <cell r="J1496" t="str">
            <v>AVİZE</v>
          </cell>
          <cell r="K1496" t="str">
            <v>ORION</v>
          </cell>
          <cell r="L1496" t="str">
            <v/>
          </cell>
          <cell r="M1496" t="str">
            <v/>
          </cell>
          <cell r="N1496" t="str">
            <v>HKA-24295</v>
          </cell>
          <cell r="O1496" t="str">
            <v>HEKA</v>
          </cell>
          <cell r="P1496" t="str">
            <v>ADET</v>
          </cell>
          <cell r="Q1496" t="str">
            <v>E27</v>
          </cell>
          <cell r="R1496" t="str">
            <v>POLİMER</v>
          </cell>
          <cell r="S1496" t="str">
            <v>BEYAZ</v>
          </cell>
          <cell r="T1496" t="str">
            <v>METAL</v>
          </cell>
          <cell r="U1496" t="str">
            <v>MAT KROM</v>
          </cell>
          <cell r="AD1496" t="str">
            <v>ELİPS</v>
          </cell>
          <cell r="AE1496" t="str">
            <v>01</v>
          </cell>
          <cell r="AF1496">
            <v>2</v>
          </cell>
          <cell r="AG1496" t="str">
            <v>ADET</v>
          </cell>
          <cell r="AH1496">
            <v>180</v>
          </cell>
          <cell r="AI1496" t="str">
            <v>CNY</v>
          </cell>
          <cell r="AJ1496">
            <v>14235</v>
          </cell>
          <cell r="AK1496" t="str">
            <v>TL</v>
          </cell>
          <cell r="AL1496">
            <v>1</v>
          </cell>
          <cell r="AM1496" t="str">
            <v>8684127512787</v>
          </cell>
          <cell r="AO1496">
            <v>0</v>
          </cell>
          <cell r="AQ1496">
            <v>0</v>
          </cell>
          <cell r="AS1496">
            <v>0</v>
          </cell>
          <cell r="AU1496">
            <v>0</v>
          </cell>
          <cell r="AW1496">
            <v>0</v>
          </cell>
        </row>
        <row r="1497">
          <cell r="B1497" t="str">
            <v>H1C2YRBLCS0-100</v>
          </cell>
          <cell r="C1497" t="str">
            <v>EPSILON BEYAZ SOFT TOUCH ŞEFFAF PLEKSİ SARKIT 100c</v>
          </cell>
          <cell r="D1497" t="str">
            <v>EPSILON WHITE SOFT TOUCH CLEAR PLEXY PENDANT LAMP 100cm</v>
          </cell>
          <cell r="E1497" t="str">
            <v xml:space="preserve">POLİMER PLEKSİ BEYAZ ŞEFFAF   </v>
          </cell>
          <cell r="F1497" t="str">
            <v/>
          </cell>
          <cell r="G1497" t="str">
            <v>AVİZE</v>
          </cell>
          <cell r="H1497" t="str">
            <v/>
          </cell>
          <cell r="I1497" t="str">
            <v>İÇ</v>
          </cell>
          <cell r="J1497" t="str">
            <v>AVİZE</v>
          </cell>
          <cell r="K1497" t="str">
            <v>EPSILON</v>
          </cell>
          <cell r="L1497" t="str">
            <v/>
          </cell>
          <cell r="M1497" t="str">
            <v/>
          </cell>
          <cell r="N1497" t="str">
            <v>HKA-24306</v>
          </cell>
          <cell r="O1497" t="str">
            <v>HEKA</v>
          </cell>
          <cell r="P1497" t="str">
            <v>ADET</v>
          </cell>
          <cell r="Q1497" t="str">
            <v>E27</v>
          </cell>
          <cell r="R1497" t="str">
            <v>POLİMER</v>
          </cell>
          <cell r="S1497" t="str">
            <v>BEYAZ</v>
          </cell>
          <cell r="T1497" t="str">
            <v>PLEKSİ</v>
          </cell>
          <cell r="U1497" t="str">
            <v>ŞEFFAF</v>
          </cell>
          <cell r="AD1497" t="str">
            <v>N/A</v>
          </cell>
          <cell r="AE1497" t="str">
            <v>07</v>
          </cell>
          <cell r="AF1497">
            <v>18</v>
          </cell>
          <cell r="AG1497" t="str">
            <v>ADET</v>
          </cell>
          <cell r="AH1497">
            <v>837</v>
          </cell>
          <cell r="AI1497" t="str">
            <v>CNY</v>
          </cell>
          <cell r="AJ1497">
            <v>66820</v>
          </cell>
          <cell r="AK1497" t="str">
            <v>TL</v>
          </cell>
          <cell r="AL1497">
            <v>1</v>
          </cell>
          <cell r="AM1497" t="str">
            <v>8684127512893</v>
          </cell>
          <cell r="AO1497">
            <v>0</v>
          </cell>
          <cell r="AQ1497">
            <v>0</v>
          </cell>
          <cell r="AS1497">
            <v>0</v>
          </cell>
          <cell r="AU1497">
            <v>0</v>
          </cell>
          <cell r="AW1497">
            <v>0</v>
          </cell>
        </row>
        <row r="1498">
          <cell r="B1498" t="str">
            <v>H1W3CMGERB0-030</v>
          </cell>
          <cell r="C1498" t="str">
            <v>DOHA 3 LÜ ROSE GOLD APLİK</v>
          </cell>
          <cell r="D1498" t="str">
            <v>DOHA 3 ROSE GOLD WALL LAMP</v>
          </cell>
          <cell r="E1498" t="str">
            <v xml:space="preserve">ALUMİNYUM CAM  ROSE GOLD BEYAZ   </v>
          </cell>
          <cell r="F1498" t="str">
            <v/>
          </cell>
          <cell r="G1498" t="str">
            <v>APLİK</v>
          </cell>
          <cell r="H1498" t="str">
            <v/>
          </cell>
          <cell r="I1498" t="str">
            <v>İÇ</v>
          </cell>
          <cell r="J1498" t="str">
            <v>APLİK</v>
          </cell>
          <cell r="K1498" t="str">
            <v>DOHA</v>
          </cell>
          <cell r="L1498" t="str">
            <v/>
          </cell>
          <cell r="M1498" t="str">
            <v/>
          </cell>
          <cell r="N1498" t="str">
            <v>HKA-24178</v>
          </cell>
          <cell r="O1498" t="str">
            <v>HEKA</v>
          </cell>
          <cell r="P1498" t="str">
            <v>ADET</v>
          </cell>
          <cell r="Q1498" t="str">
            <v>G9</v>
          </cell>
          <cell r="R1498" t="str">
            <v>ALUMİNYUM</v>
          </cell>
          <cell r="S1498" t="str">
            <v>ROSE GOLD</v>
          </cell>
          <cell r="T1498" t="str">
            <v>CAM</v>
          </cell>
          <cell r="U1498" t="str">
            <v>BEYAZ</v>
          </cell>
          <cell r="AE1498" t="str">
            <v>03</v>
          </cell>
          <cell r="AF1498">
            <v>18</v>
          </cell>
          <cell r="AG1498" t="str">
            <v>ADET</v>
          </cell>
          <cell r="AH1498">
            <v>533</v>
          </cell>
          <cell r="AI1498" t="str">
            <v>CNY</v>
          </cell>
          <cell r="AJ1498">
            <v>29000</v>
          </cell>
          <cell r="AK1498" t="str">
            <v>TL</v>
          </cell>
          <cell r="AL1498">
            <v>1</v>
          </cell>
          <cell r="AM1498" t="str">
            <v>8684127513067</v>
          </cell>
          <cell r="AO1498">
            <v>1.86</v>
          </cell>
          <cell r="AP1498" t="str">
            <v>KG</v>
          </cell>
          <cell r="AQ1498">
            <v>25</v>
          </cell>
          <cell r="AR1498" t="str">
            <v>CM</v>
          </cell>
          <cell r="AS1498">
            <v>30</v>
          </cell>
          <cell r="AT1498" t="str">
            <v>CM</v>
          </cell>
          <cell r="AU1498">
            <v>0</v>
          </cell>
          <cell r="AW1498">
            <v>0</v>
          </cell>
        </row>
        <row r="1499">
          <cell r="B1499" t="str">
            <v>H1F6JMKECS0-160</v>
          </cell>
          <cell r="C1499" t="str">
            <v>ÜSKÜP DÖRTLÜ ŞEFFAF KRİSTAL KROM LAMBADER</v>
          </cell>
          <cell r="D1499" t="str">
            <v>ÜSKÜP FOUR CLEAR CRYSTAL CHROME  FLOOR LAMP</v>
          </cell>
          <cell r="E1499" t="str">
            <v>METAL KRİSTAL  KROM ŞEFFAF</v>
          </cell>
          <cell r="F1499" t="str">
            <v/>
          </cell>
          <cell r="G1499" t="str">
            <v>LAMBADER</v>
          </cell>
          <cell r="H1499" t="str">
            <v/>
          </cell>
          <cell r="I1499" t="str">
            <v>İÇ</v>
          </cell>
          <cell r="J1499" t="str">
            <v>LAMBADER</v>
          </cell>
          <cell r="K1499" t="str">
            <v>ÜSKÜP</v>
          </cell>
          <cell r="L1499" t="str">
            <v/>
          </cell>
          <cell r="M1499" t="str">
            <v/>
          </cell>
          <cell r="N1499" t="str">
            <v>HKA-24184</v>
          </cell>
          <cell r="O1499" t="str">
            <v>HEKA</v>
          </cell>
          <cell r="P1499" t="str">
            <v>ADET</v>
          </cell>
          <cell r="Q1499" t="str">
            <v>LED</v>
          </cell>
          <cell r="R1499" t="str">
            <v>METAL</v>
          </cell>
          <cell r="S1499" t="str">
            <v>KROM</v>
          </cell>
          <cell r="T1499" t="str">
            <v>KRİSTAL</v>
          </cell>
          <cell r="U1499" t="str">
            <v>ŞEFFAF</v>
          </cell>
          <cell r="X1499" t="str">
            <v>110V-220V</v>
          </cell>
          <cell r="Z1499" t="str">
            <v>3000 K</v>
          </cell>
          <cell r="AB1499" t="str">
            <v>401-500</v>
          </cell>
          <cell r="AF1499">
            <v>6</v>
          </cell>
          <cell r="AG1499" t="str">
            <v>ADET</v>
          </cell>
          <cell r="AH1499">
            <v>1256.24</v>
          </cell>
          <cell r="AI1499" t="str">
            <v>CNY</v>
          </cell>
          <cell r="AJ1499">
            <v>80950</v>
          </cell>
          <cell r="AK1499" t="str">
            <v>TL</v>
          </cell>
          <cell r="AL1499">
            <v>1</v>
          </cell>
          <cell r="AM1499" t="str">
            <v>8684127513111</v>
          </cell>
          <cell r="AO1499">
            <v>8.67</v>
          </cell>
          <cell r="AP1499" t="str">
            <v>KG</v>
          </cell>
          <cell r="AQ1499">
            <v>25</v>
          </cell>
          <cell r="AR1499" t="str">
            <v>CM</v>
          </cell>
          <cell r="AS1499">
            <v>25</v>
          </cell>
          <cell r="AT1499" t="str">
            <v>CM</v>
          </cell>
          <cell r="AU1499">
            <v>0</v>
          </cell>
          <cell r="AW1499">
            <v>0</v>
          </cell>
        </row>
        <row r="1500">
          <cell r="B1500" t="str">
            <v>H1C6JRSBCS0-063</v>
          </cell>
          <cell r="C1500" t="str">
            <v>LİMA ALTI ŞEFFAF AKRİLİK PLATİN SALON AVİZE</v>
          </cell>
          <cell r="D1500" t="str">
            <v>LİMA SIX CLEAR ACYRLIC PLATINUM LIVING ROOM CHANDELIER</v>
          </cell>
          <cell r="E1500" t="str">
            <v xml:space="preserve">METAL AKRİLİK PLATİN ŞEFFAF   </v>
          </cell>
          <cell r="F1500" t="str">
            <v/>
          </cell>
          <cell r="G1500" t="str">
            <v>AVİZE</v>
          </cell>
          <cell r="H1500" t="str">
            <v/>
          </cell>
          <cell r="I1500" t="str">
            <v>İÇ</v>
          </cell>
          <cell r="J1500" t="str">
            <v>AVİZE</v>
          </cell>
          <cell r="K1500" t="str">
            <v>LİMA</v>
          </cell>
          <cell r="L1500" t="str">
            <v/>
          </cell>
          <cell r="M1500" t="str">
            <v/>
          </cell>
          <cell r="N1500" t="str">
            <v>HKA-24239</v>
          </cell>
          <cell r="O1500" t="str">
            <v>HEKA</v>
          </cell>
          <cell r="P1500" t="str">
            <v>ADET</v>
          </cell>
          <cell r="Q1500" t="str">
            <v>LED</v>
          </cell>
          <cell r="R1500" t="str">
            <v>METAL</v>
          </cell>
          <cell r="S1500" t="str">
            <v>PLATİN</v>
          </cell>
          <cell r="T1500" t="str">
            <v>AKRİLİK</v>
          </cell>
          <cell r="U1500" t="str">
            <v>ŞEFFAF</v>
          </cell>
          <cell r="X1500" t="str">
            <v>110V-220V</v>
          </cell>
          <cell r="Z1500" t="str">
            <v>3000 K</v>
          </cell>
          <cell r="AF1500">
            <v>0</v>
          </cell>
          <cell r="AG1500" t="str">
            <v>ADET</v>
          </cell>
          <cell r="AH1500">
            <v>552</v>
          </cell>
          <cell r="AI1500" t="str">
            <v>CNY</v>
          </cell>
          <cell r="AJ1500">
            <v>38640</v>
          </cell>
          <cell r="AK1500" t="str">
            <v>TL</v>
          </cell>
          <cell r="AL1500">
            <v>1</v>
          </cell>
          <cell r="AM1500" t="str">
            <v>8684127513180</v>
          </cell>
          <cell r="AO1500">
            <v>4</v>
          </cell>
          <cell r="AP1500" t="str">
            <v>KG</v>
          </cell>
          <cell r="AQ1500">
            <v>70</v>
          </cell>
          <cell r="AR1500" t="str">
            <v>CM</v>
          </cell>
          <cell r="AS1500">
            <v>32</v>
          </cell>
          <cell r="AT1500" t="str">
            <v>CM</v>
          </cell>
          <cell r="AU1500">
            <v>0</v>
          </cell>
          <cell r="AW1500">
            <v>0</v>
          </cell>
        </row>
        <row r="1501">
          <cell r="B1501" t="str">
            <v>H1C6VRVJRV0-120</v>
          </cell>
          <cell r="C1501" t="str">
            <v>LİZBON KAHVERENGİ DERİ AVİZE</v>
          </cell>
          <cell r="D1501" t="str">
            <v>LİZBON BROWN LEATHER CHANDELIER</v>
          </cell>
          <cell r="E1501" t="str">
            <v xml:space="preserve">DERİ METAL SİYAH KAHVERENGİ   </v>
          </cell>
          <cell r="F1501" t="str">
            <v/>
          </cell>
          <cell r="G1501" t="str">
            <v>AVİZE</v>
          </cell>
          <cell r="H1501" t="str">
            <v/>
          </cell>
          <cell r="I1501" t="str">
            <v>İÇ</v>
          </cell>
          <cell r="J1501" t="str">
            <v>AVİZE</v>
          </cell>
          <cell r="K1501" t="str">
            <v>LİZBON</v>
          </cell>
          <cell r="L1501" t="str">
            <v/>
          </cell>
          <cell r="M1501" t="str">
            <v/>
          </cell>
          <cell r="N1501" t="str">
            <v>HKA-24244</v>
          </cell>
          <cell r="O1501" t="str">
            <v>HEKA</v>
          </cell>
          <cell r="P1501" t="str">
            <v>ADET</v>
          </cell>
          <cell r="Q1501" t="str">
            <v>LED</v>
          </cell>
          <cell r="R1501" t="str">
            <v>DERİ</v>
          </cell>
          <cell r="S1501" t="str">
            <v>KAHVERENGİ</v>
          </cell>
          <cell r="T1501" t="str">
            <v>METAL</v>
          </cell>
          <cell r="U1501" t="str">
            <v>KAHVERENGİ</v>
          </cell>
          <cell r="X1501" t="str">
            <v>85V-265V</v>
          </cell>
          <cell r="Z1501" t="str">
            <v>3000 K</v>
          </cell>
          <cell r="AF1501">
            <v>2</v>
          </cell>
          <cell r="AG1501" t="str">
            <v>ADET</v>
          </cell>
          <cell r="AH1501">
            <v>279.68</v>
          </cell>
          <cell r="AI1501" t="str">
            <v>CNY</v>
          </cell>
          <cell r="AJ1501">
            <v>23500</v>
          </cell>
          <cell r="AK1501" t="str">
            <v>TL</v>
          </cell>
          <cell r="AL1501">
            <v>1</v>
          </cell>
          <cell r="AM1501" t="str">
            <v>8684127514064</v>
          </cell>
          <cell r="AO1501">
            <v>1</v>
          </cell>
          <cell r="AP1501" t="str">
            <v>KG</v>
          </cell>
          <cell r="AQ1501">
            <v>100</v>
          </cell>
          <cell r="AR1501" t="str">
            <v>CM</v>
          </cell>
          <cell r="AS1501">
            <v>2</v>
          </cell>
          <cell r="AT1501" t="str">
            <v>CM</v>
          </cell>
          <cell r="AU1501">
            <v>0</v>
          </cell>
          <cell r="AW1501">
            <v>0</v>
          </cell>
        </row>
        <row r="1502">
          <cell r="B1502" t="str">
            <v>H1C6KMKECS0-080</v>
          </cell>
          <cell r="C1502" t="str">
            <v>BÜKREŞ SEKİZ KROM PASLANMAZ ŞEFFAF CAM AVİZE 80 CM</v>
          </cell>
          <cell r="D1502" t="str">
            <v>BÜKREŞ EGITH CHROME STEEL CLEAR GLASS CHANDELIER 80 CM</v>
          </cell>
          <cell r="E1502" t="str">
            <v xml:space="preserve">PASLANMAZ CAM  KROM ŞEFFAF   </v>
          </cell>
          <cell r="F1502" t="str">
            <v/>
          </cell>
          <cell r="G1502" t="str">
            <v>AVİZE</v>
          </cell>
          <cell r="H1502" t="str">
            <v/>
          </cell>
          <cell r="I1502" t="str">
            <v>İÇ</v>
          </cell>
          <cell r="J1502" t="str">
            <v>AVİZE</v>
          </cell>
          <cell r="K1502" t="str">
            <v>BÜKREŞ</v>
          </cell>
          <cell r="L1502" t="str">
            <v/>
          </cell>
          <cell r="M1502" t="str">
            <v/>
          </cell>
          <cell r="N1502" t="str">
            <v>HKA-24223</v>
          </cell>
          <cell r="O1502" t="str">
            <v>HEKA</v>
          </cell>
          <cell r="P1502" t="str">
            <v>ADET</v>
          </cell>
          <cell r="Q1502" t="str">
            <v>LED</v>
          </cell>
          <cell r="R1502" t="str">
            <v>PASLANMAZ</v>
          </cell>
          <cell r="S1502" t="str">
            <v>KROM</v>
          </cell>
          <cell r="T1502" t="str">
            <v>CAM</v>
          </cell>
          <cell r="U1502" t="str">
            <v>ŞEFFAF</v>
          </cell>
          <cell r="X1502" t="str">
            <v>110V-220V</v>
          </cell>
          <cell r="Z1502" t="str">
            <v>3000 K</v>
          </cell>
          <cell r="AF1502">
            <v>16</v>
          </cell>
          <cell r="AG1502" t="str">
            <v>ADET</v>
          </cell>
          <cell r="AH1502">
            <v>735</v>
          </cell>
          <cell r="AI1502" t="str">
            <v>CNY</v>
          </cell>
          <cell r="AJ1502">
            <v>61740</v>
          </cell>
          <cell r="AK1502" t="str">
            <v>TL</v>
          </cell>
          <cell r="AL1502">
            <v>1</v>
          </cell>
          <cell r="AM1502" t="str">
            <v>8684127513753</v>
          </cell>
          <cell r="AO1502">
            <v>0</v>
          </cell>
          <cell r="AQ1502">
            <v>43</v>
          </cell>
          <cell r="AR1502" t="str">
            <v>CM</v>
          </cell>
          <cell r="AS1502">
            <v>80</v>
          </cell>
          <cell r="AT1502" t="str">
            <v>CM</v>
          </cell>
          <cell r="AU1502">
            <v>0</v>
          </cell>
          <cell r="AW1502">
            <v>0</v>
          </cell>
        </row>
        <row r="1503">
          <cell r="B1503" t="str">
            <v>H1W6KMKECS0-020</v>
          </cell>
          <cell r="C1503" t="str">
            <v>BÜKREŞ KROM PASLANMAZ ŞEFFAF CAM APLİK</v>
          </cell>
          <cell r="D1503" t="str">
            <v>BÜKREŞ CHROME STEEL CLEAR GLASS WALL LAMP</v>
          </cell>
          <cell r="E1503" t="str">
            <v xml:space="preserve">PASLANMAZ CAM  KROM ŞEFFAF   </v>
          </cell>
          <cell r="F1503" t="str">
            <v/>
          </cell>
          <cell r="G1503" t="str">
            <v>APLİK</v>
          </cell>
          <cell r="H1503" t="str">
            <v/>
          </cell>
          <cell r="I1503" t="str">
            <v>İÇ</v>
          </cell>
          <cell r="J1503" t="str">
            <v>APLİK</v>
          </cell>
          <cell r="K1503" t="str">
            <v>BÜKREŞ</v>
          </cell>
          <cell r="L1503" t="str">
            <v>Ç</v>
          </cell>
          <cell r="M1503" t="str">
            <v/>
          </cell>
          <cell r="N1503" t="str">
            <v>HKA-24225</v>
          </cell>
          <cell r="O1503" t="str">
            <v>HEKA</v>
          </cell>
          <cell r="P1503" t="str">
            <v>ADET</v>
          </cell>
          <cell r="Q1503" t="str">
            <v>LED</v>
          </cell>
          <cell r="R1503" t="str">
            <v>PASLANMAZ</v>
          </cell>
          <cell r="S1503" t="str">
            <v>KROM</v>
          </cell>
          <cell r="T1503" t="str">
            <v>CAM</v>
          </cell>
          <cell r="U1503" t="str">
            <v>ŞEFFAF</v>
          </cell>
          <cell r="X1503" t="str">
            <v>110V-220V</v>
          </cell>
          <cell r="Z1503" t="str">
            <v>3000 K</v>
          </cell>
          <cell r="AF1503">
            <v>32</v>
          </cell>
          <cell r="AG1503" t="str">
            <v>ADET</v>
          </cell>
          <cell r="AH1503">
            <v>149.25</v>
          </cell>
          <cell r="AI1503" t="str">
            <v>CNY</v>
          </cell>
          <cell r="AJ1503">
            <v>12500</v>
          </cell>
          <cell r="AK1503" t="str">
            <v>TL</v>
          </cell>
          <cell r="AL1503">
            <v>1</v>
          </cell>
          <cell r="AM1503" t="str">
            <v>8684127513777</v>
          </cell>
          <cell r="AO1503">
            <v>0</v>
          </cell>
          <cell r="AQ1503">
            <v>19</v>
          </cell>
          <cell r="AR1503" t="str">
            <v>CM</v>
          </cell>
          <cell r="AS1503">
            <v>12</v>
          </cell>
          <cell r="AT1503" t="str">
            <v>CM</v>
          </cell>
          <cell r="AU1503">
            <v>0</v>
          </cell>
          <cell r="AW1503">
            <v>0</v>
          </cell>
        </row>
        <row r="1504">
          <cell r="B1504" t="str">
            <v>H1F6RRMECSP-194</v>
          </cell>
          <cell r="C1504" t="str">
            <v>PERU PİRİNÇ ŞEFFAF KIRLANGIÇ CAM LAMBADER 194 cm</v>
          </cell>
          <cell r="D1504" t="str">
            <v>PERU BRASS CLEAR SWALLOW BIRD GLASS FLOOR LAMP 194 cm</v>
          </cell>
          <cell r="E1504" t="str">
            <v xml:space="preserve">PRİNÇ CAM   ŞEFFAF   </v>
          </cell>
          <cell r="F1504" t="str">
            <v/>
          </cell>
          <cell r="G1504" t="str">
            <v>LAMBADER</v>
          </cell>
          <cell r="H1504" t="str">
            <v/>
          </cell>
          <cell r="I1504" t="str">
            <v>İÇ</v>
          </cell>
          <cell r="J1504" t="str">
            <v>LAMBADER</v>
          </cell>
          <cell r="K1504" t="str">
            <v>PERU</v>
          </cell>
          <cell r="L1504" t="str">
            <v/>
          </cell>
          <cell r="M1504" t="str">
            <v/>
          </cell>
          <cell r="N1504" t="str">
            <v>HKA-24205</v>
          </cell>
          <cell r="O1504" t="str">
            <v>HEKA</v>
          </cell>
          <cell r="P1504" t="str">
            <v>ADET</v>
          </cell>
          <cell r="Q1504" t="str">
            <v>LED</v>
          </cell>
          <cell r="R1504" t="str">
            <v>PİRİNÇ</v>
          </cell>
          <cell r="S1504" t="str">
            <v>GOLD</v>
          </cell>
          <cell r="T1504" t="str">
            <v>CAM</v>
          </cell>
          <cell r="U1504" t="str">
            <v>ŞEFFAF</v>
          </cell>
          <cell r="X1504" t="str">
            <v>220V</v>
          </cell>
          <cell r="Y1504" t="str">
            <v>9 WATT</v>
          </cell>
          <cell r="Z1504" t="str">
            <v>3000 K</v>
          </cell>
          <cell r="AB1504" t="str">
            <v>401-500</v>
          </cell>
          <cell r="AF1504">
            <v>2</v>
          </cell>
          <cell r="AG1504" t="str">
            <v>ADET</v>
          </cell>
          <cell r="AH1504">
            <v>3200</v>
          </cell>
          <cell r="AI1504" t="str">
            <v>CNY</v>
          </cell>
          <cell r="AJ1504">
            <v>268800</v>
          </cell>
          <cell r="AK1504" t="str">
            <v>TL</v>
          </cell>
          <cell r="AL1504">
            <v>1</v>
          </cell>
          <cell r="AM1504" t="str">
            <v>8684127516495</v>
          </cell>
          <cell r="AO1504">
            <v>14.3</v>
          </cell>
          <cell r="AP1504" t="str">
            <v>KG</v>
          </cell>
          <cell r="AQ1504">
            <v>180</v>
          </cell>
          <cell r="AR1504" t="str">
            <v>CM</v>
          </cell>
          <cell r="AS1504">
            <v>40</v>
          </cell>
          <cell r="AT1504" t="str">
            <v>CM</v>
          </cell>
          <cell r="AU1504">
            <v>0</v>
          </cell>
          <cell r="AW1504">
            <v>0</v>
          </cell>
        </row>
        <row r="1505">
          <cell r="B1505" t="str">
            <v>H1W6R00ECS0-055</v>
          </cell>
          <cell r="C1505" t="str">
            <v>OXFORD PİRİNÇ ŞEFFAF YAPRAK CAM APLİK 55 cm</v>
          </cell>
          <cell r="D1505" t="str">
            <v>OXFORD BRASS CLEAR LEAF GLASS WALL LAMP 55 cm</v>
          </cell>
          <cell r="E1505" t="str">
            <v xml:space="preserve">PRİNÇ CAM   ŞEFFAF   </v>
          </cell>
          <cell r="F1505" t="str">
            <v/>
          </cell>
          <cell r="G1505" t="str">
            <v>APLİK</v>
          </cell>
          <cell r="H1505" t="str">
            <v/>
          </cell>
          <cell r="I1505" t="str">
            <v>İÇ</v>
          </cell>
          <cell r="J1505" t="str">
            <v>APLİK</v>
          </cell>
          <cell r="K1505" t="str">
            <v>OXFORD</v>
          </cell>
          <cell r="L1505" t="str">
            <v/>
          </cell>
          <cell r="M1505" t="str">
            <v/>
          </cell>
          <cell r="N1505" t="str">
            <v>HKA-24207</v>
          </cell>
          <cell r="O1505" t="str">
            <v>HEKA</v>
          </cell>
          <cell r="P1505" t="str">
            <v>ADET</v>
          </cell>
          <cell r="Q1505" t="str">
            <v>LED</v>
          </cell>
          <cell r="R1505" t="str">
            <v>PİRİNÇ</v>
          </cell>
          <cell r="T1505" t="str">
            <v>CAM</v>
          </cell>
          <cell r="X1505" t="str">
            <v>220V</v>
          </cell>
          <cell r="Y1505" t="str">
            <v>6 WATT</v>
          </cell>
          <cell r="Z1505" t="str">
            <v>3000 K</v>
          </cell>
          <cell r="AB1505" t="str">
            <v>401-500</v>
          </cell>
          <cell r="AF1505">
            <v>1</v>
          </cell>
          <cell r="AG1505" t="str">
            <v>ADET</v>
          </cell>
          <cell r="AJ1505">
            <v>17950</v>
          </cell>
          <cell r="AK1505" t="str">
            <v>TL</v>
          </cell>
          <cell r="AL1505">
            <v>0</v>
          </cell>
          <cell r="AM1505" t="str">
            <v>8684127513906</v>
          </cell>
          <cell r="AO1505">
            <v>4.0999999999999996</v>
          </cell>
          <cell r="AP1505" t="str">
            <v>KG</v>
          </cell>
          <cell r="AQ1505">
            <v>55</v>
          </cell>
          <cell r="AR1505" t="str">
            <v>CM</v>
          </cell>
          <cell r="AS1505">
            <v>19</v>
          </cell>
          <cell r="AT1505" t="str">
            <v>CM</v>
          </cell>
          <cell r="AU1505">
            <v>0</v>
          </cell>
          <cell r="AW1505">
            <v>0</v>
          </cell>
        </row>
        <row r="1506">
          <cell r="B1506" t="str">
            <v>H1C2JMEECSR-150</v>
          </cell>
          <cell r="C1506" t="str">
            <v>SATURN 3 KATLI ŞEFFAF CAM ESKİTME AVİZE 150 cm</v>
          </cell>
          <cell r="D1506" t="str">
            <v>SATURN 3 STOREY CLEAR GLASS BRUSHED BRASS CHANDELIER 150 cm</v>
          </cell>
          <cell r="E1506" t="str">
            <v xml:space="preserve">METAL CAM  ESKİTME ŞEFFAF   </v>
          </cell>
          <cell r="F1506" t="str">
            <v/>
          </cell>
          <cell r="G1506" t="str">
            <v>AVİZE</v>
          </cell>
          <cell r="H1506" t="str">
            <v/>
          </cell>
          <cell r="I1506" t="str">
            <v>İÇ</v>
          </cell>
          <cell r="J1506" t="str">
            <v>AVİZE</v>
          </cell>
          <cell r="K1506" t="str">
            <v>SATURN</v>
          </cell>
          <cell r="L1506" t="str">
            <v/>
          </cell>
          <cell r="M1506" t="str">
            <v/>
          </cell>
          <cell r="N1506" t="str">
            <v>HKA-24395</v>
          </cell>
          <cell r="O1506" t="str">
            <v>HEKA</v>
          </cell>
          <cell r="P1506" t="str">
            <v>ADET</v>
          </cell>
          <cell r="Q1506" t="str">
            <v>E27</v>
          </cell>
          <cell r="R1506" t="str">
            <v>METAL</v>
          </cell>
          <cell r="S1506" t="str">
            <v>ESKİTME</v>
          </cell>
          <cell r="T1506" t="str">
            <v>CAM</v>
          </cell>
          <cell r="U1506" t="str">
            <v>ŞEFFAF</v>
          </cell>
          <cell r="AD1506" t="str">
            <v>DAİRE</v>
          </cell>
          <cell r="AE1506" t="str">
            <v>42</v>
          </cell>
          <cell r="AF1506">
            <v>1</v>
          </cell>
          <cell r="AG1506" t="str">
            <v>ADET</v>
          </cell>
          <cell r="AJ1506">
            <v>183750</v>
          </cell>
          <cell r="AK1506" t="str">
            <v>TL</v>
          </cell>
          <cell r="AL1506">
            <v>0</v>
          </cell>
          <cell r="AO1506">
            <v>0</v>
          </cell>
          <cell r="AQ1506">
            <v>0</v>
          </cell>
          <cell r="AS1506">
            <v>0</v>
          </cell>
          <cell r="AU1506">
            <v>0</v>
          </cell>
          <cell r="AW1506">
            <v>0</v>
          </cell>
        </row>
        <row r="1507">
          <cell r="B1507" t="str">
            <v>H1T6ARMAAAJ-016</v>
          </cell>
          <cell r="C1507" t="str">
            <v>SHAGGY MAVİ KLASİK EBRU AHŞAP MANTAR MASA LAMBASI</v>
          </cell>
          <cell r="D1507" t="str">
            <v>SHAGGY BLUE MARBLING WOOD MUSHROOM TABLE LAMP</v>
          </cell>
          <cell r="E1507" t="str">
            <v xml:space="preserve">AHŞAP AHŞAP MAVİ AKÇAAĞAÇ   </v>
          </cell>
          <cell r="F1507" t="str">
            <v/>
          </cell>
          <cell r="G1507" t="str">
            <v>MASAABAJ</v>
          </cell>
          <cell r="H1507" t="str">
            <v/>
          </cell>
          <cell r="I1507" t="str">
            <v>İÇ</v>
          </cell>
          <cell r="J1507" t="str">
            <v>MASAKAMP</v>
          </cell>
          <cell r="K1507" t="str">
            <v>SHAGGY</v>
          </cell>
          <cell r="L1507" t="str">
            <v/>
          </cell>
          <cell r="M1507" t="str">
            <v/>
          </cell>
          <cell r="N1507" t="str">
            <v>HKA-24417</v>
          </cell>
          <cell r="O1507" t="str">
            <v>HEKA</v>
          </cell>
          <cell r="P1507" t="str">
            <v>ADET</v>
          </cell>
          <cell r="Q1507" t="str">
            <v>LED</v>
          </cell>
          <cell r="R1507" t="str">
            <v>AHŞAP</v>
          </cell>
          <cell r="S1507" t="str">
            <v>MAVİ</v>
          </cell>
          <cell r="T1507" t="str">
            <v>AHŞAP</v>
          </cell>
          <cell r="U1507" t="str">
            <v>AKÇA AĞAÇ</v>
          </cell>
          <cell r="AD1507" t="str">
            <v>ŞARJLI</v>
          </cell>
          <cell r="AF1507">
            <v>53</v>
          </cell>
          <cell r="AG1507" t="str">
            <v>ADET</v>
          </cell>
          <cell r="AJ1507">
            <v>2395</v>
          </cell>
          <cell r="AK1507" t="str">
            <v>TL</v>
          </cell>
          <cell r="AL1507">
            <v>1</v>
          </cell>
          <cell r="AM1507" t="str">
            <v>8684127514163</v>
          </cell>
          <cell r="AO1507">
            <v>0</v>
          </cell>
          <cell r="AQ1507">
            <v>16</v>
          </cell>
          <cell r="AR1507" t="str">
            <v>CM</v>
          </cell>
          <cell r="AS1507">
            <v>10.5</v>
          </cell>
          <cell r="AT1507" t="str">
            <v>CM</v>
          </cell>
          <cell r="AU1507">
            <v>0</v>
          </cell>
          <cell r="AW1507">
            <v>0</v>
          </cell>
        </row>
        <row r="1508">
          <cell r="B1508" t="str">
            <v>H1F1JMGJRSZ-160</v>
          </cell>
          <cell r="C1508" t="str">
            <v>TORİNO GOLD-SİYAH ÜÇ KOLLU LAMBADER</v>
          </cell>
          <cell r="D1508" t="str">
            <v>TORİNO GOLD-BLACK THREE-ARMED FLOOR LAMP</v>
          </cell>
          <cell r="E1508" t="str">
            <v xml:space="preserve">METAL METAL GOLD SİYAH   </v>
          </cell>
          <cell r="F1508" t="str">
            <v/>
          </cell>
          <cell r="G1508" t="str">
            <v>LAMBADER</v>
          </cell>
          <cell r="H1508" t="str">
            <v/>
          </cell>
          <cell r="I1508" t="str">
            <v>İÇ</v>
          </cell>
          <cell r="J1508" t="str">
            <v>LAMBADER</v>
          </cell>
          <cell r="K1508" t="str">
            <v>TORİNO</v>
          </cell>
          <cell r="L1508" t="str">
            <v/>
          </cell>
          <cell r="M1508" t="str">
            <v/>
          </cell>
          <cell r="N1508" t="str">
            <v>HKA-24259</v>
          </cell>
          <cell r="O1508" t="str">
            <v>HEKA</v>
          </cell>
          <cell r="P1508" t="str">
            <v>ADET</v>
          </cell>
          <cell r="Q1508" t="str">
            <v>E14</v>
          </cell>
          <cell r="R1508" t="str">
            <v>METAL</v>
          </cell>
          <cell r="S1508" t="str">
            <v>GOLD</v>
          </cell>
          <cell r="T1508" t="str">
            <v>METAL</v>
          </cell>
          <cell r="U1508" t="str">
            <v>SİYAH</v>
          </cell>
          <cell r="AD1508" t="str">
            <v>KOLLU</v>
          </cell>
          <cell r="AE1508" t="str">
            <v>03</v>
          </cell>
          <cell r="AF1508">
            <v>0</v>
          </cell>
          <cell r="AG1508" t="str">
            <v>ADET</v>
          </cell>
          <cell r="AH1508">
            <v>209</v>
          </cell>
          <cell r="AI1508" t="str">
            <v>CNY</v>
          </cell>
          <cell r="AJ1508">
            <v>17500</v>
          </cell>
          <cell r="AK1508" t="str">
            <v>TL</v>
          </cell>
          <cell r="AL1508">
            <v>1</v>
          </cell>
          <cell r="AO1508">
            <v>0</v>
          </cell>
          <cell r="AQ1508">
            <v>160</v>
          </cell>
          <cell r="AR1508" t="str">
            <v>CM</v>
          </cell>
          <cell r="AS1508">
            <v>50</v>
          </cell>
          <cell r="AT1508" t="str">
            <v>CM</v>
          </cell>
          <cell r="AU1508">
            <v>0</v>
          </cell>
          <cell r="AW1508">
            <v>0</v>
          </cell>
        </row>
        <row r="1509">
          <cell r="B1509" t="str">
            <v>H1F2JMGHRR1-173</v>
          </cell>
          <cell r="C1509" t="str">
            <v>NAPOLİ GOLD KREM LAMBADER</v>
          </cell>
          <cell r="D1509" t="str">
            <v>NAPOLİ GOLD CREAM COLOR FLOOR LAMP</v>
          </cell>
          <cell r="E1509" t="str">
            <v xml:space="preserve">METAL KUMAŞ GOLD KREM   </v>
          </cell>
          <cell r="F1509" t="str">
            <v/>
          </cell>
          <cell r="G1509" t="str">
            <v>LAMBADER</v>
          </cell>
          <cell r="H1509" t="str">
            <v/>
          </cell>
          <cell r="I1509" t="str">
            <v>İÇ</v>
          </cell>
          <cell r="J1509" t="str">
            <v>LAMBADER</v>
          </cell>
          <cell r="K1509" t="str">
            <v>NAPOLİ</v>
          </cell>
          <cell r="L1509" t="str">
            <v/>
          </cell>
          <cell r="M1509" t="str">
            <v/>
          </cell>
          <cell r="N1509" t="str">
            <v>HKA-24261</v>
          </cell>
          <cell r="O1509" t="str">
            <v>HEKA</v>
          </cell>
          <cell r="P1509" t="str">
            <v>ADET</v>
          </cell>
          <cell r="Q1509" t="str">
            <v>E27</v>
          </cell>
          <cell r="R1509" t="str">
            <v>METAL</v>
          </cell>
          <cell r="S1509" t="str">
            <v>GOLD</v>
          </cell>
          <cell r="T1509" t="str">
            <v>KUMAŞ</v>
          </cell>
          <cell r="U1509" t="str">
            <v>KREM</v>
          </cell>
          <cell r="AD1509" t="str">
            <v>TEKLİ</v>
          </cell>
          <cell r="AE1509" t="str">
            <v>01</v>
          </cell>
          <cell r="AF1509">
            <v>0</v>
          </cell>
          <cell r="AG1509" t="str">
            <v>ADET</v>
          </cell>
          <cell r="AH1509">
            <v>209</v>
          </cell>
          <cell r="AI1509" t="str">
            <v>CNY</v>
          </cell>
          <cell r="AJ1509">
            <v>17500</v>
          </cell>
          <cell r="AK1509" t="str">
            <v>TL</v>
          </cell>
          <cell r="AL1509">
            <v>1</v>
          </cell>
          <cell r="AO1509">
            <v>0</v>
          </cell>
          <cell r="AP1509" t="str">
            <v>KG</v>
          </cell>
          <cell r="AQ1509">
            <v>173</v>
          </cell>
          <cell r="AR1509" t="str">
            <v>CM</v>
          </cell>
          <cell r="AS1509">
            <v>40</v>
          </cell>
          <cell r="AT1509" t="str">
            <v>CM</v>
          </cell>
          <cell r="AU1509">
            <v>0</v>
          </cell>
          <cell r="AW1509">
            <v>0</v>
          </cell>
        </row>
        <row r="1510">
          <cell r="B1510" t="str">
            <v>H1W6JMNZRFO-013</v>
          </cell>
          <cell r="C1510" t="str">
            <v>ODENSE KABARCIKLI BASIK FÜME CAM KROM APLİK</v>
          </cell>
          <cell r="D1510" t="str">
            <v>ODENSE BUBBLY SMOKY SQUASHED GLASS CHROME WALL LAMP</v>
          </cell>
          <cell r="E1510" t="str">
            <v>METAL KABARCIKLI CAM KROM FÜME</v>
          </cell>
          <cell r="F1510" t="str">
            <v/>
          </cell>
          <cell r="G1510" t="str">
            <v>APLİK</v>
          </cell>
          <cell r="H1510" t="str">
            <v/>
          </cell>
          <cell r="I1510" t="str">
            <v>İÇ</v>
          </cell>
          <cell r="J1510" t="str">
            <v>APLİK</v>
          </cell>
          <cell r="K1510" t="str">
            <v>ODENSE</v>
          </cell>
          <cell r="L1510" t="str">
            <v/>
          </cell>
          <cell r="M1510" t="str">
            <v/>
          </cell>
          <cell r="N1510" t="str">
            <v>HKA-24437</v>
          </cell>
          <cell r="O1510" t="str">
            <v>HEKA</v>
          </cell>
          <cell r="P1510" t="str">
            <v>ADET</v>
          </cell>
          <cell r="Q1510" t="str">
            <v>LED</v>
          </cell>
          <cell r="R1510" t="str">
            <v>METAL</v>
          </cell>
          <cell r="S1510" t="str">
            <v>KROM</v>
          </cell>
          <cell r="T1510" t="str">
            <v>KABARCIKLI CAM</v>
          </cell>
          <cell r="U1510" t="str">
            <v>FÜME</v>
          </cell>
          <cell r="AD1510" t="str">
            <v>BASIK</v>
          </cell>
          <cell r="AF1510">
            <v>100</v>
          </cell>
          <cell r="AG1510" t="str">
            <v>ADET</v>
          </cell>
          <cell r="AH1510">
            <v>40</v>
          </cell>
          <cell r="AI1510" t="str">
            <v>CNY</v>
          </cell>
          <cell r="AJ1510">
            <v>3950</v>
          </cell>
          <cell r="AK1510" t="str">
            <v>TL</v>
          </cell>
          <cell r="AL1510">
            <v>1</v>
          </cell>
          <cell r="AM1510" t="str">
            <v>8684127514408</v>
          </cell>
          <cell r="AO1510">
            <v>0</v>
          </cell>
          <cell r="AQ1510">
            <v>13</v>
          </cell>
          <cell r="AR1510" t="str">
            <v>CM</v>
          </cell>
          <cell r="AS1510">
            <v>15</v>
          </cell>
          <cell r="AT1510" t="str">
            <v>CM</v>
          </cell>
          <cell r="AU1510">
            <v>0</v>
          </cell>
          <cell r="AW1510">
            <v>0</v>
          </cell>
        </row>
        <row r="1511">
          <cell r="B1511" t="str">
            <v>H1W3JRSZCT1-026</v>
          </cell>
          <cell r="C1511" t="str">
            <v>HELSİNGÖR TEKLİ KABARCIKLI SOFT CAM SİYAH APLİK</v>
          </cell>
          <cell r="D1511" t="str">
            <v>HELSİNGÖR SINGLE BUBBLY SOFT WHITE GLASS BLACK WALL LAMP</v>
          </cell>
          <cell r="E1511" t="str">
            <v xml:space="preserve">METAL KABARCIKLI CAM SİYAH SOFT   </v>
          </cell>
          <cell r="F1511" t="str">
            <v>9405.19.90.00.00</v>
          </cell>
          <cell r="G1511" t="str">
            <v>APLİK</v>
          </cell>
          <cell r="H1511" t="str">
            <v>T1W3112100-01</v>
          </cell>
          <cell r="I1511" t="str">
            <v>İÇ</v>
          </cell>
          <cell r="J1511" t="str">
            <v>APLİK</v>
          </cell>
          <cell r="K1511" t="str">
            <v>HELSİNGÖR</v>
          </cell>
          <cell r="L1511" t="str">
            <v/>
          </cell>
          <cell r="M1511" t="str">
            <v>ÜRTM:15GÜN</v>
          </cell>
          <cell r="N1511" t="str">
            <v>HKA-24439</v>
          </cell>
          <cell r="O1511" t="str">
            <v>HEKA</v>
          </cell>
          <cell r="P1511" t="str">
            <v>ADET</v>
          </cell>
          <cell r="Q1511" t="str">
            <v>G9</v>
          </cell>
          <cell r="R1511" t="str">
            <v>METAL</v>
          </cell>
          <cell r="S1511" t="str">
            <v>SİYAH</v>
          </cell>
          <cell r="T1511" t="str">
            <v>KABARCIKLI CAM</v>
          </cell>
          <cell r="U1511" t="str">
            <v>SOFT</v>
          </cell>
          <cell r="AD1511" t="str">
            <v>TEKLİ</v>
          </cell>
          <cell r="AE1511" t="str">
            <v>01</v>
          </cell>
          <cell r="AF1511">
            <v>29</v>
          </cell>
          <cell r="AG1511" t="str">
            <v>ADET</v>
          </cell>
          <cell r="AJ1511">
            <v>7115</v>
          </cell>
          <cell r="AK1511" t="str">
            <v>TL</v>
          </cell>
          <cell r="AL1511">
            <v>1</v>
          </cell>
          <cell r="AM1511" t="str">
            <v>8684127514439</v>
          </cell>
          <cell r="AO1511">
            <v>0</v>
          </cell>
          <cell r="AQ1511">
            <v>28</v>
          </cell>
          <cell r="AR1511" t="str">
            <v>CM</v>
          </cell>
          <cell r="AS1511">
            <v>17</v>
          </cell>
          <cell r="AT1511" t="str">
            <v>CM</v>
          </cell>
          <cell r="AU1511">
            <v>0</v>
          </cell>
          <cell r="AW1511">
            <v>0</v>
          </cell>
        </row>
        <row r="1512">
          <cell r="B1512" t="str">
            <v>3YC4YZCT000-010</v>
          </cell>
          <cell r="C1512" t="str">
            <v>KABARACIKLI SOFT AVİZE CAMI 10 cm</v>
          </cell>
          <cell r="D1512" t="str">
            <v>BUBBLY SOFT PENDANT GLASS 10 cm</v>
          </cell>
          <cell r="E1512" t="str">
            <v xml:space="preserve">KÜRE KABARCIKLI CAM KABARCIKLI CAM YOK   </v>
          </cell>
          <cell r="F1512" t="str">
            <v/>
          </cell>
          <cell r="G1512" t="str">
            <v>ZPARCA</v>
          </cell>
          <cell r="H1512" t="str">
            <v/>
          </cell>
          <cell r="I1512" t="str">
            <v>İÇ</v>
          </cell>
          <cell r="J1512" t="str">
            <v>ZPARCA</v>
          </cell>
          <cell r="K1512" t="str">
            <v/>
          </cell>
          <cell r="L1512" t="str">
            <v/>
          </cell>
          <cell r="M1512" t="str">
            <v/>
          </cell>
          <cell r="N1512" t="str">
            <v>HKY-240002</v>
          </cell>
          <cell r="P1512" t="str">
            <v>ADET</v>
          </cell>
          <cell r="AF1512">
            <v>0</v>
          </cell>
          <cell r="AG1512" t="str">
            <v>ADET</v>
          </cell>
          <cell r="AL1512">
            <v>0</v>
          </cell>
          <cell r="AO1512">
            <v>0</v>
          </cell>
          <cell r="AQ1512">
            <v>0</v>
          </cell>
          <cell r="AS1512">
            <v>0</v>
          </cell>
          <cell r="AU1512">
            <v>0</v>
          </cell>
          <cell r="AW1512">
            <v>0</v>
          </cell>
        </row>
        <row r="1513">
          <cell r="B1513" t="str">
            <v>3YC4VZRF000-015</v>
          </cell>
          <cell r="C1513" t="str">
            <v>KABARACIKLI FÜME YAMUK AVİZE CAMI 15 cm</v>
          </cell>
          <cell r="D1513" t="str">
            <v>BUBBLY SMOKY TRAPEZOID PENDANT GLASS 15 cm</v>
          </cell>
          <cell r="E1513" t="str">
            <v xml:space="preserve">YAMUK KABARCIKLI CAM KABARCIKLI CAM YOK   </v>
          </cell>
          <cell r="F1513" t="str">
            <v/>
          </cell>
          <cell r="G1513" t="str">
            <v>ZPARCA</v>
          </cell>
          <cell r="H1513" t="str">
            <v/>
          </cell>
          <cell r="I1513" t="str">
            <v>İÇ</v>
          </cell>
          <cell r="J1513" t="str">
            <v>ZPARCA</v>
          </cell>
          <cell r="K1513" t="str">
            <v/>
          </cell>
          <cell r="L1513" t="str">
            <v/>
          </cell>
          <cell r="M1513" t="str">
            <v/>
          </cell>
          <cell r="N1513" t="str">
            <v>HKY-240004</v>
          </cell>
          <cell r="P1513" t="str">
            <v>ADET</v>
          </cell>
          <cell r="AF1513">
            <v>0</v>
          </cell>
          <cell r="AG1513" t="str">
            <v>ADET</v>
          </cell>
          <cell r="AL1513">
            <v>0</v>
          </cell>
          <cell r="AO1513">
            <v>0</v>
          </cell>
          <cell r="AQ1513">
            <v>0</v>
          </cell>
          <cell r="AS1513">
            <v>0</v>
          </cell>
          <cell r="AU1513">
            <v>0</v>
          </cell>
          <cell r="AW1513">
            <v>0</v>
          </cell>
        </row>
        <row r="1514">
          <cell r="B1514" t="str">
            <v>ASFLJRUECS6-031</v>
          </cell>
          <cell r="C1514" t="str">
            <v xml:space="preserve">GÜMÜŞ DÜNYA SAAT BÜYÜK </v>
          </cell>
          <cell r="D1514" t="str">
            <v>SILVER WORLD CLOCK LARGE</v>
          </cell>
          <cell r="E1514" t="str">
            <v xml:space="preserve">METAL CAM  GÜMÜŞ ŞEFFAF   </v>
          </cell>
          <cell r="F1514" t="str">
            <v/>
          </cell>
          <cell r="G1514" t="str">
            <v>AKSESUAR</v>
          </cell>
          <cell r="H1514" t="str">
            <v/>
          </cell>
          <cell r="I1514" t="str">
            <v>İÇ</v>
          </cell>
          <cell r="J1514" t="str">
            <v>AKSESUAR</v>
          </cell>
          <cell r="K1514" t="str">
            <v/>
          </cell>
          <cell r="L1514" t="str">
            <v/>
          </cell>
          <cell r="M1514" t="str">
            <v/>
          </cell>
          <cell r="N1514" t="str">
            <v>HAA-250003</v>
          </cell>
          <cell r="P1514" t="str">
            <v>ADET</v>
          </cell>
          <cell r="R1514" t="str">
            <v>METAL</v>
          </cell>
          <cell r="S1514" t="str">
            <v>GÜMÜŞ</v>
          </cell>
          <cell r="T1514" t="str">
            <v>CAM</v>
          </cell>
          <cell r="U1514" t="str">
            <v>ŞEFFAF</v>
          </cell>
          <cell r="AD1514" t="str">
            <v>KLASİK</v>
          </cell>
          <cell r="AF1514">
            <v>0</v>
          </cell>
          <cell r="AG1514" t="str">
            <v>ADET</v>
          </cell>
          <cell r="AH1514">
            <v>2260</v>
          </cell>
          <cell r="AI1514" t="str">
            <v>TL</v>
          </cell>
          <cell r="AJ1514">
            <v>5424</v>
          </cell>
          <cell r="AK1514" t="str">
            <v>TL</v>
          </cell>
          <cell r="AL1514">
            <v>1</v>
          </cell>
          <cell r="AO1514">
            <v>0</v>
          </cell>
          <cell r="AQ1514">
            <v>0</v>
          </cell>
          <cell r="AS1514">
            <v>0</v>
          </cell>
          <cell r="AU1514">
            <v>0</v>
          </cell>
          <cell r="AW1514">
            <v>0</v>
          </cell>
        </row>
        <row r="1515">
          <cell r="B1515" t="str">
            <v>NE009277025-2GH</v>
          </cell>
          <cell r="C1515" t="str">
            <v>NOVBO 120-277V_13,5W_250mA DİMLİ  LED SÜRÜCÜ</v>
          </cell>
          <cell r="D1515" t="str">
            <v>NOVBO 120-277V_13,5W_250mA DIMMBLE LED DRIVER</v>
          </cell>
          <cell r="E1515" t="str">
            <v/>
          </cell>
          <cell r="F1515" t="str">
            <v/>
          </cell>
          <cell r="G1515" t="str">
            <v>ZPARCA</v>
          </cell>
          <cell r="H1515" t="str">
            <v/>
          </cell>
          <cell r="I1515" t="str">
            <v>İÇ</v>
          </cell>
          <cell r="J1515" t="str">
            <v>ZPARCA</v>
          </cell>
          <cell r="K1515" t="str">
            <v>NOVBO</v>
          </cell>
          <cell r="L1515" t="str">
            <v/>
          </cell>
          <cell r="M1515" t="str">
            <v/>
          </cell>
          <cell r="N1515" t="str">
            <v/>
          </cell>
          <cell r="P1515" t="str">
            <v>ADET</v>
          </cell>
          <cell r="R1515" t="str">
            <v>PLASTİK</v>
          </cell>
          <cell r="S1515" t="str">
            <v>BEYAZ</v>
          </cell>
          <cell r="X1515" t="str">
            <v>110V-220V</v>
          </cell>
          <cell r="AA1515" t="str">
            <v>DIMMLI</v>
          </cell>
          <cell r="AF1515">
            <v>200</v>
          </cell>
          <cell r="AG1515" t="str">
            <v>ADET</v>
          </cell>
          <cell r="AH1515">
            <v>13.8</v>
          </cell>
          <cell r="AI1515" t="str">
            <v>CNY</v>
          </cell>
          <cell r="AJ1515">
            <v>690</v>
          </cell>
          <cell r="AK1515" t="str">
            <v>TL</v>
          </cell>
          <cell r="AL1515">
            <v>0</v>
          </cell>
          <cell r="AO1515">
            <v>0</v>
          </cell>
          <cell r="AQ1515">
            <v>0</v>
          </cell>
          <cell r="AS1515">
            <v>0</v>
          </cell>
          <cell r="AU1515">
            <v>0</v>
          </cell>
          <cell r="AW1515">
            <v>0</v>
          </cell>
        </row>
        <row r="1516">
          <cell r="B1516" t="str">
            <v>NE032277070-2GH</v>
          </cell>
          <cell r="C1516" t="str">
            <v>NOVBO 120-277V_33W_700mA DİMLİ  LED SÜRÜCÜ</v>
          </cell>
          <cell r="D1516" t="str">
            <v>NOVBO 120-277V_33W_700mA DIMMBLE LED DRIVER</v>
          </cell>
          <cell r="E1516" t="str">
            <v/>
          </cell>
          <cell r="F1516" t="str">
            <v/>
          </cell>
          <cell r="G1516" t="str">
            <v>ZPARCA</v>
          </cell>
          <cell r="H1516" t="str">
            <v/>
          </cell>
          <cell r="I1516" t="str">
            <v>İÇ</v>
          </cell>
          <cell r="J1516" t="str">
            <v>ZPARCA</v>
          </cell>
          <cell r="K1516" t="str">
            <v>NOVBO</v>
          </cell>
          <cell r="L1516" t="str">
            <v/>
          </cell>
          <cell r="M1516" t="str">
            <v/>
          </cell>
          <cell r="N1516" t="str">
            <v/>
          </cell>
          <cell r="P1516" t="str">
            <v>ADET</v>
          </cell>
          <cell r="R1516" t="str">
            <v>PLASTİK</v>
          </cell>
          <cell r="S1516" t="str">
            <v>BEYAZ</v>
          </cell>
          <cell r="X1516" t="str">
            <v>110V-220V</v>
          </cell>
          <cell r="AA1516" t="str">
            <v>DIMMLI</v>
          </cell>
          <cell r="AF1516">
            <v>50</v>
          </cell>
          <cell r="AG1516" t="str">
            <v>ADET</v>
          </cell>
          <cell r="AH1516">
            <v>23.5</v>
          </cell>
          <cell r="AI1516" t="str">
            <v>CNY</v>
          </cell>
          <cell r="AJ1516">
            <v>1240</v>
          </cell>
          <cell r="AK1516" t="str">
            <v>TL</v>
          </cell>
          <cell r="AL1516">
            <v>0</v>
          </cell>
          <cell r="AO1516">
            <v>0</v>
          </cell>
          <cell r="AQ1516">
            <v>0</v>
          </cell>
          <cell r="AS1516">
            <v>0</v>
          </cell>
          <cell r="AU1516">
            <v>0</v>
          </cell>
          <cell r="AW1516">
            <v>0</v>
          </cell>
        </row>
        <row r="1517">
          <cell r="B1517" t="str">
            <v>H1T2YRBJM3E-040</v>
          </cell>
          <cell r="C1517" t="str">
            <v>NOVA BEYAZ SOFT TOUCH MASA LAMBASI 40cm</v>
          </cell>
          <cell r="D1517" t="str">
            <v>NOVA WHITE SOFT TOUCH TABLE LAMP 40cm</v>
          </cell>
          <cell r="E1517" t="str">
            <v xml:space="preserve">POLİMER METAL BEYAZ MAT KROM   </v>
          </cell>
          <cell r="F1517" t="str">
            <v/>
          </cell>
          <cell r="G1517" t="str">
            <v>MASAABAJ</v>
          </cell>
          <cell r="H1517" t="str">
            <v/>
          </cell>
          <cell r="I1517" t="str">
            <v>İÇ</v>
          </cell>
          <cell r="J1517" t="str">
            <v>MASAABAJ</v>
          </cell>
          <cell r="K1517" t="str">
            <v>NOVA</v>
          </cell>
          <cell r="L1517" t="str">
            <v/>
          </cell>
          <cell r="M1517" t="str">
            <v/>
          </cell>
          <cell r="N1517" t="str">
            <v>HKA-24277</v>
          </cell>
          <cell r="O1517" t="str">
            <v>HEKA</v>
          </cell>
          <cell r="P1517" t="str">
            <v>ADET</v>
          </cell>
          <cell r="Q1517" t="str">
            <v>E27</v>
          </cell>
          <cell r="R1517" t="str">
            <v>POLİMER</v>
          </cell>
          <cell r="S1517" t="str">
            <v>BEYAZ</v>
          </cell>
          <cell r="T1517" t="str">
            <v>METAL</v>
          </cell>
          <cell r="U1517" t="str">
            <v>MAT KROM</v>
          </cell>
          <cell r="AD1517" t="str">
            <v>ELİPS</v>
          </cell>
          <cell r="AE1517" t="str">
            <v>01</v>
          </cell>
          <cell r="AF1517">
            <v>3</v>
          </cell>
          <cell r="AG1517" t="str">
            <v>ADET</v>
          </cell>
          <cell r="AH1517">
            <v>180</v>
          </cell>
          <cell r="AI1517" t="str">
            <v>CNY</v>
          </cell>
          <cell r="AJ1517">
            <v>14370</v>
          </cell>
          <cell r="AK1517" t="str">
            <v>TL</v>
          </cell>
          <cell r="AL1517">
            <v>1</v>
          </cell>
          <cell r="AM1517" t="str">
            <v>8684127512602</v>
          </cell>
          <cell r="AO1517">
            <v>0</v>
          </cell>
          <cell r="AQ1517">
            <v>0</v>
          </cell>
          <cell r="AS1517">
            <v>0</v>
          </cell>
          <cell r="AU1517">
            <v>0</v>
          </cell>
          <cell r="AW1517">
            <v>0</v>
          </cell>
        </row>
        <row r="1518">
          <cell r="B1518" t="str">
            <v>H1C2YRBJRS0-060</v>
          </cell>
          <cell r="C1518" t="str">
            <v>LUNAR BEYAZ SOFT TOUCH SARKIT 60cm</v>
          </cell>
          <cell r="D1518" t="str">
            <v>LUNAR WHITE SOFT TOUCH PENDANT LAMP 60cm</v>
          </cell>
          <cell r="E1518" t="str">
            <v xml:space="preserve">POLİMER METAL BEYAZ SİYAH   </v>
          </cell>
          <cell r="F1518" t="str">
            <v/>
          </cell>
          <cell r="G1518" t="str">
            <v>AVİZE</v>
          </cell>
          <cell r="H1518" t="str">
            <v/>
          </cell>
          <cell r="I1518" t="str">
            <v>İÇ</v>
          </cell>
          <cell r="J1518" t="str">
            <v>AVİZE</v>
          </cell>
          <cell r="K1518" t="str">
            <v>LUNAR</v>
          </cell>
          <cell r="L1518" t="str">
            <v/>
          </cell>
          <cell r="M1518" t="str">
            <v/>
          </cell>
          <cell r="N1518" t="str">
            <v>HKA-24291</v>
          </cell>
          <cell r="O1518" t="str">
            <v>HEKA</v>
          </cell>
          <cell r="P1518" t="str">
            <v>ADET</v>
          </cell>
          <cell r="Q1518" t="str">
            <v>E27</v>
          </cell>
          <cell r="R1518" t="str">
            <v>POLİMER</v>
          </cell>
          <cell r="S1518" t="str">
            <v>BEYAZ</v>
          </cell>
          <cell r="T1518" t="str">
            <v>METAL</v>
          </cell>
          <cell r="U1518" t="str">
            <v>SİYAH</v>
          </cell>
          <cell r="AD1518" t="str">
            <v>N/A</v>
          </cell>
          <cell r="AE1518" t="str">
            <v>01</v>
          </cell>
          <cell r="AF1518">
            <v>53</v>
          </cell>
          <cell r="AG1518" t="str">
            <v>ADET</v>
          </cell>
          <cell r="AH1518">
            <v>324</v>
          </cell>
          <cell r="AI1518" t="str">
            <v>CNY</v>
          </cell>
          <cell r="AJ1518">
            <v>25845</v>
          </cell>
          <cell r="AK1518" t="str">
            <v>TL</v>
          </cell>
          <cell r="AL1518">
            <v>1</v>
          </cell>
          <cell r="AM1518" t="str">
            <v>8684127512749</v>
          </cell>
          <cell r="AO1518">
            <v>0</v>
          </cell>
          <cell r="AQ1518">
            <v>0</v>
          </cell>
          <cell r="AS1518">
            <v>0</v>
          </cell>
          <cell r="AU1518">
            <v>0</v>
          </cell>
          <cell r="AW1518">
            <v>0</v>
          </cell>
        </row>
        <row r="1519">
          <cell r="B1519" t="str">
            <v>H1C6YRBJRS0-060</v>
          </cell>
          <cell r="C1519" t="str">
            <v>GALAXY BEYAZ SOFT TOUCH DALGA SARKIT 60cm</v>
          </cell>
          <cell r="D1519" t="str">
            <v>GALAXY WHITE SOFT TOUCH WAVE PENDANT LAMP 60cm</v>
          </cell>
          <cell r="E1519" t="str">
            <v xml:space="preserve">POLİMER METAL BEYAZ SİYAH   </v>
          </cell>
          <cell r="F1519" t="str">
            <v/>
          </cell>
          <cell r="G1519" t="str">
            <v>AVİZE</v>
          </cell>
          <cell r="H1519" t="str">
            <v/>
          </cell>
          <cell r="I1519" t="str">
            <v>İÇ</v>
          </cell>
          <cell r="J1519" t="str">
            <v>AVİZE</v>
          </cell>
          <cell r="K1519" t="str">
            <v>GALAXY</v>
          </cell>
          <cell r="L1519" t="str">
            <v/>
          </cell>
          <cell r="M1519" t="str">
            <v/>
          </cell>
          <cell r="N1519" t="str">
            <v>HKA-24292</v>
          </cell>
          <cell r="O1519" t="str">
            <v>HEKA</v>
          </cell>
          <cell r="P1519" t="str">
            <v>ADET</v>
          </cell>
          <cell r="Q1519" t="str">
            <v>LED</v>
          </cell>
          <cell r="R1519" t="str">
            <v>POLİMER</v>
          </cell>
          <cell r="S1519" t="str">
            <v>BEYAZ</v>
          </cell>
          <cell r="T1519" t="str">
            <v>METAL</v>
          </cell>
          <cell r="U1519" t="str">
            <v>SİYAH</v>
          </cell>
          <cell r="AD1519" t="str">
            <v>N/A</v>
          </cell>
          <cell r="AF1519">
            <v>37</v>
          </cell>
          <cell r="AG1519" t="str">
            <v>ADET</v>
          </cell>
          <cell r="AH1519">
            <v>292.5</v>
          </cell>
          <cell r="AI1519" t="str">
            <v>CNY</v>
          </cell>
          <cell r="AJ1519">
            <v>23270</v>
          </cell>
          <cell r="AK1519" t="str">
            <v>TL</v>
          </cell>
          <cell r="AL1519">
            <v>1</v>
          </cell>
          <cell r="AM1519" t="str">
            <v>8684127512756</v>
          </cell>
          <cell r="AO1519">
            <v>0</v>
          </cell>
          <cell r="AQ1519">
            <v>0</v>
          </cell>
          <cell r="AS1519">
            <v>0</v>
          </cell>
          <cell r="AU1519">
            <v>0</v>
          </cell>
          <cell r="AW1519">
            <v>0</v>
          </cell>
        </row>
        <row r="1520">
          <cell r="B1520" t="str">
            <v>H1C2YRBJRSC-034</v>
          </cell>
          <cell r="C1520" t="str">
            <v>PLANET BEYAZ SOFT TOUCH SİLİNDİR SARKIT 34cm</v>
          </cell>
          <cell r="D1520" t="str">
            <v>PLANET WHITE SOFT TOUCH CYLINDER PENDANT LAMP 34cm</v>
          </cell>
          <cell r="E1520" t="str">
            <v xml:space="preserve">POLİMER METAL BEYAZ SİYAH   </v>
          </cell>
          <cell r="F1520" t="str">
            <v/>
          </cell>
          <cell r="G1520" t="str">
            <v>AVİZE</v>
          </cell>
          <cell r="H1520" t="str">
            <v/>
          </cell>
          <cell r="I1520" t="str">
            <v>İÇ</v>
          </cell>
          <cell r="J1520" t="str">
            <v>AVİZE</v>
          </cell>
          <cell r="K1520" t="str">
            <v>PLANET</v>
          </cell>
          <cell r="L1520" t="str">
            <v/>
          </cell>
          <cell r="M1520" t="str">
            <v/>
          </cell>
          <cell r="N1520" t="str">
            <v>HKA-24309</v>
          </cell>
          <cell r="O1520" t="str">
            <v>HEKA</v>
          </cell>
          <cell r="P1520" t="str">
            <v>ADET</v>
          </cell>
          <cell r="Q1520" t="str">
            <v>E27</v>
          </cell>
          <cell r="R1520" t="str">
            <v>POLİMER</v>
          </cell>
          <cell r="S1520" t="str">
            <v>BEYAZ</v>
          </cell>
          <cell r="T1520" t="str">
            <v>METAL</v>
          </cell>
          <cell r="U1520" t="str">
            <v>SİYAH</v>
          </cell>
          <cell r="AD1520" t="str">
            <v>SİLİNDİR</v>
          </cell>
          <cell r="AE1520" t="str">
            <v>01</v>
          </cell>
          <cell r="AF1520">
            <v>58</v>
          </cell>
          <cell r="AG1520" t="str">
            <v>ADET</v>
          </cell>
          <cell r="AH1520">
            <v>405</v>
          </cell>
          <cell r="AI1520" t="str">
            <v>CNY</v>
          </cell>
          <cell r="AJ1520">
            <v>32330</v>
          </cell>
          <cell r="AK1520" t="str">
            <v>TL</v>
          </cell>
          <cell r="AL1520">
            <v>1</v>
          </cell>
          <cell r="AM1520" t="str">
            <v>8684127512923</v>
          </cell>
          <cell r="AO1520">
            <v>0</v>
          </cell>
          <cell r="AQ1520">
            <v>0</v>
          </cell>
          <cell r="AS1520">
            <v>0</v>
          </cell>
          <cell r="AU1520">
            <v>0</v>
          </cell>
          <cell r="AW1520">
            <v>0</v>
          </cell>
        </row>
        <row r="1521">
          <cell r="B1521" t="str">
            <v>H1C1YRBJRS0-105</v>
          </cell>
          <cell r="C1521" t="str">
            <v>CERES BEYAZ SOFT TOUCH SARKIT 20cm</v>
          </cell>
          <cell r="D1521" t="str">
            <v>CERES WHITE SOFT TOUCH PENDANT LAMP 20cm</v>
          </cell>
          <cell r="E1521" t="str">
            <v xml:space="preserve">POLİMER METAL BEYAZ SİYAH   </v>
          </cell>
          <cell r="F1521" t="str">
            <v/>
          </cell>
          <cell r="G1521" t="str">
            <v>AVİZE</v>
          </cell>
          <cell r="H1521" t="str">
            <v/>
          </cell>
          <cell r="I1521" t="str">
            <v>İÇ</v>
          </cell>
          <cell r="J1521" t="str">
            <v>AVİZE</v>
          </cell>
          <cell r="K1521" t="str">
            <v>CERES</v>
          </cell>
          <cell r="L1521" t="str">
            <v>Ç</v>
          </cell>
          <cell r="M1521" t="str">
            <v/>
          </cell>
          <cell r="N1521" t="str">
            <v>HKA-24310</v>
          </cell>
          <cell r="O1521" t="str">
            <v>HEKA</v>
          </cell>
          <cell r="P1521" t="str">
            <v>ADET</v>
          </cell>
          <cell r="Q1521" t="str">
            <v>E27</v>
          </cell>
          <cell r="R1521" t="str">
            <v>POLİMER</v>
          </cell>
          <cell r="S1521" t="str">
            <v>BEYAZ</v>
          </cell>
          <cell r="T1521" t="str">
            <v>METAL</v>
          </cell>
          <cell r="U1521" t="str">
            <v>SİYAH</v>
          </cell>
          <cell r="AD1521" t="str">
            <v>N/A</v>
          </cell>
          <cell r="AE1521" t="str">
            <v>01</v>
          </cell>
          <cell r="AF1521">
            <v>169</v>
          </cell>
          <cell r="AG1521" t="str">
            <v>ADET</v>
          </cell>
          <cell r="AH1521">
            <v>108</v>
          </cell>
          <cell r="AI1521" t="str">
            <v>CNY</v>
          </cell>
          <cell r="AJ1521">
            <v>8620</v>
          </cell>
          <cell r="AK1521" t="str">
            <v>TL</v>
          </cell>
          <cell r="AL1521">
            <v>1</v>
          </cell>
          <cell r="AM1521" t="str">
            <v>8684127512930</v>
          </cell>
          <cell r="AO1521">
            <v>0</v>
          </cell>
          <cell r="AQ1521">
            <v>0</v>
          </cell>
          <cell r="AS1521">
            <v>0</v>
          </cell>
          <cell r="AU1521">
            <v>0</v>
          </cell>
          <cell r="AW1521">
            <v>0</v>
          </cell>
        </row>
        <row r="1522">
          <cell r="B1522" t="str">
            <v>H1W6JMEWRS0-062</v>
          </cell>
          <cell r="C1522" t="str">
            <v>TEKFUR SİYAH MERMER APLİK BÜYÜK</v>
          </cell>
          <cell r="D1522" t="str">
            <v>TEKFUR BLACK MARBLE WALL LAMP BIG</v>
          </cell>
          <cell r="E1522" t="str">
            <v>METAL MERMER ESKİTME SİYAH</v>
          </cell>
          <cell r="F1522" t="str">
            <v>9405.11.90.00.00</v>
          </cell>
          <cell r="G1522" t="str">
            <v>APLİK</v>
          </cell>
          <cell r="H1522" t="str">
            <v>T1W6113100-62</v>
          </cell>
          <cell r="I1522" t="str">
            <v>İÇ</v>
          </cell>
          <cell r="J1522" t="str">
            <v>APLİK</v>
          </cell>
          <cell r="K1522" t="str">
            <v>TEKFUR</v>
          </cell>
          <cell r="L1522" t="str">
            <v>Ç</v>
          </cell>
          <cell r="M1522" t="str">
            <v/>
          </cell>
          <cell r="N1522" t="str">
            <v>HKA-24327</v>
          </cell>
          <cell r="O1522" t="str">
            <v>HEKA</v>
          </cell>
          <cell r="P1522" t="str">
            <v>ADET</v>
          </cell>
          <cell r="Q1522" t="str">
            <v>LED</v>
          </cell>
          <cell r="R1522" t="str">
            <v>METAL</v>
          </cell>
          <cell r="S1522" t="str">
            <v>ESKİTME</v>
          </cell>
          <cell r="T1522" t="str">
            <v>MERMER</v>
          </cell>
          <cell r="U1522" t="str">
            <v>SİYAH</v>
          </cell>
          <cell r="AD1522" t="str">
            <v>N/A</v>
          </cell>
          <cell r="AF1522">
            <v>34</v>
          </cell>
          <cell r="AG1522" t="str">
            <v>ADET</v>
          </cell>
          <cell r="AH1522">
            <v>120</v>
          </cell>
          <cell r="AI1522" t="str">
            <v>CNY</v>
          </cell>
          <cell r="AJ1522">
            <v>9475</v>
          </cell>
          <cell r="AK1522" t="str">
            <v>TL</v>
          </cell>
          <cell r="AL1522">
            <v>1</v>
          </cell>
          <cell r="AM1522" t="str">
            <v>8684127513005</v>
          </cell>
          <cell r="AO1522">
            <v>1.39</v>
          </cell>
          <cell r="AP1522" t="str">
            <v>KG</v>
          </cell>
          <cell r="AQ1522">
            <v>9</v>
          </cell>
          <cell r="AR1522" t="str">
            <v>CM</v>
          </cell>
          <cell r="AS1522">
            <v>9</v>
          </cell>
          <cell r="AT1522" t="str">
            <v>CM</v>
          </cell>
          <cell r="AU1522">
            <v>0</v>
          </cell>
          <cell r="AW1522">
            <v>0</v>
          </cell>
        </row>
        <row r="1523">
          <cell r="B1523" t="str">
            <v>H1C3CMGERB0-100</v>
          </cell>
          <cell r="C1523" t="str">
            <v>DOHA 40 LI GOLD AVİZE</v>
          </cell>
          <cell r="D1523" t="str">
            <v>DOHA 40 GOLD CHANDELIER</v>
          </cell>
          <cell r="E1523" t="str">
            <v xml:space="preserve">ALUMİNYUM CAM  GOLD BEYAZ   </v>
          </cell>
          <cell r="F1523" t="str">
            <v/>
          </cell>
          <cell r="G1523" t="str">
            <v>AVİZE</v>
          </cell>
          <cell r="H1523" t="str">
            <v/>
          </cell>
          <cell r="I1523" t="str">
            <v>İÇ</v>
          </cell>
          <cell r="J1523" t="str">
            <v>AVİZE</v>
          </cell>
          <cell r="K1523" t="str">
            <v>DOHA</v>
          </cell>
          <cell r="L1523" t="str">
            <v/>
          </cell>
          <cell r="M1523" t="str">
            <v/>
          </cell>
          <cell r="N1523" t="str">
            <v>HKA-24174</v>
          </cell>
          <cell r="O1523" t="str">
            <v>HEKA</v>
          </cell>
          <cell r="P1523" t="str">
            <v>ADET</v>
          </cell>
          <cell r="Q1523" t="str">
            <v>G9</v>
          </cell>
          <cell r="R1523" t="str">
            <v>ALUMİNYUM</v>
          </cell>
          <cell r="S1523" t="str">
            <v>GOLD</v>
          </cell>
          <cell r="T1523" t="str">
            <v>CAM</v>
          </cell>
          <cell r="U1523" t="str">
            <v>BEYAZ</v>
          </cell>
          <cell r="AE1523" t="str">
            <v>40</v>
          </cell>
          <cell r="AF1523">
            <v>7</v>
          </cell>
          <cell r="AG1523" t="str">
            <v>ADET</v>
          </cell>
          <cell r="AH1523">
            <v>2936.37</v>
          </cell>
          <cell r="AI1523" t="str">
            <v>CNY</v>
          </cell>
          <cell r="AJ1523">
            <v>189000</v>
          </cell>
          <cell r="AK1523" t="str">
            <v>TL</v>
          </cell>
          <cell r="AL1523">
            <v>1</v>
          </cell>
          <cell r="AM1523" t="str">
            <v>8684127513029</v>
          </cell>
          <cell r="AO1523">
            <v>7.56</v>
          </cell>
          <cell r="AP1523" t="str">
            <v>KG</v>
          </cell>
          <cell r="AQ1523">
            <v>150</v>
          </cell>
          <cell r="AR1523" t="str">
            <v>CM</v>
          </cell>
          <cell r="AS1523">
            <v>80</v>
          </cell>
          <cell r="AT1523" t="str">
            <v>CM</v>
          </cell>
          <cell r="AU1523">
            <v>0</v>
          </cell>
          <cell r="AW1523">
            <v>0</v>
          </cell>
        </row>
        <row r="1524">
          <cell r="B1524" t="str">
            <v>H1C6JRVERLM-030</v>
          </cell>
          <cell r="C1524" t="str">
            <v>MONAKO BAL VE BEYAZ CAM KAHVERENGİ METAL SARKIT</v>
          </cell>
          <cell r="D1524" t="str">
            <v>MONAKO AMBER AND WHITE GLASS BROWN METAL PENDANT LAMP</v>
          </cell>
          <cell r="E1524" t="str">
            <v xml:space="preserve">METAL CAM  KAHVERENGİ BAL   </v>
          </cell>
          <cell r="F1524" t="str">
            <v/>
          </cell>
          <cell r="G1524" t="str">
            <v>AVİZE</v>
          </cell>
          <cell r="H1524" t="str">
            <v/>
          </cell>
          <cell r="I1524" t="str">
            <v>İÇ</v>
          </cell>
          <cell r="J1524" t="str">
            <v>AVİZE</v>
          </cell>
          <cell r="K1524" t="str">
            <v>MONAKO</v>
          </cell>
          <cell r="L1524" t="str">
            <v/>
          </cell>
          <cell r="M1524" t="str">
            <v/>
          </cell>
          <cell r="N1524" t="str">
            <v>HKA-24187</v>
          </cell>
          <cell r="O1524" t="str">
            <v>HEKA</v>
          </cell>
          <cell r="P1524" t="str">
            <v>ADET</v>
          </cell>
          <cell r="Q1524" t="str">
            <v>LED</v>
          </cell>
          <cell r="R1524" t="str">
            <v>METAL</v>
          </cell>
          <cell r="S1524" t="str">
            <v>KAHVERENGİ</v>
          </cell>
          <cell r="T1524" t="str">
            <v>CAM</v>
          </cell>
          <cell r="U1524" t="str">
            <v>BAL</v>
          </cell>
          <cell r="X1524" t="str">
            <v>110V-220V</v>
          </cell>
          <cell r="Z1524" t="str">
            <v>3000 K</v>
          </cell>
          <cell r="AD1524" t="str">
            <v>ÇİFT AYDINLATMA</v>
          </cell>
          <cell r="AF1524">
            <v>7</v>
          </cell>
          <cell r="AG1524" t="str">
            <v>ADET</v>
          </cell>
          <cell r="AH1524">
            <v>800</v>
          </cell>
          <cell r="AI1524" t="str">
            <v>CNY</v>
          </cell>
          <cell r="AJ1524">
            <v>67200</v>
          </cell>
          <cell r="AK1524" t="str">
            <v>TL</v>
          </cell>
          <cell r="AL1524">
            <v>1</v>
          </cell>
          <cell r="AM1524" t="str">
            <v>8684127513142</v>
          </cell>
          <cell r="AO1524">
            <v>2.42</v>
          </cell>
          <cell r="AP1524" t="str">
            <v>KG</v>
          </cell>
          <cell r="AQ1524">
            <v>30</v>
          </cell>
          <cell r="AR1524" t="str">
            <v>CM</v>
          </cell>
          <cell r="AS1524">
            <v>30</v>
          </cell>
          <cell r="AT1524" t="str">
            <v>CM</v>
          </cell>
          <cell r="AU1524">
            <v>0</v>
          </cell>
          <cell r="AW1524">
            <v>0</v>
          </cell>
        </row>
        <row r="1525">
          <cell r="B1525" t="str">
            <v>H1C6JRSERLM-030</v>
          </cell>
          <cell r="C1525" t="str">
            <v>MONAKO BAL VE BEYAZ CAM SİYAH METAL SARKIT</v>
          </cell>
          <cell r="D1525" t="str">
            <v>MONAKO AMBER AND WHITE GLASS BLACK METAL PENDANT LAMP</v>
          </cell>
          <cell r="E1525" t="str">
            <v xml:space="preserve">METAL CAM  SİYAH BAL   </v>
          </cell>
          <cell r="F1525" t="str">
            <v/>
          </cell>
          <cell r="G1525" t="str">
            <v>AVİZE</v>
          </cell>
          <cell r="H1525" t="str">
            <v/>
          </cell>
          <cell r="I1525" t="str">
            <v>İÇ</v>
          </cell>
          <cell r="J1525" t="str">
            <v>AVİZE</v>
          </cell>
          <cell r="K1525" t="str">
            <v>MONAKO</v>
          </cell>
          <cell r="L1525" t="str">
            <v/>
          </cell>
          <cell r="M1525" t="str">
            <v/>
          </cell>
          <cell r="N1525" t="str">
            <v>HKA-24188</v>
          </cell>
          <cell r="O1525" t="str">
            <v>HEKA</v>
          </cell>
          <cell r="P1525" t="str">
            <v>ADET</v>
          </cell>
          <cell r="Q1525" t="str">
            <v>LED</v>
          </cell>
          <cell r="R1525" t="str">
            <v>METAL</v>
          </cell>
          <cell r="S1525" t="str">
            <v>SİYAH</v>
          </cell>
          <cell r="T1525" t="str">
            <v>CAM</v>
          </cell>
          <cell r="U1525" t="str">
            <v>BAL</v>
          </cell>
          <cell r="X1525" t="str">
            <v>110V-220V</v>
          </cell>
          <cell r="Z1525" t="str">
            <v>3000 K</v>
          </cell>
          <cell r="AD1525" t="str">
            <v>ÇİFT AYDINLATMA</v>
          </cell>
          <cell r="AF1525">
            <v>7</v>
          </cell>
          <cell r="AG1525" t="str">
            <v>ADET</v>
          </cell>
          <cell r="AH1525">
            <v>800</v>
          </cell>
          <cell r="AI1525" t="str">
            <v>CNY</v>
          </cell>
          <cell r="AJ1525">
            <v>67200</v>
          </cell>
          <cell r="AK1525" t="str">
            <v>TL</v>
          </cell>
          <cell r="AL1525">
            <v>1</v>
          </cell>
          <cell r="AM1525" t="str">
            <v>8684127513159</v>
          </cell>
          <cell r="AO1525">
            <v>2.42</v>
          </cell>
          <cell r="AP1525" t="str">
            <v>KG</v>
          </cell>
          <cell r="AQ1525">
            <v>30</v>
          </cell>
          <cell r="AR1525" t="str">
            <v>CM</v>
          </cell>
          <cell r="AS1525">
            <v>30</v>
          </cell>
          <cell r="AT1525" t="str">
            <v>CM</v>
          </cell>
          <cell r="AU1525">
            <v>0</v>
          </cell>
          <cell r="AW1525">
            <v>0</v>
          </cell>
        </row>
        <row r="1526">
          <cell r="B1526" t="str">
            <v>H1C6JMEVRV0-055</v>
          </cell>
          <cell r="C1526" t="str">
            <v>LOME KAHVERENGİ DERİ ESKİTME SARKIT</v>
          </cell>
          <cell r="D1526" t="str">
            <v>LOME BROWN LEATHER BRUSHED BRASS PENDANT</v>
          </cell>
          <cell r="E1526" t="str">
            <v xml:space="preserve">METAL DERİ ESKİTME KAHVERENGİ   </v>
          </cell>
          <cell r="F1526" t="str">
            <v/>
          </cell>
          <cell r="G1526" t="str">
            <v>AVİZE</v>
          </cell>
          <cell r="H1526" t="str">
            <v/>
          </cell>
          <cell r="I1526" t="str">
            <v>İÇ</v>
          </cell>
          <cell r="J1526" t="str">
            <v>AVİZE</v>
          </cell>
          <cell r="K1526" t="str">
            <v>LOME</v>
          </cell>
          <cell r="L1526" t="str">
            <v/>
          </cell>
          <cell r="M1526" t="str">
            <v/>
          </cell>
          <cell r="N1526" t="str">
            <v>HKA-24247</v>
          </cell>
          <cell r="O1526" t="str">
            <v>HEKA</v>
          </cell>
          <cell r="P1526" t="str">
            <v>ADET</v>
          </cell>
          <cell r="Q1526" t="str">
            <v>LED</v>
          </cell>
          <cell r="R1526" t="str">
            <v>METAL</v>
          </cell>
          <cell r="S1526" t="str">
            <v>ESKİTME</v>
          </cell>
          <cell r="T1526" t="str">
            <v>DERİ</v>
          </cell>
          <cell r="U1526" t="str">
            <v>KAHVERENGİ</v>
          </cell>
          <cell r="X1526" t="str">
            <v>110V-220V</v>
          </cell>
          <cell r="Z1526" t="str">
            <v>3000 K</v>
          </cell>
          <cell r="AF1526">
            <v>7</v>
          </cell>
          <cell r="AG1526" t="str">
            <v>ADET</v>
          </cell>
          <cell r="AH1526">
            <v>280</v>
          </cell>
          <cell r="AI1526" t="str">
            <v>CNY</v>
          </cell>
          <cell r="AJ1526">
            <v>23500</v>
          </cell>
          <cell r="AK1526" t="str">
            <v>TL</v>
          </cell>
          <cell r="AL1526">
            <v>1</v>
          </cell>
          <cell r="AM1526" t="str">
            <v>8684127514644</v>
          </cell>
          <cell r="AO1526">
            <v>0.8</v>
          </cell>
          <cell r="AP1526" t="str">
            <v>KG</v>
          </cell>
          <cell r="AQ1526">
            <v>55</v>
          </cell>
          <cell r="AR1526" t="str">
            <v>CM</v>
          </cell>
          <cell r="AS1526">
            <v>5.5</v>
          </cell>
          <cell r="AT1526" t="str">
            <v>CM</v>
          </cell>
          <cell r="AU1526">
            <v>0</v>
          </cell>
          <cell r="AW1526">
            <v>0</v>
          </cell>
        </row>
        <row r="1527">
          <cell r="B1527" t="str">
            <v>H1C6WRBJMEC-130</v>
          </cell>
          <cell r="C1527" t="str">
            <v>HELSİNKİ İKİLİ MERMER ESKİTME YEMEK MASASI AVİZE</v>
          </cell>
          <cell r="D1527" t="str">
            <v>HELSİNKİ DOUBLE MARBLE BRUSHED BRASS DINNING ROOM CHANDELIER</v>
          </cell>
          <cell r="E1527" t="str">
            <v xml:space="preserve">MERMER METAL BEYAZ ESKİTME   </v>
          </cell>
          <cell r="F1527" t="str">
            <v/>
          </cell>
          <cell r="G1527" t="str">
            <v>AVİZE</v>
          </cell>
          <cell r="H1527" t="str">
            <v/>
          </cell>
          <cell r="I1527" t="str">
            <v>İÇ</v>
          </cell>
          <cell r="J1527" t="str">
            <v>AVİZE</v>
          </cell>
          <cell r="K1527" t="str">
            <v>HELSİNKİ</v>
          </cell>
          <cell r="L1527" t="str">
            <v/>
          </cell>
          <cell r="M1527" t="str">
            <v/>
          </cell>
          <cell r="N1527" t="str">
            <v>HKA-24230</v>
          </cell>
          <cell r="O1527" t="str">
            <v>HEKA</v>
          </cell>
          <cell r="P1527" t="str">
            <v>ADET</v>
          </cell>
          <cell r="Q1527" t="str">
            <v>LED</v>
          </cell>
          <cell r="R1527" t="str">
            <v>MERMER</v>
          </cell>
          <cell r="S1527" t="str">
            <v>BEYAZ</v>
          </cell>
          <cell r="T1527" t="str">
            <v>METAL</v>
          </cell>
          <cell r="U1527" t="str">
            <v>ESKİTME</v>
          </cell>
          <cell r="X1527" t="str">
            <v>220V</v>
          </cell>
          <cell r="Z1527" t="str">
            <v>3000 K</v>
          </cell>
          <cell r="AD1527" t="str">
            <v>SİLİNDİR</v>
          </cell>
          <cell r="AF1527">
            <v>0</v>
          </cell>
          <cell r="AG1527" t="str">
            <v>ADET</v>
          </cell>
          <cell r="AH1527">
            <v>1643.4</v>
          </cell>
          <cell r="AI1527" t="str">
            <v>CNY</v>
          </cell>
          <cell r="AJ1527">
            <v>114950</v>
          </cell>
          <cell r="AK1527" t="str">
            <v>TL</v>
          </cell>
          <cell r="AL1527">
            <v>1</v>
          </cell>
          <cell r="AM1527" t="str">
            <v>8684127513333</v>
          </cell>
          <cell r="AO1527">
            <v>16.5</v>
          </cell>
          <cell r="AP1527" t="str">
            <v>KG</v>
          </cell>
          <cell r="AQ1527">
            <v>200</v>
          </cell>
          <cell r="AR1527" t="str">
            <v>CM</v>
          </cell>
          <cell r="AS1527">
            <v>15</v>
          </cell>
          <cell r="AT1527" t="str">
            <v>CM</v>
          </cell>
          <cell r="AU1527">
            <v>0</v>
          </cell>
          <cell r="AW1527">
            <v>0</v>
          </cell>
        </row>
        <row r="1528">
          <cell r="B1528" t="str">
            <v>H1C6JRSBCS0-092</v>
          </cell>
          <cell r="C1528" t="str">
            <v>PANAMA 16+28 ŞEFFAF AKRİLİK SİYAH SALON AVİZE</v>
          </cell>
          <cell r="D1528" t="str">
            <v>PANAMA 16+28 CLEAR ACYRLIC BLACK LIVING ROOM CHANDELIER</v>
          </cell>
          <cell r="E1528" t="str">
            <v xml:space="preserve">METAL AKRİLİK SİYAH ŞEFFAF   </v>
          </cell>
          <cell r="F1528" t="str">
            <v/>
          </cell>
          <cell r="G1528" t="str">
            <v>AVİZE</v>
          </cell>
          <cell r="H1528" t="str">
            <v/>
          </cell>
          <cell r="I1528" t="str">
            <v>İÇ</v>
          </cell>
          <cell r="J1528" t="str">
            <v>AVİZE</v>
          </cell>
          <cell r="K1528" t="str">
            <v>PANAMA</v>
          </cell>
          <cell r="L1528" t="str">
            <v/>
          </cell>
          <cell r="M1528" t="str">
            <v/>
          </cell>
          <cell r="N1528" t="str">
            <v>HKA-24194</v>
          </cell>
          <cell r="O1528" t="str">
            <v>HEKA</v>
          </cell>
          <cell r="P1528" t="str">
            <v>ADET</v>
          </cell>
          <cell r="Q1528" t="str">
            <v>LED</v>
          </cell>
          <cell r="R1528" t="str">
            <v>METAL</v>
          </cell>
          <cell r="S1528" t="str">
            <v>SİYAH</v>
          </cell>
          <cell r="T1528" t="str">
            <v>AKRİLİK</v>
          </cell>
          <cell r="U1528" t="str">
            <v>ŞEFFAF</v>
          </cell>
          <cell r="X1528" t="str">
            <v>110V-220V</v>
          </cell>
          <cell r="Z1528" t="str">
            <v>3000 K</v>
          </cell>
          <cell r="AF1528">
            <v>2</v>
          </cell>
          <cell r="AG1528" t="str">
            <v>ADET</v>
          </cell>
          <cell r="AH1528">
            <v>710.6</v>
          </cell>
          <cell r="AI1528" t="str">
            <v>CNY</v>
          </cell>
          <cell r="AJ1528">
            <v>62900</v>
          </cell>
          <cell r="AK1528" t="str">
            <v>TL</v>
          </cell>
          <cell r="AL1528">
            <v>1</v>
          </cell>
          <cell r="AM1528" t="str">
            <v>8684127514057</v>
          </cell>
          <cell r="AO1528">
            <v>6.5</v>
          </cell>
          <cell r="AP1528" t="str">
            <v>KG</v>
          </cell>
          <cell r="AQ1528">
            <v>38</v>
          </cell>
          <cell r="AR1528" t="str">
            <v>CM</v>
          </cell>
          <cell r="AS1528">
            <v>85</v>
          </cell>
          <cell r="AT1528" t="str">
            <v>CM</v>
          </cell>
          <cell r="AU1528">
            <v>0</v>
          </cell>
          <cell r="AW1528">
            <v>0</v>
          </cell>
        </row>
        <row r="1529">
          <cell r="B1529" t="str">
            <v>H1C6JRSBCS0-120</v>
          </cell>
          <cell r="C1529" t="str">
            <v>PANAMA 14 ŞEFFAF AKRİLİK SİYAH YEMEK MASASI AVİZE</v>
          </cell>
          <cell r="D1529" t="str">
            <v>PANAMA 14 CLEAR ACYRLIC BLACK DINING ROOM CHANDELIER</v>
          </cell>
          <cell r="E1529" t="str">
            <v xml:space="preserve">METAL AKRİLİK SİYAH ŞEFFAF   </v>
          </cell>
          <cell r="F1529" t="str">
            <v/>
          </cell>
          <cell r="G1529" t="str">
            <v>AVİZE</v>
          </cell>
          <cell r="H1529" t="str">
            <v/>
          </cell>
          <cell r="I1529" t="str">
            <v>İÇ</v>
          </cell>
          <cell r="J1529" t="str">
            <v>AVİZE</v>
          </cell>
          <cell r="K1529" t="str">
            <v>PANAMA</v>
          </cell>
          <cell r="L1529" t="str">
            <v/>
          </cell>
          <cell r="M1529" t="str">
            <v/>
          </cell>
          <cell r="N1529" t="str">
            <v>HKA-24196</v>
          </cell>
          <cell r="O1529" t="str">
            <v>HEKA</v>
          </cell>
          <cell r="P1529" t="str">
            <v>ADET</v>
          </cell>
          <cell r="Q1529" t="str">
            <v>LED</v>
          </cell>
          <cell r="R1529" t="str">
            <v>METAL</v>
          </cell>
          <cell r="S1529" t="str">
            <v>SİYAH</v>
          </cell>
          <cell r="T1529" t="str">
            <v>AKRİLİK</v>
          </cell>
          <cell r="U1529" t="str">
            <v>ŞEFFAF</v>
          </cell>
          <cell r="X1529" t="str">
            <v>110V-220V</v>
          </cell>
          <cell r="Z1529" t="str">
            <v>3000 K</v>
          </cell>
          <cell r="AF1529">
            <v>0</v>
          </cell>
          <cell r="AG1529" t="str">
            <v>ADET</v>
          </cell>
          <cell r="AH1529">
            <v>332.5</v>
          </cell>
          <cell r="AI1529" t="str">
            <v>CNY</v>
          </cell>
          <cell r="AJ1529">
            <v>29400</v>
          </cell>
          <cell r="AK1529" t="str">
            <v>TL</v>
          </cell>
          <cell r="AL1529">
            <v>1</v>
          </cell>
          <cell r="AM1529" t="str">
            <v>8684127513258</v>
          </cell>
          <cell r="AO1529">
            <v>3.6</v>
          </cell>
          <cell r="AP1529" t="str">
            <v>KG</v>
          </cell>
          <cell r="AQ1529">
            <v>8</v>
          </cell>
          <cell r="AR1529" t="str">
            <v>CM</v>
          </cell>
          <cell r="AS1529">
            <v>80</v>
          </cell>
          <cell r="AT1529" t="str">
            <v>CM</v>
          </cell>
          <cell r="AU1529">
            <v>0</v>
          </cell>
          <cell r="AW1529">
            <v>0</v>
          </cell>
        </row>
        <row r="1530">
          <cell r="B1530" t="str">
            <v>H1C6CMGECS0-075</v>
          </cell>
          <cell r="C1530" t="str">
            <v>LÜKSEMBURG 20 ŞEFFAF CAM KAHVERENGİ ALUMİNYUM AVİ.</v>
          </cell>
          <cell r="D1530" t="str">
            <v xml:space="preserve">LÜKSEMBURG 20 CLEAR GLASS BROWN ALUMINIUM CHANDELIER </v>
          </cell>
          <cell r="E1530" t="str">
            <v xml:space="preserve">ALUMİNYUM CAM  KAHVERENGİ ŞEFFAF   </v>
          </cell>
          <cell r="F1530" t="str">
            <v/>
          </cell>
          <cell r="G1530" t="str">
            <v>AVİZE</v>
          </cell>
          <cell r="H1530" t="str">
            <v/>
          </cell>
          <cell r="I1530" t="str">
            <v>İÇ</v>
          </cell>
          <cell r="J1530" t="str">
            <v>AVİZE</v>
          </cell>
          <cell r="K1530" t="str">
            <v>LÜKSEMBURG</v>
          </cell>
          <cell r="L1530" t="str">
            <v/>
          </cell>
          <cell r="M1530" t="str">
            <v/>
          </cell>
          <cell r="N1530" t="str">
            <v>HKA-24250</v>
          </cell>
          <cell r="O1530" t="str">
            <v>HEKA</v>
          </cell>
          <cell r="P1530" t="str">
            <v>ADET</v>
          </cell>
          <cell r="Q1530" t="str">
            <v>LED</v>
          </cell>
          <cell r="R1530" t="str">
            <v>ALUMİNYUM</v>
          </cell>
          <cell r="S1530" t="str">
            <v>KAHVERENGİ</v>
          </cell>
          <cell r="T1530" t="str">
            <v>CAM</v>
          </cell>
          <cell r="U1530" t="str">
            <v>ŞEFFAF</v>
          </cell>
          <cell r="X1530" t="str">
            <v>110V-220V</v>
          </cell>
          <cell r="Z1530" t="str">
            <v>3000 K</v>
          </cell>
          <cell r="AF1530">
            <v>1</v>
          </cell>
          <cell r="AG1530" t="str">
            <v>ADET</v>
          </cell>
          <cell r="AH1530">
            <v>1980</v>
          </cell>
          <cell r="AI1530" t="str">
            <v>CNY</v>
          </cell>
          <cell r="AJ1530">
            <v>139000</v>
          </cell>
          <cell r="AK1530" t="str">
            <v>TL</v>
          </cell>
          <cell r="AL1530">
            <v>1</v>
          </cell>
          <cell r="AM1530" t="str">
            <v>8684127513401</v>
          </cell>
          <cell r="AO1530">
            <v>6.5</v>
          </cell>
          <cell r="AP1530" t="str">
            <v>KG</v>
          </cell>
          <cell r="AQ1530">
            <v>30</v>
          </cell>
          <cell r="AR1530" t="str">
            <v>CM</v>
          </cell>
          <cell r="AS1530">
            <v>75</v>
          </cell>
          <cell r="AT1530" t="str">
            <v>CM</v>
          </cell>
          <cell r="AU1530">
            <v>0</v>
          </cell>
          <cell r="AW1530">
            <v>0</v>
          </cell>
        </row>
        <row r="1531">
          <cell r="B1531" t="str">
            <v>H1C6KRSBRB0-120</v>
          </cell>
          <cell r="C1531" t="str">
            <v>OSLO PLATİN PASLANMAZ AKRİLİK YEMEK MASASI AVİZE</v>
          </cell>
          <cell r="D1531" t="str">
            <v>OSLO PLATINUM STAINLESS STEEL ACYRLIC DINNING ROOM CHANDELIER</v>
          </cell>
          <cell r="E1531" t="str">
            <v xml:space="preserve">PASLANMAZ AKRİLİK PLATİN BEYAZ   </v>
          </cell>
          <cell r="F1531" t="str">
            <v/>
          </cell>
          <cell r="G1531" t="str">
            <v>AVİZE</v>
          </cell>
          <cell r="H1531" t="str">
            <v/>
          </cell>
          <cell r="I1531" t="str">
            <v>İÇ</v>
          </cell>
          <cell r="J1531" t="str">
            <v>AVİZE</v>
          </cell>
          <cell r="K1531" t="str">
            <v>OSLO</v>
          </cell>
          <cell r="L1531" t="str">
            <v/>
          </cell>
          <cell r="M1531" t="str">
            <v/>
          </cell>
          <cell r="N1531" t="str">
            <v>HKA-24159</v>
          </cell>
          <cell r="O1531" t="str">
            <v>HEKA</v>
          </cell>
          <cell r="P1531" t="str">
            <v>ADET</v>
          </cell>
          <cell r="Q1531" t="str">
            <v>LED</v>
          </cell>
          <cell r="R1531" t="str">
            <v>PASLANMAZ</v>
          </cell>
          <cell r="S1531" t="str">
            <v>PLATİN</v>
          </cell>
          <cell r="T1531" t="str">
            <v>AKRİLİK</v>
          </cell>
          <cell r="U1531" t="str">
            <v>BEYAZ</v>
          </cell>
          <cell r="X1531" t="str">
            <v>110V-220V</v>
          </cell>
          <cell r="Z1531" t="str">
            <v>3000 K</v>
          </cell>
          <cell r="AF1531">
            <v>4</v>
          </cell>
          <cell r="AG1531" t="str">
            <v>ADET</v>
          </cell>
          <cell r="AH1531">
            <v>386.1</v>
          </cell>
          <cell r="AI1531" t="str">
            <v>CNY</v>
          </cell>
          <cell r="AJ1531">
            <v>49750</v>
          </cell>
          <cell r="AK1531" t="str">
            <v>TL</v>
          </cell>
          <cell r="AL1531">
            <v>1</v>
          </cell>
          <cell r="AM1531" t="str">
            <v>8684127513425</v>
          </cell>
          <cell r="AO1531">
            <v>0</v>
          </cell>
          <cell r="AQ1531">
            <v>0</v>
          </cell>
          <cell r="AS1531">
            <v>0</v>
          </cell>
          <cell r="AU1531">
            <v>0</v>
          </cell>
          <cell r="AW1531">
            <v>0</v>
          </cell>
        </row>
        <row r="1532">
          <cell r="B1532" t="str">
            <v>H1C6JMGECT0-080</v>
          </cell>
          <cell r="C1532" t="str">
            <v>NEPAL PLATİN SEKİZ SOFT CAM SALON AVİZE 80 CM</v>
          </cell>
          <cell r="D1532" t="str">
            <v>NEPAL PLATINUM EIGHT SOFT GLASS LIVING ROOM CHANDELIER 80 CM</v>
          </cell>
          <cell r="E1532" t="str">
            <v xml:space="preserve">METAL CAM  PLATİN SOFT   </v>
          </cell>
          <cell r="F1532" t="str">
            <v/>
          </cell>
          <cell r="G1532" t="str">
            <v>AVİZE</v>
          </cell>
          <cell r="H1532" t="str">
            <v/>
          </cell>
          <cell r="I1532" t="str">
            <v>İÇ</v>
          </cell>
          <cell r="J1532" t="str">
            <v>AVİZE</v>
          </cell>
          <cell r="K1532" t="str">
            <v>NEPAL</v>
          </cell>
          <cell r="L1532" t="str">
            <v/>
          </cell>
          <cell r="M1532" t="str">
            <v/>
          </cell>
          <cell r="N1532" t="str">
            <v>HKA-24189</v>
          </cell>
          <cell r="O1532" t="str">
            <v>HEKA</v>
          </cell>
          <cell r="P1532" t="str">
            <v>ADET</v>
          </cell>
          <cell r="Q1532" t="str">
            <v>LED</v>
          </cell>
          <cell r="R1532" t="str">
            <v>METAL</v>
          </cell>
          <cell r="S1532" t="str">
            <v>PLATİN</v>
          </cell>
          <cell r="T1532" t="str">
            <v>CAM</v>
          </cell>
          <cell r="U1532" t="str">
            <v>SOFT</v>
          </cell>
          <cell r="X1532" t="str">
            <v>110V-220V</v>
          </cell>
          <cell r="Z1532" t="str">
            <v>3000 K</v>
          </cell>
          <cell r="AF1532">
            <v>7</v>
          </cell>
          <cell r="AG1532" t="str">
            <v>ADET</v>
          </cell>
          <cell r="AH1532">
            <v>787.5</v>
          </cell>
          <cell r="AI1532" t="str">
            <v>CNY</v>
          </cell>
          <cell r="AJ1532">
            <v>66150</v>
          </cell>
          <cell r="AK1532" t="str">
            <v>TL</v>
          </cell>
          <cell r="AL1532">
            <v>1</v>
          </cell>
          <cell r="AM1532" t="str">
            <v>8684127513562</v>
          </cell>
          <cell r="AO1532">
            <v>7.5</v>
          </cell>
          <cell r="AP1532" t="str">
            <v>KG</v>
          </cell>
          <cell r="AQ1532">
            <v>100</v>
          </cell>
          <cell r="AR1532" t="str">
            <v>CM</v>
          </cell>
          <cell r="AS1532">
            <v>80</v>
          </cell>
          <cell r="AT1532" t="str">
            <v>CM</v>
          </cell>
          <cell r="AU1532">
            <v>0</v>
          </cell>
          <cell r="AW1532">
            <v>0</v>
          </cell>
        </row>
        <row r="1533">
          <cell r="B1533" t="str">
            <v>H1C6JMGECT0-120</v>
          </cell>
          <cell r="C1533" t="str">
            <v>NEPAL PLATİN ON SOFT CAM YEMEK MASASI AVİZE 120 CM</v>
          </cell>
          <cell r="D1533" t="str">
            <v>NEPAL PLATINUM TEN SOFT GLASS DINING ROOM CHANDELIER 120 CM</v>
          </cell>
          <cell r="E1533" t="str">
            <v xml:space="preserve">METAL CAM  PLATİN SOFT   </v>
          </cell>
          <cell r="F1533" t="str">
            <v/>
          </cell>
          <cell r="G1533" t="str">
            <v>AVİZE</v>
          </cell>
          <cell r="H1533" t="str">
            <v/>
          </cell>
          <cell r="I1533" t="str">
            <v>İÇ</v>
          </cell>
          <cell r="J1533" t="str">
            <v>AVİZE</v>
          </cell>
          <cell r="K1533" t="str">
            <v>NEPAL</v>
          </cell>
          <cell r="L1533" t="str">
            <v/>
          </cell>
          <cell r="M1533" t="str">
            <v/>
          </cell>
          <cell r="N1533" t="str">
            <v>HKA-24191</v>
          </cell>
          <cell r="O1533" t="str">
            <v>HEKA</v>
          </cell>
          <cell r="P1533" t="str">
            <v>ADET</v>
          </cell>
          <cell r="Q1533" t="str">
            <v>LED</v>
          </cell>
          <cell r="R1533" t="str">
            <v>METAL</v>
          </cell>
          <cell r="S1533" t="str">
            <v>PLATİN</v>
          </cell>
          <cell r="T1533" t="str">
            <v>CAM</v>
          </cell>
          <cell r="U1533" t="str">
            <v>SOFT</v>
          </cell>
          <cell r="X1533" t="str">
            <v>110V-220V</v>
          </cell>
          <cell r="Z1533" t="str">
            <v>3000 K</v>
          </cell>
          <cell r="AF1533">
            <v>4</v>
          </cell>
          <cell r="AG1533" t="str">
            <v>ADET</v>
          </cell>
          <cell r="AH1533">
            <v>915</v>
          </cell>
          <cell r="AI1533" t="str">
            <v>CNY</v>
          </cell>
          <cell r="AJ1533">
            <v>76900</v>
          </cell>
          <cell r="AK1533" t="str">
            <v>TL</v>
          </cell>
          <cell r="AL1533">
            <v>1</v>
          </cell>
          <cell r="AM1533" t="str">
            <v>8684127513586</v>
          </cell>
          <cell r="AO1533">
            <v>8.8000000000000007</v>
          </cell>
          <cell r="AP1533" t="str">
            <v>KG</v>
          </cell>
          <cell r="AQ1533">
            <v>100</v>
          </cell>
          <cell r="AR1533" t="str">
            <v>CM</v>
          </cell>
          <cell r="AS1533">
            <v>41</v>
          </cell>
          <cell r="AT1533" t="str">
            <v>CM</v>
          </cell>
          <cell r="AU1533">
            <v>0</v>
          </cell>
          <cell r="AW1533">
            <v>0</v>
          </cell>
        </row>
        <row r="1534">
          <cell r="B1534" t="str">
            <v>H1C6KRSECSR-065</v>
          </cell>
          <cell r="C1534" t="str">
            <v>BERLİN 5 Lİ PLATİN PASLANMAZ ŞEFFAF CAM PLAFONYER</v>
          </cell>
          <cell r="D1534" t="str">
            <v>BERLİN 5 PLATINUM STEEL CLEAR GLASS PLAFONIER</v>
          </cell>
          <cell r="E1534" t="str">
            <v xml:space="preserve">PASLANMAZ CAM  PLATİN ŞEFFAF   </v>
          </cell>
          <cell r="F1534" t="str">
            <v/>
          </cell>
          <cell r="G1534" t="str">
            <v>AVİZE</v>
          </cell>
          <cell r="H1534" t="str">
            <v/>
          </cell>
          <cell r="I1534" t="str">
            <v>İÇ</v>
          </cell>
          <cell r="J1534" t="str">
            <v>AVİZE</v>
          </cell>
          <cell r="K1534" t="str">
            <v>BERLİN</v>
          </cell>
          <cell r="L1534" t="str">
            <v/>
          </cell>
          <cell r="M1534" t="str">
            <v>30.03.2026</v>
          </cell>
          <cell r="N1534" t="str">
            <v>HKA-24217</v>
          </cell>
          <cell r="O1534" t="str">
            <v>HEKA</v>
          </cell>
          <cell r="P1534" t="str">
            <v>ADET</v>
          </cell>
          <cell r="Q1534" t="str">
            <v>LED</v>
          </cell>
          <cell r="R1534" t="str">
            <v>PASLANMAZ</v>
          </cell>
          <cell r="S1534" t="str">
            <v>SİYAH</v>
          </cell>
          <cell r="T1534" t="str">
            <v>CAM</v>
          </cell>
          <cell r="U1534" t="str">
            <v>ŞEFFAF</v>
          </cell>
          <cell r="X1534" t="str">
            <v>110V-220V</v>
          </cell>
          <cell r="Z1534" t="str">
            <v>3000 K</v>
          </cell>
          <cell r="AF1534">
            <v>11</v>
          </cell>
          <cell r="AG1534" t="str">
            <v>ADET</v>
          </cell>
          <cell r="AH1534">
            <v>896</v>
          </cell>
          <cell r="AI1534" t="str">
            <v>CNY</v>
          </cell>
          <cell r="AJ1534">
            <v>53760</v>
          </cell>
          <cell r="AK1534" t="str">
            <v>TL</v>
          </cell>
          <cell r="AL1534">
            <v>1</v>
          </cell>
          <cell r="AM1534" t="str">
            <v>8684127513692</v>
          </cell>
          <cell r="AO1534">
            <v>0</v>
          </cell>
          <cell r="AQ1534">
            <v>0</v>
          </cell>
          <cell r="AR1534" t="str">
            <v>CM</v>
          </cell>
          <cell r="AS1534">
            <v>65</v>
          </cell>
          <cell r="AT1534" t="str">
            <v>CM</v>
          </cell>
          <cell r="AU1534">
            <v>0</v>
          </cell>
          <cell r="AW1534">
            <v>0</v>
          </cell>
        </row>
        <row r="1535">
          <cell r="B1535" t="str">
            <v>H1C6KRSECSR-105</v>
          </cell>
          <cell r="C1535" t="str">
            <v>BERLİN 8 Lİ PLATİN PASLANMAZ ŞEFFAF CAM SALON AVİZ</v>
          </cell>
          <cell r="D1535" t="str">
            <v>BERLİN 8 PLATINUM CLEAR GLASS LIVING ROOM CHANDELIER</v>
          </cell>
          <cell r="E1535" t="str">
            <v xml:space="preserve">PASLANMAZ CAM  PLATİN ŞEFFAF   </v>
          </cell>
          <cell r="F1535" t="str">
            <v/>
          </cell>
          <cell r="G1535" t="str">
            <v>AVİZE</v>
          </cell>
          <cell r="H1535" t="str">
            <v/>
          </cell>
          <cell r="I1535" t="str">
            <v>İÇ</v>
          </cell>
          <cell r="J1535" t="str">
            <v>AVİZE</v>
          </cell>
          <cell r="K1535" t="str">
            <v>BERLİN</v>
          </cell>
          <cell r="L1535" t="str">
            <v/>
          </cell>
          <cell r="M1535" t="str">
            <v/>
          </cell>
          <cell r="N1535" t="str">
            <v>HKA-24219</v>
          </cell>
          <cell r="O1535" t="str">
            <v>HEKA</v>
          </cell>
          <cell r="P1535" t="str">
            <v>ADET</v>
          </cell>
          <cell r="Q1535" t="str">
            <v>LED</v>
          </cell>
          <cell r="R1535" t="str">
            <v>PASLANMAZ</v>
          </cell>
          <cell r="S1535" t="str">
            <v>PLATİN</v>
          </cell>
          <cell r="T1535" t="str">
            <v>CAM</v>
          </cell>
          <cell r="U1535" t="str">
            <v>ŞEFFAF</v>
          </cell>
          <cell r="X1535" t="str">
            <v>110V-220V</v>
          </cell>
          <cell r="Z1535" t="str">
            <v>3000 K</v>
          </cell>
          <cell r="AF1535">
            <v>17</v>
          </cell>
          <cell r="AG1535" t="str">
            <v>ADET</v>
          </cell>
          <cell r="AH1535">
            <v>1505</v>
          </cell>
          <cell r="AI1535" t="str">
            <v>CNY</v>
          </cell>
          <cell r="AJ1535">
            <v>90300</v>
          </cell>
          <cell r="AK1535" t="str">
            <v>TL</v>
          </cell>
          <cell r="AL1535">
            <v>1</v>
          </cell>
          <cell r="AM1535" t="str">
            <v>8684127513715</v>
          </cell>
          <cell r="AO1535">
            <v>0</v>
          </cell>
          <cell r="AQ1535">
            <v>16</v>
          </cell>
          <cell r="AR1535" t="str">
            <v>CM</v>
          </cell>
          <cell r="AS1535">
            <v>105</v>
          </cell>
          <cell r="AT1535" t="str">
            <v>CM</v>
          </cell>
          <cell r="AU1535">
            <v>0</v>
          </cell>
          <cell r="AW1535">
            <v>0</v>
          </cell>
        </row>
        <row r="1536">
          <cell r="B1536" t="str">
            <v>H1C6KMKECS0-015</v>
          </cell>
          <cell r="C1536" t="str">
            <v>BÜKREŞ TEKLİ KROM PASLANMAZ ŞEFFAF CAM AVİZE 15 CM</v>
          </cell>
          <cell r="D1536" t="str">
            <v>BÜKREŞ SINGLE CHROME STEEL CLEAR GLASS CHANDELIER 15 CM</v>
          </cell>
          <cell r="E1536" t="str">
            <v xml:space="preserve">PASLANMAZ CAM  KROM ŞEFFAF   </v>
          </cell>
          <cell r="F1536" t="str">
            <v/>
          </cell>
          <cell r="G1536" t="str">
            <v>AVİZE</v>
          </cell>
          <cell r="H1536" t="str">
            <v/>
          </cell>
          <cell r="I1536" t="str">
            <v>İÇ</v>
          </cell>
          <cell r="J1536" t="str">
            <v>AVİZE</v>
          </cell>
          <cell r="K1536" t="str">
            <v>BÜKREŞ</v>
          </cell>
          <cell r="L1536" t="str">
            <v/>
          </cell>
          <cell r="M1536" t="str">
            <v/>
          </cell>
          <cell r="N1536" t="str">
            <v>HKA-24221</v>
          </cell>
          <cell r="O1536" t="str">
            <v>HEKA</v>
          </cell>
          <cell r="P1536" t="str">
            <v>ADET</v>
          </cell>
          <cell r="Q1536" t="str">
            <v>LED</v>
          </cell>
          <cell r="R1536" t="str">
            <v>PASLANMAZ</v>
          </cell>
          <cell r="S1536" t="str">
            <v>KROM</v>
          </cell>
          <cell r="T1536" t="str">
            <v>CAM</v>
          </cell>
          <cell r="U1536" t="str">
            <v>ŞEFFAF</v>
          </cell>
          <cell r="X1536" t="str">
            <v>110V-220V</v>
          </cell>
          <cell r="Z1536" t="str">
            <v>3000 K</v>
          </cell>
          <cell r="AF1536">
            <v>39</v>
          </cell>
          <cell r="AG1536" t="str">
            <v>ADET</v>
          </cell>
          <cell r="AH1536">
            <v>120.25</v>
          </cell>
          <cell r="AI1536" t="str">
            <v>CNY</v>
          </cell>
          <cell r="AJ1536">
            <v>9990</v>
          </cell>
          <cell r="AK1536" t="str">
            <v>TL</v>
          </cell>
          <cell r="AL1536">
            <v>1</v>
          </cell>
          <cell r="AM1536" t="str">
            <v>8684127513739</v>
          </cell>
          <cell r="AO1536">
            <v>0</v>
          </cell>
          <cell r="AQ1536">
            <v>15</v>
          </cell>
          <cell r="AR1536" t="str">
            <v>CM</v>
          </cell>
          <cell r="AS1536">
            <v>15</v>
          </cell>
          <cell r="AT1536" t="str">
            <v>CM</v>
          </cell>
          <cell r="AU1536">
            <v>0</v>
          </cell>
          <cell r="AW1536">
            <v>0</v>
          </cell>
        </row>
        <row r="1537">
          <cell r="B1537" t="str">
            <v>H1C6RMGECSR-100</v>
          </cell>
          <cell r="C1537" t="str">
            <v>PERU PİRİNÇ ŞEFFAF KIRLANGIÇ CAM AVİZE 100 cm</v>
          </cell>
          <cell r="D1537" t="str">
            <v>PERU  BRASS CLEAR SWALLOW BIRD GLASS CHANDELIER 100 cm</v>
          </cell>
          <cell r="E1537" t="str">
            <v xml:space="preserve">PRİNÇ CAM   ŞEFFAF   </v>
          </cell>
          <cell r="F1537" t="str">
            <v/>
          </cell>
          <cell r="G1537" t="str">
            <v>AVİZE</v>
          </cell>
          <cell r="H1537" t="str">
            <v/>
          </cell>
          <cell r="I1537" t="str">
            <v>İÇ</v>
          </cell>
          <cell r="J1537" t="str">
            <v>AVİZE</v>
          </cell>
          <cell r="K1537" t="str">
            <v>PERU</v>
          </cell>
          <cell r="L1537" t="str">
            <v/>
          </cell>
          <cell r="M1537" t="str">
            <v/>
          </cell>
          <cell r="N1537" t="str">
            <v>HKA-24201</v>
          </cell>
          <cell r="O1537" t="str">
            <v>HEKA</v>
          </cell>
          <cell r="P1537" t="str">
            <v>ADET</v>
          </cell>
          <cell r="Q1537" t="str">
            <v>LED</v>
          </cell>
          <cell r="R1537" t="str">
            <v>PİRİNÇ</v>
          </cell>
          <cell r="S1537" t="str">
            <v>GOLD</v>
          </cell>
          <cell r="T1537" t="str">
            <v>CAM</v>
          </cell>
          <cell r="U1537" t="str">
            <v>ŞEFFAF</v>
          </cell>
          <cell r="X1537" t="str">
            <v>220V</v>
          </cell>
          <cell r="Y1537" t="str">
            <v>42 WATT</v>
          </cell>
          <cell r="Z1537" t="str">
            <v>3000 K</v>
          </cell>
          <cell r="AB1537" t="str">
            <v>401-500</v>
          </cell>
          <cell r="AF1537">
            <v>3</v>
          </cell>
          <cell r="AG1537" t="str">
            <v>ADET</v>
          </cell>
          <cell r="AH1537">
            <v>3800</v>
          </cell>
          <cell r="AI1537" t="str">
            <v>CNY</v>
          </cell>
          <cell r="AJ1537">
            <v>319200</v>
          </cell>
          <cell r="AK1537" t="str">
            <v>TL</v>
          </cell>
          <cell r="AL1537">
            <v>1</v>
          </cell>
          <cell r="AM1537" t="str">
            <v>8684127514583</v>
          </cell>
          <cell r="AO1537">
            <v>27</v>
          </cell>
          <cell r="AP1537" t="str">
            <v>KG</v>
          </cell>
          <cell r="AQ1537">
            <v>35</v>
          </cell>
          <cell r="AR1537" t="str">
            <v>CM</v>
          </cell>
          <cell r="AS1537">
            <v>100</v>
          </cell>
          <cell r="AT1537" t="str">
            <v>CM</v>
          </cell>
          <cell r="AU1537">
            <v>0</v>
          </cell>
          <cell r="AW1537">
            <v>0</v>
          </cell>
        </row>
        <row r="1538">
          <cell r="B1538" t="str">
            <v>H1W6RMGECSP-060</v>
          </cell>
          <cell r="C1538" t="str">
            <v>PERU PİRİNÇ ŞEFFAF KIRLANGIÇ CAM APLİK 60 cm</v>
          </cell>
          <cell r="D1538" t="str">
            <v>PERU  BRASS CLEAR SWALLOW BIRD GLASS WALL LAMP 60 cm</v>
          </cell>
          <cell r="E1538" t="str">
            <v xml:space="preserve">PRİNÇ CAM   ŞEFFAF   </v>
          </cell>
          <cell r="F1538" t="str">
            <v/>
          </cell>
          <cell r="G1538" t="str">
            <v>APLİK</v>
          </cell>
          <cell r="H1538" t="str">
            <v/>
          </cell>
          <cell r="I1538" t="str">
            <v>İÇ</v>
          </cell>
          <cell r="J1538" t="str">
            <v>APLİK</v>
          </cell>
          <cell r="K1538" t="str">
            <v>PERU</v>
          </cell>
          <cell r="L1538" t="str">
            <v/>
          </cell>
          <cell r="M1538" t="str">
            <v/>
          </cell>
          <cell r="N1538" t="str">
            <v>HKA-24203</v>
          </cell>
          <cell r="O1538" t="str">
            <v>HEKA</v>
          </cell>
          <cell r="P1538" t="str">
            <v>ADET</v>
          </cell>
          <cell r="Q1538" t="str">
            <v>LED</v>
          </cell>
          <cell r="R1538" t="str">
            <v>PİRİNÇ</v>
          </cell>
          <cell r="S1538" t="str">
            <v>GOLD</v>
          </cell>
          <cell r="T1538" t="str">
            <v>CAM</v>
          </cell>
          <cell r="U1538" t="str">
            <v>ŞEFFAF</v>
          </cell>
          <cell r="X1538" t="str">
            <v>220V</v>
          </cell>
          <cell r="Y1538" t="str">
            <v>6 WATT</v>
          </cell>
          <cell r="Z1538" t="str">
            <v>3000 K</v>
          </cell>
          <cell r="AB1538" t="str">
            <v>401-500</v>
          </cell>
          <cell r="AF1538">
            <v>5</v>
          </cell>
          <cell r="AG1538" t="str">
            <v>ADET</v>
          </cell>
          <cell r="AH1538">
            <v>850</v>
          </cell>
          <cell r="AI1538" t="str">
            <v>CNY</v>
          </cell>
          <cell r="AJ1538">
            <v>71400</v>
          </cell>
          <cell r="AK1538" t="str">
            <v>TL</v>
          </cell>
          <cell r="AL1538">
            <v>0</v>
          </cell>
          <cell r="AM1538" t="str">
            <v>8684127514606</v>
          </cell>
          <cell r="AO1538">
            <v>5.3</v>
          </cell>
          <cell r="AP1538" t="str">
            <v>KG</v>
          </cell>
          <cell r="AQ1538">
            <v>60</v>
          </cell>
          <cell r="AR1538" t="str">
            <v>CM</v>
          </cell>
          <cell r="AS1538">
            <v>30</v>
          </cell>
          <cell r="AT1538" t="str">
            <v>CM</v>
          </cell>
          <cell r="AU1538">
            <v>0</v>
          </cell>
          <cell r="AW1538">
            <v>0</v>
          </cell>
        </row>
        <row r="1539">
          <cell r="B1539" t="str">
            <v>H1C2JMEECSR-015</v>
          </cell>
          <cell r="C1539" t="str">
            <v>SATURN ŞEFFAF CAM ESKİTME SARKIT AVİZE 15 cm</v>
          </cell>
          <cell r="D1539" t="str">
            <v>SATURN CLEAR GLASS BRUSHED BRASS PENDANT CHANDELIER 15 cm</v>
          </cell>
          <cell r="E1539" t="str">
            <v xml:space="preserve">METAL CAM  ESKİTME ŞEFFAF   </v>
          </cell>
          <cell r="F1539" t="str">
            <v/>
          </cell>
          <cell r="G1539" t="str">
            <v>AVİZE</v>
          </cell>
          <cell r="H1539" t="str">
            <v/>
          </cell>
          <cell r="I1539" t="str">
            <v>İÇ</v>
          </cell>
          <cell r="J1539" t="str">
            <v>AVİZE.SARK</v>
          </cell>
          <cell r="K1539" t="str">
            <v>SATURN</v>
          </cell>
          <cell r="L1539" t="str">
            <v/>
          </cell>
          <cell r="M1539" t="str">
            <v/>
          </cell>
          <cell r="N1539" t="str">
            <v>HKA-24397</v>
          </cell>
          <cell r="O1539" t="str">
            <v>HEKA</v>
          </cell>
          <cell r="P1539" t="str">
            <v>ADET</v>
          </cell>
          <cell r="Q1539" t="str">
            <v>E27</v>
          </cell>
          <cell r="R1539" t="str">
            <v>METAL</v>
          </cell>
          <cell r="S1539" t="str">
            <v>ESKİTME</v>
          </cell>
          <cell r="T1539" t="str">
            <v>CAM</v>
          </cell>
          <cell r="U1539" t="str">
            <v>ŞEFFAF</v>
          </cell>
          <cell r="AD1539" t="str">
            <v>DAİRE</v>
          </cell>
          <cell r="AE1539" t="str">
            <v>01</v>
          </cell>
          <cell r="AF1539">
            <v>2</v>
          </cell>
          <cell r="AG1539" t="str">
            <v>ADET</v>
          </cell>
          <cell r="AJ1539">
            <v>18375</v>
          </cell>
          <cell r="AK1539" t="str">
            <v>TL</v>
          </cell>
          <cell r="AL1539">
            <v>0</v>
          </cell>
          <cell r="AO1539">
            <v>0</v>
          </cell>
          <cell r="AQ1539">
            <v>0</v>
          </cell>
          <cell r="AS1539">
            <v>0</v>
          </cell>
          <cell r="AU1539">
            <v>0</v>
          </cell>
          <cell r="AW1539">
            <v>0</v>
          </cell>
        </row>
        <row r="1540">
          <cell r="B1540" t="str">
            <v>H1W6CMGECS0-022</v>
          </cell>
          <cell r="C1540" t="str">
            <v>LÜKSEMBURG 6 ŞEFFAF CAM KAHVERENGİ ALUMİNYUM APLİK</v>
          </cell>
          <cell r="D1540" t="str">
            <v xml:space="preserve">LÜKSEMBURG 6 CLEAR GLASS BROWN ALUMINIUM WALL LAMP </v>
          </cell>
          <cell r="E1540" t="str">
            <v xml:space="preserve">ALUMİNYUM CAM  KAHVERENGİ ŞEFFAF   </v>
          </cell>
          <cell r="F1540" t="str">
            <v/>
          </cell>
          <cell r="G1540" t="str">
            <v>APLİK</v>
          </cell>
          <cell r="H1540" t="str">
            <v/>
          </cell>
          <cell r="I1540" t="str">
            <v>İÇ</v>
          </cell>
          <cell r="J1540" t="str">
            <v>APLİK</v>
          </cell>
          <cell r="K1540" t="str">
            <v>LÜKSEMBURG</v>
          </cell>
          <cell r="L1540" t="str">
            <v/>
          </cell>
          <cell r="M1540" t="str">
            <v/>
          </cell>
          <cell r="N1540" t="str">
            <v>HKA-24251</v>
          </cell>
          <cell r="O1540" t="str">
            <v>HEKA</v>
          </cell>
          <cell r="P1540" t="str">
            <v>ADET</v>
          </cell>
          <cell r="Q1540" t="str">
            <v>LED</v>
          </cell>
          <cell r="R1540" t="str">
            <v>ALUMİNYUM</v>
          </cell>
          <cell r="S1540" t="str">
            <v>KAHVERENGİ</v>
          </cell>
          <cell r="T1540" t="str">
            <v>CAM</v>
          </cell>
          <cell r="U1540" t="str">
            <v>ŞEFFAF</v>
          </cell>
          <cell r="X1540" t="str">
            <v>110V-220V</v>
          </cell>
          <cell r="Z1540" t="str">
            <v>3000 K</v>
          </cell>
          <cell r="AF1540">
            <v>2</v>
          </cell>
          <cell r="AG1540" t="str">
            <v>ADET</v>
          </cell>
          <cell r="AH1540">
            <v>522</v>
          </cell>
          <cell r="AI1540" t="str">
            <v>CNY</v>
          </cell>
          <cell r="AJ1540">
            <v>27950</v>
          </cell>
          <cell r="AK1540" t="str">
            <v>TL</v>
          </cell>
          <cell r="AL1540">
            <v>1</v>
          </cell>
          <cell r="AM1540" t="str">
            <v>8684127513418</v>
          </cell>
          <cell r="AO1540">
            <v>1</v>
          </cell>
          <cell r="AP1540" t="str">
            <v>KG</v>
          </cell>
          <cell r="AQ1540">
            <v>30</v>
          </cell>
          <cell r="AR1540" t="str">
            <v>CM</v>
          </cell>
          <cell r="AS1540">
            <v>22</v>
          </cell>
          <cell r="AT1540" t="str">
            <v>CM</v>
          </cell>
          <cell r="AU1540">
            <v>0</v>
          </cell>
          <cell r="AW1540">
            <v>0</v>
          </cell>
        </row>
        <row r="1541">
          <cell r="B1541" t="str">
            <v>H1C6KMGBRB0-081</v>
          </cell>
          <cell r="C1541" t="str">
            <v>MORONİ ROSE GOLD PASLANMAZ AKRİLİK AVİZE 80 CM</v>
          </cell>
          <cell r="D1541" t="str">
            <v>MORONİ ROSE GOLD STAINLESS ACYRLIC CHANDELIER 80 CM</v>
          </cell>
          <cell r="E1541" t="str">
            <v xml:space="preserve">PASLANMAZ AKRİLİK ROSE GOLD BEYAZ   </v>
          </cell>
          <cell r="F1541" t="str">
            <v/>
          </cell>
          <cell r="G1541" t="str">
            <v>AVİZE</v>
          </cell>
          <cell r="H1541" t="str">
            <v/>
          </cell>
          <cell r="I1541" t="str">
            <v>İÇ</v>
          </cell>
          <cell r="J1541" t="str">
            <v>AVİZE</v>
          </cell>
          <cell r="K1541" t="str">
            <v>MORONİ</v>
          </cell>
          <cell r="L1541" t="str">
            <v/>
          </cell>
          <cell r="M1541" t="str">
            <v/>
          </cell>
          <cell r="N1541" t="str">
            <v>HKA-24173</v>
          </cell>
          <cell r="O1541" t="str">
            <v>HEKA</v>
          </cell>
          <cell r="P1541" t="str">
            <v>ADET</v>
          </cell>
          <cell r="Q1541" t="str">
            <v>LED</v>
          </cell>
          <cell r="R1541" t="str">
            <v>PASLANMAZ</v>
          </cell>
          <cell r="S1541" t="str">
            <v>ROSE GOLD</v>
          </cell>
          <cell r="T1541" t="str">
            <v>AKRİLİK</v>
          </cell>
          <cell r="U1541" t="str">
            <v>BEYAZ</v>
          </cell>
          <cell r="X1541" t="str">
            <v>110V-220V</v>
          </cell>
          <cell r="Z1541" t="str">
            <v>3000 K</v>
          </cell>
          <cell r="AF1541">
            <v>0</v>
          </cell>
          <cell r="AG1541" t="str">
            <v>ADET</v>
          </cell>
          <cell r="AH1541">
            <v>665</v>
          </cell>
          <cell r="AI1541" t="str">
            <v>CNY</v>
          </cell>
          <cell r="AJ1541">
            <v>73500</v>
          </cell>
          <cell r="AK1541" t="str">
            <v>TL</v>
          </cell>
          <cell r="AL1541">
            <v>0</v>
          </cell>
          <cell r="AM1541" t="str">
            <v>8684127513555</v>
          </cell>
          <cell r="AO1541">
            <v>0</v>
          </cell>
          <cell r="AQ1541">
            <v>0</v>
          </cell>
          <cell r="AS1541">
            <v>80</v>
          </cell>
          <cell r="AT1541" t="str">
            <v>CM</v>
          </cell>
          <cell r="AU1541">
            <v>0</v>
          </cell>
          <cell r="AW1541">
            <v>0</v>
          </cell>
        </row>
        <row r="1542">
          <cell r="B1542" t="str">
            <v>H1C6JMGECT0-095</v>
          </cell>
          <cell r="C1542" t="str">
            <v>NEPAL PLATİN ON SOFT CAM SALON AVİZE 95 CM</v>
          </cell>
          <cell r="D1542" t="str">
            <v>NEPAL PLATINUM TEN SOFT GLASS LIVING ROOM CHANDELIER 95 CM</v>
          </cell>
          <cell r="E1542" t="str">
            <v xml:space="preserve">METAL CAM  PLATİN SOFT   </v>
          </cell>
          <cell r="F1542" t="str">
            <v/>
          </cell>
          <cell r="G1542" t="str">
            <v>AVİZE</v>
          </cell>
          <cell r="H1542" t="str">
            <v/>
          </cell>
          <cell r="I1542" t="str">
            <v>İÇ</v>
          </cell>
          <cell r="J1542" t="str">
            <v>AVİZE</v>
          </cell>
          <cell r="K1542" t="str">
            <v>NEPAL</v>
          </cell>
          <cell r="L1542" t="str">
            <v/>
          </cell>
          <cell r="M1542" t="str">
            <v/>
          </cell>
          <cell r="N1542" t="str">
            <v>HKA-24190</v>
          </cell>
          <cell r="O1542" t="str">
            <v>HEKA</v>
          </cell>
          <cell r="P1542" t="str">
            <v>ADET</v>
          </cell>
          <cell r="Q1542" t="str">
            <v>LED</v>
          </cell>
          <cell r="R1542" t="str">
            <v>METAL</v>
          </cell>
          <cell r="S1542" t="str">
            <v>PLATİN</v>
          </cell>
          <cell r="T1542" t="str">
            <v>CAM</v>
          </cell>
          <cell r="U1542" t="str">
            <v>SOFT</v>
          </cell>
          <cell r="X1542" t="str">
            <v>110V-220V</v>
          </cell>
          <cell r="Z1542" t="str">
            <v>3000 K</v>
          </cell>
          <cell r="AF1542">
            <v>10</v>
          </cell>
          <cell r="AG1542" t="str">
            <v>ADET</v>
          </cell>
          <cell r="AH1542">
            <v>960</v>
          </cell>
          <cell r="AI1542" t="str">
            <v>CNY</v>
          </cell>
          <cell r="AJ1542">
            <v>80900</v>
          </cell>
          <cell r="AK1542" t="str">
            <v>TL</v>
          </cell>
          <cell r="AL1542">
            <v>1</v>
          </cell>
          <cell r="AM1542" t="str">
            <v>8684127513579</v>
          </cell>
          <cell r="AO1542">
            <v>9.6999999999999993</v>
          </cell>
          <cell r="AP1542" t="str">
            <v>KG</v>
          </cell>
          <cell r="AQ1542">
            <v>100</v>
          </cell>
          <cell r="AR1542" t="str">
            <v>CM</v>
          </cell>
          <cell r="AS1542">
            <v>95</v>
          </cell>
          <cell r="AT1542" t="str">
            <v>CM</v>
          </cell>
          <cell r="AU1542">
            <v>0</v>
          </cell>
          <cell r="AW1542">
            <v>0</v>
          </cell>
        </row>
        <row r="1543">
          <cell r="B1543" t="str">
            <v>H1C6KRSECSR-082</v>
          </cell>
          <cell r="C1543" t="str">
            <v>BERLİN 6 LI PLATİN PASLANMAZ ŞEFFAF CAM SALON AVİZ</v>
          </cell>
          <cell r="D1543" t="str">
            <v>BERLİN 6 PLATINUM STEEL CLEAR GLASS LIVING ROOM CHANDELIER</v>
          </cell>
          <cell r="E1543" t="str">
            <v xml:space="preserve">PASLANMAZ CAM  PLATİN ŞEFFAF   </v>
          </cell>
          <cell r="F1543" t="str">
            <v/>
          </cell>
          <cell r="G1543" t="str">
            <v>AVİZE</v>
          </cell>
          <cell r="H1543" t="str">
            <v/>
          </cell>
          <cell r="I1543" t="str">
            <v>İÇ</v>
          </cell>
          <cell r="J1543" t="str">
            <v>AVİZE</v>
          </cell>
          <cell r="K1543" t="str">
            <v>BERLİN</v>
          </cell>
          <cell r="L1543" t="str">
            <v>Ç</v>
          </cell>
          <cell r="M1543" t="str">
            <v>30.03.2026</v>
          </cell>
          <cell r="N1543" t="str">
            <v>HKA-24218</v>
          </cell>
          <cell r="O1543" t="str">
            <v>HEKA</v>
          </cell>
          <cell r="P1543" t="str">
            <v>ADET</v>
          </cell>
          <cell r="Q1543" t="str">
            <v>LED</v>
          </cell>
          <cell r="R1543" t="str">
            <v>PASLANMAZ</v>
          </cell>
          <cell r="S1543" t="str">
            <v>SİYAH</v>
          </cell>
          <cell r="T1543" t="str">
            <v>CAM</v>
          </cell>
          <cell r="U1543" t="str">
            <v>ŞEFFAF</v>
          </cell>
          <cell r="X1543" t="str">
            <v>110V-220V</v>
          </cell>
          <cell r="Z1543" t="str">
            <v>3000 K</v>
          </cell>
          <cell r="AF1543">
            <v>12</v>
          </cell>
          <cell r="AG1543" t="str">
            <v>ADET</v>
          </cell>
          <cell r="AH1543">
            <v>1049.3</v>
          </cell>
          <cell r="AI1543" t="str">
            <v>CNY</v>
          </cell>
          <cell r="AJ1543">
            <v>62900</v>
          </cell>
          <cell r="AK1543" t="str">
            <v>TL</v>
          </cell>
          <cell r="AL1543">
            <v>1</v>
          </cell>
          <cell r="AM1543" t="str">
            <v>8684127513708</v>
          </cell>
          <cell r="AO1543">
            <v>0</v>
          </cell>
          <cell r="AQ1543">
            <v>16</v>
          </cell>
          <cell r="AR1543" t="str">
            <v>CM</v>
          </cell>
          <cell r="AS1543">
            <v>82</v>
          </cell>
          <cell r="AT1543" t="str">
            <v>CM</v>
          </cell>
          <cell r="AU1543">
            <v>0</v>
          </cell>
          <cell r="AW1543">
            <v>0</v>
          </cell>
        </row>
        <row r="1544">
          <cell r="B1544" t="str">
            <v>H1C6KRSECSR-114</v>
          </cell>
          <cell r="C1544" t="str">
            <v>BERLİN 4 LÜ PLATİN PASLANMAZ ŞEFFAF CAM Y.MASASI A</v>
          </cell>
          <cell r="D1544" t="str">
            <v>BERLİN 4 PLATINUM STEEL CLEAR GLASS DINING ROOM CHANDELIER</v>
          </cell>
          <cell r="E1544" t="str">
            <v xml:space="preserve">PASLANMAZ CAM  PLATİN ŞEFFAF   </v>
          </cell>
          <cell r="F1544" t="str">
            <v/>
          </cell>
          <cell r="G1544" t="str">
            <v>AVİZE</v>
          </cell>
          <cell r="H1544" t="str">
            <v/>
          </cell>
          <cell r="I1544" t="str">
            <v>İÇ</v>
          </cell>
          <cell r="J1544" t="str">
            <v>AVİZE</v>
          </cell>
          <cell r="K1544" t="str">
            <v>BERLİN</v>
          </cell>
          <cell r="L1544" t="str">
            <v/>
          </cell>
          <cell r="M1544" t="str">
            <v>30.03.2026</v>
          </cell>
          <cell r="N1544" t="str">
            <v>HKA-24220</v>
          </cell>
          <cell r="O1544" t="str">
            <v>HEKA</v>
          </cell>
          <cell r="P1544" t="str">
            <v>ADET</v>
          </cell>
          <cell r="Q1544" t="str">
            <v>LED</v>
          </cell>
          <cell r="R1544" t="str">
            <v>PASLANMAZ</v>
          </cell>
          <cell r="S1544" t="str">
            <v>PLATİN</v>
          </cell>
          <cell r="T1544" t="str">
            <v>CAM</v>
          </cell>
          <cell r="U1544" t="str">
            <v>ŞEFFAF</v>
          </cell>
          <cell r="X1544" t="str">
            <v>110V-220V</v>
          </cell>
          <cell r="Z1544" t="str">
            <v>3000 K</v>
          </cell>
          <cell r="AF1544">
            <v>0</v>
          </cell>
          <cell r="AG1544" t="str">
            <v>ADET</v>
          </cell>
          <cell r="AH1544">
            <v>735</v>
          </cell>
          <cell r="AI1544" t="str">
            <v>CNY</v>
          </cell>
          <cell r="AJ1544">
            <v>44100</v>
          </cell>
          <cell r="AK1544" t="str">
            <v>TL</v>
          </cell>
          <cell r="AL1544">
            <v>1</v>
          </cell>
          <cell r="AM1544" t="str">
            <v>8684127513722</v>
          </cell>
          <cell r="AO1544">
            <v>0</v>
          </cell>
          <cell r="AQ1544">
            <v>90</v>
          </cell>
          <cell r="AR1544" t="str">
            <v>CM</v>
          </cell>
          <cell r="AS1544">
            <v>114</v>
          </cell>
          <cell r="AT1544" t="str">
            <v>CM</v>
          </cell>
          <cell r="AU1544">
            <v>0</v>
          </cell>
          <cell r="AW1544">
            <v>0</v>
          </cell>
        </row>
        <row r="1545">
          <cell r="B1545" t="str">
            <v>H1C6RMGECSP-150</v>
          </cell>
          <cell r="C1545" t="str">
            <v>PERU PİRİNÇ ŞEFFAF KIRLANGIÇ CAM AVİZE 150 cm</v>
          </cell>
          <cell r="D1545" t="str">
            <v>PERU  BRASS CLEAR SWALLOW BIRD GLASS CHANDELIER 150 cm</v>
          </cell>
          <cell r="E1545" t="str">
            <v xml:space="preserve">PRİNÇ CAM   ŞEFFAF   </v>
          </cell>
          <cell r="F1545" t="str">
            <v/>
          </cell>
          <cell r="G1545" t="str">
            <v>AVİZE</v>
          </cell>
          <cell r="H1545" t="str">
            <v/>
          </cell>
          <cell r="I1545" t="str">
            <v>İÇ</v>
          </cell>
          <cell r="J1545" t="str">
            <v>AVİZE</v>
          </cell>
          <cell r="K1545" t="str">
            <v>PERU</v>
          </cell>
          <cell r="L1545" t="str">
            <v/>
          </cell>
          <cell r="M1545" t="str">
            <v/>
          </cell>
          <cell r="N1545" t="str">
            <v>HKA-24202</v>
          </cell>
          <cell r="O1545" t="str">
            <v>HEKA</v>
          </cell>
          <cell r="P1545" t="str">
            <v>ADET</v>
          </cell>
          <cell r="Q1545" t="str">
            <v>LED</v>
          </cell>
          <cell r="R1545" t="str">
            <v>PİRİNÇ</v>
          </cell>
          <cell r="S1545" t="str">
            <v>GOLD</v>
          </cell>
          <cell r="T1545" t="str">
            <v>CAM</v>
          </cell>
          <cell r="U1545" t="str">
            <v>ŞEFFAF</v>
          </cell>
          <cell r="X1545" t="str">
            <v>220V</v>
          </cell>
          <cell r="Y1545" t="str">
            <v>32 WATT</v>
          </cell>
          <cell r="Z1545" t="str">
            <v>3000 K</v>
          </cell>
          <cell r="AB1545" t="str">
            <v>401-500</v>
          </cell>
          <cell r="AF1545">
            <v>7</v>
          </cell>
          <cell r="AG1545" t="str">
            <v>ADET</v>
          </cell>
          <cell r="AH1545">
            <v>2950</v>
          </cell>
          <cell r="AI1545" t="str">
            <v>CNY</v>
          </cell>
          <cell r="AJ1545">
            <v>247800</v>
          </cell>
          <cell r="AK1545" t="str">
            <v>TL</v>
          </cell>
          <cell r="AL1545">
            <v>1</v>
          </cell>
          <cell r="AM1545" t="str">
            <v>8684127514590</v>
          </cell>
          <cell r="AO1545">
            <v>20.8</v>
          </cell>
          <cell r="AP1545" t="str">
            <v>KG</v>
          </cell>
          <cell r="AQ1545">
            <v>150</v>
          </cell>
          <cell r="AR1545" t="str">
            <v>CM</v>
          </cell>
          <cell r="AS1545">
            <v>40</v>
          </cell>
          <cell r="AT1545" t="str">
            <v>CM</v>
          </cell>
          <cell r="AU1545">
            <v>0</v>
          </cell>
          <cell r="AW1545">
            <v>0</v>
          </cell>
        </row>
        <row r="1546">
          <cell r="B1546" t="str">
            <v>H1W6RMGECSP-025</v>
          </cell>
          <cell r="C1546" t="str">
            <v>PERU PİRİNÇ ŞEFFAF KIRLANGIÇ CAM APLİK 25 cm</v>
          </cell>
          <cell r="D1546" t="str">
            <v>PERU  BRASS CLEAR SWALLOW BIRD GLASS WALL LAMP 25 cm</v>
          </cell>
          <cell r="E1546" t="str">
            <v xml:space="preserve">PRİNÇ CAM   ŞEFFAF   </v>
          </cell>
          <cell r="F1546" t="str">
            <v/>
          </cell>
          <cell r="G1546" t="str">
            <v>APLİK</v>
          </cell>
          <cell r="H1546" t="str">
            <v/>
          </cell>
          <cell r="I1546" t="str">
            <v>İÇ</v>
          </cell>
          <cell r="J1546" t="str">
            <v>APLİK</v>
          </cell>
          <cell r="K1546" t="str">
            <v>PERU</v>
          </cell>
          <cell r="L1546" t="str">
            <v/>
          </cell>
          <cell r="M1546" t="str">
            <v/>
          </cell>
          <cell r="N1546" t="str">
            <v>HKA-24204</v>
          </cell>
          <cell r="O1546" t="str">
            <v>HEKA</v>
          </cell>
          <cell r="P1546" t="str">
            <v>ADET</v>
          </cell>
          <cell r="Q1546" t="str">
            <v>LED</v>
          </cell>
          <cell r="R1546" t="str">
            <v>PİRİNÇ</v>
          </cell>
          <cell r="S1546" t="str">
            <v>GOLD</v>
          </cell>
          <cell r="T1546" t="str">
            <v>CAM</v>
          </cell>
          <cell r="U1546" t="str">
            <v>ŞEFFAF</v>
          </cell>
          <cell r="X1546" t="str">
            <v>220V</v>
          </cell>
          <cell r="Y1546" t="str">
            <v>5 WATT</v>
          </cell>
          <cell r="Z1546" t="str">
            <v>3000 K</v>
          </cell>
          <cell r="AB1546" t="str">
            <v>401-500</v>
          </cell>
          <cell r="AF1546">
            <v>1</v>
          </cell>
          <cell r="AG1546" t="str">
            <v>ADET</v>
          </cell>
          <cell r="AH1546">
            <v>550</v>
          </cell>
          <cell r="AI1546" t="str">
            <v>CNY</v>
          </cell>
          <cell r="AJ1546">
            <v>46200</v>
          </cell>
          <cell r="AK1546" t="str">
            <v>TL</v>
          </cell>
          <cell r="AL1546">
            <v>0</v>
          </cell>
          <cell r="AM1546" t="str">
            <v>8684127514613</v>
          </cell>
          <cell r="AO1546">
            <v>3</v>
          </cell>
          <cell r="AP1546" t="str">
            <v>KG</v>
          </cell>
          <cell r="AQ1546">
            <v>25</v>
          </cell>
          <cell r="AR1546" t="str">
            <v>CM</v>
          </cell>
          <cell r="AS1546">
            <v>30</v>
          </cell>
          <cell r="AT1546" t="str">
            <v>CM</v>
          </cell>
          <cell r="AU1546">
            <v>0</v>
          </cell>
          <cell r="AW1546">
            <v>0</v>
          </cell>
        </row>
        <row r="1547">
          <cell r="B1547" t="str">
            <v>H1C2JMEECSR-025</v>
          </cell>
          <cell r="C1547" t="str">
            <v>SATURN ŞEFFAF CAM ESKİTME SARKIT AVİZE 25 cm</v>
          </cell>
          <cell r="D1547" t="str">
            <v>SATURN CLEAR GLASS BRUSHED BRASS PENDANT CHANDELIER 25 cm</v>
          </cell>
          <cell r="E1547" t="str">
            <v xml:space="preserve">METAL CAM  ESKİTME ŞEFFAF   </v>
          </cell>
          <cell r="F1547" t="str">
            <v/>
          </cell>
          <cell r="G1547" t="str">
            <v>AVİZE</v>
          </cell>
          <cell r="H1547" t="str">
            <v/>
          </cell>
          <cell r="I1547" t="str">
            <v>İÇ</v>
          </cell>
          <cell r="J1547" t="str">
            <v>AVİZE.AVİZ</v>
          </cell>
          <cell r="K1547" t="str">
            <v>SATURN</v>
          </cell>
          <cell r="L1547" t="str">
            <v/>
          </cell>
          <cell r="M1547" t="str">
            <v/>
          </cell>
          <cell r="N1547" t="str">
            <v>HKA-24396</v>
          </cell>
          <cell r="O1547" t="str">
            <v>HEKA</v>
          </cell>
          <cell r="P1547" t="str">
            <v>ADET</v>
          </cell>
          <cell r="Q1547" t="str">
            <v>E27</v>
          </cell>
          <cell r="R1547" t="str">
            <v>METAL</v>
          </cell>
          <cell r="S1547" t="str">
            <v>ESKİTME</v>
          </cell>
          <cell r="T1547" t="str">
            <v>CAM</v>
          </cell>
          <cell r="U1547" t="str">
            <v>ŞEFFAF</v>
          </cell>
          <cell r="AD1547" t="str">
            <v>DAİRE</v>
          </cell>
          <cell r="AE1547" t="str">
            <v>03</v>
          </cell>
          <cell r="AF1547">
            <v>2</v>
          </cell>
          <cell r="AG1547" t="str">
            <v>ADET</v>
          </cell>
          <cell r="AJ1547">
            <v>18375</v>
          </cell>
          <cell r="AK1547" t="str">
            <v>TL</v>
          </cell>
          <cell r="AL1547">
            <v>0</v>
          </cell>
          <cell r="AO1547">
            <v>0</v>
          </cell>
          <cell r="AQ1547">
            <v>0</v>
          </cell>
          <cell r="AS1547">
            <v>0</v>
          </cell>
          <cell r="AU1547">
            <v>0</v>
          </cell>
          <cell r="AW1547">
            <v>0</v>
          </cell>
        </row>
        <row r="1548">
          <cell r="B1548" t="str">
            <v>H1T2JMEECSR-030</v>
          </cell>
          <cell r="C1548" t="str">
            <v>SATURN ŞEFFAF CAM ESKİTME MASA LAMBASI 30 cm</v>
          </cell>
          <cell r="D1548" t="str">
            <v>SATURN CLEAR GLASS BRUSHED BRASS TABLE LAMP 30 cm</v>
          </cell>
          <cell r="E1548" t="str">
            <v xml:space="preserve">METAL CAM  ESKİTME ŞEFFAF   </v>
          </cell>
          <cell r="F1548" t="str">
            <v/>
          </cell>
          <cell r="G1548" t="str">
            <v>MASAABAJ</v>
          </cell>
          <cell r="H1548" t="str">
            <v/>
          </cell>
          <cell r="I1548" t="str">
            <v>İÇ</v>
          </cell>
          <cell r="J1548" t="str">
            <v>MASAABAJ</v>
          </cell>
          <cell r="K1548" t="str">
            <v>SATURN</v>
          </cell>
          <cell r="L1548" t="str">
            <v/>
          </cell>
          <cell r="M1548" t="str">
            <v/>
          </cell>
          <cell r="N1548" t="str">
            <v>HKA-24398</v>
          </cell>
          <cell r="O1548" t="str">
            <v>HEKA</v>
          </cell>
          <cell r="P1548" t="str">
            <v>ADET</v>
          </cell>
          <cell r="Q1548" t="str">
            <v>E27</v>
          </cell>
          <cell r="R1548" t="str">
            <v>METAL</v>
          </cell>
          <cell r="S1548" t="str">
            <v>ESKİTME</v>
          </cell>
          <cell r="T1548" t="str">
            <v>CAM</v>
          </cell>
          <cell r="U1548" t="str">
            <v>ŞEFFAF</v>
          </cell>
          <cell r="AD1548" t="str">
            <v>DAİRE</v>
          </cell>
          <cell r="AE1548" t="str">
            <v>01</v>
          </cell>
          <cell r="AF1548">
            <v>1</v>
          </cell>
          <cell r="AG1548" t="str">
            <v>ADET</v>
          </cell>
          <cell r="AJ1548">
            <v>23625</v>
          </cell>
          <cell r="AK1548" t="str">
            <v>TL</v>
          </cell>
          <cell r="AL1548">
            <v>0</v>
          </cell>
          <cell r="AO1548">
            <v>0</v>
          </cell>
          <cell r="AQ1548">
            <v>0</v>
          </cell>
          <cell r="AS1548">
            <v>0</v>
          </cell>
          <cell r="AU1548">
            <v>0</v>
          </cell>
          <cell r="AW1548">
            <v>0</v>
          </cell>
        </row>
        <row r="1549">
          <cell r="B1549" t="str">
            <v>H1W2JMEECSC-080</v>
          </cell>
          <cell r="C1549" t="str">
            <v>SATURN ŞEFFAF CAM ESKİTME APLİK</v>
          </cell>
          <cell r="D1549" t="str">
            <v xml:space="preserve">SATURN CLEAR GLASS BRUSHED BRASS WALL LAMP </v>
          </cell>
          <cell r="E1549" t="str">
            <v xml:space="preserve">METAL CAM  ESKİTME ŞEFFAF   </v>
          </cell>
          <cell r="F1549" t="str">
            <v/>
          </cell>
          <cell r="G1549" t="str">
            <v>APLİK</v>
          </cell>
          <cell r="H1549" t="str">
            <v/>
          </cell>
          <cell r="I1549" t="str">
            <v>İÇ</v>
          </cell>
          <cell r="J1549" t="str">
            <v>APLİK</v>
          </cell>
          <cell r="K1549" t="str">
            <v>SATURN</v>
          </cell>
          <cell r="L1549" t="str">
            <v/>
          </cell>
          <cell r="M1549" t="str">
            <v/>
          </cell>
          <cell r="N1549" t="str">
            <v>HKA-24400</v>
          </cell>
          <cell r="O1549" t="str">
            <v>HEKA</v>
          </cell>
          <cell r="P1549" t="str">
            <v>ADET</v>
          </cell>
          <cell r="Q1549" t="str">
            <v>E27</v>
          </cell>
          <cell r="R1549" t="str">
            <v>METAL</v>
          </cell>
          <cell r="S1549" t="str">
            <v>ESKİTME</v>
          </cell>
          <cell r="T1549" t="str">
            <v>CAM</v>
          </cell>
          <cell r="U1549" t="str">
            <v>ŞEFFAF</v>
          </cell>
          <cell r="AD1549" t="str">
            <v>DAİRE</v>
          </cell>
          <cell r="AE1549" t="str">
            <v>04</v>
          </cell>
          <cell r="AF1549">
            <v>2</v>
          </cell>
          <cell r="AG1549" t="str">
            <v>ADET</v>
          </cell>
          <cell r="AJ1549">
            <v>18375</v>
          </cell>
          <cell r="AK1549" t="str">
            <v>TL</v>
          </cell>
          <cell r="AL1549">
            <v>0</v>
          </cell>
          <cell r="AO1549">
            <v>0</v>
          </cell>
          <cell r="AQ1549">
            <v>0</v>
          </cell>
          <cell r="AS1549">
            <v>0</v>
          </cell>
          <cell r="AU1549">
            <v>0</v>
          </cell>
          <cell r="AW1549">
            <v>0</v>
          </cell>
        </row>
        <row r="1550">
          <cell r="B1550" t="str">
            <v>H1F6JMGBCSY-138</v>
          </cell>
          <cell r="C1550" t="str">
            <v>CARİNA KÜRE ŞEFFAF AKRİLİK GOLD LAMBADER 33 cm</v>
          </cell>
          <cell r="D1550" t="str">
            <v>CARİNA SPHERE CLEAR ACRYLIC GOLD FLOOR LAMP 33 cm</v>
          </cell>
          <cell r="E1550" t="str">
            <v xml:space="preserve">METAL AKRİLİK GOLD ŞEFFAF   </v>
          </cell>
          <cell r="F1550" t="str">
            <v>9405.11.90.00.00</v>
          </cell>
          <cell r="G1550" t="str">
            <v>LAMBADER</v>
          </cell>
          <cell r="H1550" t="str">
            <v>T1A6241100-03</v>
          </cell>
          <cell r="I1550" t="str">
            <v>İÇ</v>
          </cell>
          <cell r="J1550" t="str">
            <v>LAMBADER</v>
          </cell>
          <cell r="K1550" t="str">
            <v>CARİNA</v>
          </cell>
          <cell r="L1550" t="str">
            <v/>
          </cell>
          <cell r="M1550" t="str">
            <v/>
          </cell>
          <cell r="N1550" t="str">
            <v>HKA-24410</v>
          </cell>
          <cell r="O1550" t="str">
            <v>HEKA</v>
          </cell>
          <cell r="P1550" t="str">
            <v>ADET</v>
          </cell>
          <cell r="Q1550" t="str">
            <v>LED</v>
          </cell>
          <cell r="R1550" t="str">
            <v>METAL</v>
          </cell>
          <cell r="S1550" t="str">
            <v>GOLD</v>
          </cell>
          <cell r="T1550" t="str">
            <v>AKRİLİK</v>
          </cell>
          <cell r="U1550" t="str">
            <v>ŞEFFAF</v>
          </cell>
          <cell r="AD1550" t="str">
            <v>KÜRE</v>
          </cell>
          <cell r="AF1550">
            <v>16</v>
          </cell>
          <cell r="AG1550" t="str">
            <v>ADET</v>
          </cell>
          <cell r="AH1550">
            <v>413</v>
          </cell>
          <cell r="AI1550" t="str">
            <v>CNY</v>
          </cell>
          <cell r="AJ1550">
            <v>30450</v>
          </cell>
          <cell r="AK1550" t="str">
            <v>TL</v>
          </cell>
          <cell r="AL1550">
            <v>1</v>
          </cell>
          <cell r="AM1550" t="str">
            <v>8684127514095</v>
          </cell>
          <cell r="AO1550">
            <v>0</v>
          </cell>
          <cell r="AQ1550">
            <v>0</v>
          </cell>
          <cell r="AR1550" t="str">
            <v>CM</v>
          </cell>
          <cell r="AS1550">
            <v>0</v>
          </cell>
          <cell r="AT1550" t="str">
            <v>CM</v>
          </cell>
          <cell r="AU1550">
            <v>0</v>
          </cell>
          <cell r="AW1550">
            <v>0</v>
          </cell>
        </row>
        <row r="1551">
          <cell r="B1551" t="str">
            <v>H1T6AAWAAAJ-016</v>
          </cell>
          <cell r="C1551" t="str">
            <v>SHAGGY WENGE AHŞAP MANTAR MASA LAMBASI</v>
          </cell>
          <cell r="D1551" t="str">
            <v>SHAGGY WENGE WOOD MUSHROOM TABLE LAMP</v>
          </cell>
          <cell r="E1551" t="str">
            <v xml:space="preserve">AHŞAP AHŞAP WENGE AKÇAAĞAÇ   </v>
          </cell>
          <cell r="F1551" t="str">
            <v/>
          </cell>
          <cell r="G1551" t="str">
            <v>MASAABAJ</v>
          </cell>
          <cell r="H1551" t="str">
            <v/>
          </cell>
          <cell r="I1551" t="str">
            <v>İÇ</v>
          </cell>
          <cell r="J1551" t="str">
            <v>MASAKAMP</v>
          </cell>
          <cell r="K1551" t="str">
            <v>SHAGGY</v>
          </cell>
          <cell r="L1551" t="str">
            <v/>
          </cell>
          <cell r="M1551" t="str">
            <v/>
          </cell>
          <cell r="N1551" t="str">
            <v>HKA-24412</v>
          </cell>
          <cell r="O1551" t="str">
            <v>HEKA</v>
          </cell>
          <cell r="P1551" t="str">
            <v>ADET</v>
          </cell>
          <cell r="Q1551" t="str">
            <v>LED</v>
          </cell>
          <cell r="R1551" t="str">
            <v>AHŞAP</v>
          </cell>
          <cell r="S1551" t="str">
            <v>WENGE</v>
          </cell>
          <cell r="T1551" t="str">
            <v>AHŞAP</v>
          </cell>
          <cell r="U1551" t="str">
            <v>AKÇA AĞAÇ</v>
          </cell>
          <cell r="AD1551" t="str">
            <v>ŞARJLI</v>
          </cell>
          <cell r="AF1551">
            <v>1</v>
          </cell>
          <cell r="AG1551" t="str">
            <v>ADET</v>
          </cell>
          <cell r="AJ1551">
            <v>2395</v>
          </cell>
          <cell r="AK1551" t="str">
            <v>TL</v>
          </cell>
          <cell r="AL1551">
            <v>1</v>
          </cell>
          <cell r="AM1551" t="str">
            <v>8684127514118</v>
          </cell>
          <cell r="AO1551">
            <v>0</v>
          </cell>
          <cell r="AQ1551">
            <v>16</v>
          </cell>
          <cell r="AR1551" t="str">
            <v>CM</v>
          </cell>
          <cell r="AS1551">
            <v>10.5</v>
          </cell>
          <cell r="AT1551" t="str">
            <v>CM</v>
          </cell>
          <cell r="AU1551">
            <v>0</v>
          </cell>
          <cell r="AW1551">
            <v>0</v>
          </cell>
        </row>
        <row r="1552">
          <cell r="B1552" t="str">
            <v>H1C6JRSBCS0-115</v>
          </cell>
          <cell r="C1552" t="str">
            <v>LİMA ALTI ŞEFFAF AKRİLİK PLATİN YEMEK MASASI AVİZE</v>
          </cell>
          <cell r="D1552" t="str">
            <v>LİMA SIX CLEAR ACYRLIC PLATINUM DINNING ROOM CHANDELIER</v>
          </cell>
          <cell r="E1552" t="str">
            <v xml:space="preserve">METAL AKRİLİK PLATİN ŞEFFAF   </v>
          </cell>
          <cell r="F1552" t="str">
            <v/>
          </cell>
          <cell r="G1552" t="str">
            <v>AVİZE</v>
          </cell>
          <cell r="H1552" t="str">
            <v/>
          </cell>
          <cell r="I1552" t="str">
            <v>İÇ</v>
          </cell>
          <cell r="J1552" t="str">
            <v>AVİZE</v>
          </cell>
          <cell r="K1552" t="str">
            <v>LİMA</v>
          </cell>
          <cell r="L1552" t="str">
            <v/>
          </cell>
          <cell r="M1552" t="str">
            <v/>
          </cell>
          <cell r="N1552" t="str">
            <v>HKA-24237</v>
          </cell>
          <cell r="O1552" t="str">
            <v>HEKA</v>
          </cell>
          <cell r="P1552" t="str">
            <v>ADET</v>
          </cell>
          <cell r="Q1552" t="str">
            <v>LED</v>
          </cell>
          <cell r="R1552" t="str">
            <v>METAL</v>
          </cell>
          <cell r="S1552" t="str">
            <v>PLATİN</v>
          </cell>
          <cell r="T1552" t="str">
            <v>AKRİLİK</v>
          </cell>
          <cell r="U1552" t="str">
            <v>ŞEFFAF</v>
          </cell>
          <cell r="X1552" t="str">
            <v>110V-220V</v>
          </cell>
          <cell r="Z1552" t="str">
            <v>3000 K</v>
          </cell>
          <cell r="AF1552">
            <v>0</v>
          </cell>
          <cell r="AG1552" t="str">
            <v>ADET</v>
          </cell>
          <cell r="AH1552">
            <v>520</v>
          </cell>
          <cell r="AI1552" t="str">
            <v>CNY</v>
          </cell>
          <cell r="AJ1552">
            <v>36400</v>
          </cell>
          <cell r="AK1552" t="str">
            <v>TL</v>
          </cell>
          <cell r="AL1552">
            <v>1</v>
          </cell>
          <cell r="AM1552" t="str">
            <v>8684127513166</v>
          </cell>
          <cell r="AO1552">
            <v>2</v>
          </cell>
          <cell r="AP1552" t="str">
            <v>KG</v>
          </cell>
          <cell r="AQ1552">
            <v>100</v>
          </cell>
          <cell r="AR1552" t="str">
            <v>CM</v>
          </cell>
          <cell r="AS1552">
            <v>27.5</v>
          </cell>
          <cell r="AT1552" t="str">
            <v>CM</v>
          </cell>
          <cell r="AU1552">
            <v>0</v>
          </cell>
          <cell r="AW1552">
            <v>0</v>
          </cell>
        </row>
        <row r="1553">
          <cell r="B1553" t="str">
            <v>H1C6JRSBCS0-105</v>
          </cell>
          <cell r="C1553" t="str">
            <v>LİMA DOKUZ ŞEFFAF AKRİLİK PLATİN SALON AVİZE</v>
          </cell>
          <cell r="D1553" t="str">
            <v>LİMA NINE CLEAR ACYRLIC PLATINUM LIVING ROOM CHANDELIER</v>
          </cell>
          <cell r="E1553" t="str">
            <v xml:space="preserve">METAL AKRİLİK PLATİN ŞEFFAF   </v>
          </cell>
          <cell r="F1553" t="str">
            <v/>
          </cell>
          <cell r="G1553" t="str">
            <v>AVİZE</v>
          </cell>
          <cell r="H1553" t="str">
            <v/>
          </cell>
          <cell r="I1553" t="str">
            <v>İÇ</v>
          </cell>
          <cell r="J1553" t="str">
            <v>AVİZE</v>
          </cell>
          <cell r="K1553" t="str">
            <v>LİMA</v>
          </cell>
          <cell r="L1553" t="str">
            <v/>
          </cell>
          <cell r="M1553" t="str">
            <v/>
          </cell>
          <cell r="N1553" t="str">
            <v>HKA-24238</v>
          </cell>
          <cell r="O1553" t="str">
            <v>HEKA</v>
          </cell>
          <cell r="P1553" t="str">
            <v>ADET</v>
          </cell>
          <cell r="Q1553" t="str">
            <v>LED</v>
          </cell>
          <cell r="R1553" t="str">
            <v>METAL</v>
          </cell>
          <cell r="S1553" t="str">
            <v>PLATİN</v>
          </cell>
          <cell r="T1553" t="str">
            <v>AKRİLİK</v>
          </cell>
          <cell r="U1553" t="str">
            <v>ŞEFFAF</v>
          </cell>
          <cell r="X1553" t="str">
            <v>110V-220V</v>
          </cell>
          <cell r="Z1553" t="str">
            <v>3000 K</v>
          </cell>
          <cell r="AF1553">
            <v>0</v>
          </cell>
          <cell r="AG1553" t="str">
            <v>ADET</v>
          </cell>
          <cell r="AH1553">
            <v>680</v>
          </cell>
          <cell r="AI1553" t="str">
            <v>CNY</v>
          </cell>
          <cell r="AJ1553">
            <v>47600</v>
          </cell>
          <cell r="AK1553" t="str">
            <v>TL</v>
          </cell>
          <cell r="AL1553">
            <v>1</v>
          </cell>
          <cell r="AM1553" t="str">
            <v>8684127513173</v>
          </cell>
          <cell r="AO1553">
            <v>3</v>
          </cell>
          <cell r="AP1553" t="str">
            <v>KG</v>
          </cell>
          <cell r="AQ1553">
            <v>107</v>
          </cell>
          <cell r="AR1553" t="str">
            <v>CM</v>
          </cell>
          <cell r="AS1553">
            <v>32</v>
          </cell>
          <cell r="AT1553" t="str">
            <v>CM</v>
          </cell>
          <cell r="AU1553">
            <v>0</v>
          </cell>
          <cell r="AW1553">
            <v>0</v>
          </cell>
        </row>
        <row r="1554">
          <cell r="B1554" t="str">
            <v>H1C6JMEVRV0-120</v>
          </cell>
          <cell r="C1554" t="str">
            <v>LOME KAHVERENGİ DERİ ESKİTME YEMEK MASASI AVİZE</v>
          </cell>
          <cell r="D1554" t="str">
            <v>LOME BROWN LEATHER BRUSHED BRASS DINNING ROOM CHANDELIER</v>
          </cell>
          <cell r="E1554" t="str">
            <v xml:space="preserve">METAL DERİ ESKİTME KAHVERENGİ   </v>
          </cell>
          <cell r="F1554" t="str">
            <v/>
          </cell>
          <cell r="G1554" t="str">
            <v>AVİZE</v>
          </cell>
          <cell r="H1554" t="str">
            <v/>
          </cell>
          <cell r="I1554" t="str">
            <v>İÇ</v>
          </cell>
          <cell r="J1554" t="str">
            <v>AVİZE</v>
          </cell>
          <cell r="K1554" t="str">
            <v>LOME</v>
          </cell>
          <cell r="L1554" t="str">
            <v>Ç</v>
          </cell>
          <cell r="M1554" t="str">
            <v/>
          </cell>
          <cell r="N1554" t="str">
            <v>HKA-24246</v>
          </cell>
          <cell r="O1554" t="str">
            <v>HEKA</v>
          </cell>
          <cell r="P1554" t="str">
            <v>ADET</v>
          </cell>
          <cell r="Q1554" t="str">
            <v>LED</v>
          </cell>
          <cell r="R1554" t="str">
            <v>METAL</v>
          </cell>
          <cell r="S1554" t="str">
            <v>ESKİTME</v>
          </cell>
          <cell r="T1554" t="str">
            <v>DERİ</v>
          </cell>
          <cell r="U1554" t="str">
            <v>KAHVERENGİ</v>
          </cell>
          <cell r="X1554" t="str">
            <v>110V-220V</v>
          </cell>
          <cell r="Z1554" t="str">
            <v>3000 K</v>
          </cell>
          <cell r="AF1554">
            <v>21</v>
          </cell>
          <cell r="AG1554" t="str">
            <v>ADET</v>
          </cell>
          <cell r="AH1554">
            <v>400</v>
          </cell>
          <cell r="AI1554" t="str">
            <v>CNY</v>
          </cell>
          <cell r="AJ1554">
            <v>26880</v>
          </cell>
          <cell r="AK1554" t="str">
            <v>TL</v>
          </cell>
          <cell r="AL1554">
            <v>1</v>
          </cell>
          <cell r="AM1554" t="str">
            <v>8684127514637</v>
          </cell>
          <cell r="AO1554">
            <v>1.2</v>
          </cell>
          <cell r="AP1554" t="str">
            <v>KG</v>
          </cell>
          <cell r="AQ1554">
            <v>120</v>
          </cell>
          <cell r="AR1554" t="str">
            <v>CM</v>
          </cell>
          <cell r="AS1554">
            <v>7</v>
          </cell>
          <cell r="AT1554" t="str">
            <v>CM</v>
          </cell>
          <cell r="AU1554">
            <v>0</v>
          </cell>
          <cell r="AW1554">
            <v>0</v>
          </cell>
        </row>
        <row r="1555">
          <cell r="B1555" t="str">
            <v>H1C6WRBJMEC-065</v>
          </cell>
          <cell r="C1555" t="str">
            <v>HELSİNKİ MERMER ESKİTME SARKIT 65cm</v>
          </cell>
          <cell r="D1555" t="str">
            <v>HELSİNKİ MARBLE BRUSHED BRASS PENDANT 65cm</v>
          </cell>
          <cell r="E1555" t="str">
            <v xml:space="preserve">MERMER METAL BEYAZ ESKİTME   </v>
          </cell>
          <cell r="F1555" t="str">
            <v/>
          </cell>
          <cell r="G1555" t="str">
            <v>AVİZE</v>
          </cell>
          <cell r="H1555" t="str">
            <v/>
          </cell>
          <cell r="I1555" t="str">
            <v>İÇ</v>
          </cell>
          <cell r="J1555" t="str">
            <v>AVİZE.SARK</v>
          </cell>
          <cell r="K1555" t="str">
            <v>HELSİNKİ</v>
          </cell>
          <cell r="L1555" t="str">
            <v/>
          </cell>
          <cell r="M1555" t="str">
            <v/>
          </cell>
          <cell r="N1555" t="str">
            <v>HKA-24231</v>
          </cell>
          <cell r="O1555" t="str">
            <v>HEKA</v>
          </cell>
          <cell r="P1555" t="str">
            <v>ADET</v>
          </cell>
          <cell r="Q1555" t="str">
            <v>LED</v>
          </cell>
          <cell r="R1555" t="str">
            <v>MERMER</v>
          </cell>
          <cell r="S1555" t="str">
            <v>BEYAZ</v>
          </cell>
          <cell r="T1555" t="str">
            <v>METAL</v>
          </cell>
          <cell r="U1555" t="str">
            <v>ESKİTME</v>
          </cell>
          <cell r="X1555" t="str">
            <v>220V</v>
          </cell>
          <cell r="Z1555" t="str">
            <v>3000 K</v>
          </cell>
          <cell r="AD1555" t="str">
            <v>SİLİNDİR</v>
          </cell>
          <cell r="AF1555">
            <v>0</v>
          </cell>
          <cell r="AG1555" t="str">
            <v>ADET</v>
          </cell>
          <cell r="AH1555">
            <v>605.9</v>
          </cell>
          <cell r="AI1555" t="str">
            <v>CNY</v>
          </cell>
          <cell r="AJ1555">
            <v>42390</v>
          </cell>
          <cell r="AK1555" t="str">
            <v>TL</v>
          </cell>
          <cell r="AL1555">
            <v>1</v>
          </cell>
          <cell r="AM1555" t="str">
            <v>8684127513340</v>
          </cell>
          <cell r="AO1555">
            <v>6</v>
          </cell>
          <cell r="AP1555" t="str">
            <v>KG</v>
          </cell>
          <cell r="AQ1555">
            <v>200</v>
          </cell>
          <cell r="AR1555" t="str">
            <v>CM</v>
          </cell>
          <cell r="AS1555">
            <v>65</v>
          </cell>
          <cell r="AT1555" t="str">
            <v>CM</v>
          </cell>
          <cell r="AU1555">
            <v>0</v>
          </cell>
          <cell r="AW1555">
            <v>0</v>
          </cell>
        </row>
        <row r="1556">
          <cell r="B1556" t="str">
            <v>H1C6KMGBRB0-075</v>
          </cell>
          <cell r="C1556" t="str">
            <v>STOCKHOLM ESKİTME PASLANMAZ BEYAZ AKRİLİK AVİZE 75</v>
          </cell>
          <cell r="D1556" t="str">
            <v>STOCKHOLM BRUSHED BRASS STAINLESS STEEL WHITE ACYRLIC CHANDELIER 75 CM</v>
          </cell>
          <cell r="E1556" t="str">
            <v xml:space="preserve">PASLANMAZ AKRİLİK ESKİTME BEYAZ   </v>
          </cell>
          <cell r="F1556" t="str">
            <v/>
          </cell>
          <cell r="G1556" t="str">
            <v>AVİZE</v>
          </cell>
          <cell r="H1556" t="str">
            <v/>
          </cell>
          <cell r="I1556" t="str">
            <v>İÇ</v>
          </cell>
          <cell r="J1556" t="str">
            <v>AVİZE</v>
          </cell>
          <cell r="K1556" t="str">
            <v>STOCKHOLM</v>
          </cell>
          <cell r="L1556" t="str">
            <v/>
          </cell>
          <cell r="M1556" t="str">
            <v/>
          </cell>
          <cell r="N1556" t="str">
            <v>HKA-24164</v>
          </cell>
          <cell r="O1556" t="str">
            <v>HEKA</v>
          </cell>
          <cell r="P1556" t="str">
            <v>ADET</v>
          </cell>
          <cell r="Q1556" t="str">
            <v>LED</v>
          </cell>
          <cell r="R1556" t="str">
            <v>PASLANMAZ</v>
          </cell>
          <cell r="S1556" t="str">
            <v>ESKİTME</v>
          </cell>
          <cell r="T1556" t="str">
            <v>AKRİLİK</v>
          </cell>
          <cell r="U1556" t="str">
            <v>BEYAZ</v>
          </cell>
          <cell r="X1556" t="str">
            <v>110V-220V</v>
          </cell>
          <cell r="Z1556" t="str">
            <v>3000 K</v>
          </cell>
          <cell r="AF1556">
            <v>5</v>
          </cell>
          <cell r="AG1556" t="str">
            <v>ADET</v>
          </cell>
          <cell r="AH1556">
            <v>764</v>
          </cell>
          <cell r="AI1556" t="str">
            <v>CNY</v>
          </cell>
          <cell r="AJ1556">
            <v>64200</v>
          </cell>
          <cell r="AK1556" t="str">
            <v>TL</v>
          </cell>
          <cell r="AL1556">
            <v>1</v>
          </cell>
          <cell r="AM1556" t="str">
            <v>8684127516471</v>
          </cell>
          <cell r="AO1556">
            <v>0</v>
          </cell>
          <cell r="AQ1556">
            <v>0</v>
          </cell>
          <cell r="AS1556">
            <v>0</v>
          </cell>
          <cell r="AT1556" t="str">
            <v>CM</v>
          </cell>
          <cell r="AU1556">
            <v>0</v>
          </cell>
          <cell r="AW1556">
            <v>0</v>
          </cell>
        </row>
        <row r="1557">
          <cell r="B1557" t="str">
            <v>H1C6KMGBRB0-132</v>
          </cell>
          <cell r="C1557" t="str">
            <v>STOCKHOLM ESKİTME PASLANMAZ BEYAZ AKRİLİK AVİ.132</v>
          </cell>
          <cell r="D1557" t="str">
            <v>STOCKHOLM BRUSHED BRASS STAINLESS STEEL WHITE ACYRLIC CHANDELIER 132 CM</v>
          </cell>
          <cell r="E1557" t="str">
            <v xml:space="preserve">PASLANMAZ AKRİLİK ESKİTME BEYAZ   </v>
          </cell>
          <cell r="F1557" t="str">
            <v/>
          </cell>
          <cell r="G1557" t="str">
            <v>AVİZE</v>
          </cell>
          <cell r="H1557" t="str">
            <v/>
          </cell>
          <cell r="I1557" t="str">
            <v>İÇ</v>
          </cell>
          <cell r="J1557" t="str">
            <v>AVİZE</v>
          </cell>
          <cell r="K1557" t="str">
            <v>STOCKHOLM</v>
          </cell>
          <cell r="L1557" t="str">
            <v/>
          </cell>
          <cell r="M1557" t="str">
            <v/>
          </cell>
          <cell r="N1557" t="str">
            <v>HKA-24166</v>
          </cell>
          <cell r="O1557" t="str">
            <v>HEKA</v>
          </cell>
          <cell r="P1557" t="str">
            <v>ADET</v>
          </cell>
          <cell r="Q1557" t="str">
            <v>LED</v>
          </cell>
          <cell r="R1557" t="str">
            <v>PASLANMAZ</v>
          </cell>
          <cell r="S1557" t="str">
            <v>ESKİTME</v>
          </cell>
          <cell r="T1557" t="str">
            <v>AKRİLİK</v>
          </cell>
          <cell r="U1557" t="str">
            <v>BEYAZ</v>
          </cell>
          <cell r="X1557" t="str">
            <v>110V-220V</v>
          </cell>
          <cell r="Z1557" t="str">
            <v>3000 K</v>
          </cell>
          <cell r="AF1557">
            <v>1</v>
          </cell>
          <cell r="AG1557" t="str">
            <v>ADET</v>
          </cell>
          <cell r="AH1557">
            <v>1076.4000000000001</v>
          </cell>
          <cell r="AI1557" t="str">
            <v>CNY</v>
          </cell>
          <cell r="AJ1557">
            <v>90420</v>
          </cell>
          <cell r="AK1557" t="str">
            <v>TL</v>
          </cell>
          <cell r="AL1557">
            <v>1</v>
          </cell>
          <cell r="AM1557" t="str">
            <v>8684127516464</v>
          </cell>
          <cell r="AO1557">
            <v>0</v>
          </cell>
          <cell r="AQ1557">
            <v>0</v>
          </cell>
          <cell r="AS1557">
            <v>132</v>
          </cell>
          <cell r="AT1557" t="str">
            <v>CM</v>
          </cell>
          <cell r="AU1557">
            <v>0</v>
          </cell>
          <cell r="AW1557">
            <v>0</v>
          </cell>
        </row>
        <row r="1558">
          <cell r="B1558" t="str">
            <v>H1W6KRSECSR-025</v>
          </cell>
          <cell r="C1558" t="str">
            <v xml:space="preserve">BERLİN PLATİN PASLANMAZ ŞEFFAF CAM SARKIT 25 </v>
          </cell>
          <cell r="D1558" t="str">
            <v>BERLİN PLATINUM STEEL CLEAR GLASS PENDANT 25 CM</v>
          </cell>
          <cell r="E1558" t="str">
            <v xml:space="preserve">PASLANMAZ CAM  PLATİN ŞEFFAF   </v>
          </cell>
          <cell r="F1558" t="str">
            <v/>
          </cell>
          <cell r="G1558" t="str">
            <v>AVİZE</v>
          </cell>
          <cell r="H1558" t="str">
            <v/>
          </cell>
          <cell r="I1558" t="str">
            <v>İÇ</v>
          </cell>
          <cell r="J1558" t="str">
            <v>AVİZE</v>
          </cell>
          <cell r="K1558" t="str">
            <v>BERLİN</v>
          </cell>
          <cell r="L1558" t="str">
            <v/>
          </cell>
          <cell r="M1558" t="str">
            <v/>
          </cell>
          <cell r="N1558" t="str">
            <v>HKA-24211</v>
          </cell>
          <cell r="O1558" t="str">
            <v>HEKA</v>
          </cell>
          <cell r="P1558" t="str">
            <v>ADET</v>
          </cell>
          <cell r="Q1558" t="str">
            <v>LED</v>
          </cell>
          <cell r="R1558" t="str">
            <v>PASLANMAZ</v>
          </cell>
          <cell r="S1558" t="str">
            <v>PLATİN</v>
          </cell>
          <cell r="T1558" t="str">
            <v>CAM</v>
          </cell>
          <cell r="U1558" t="str">
            <v>ŞEFFAF</v>
          </cell>
          <cell r="X1558" t="str">
            <v>110V-220V</v>
          </cell>
          <cell r="Z1558" t="str">
            <v>3000 K</v>
          </cell>
          <cell r="AF1558">
            <v>31</v>
          </cell>
          <cell r="AG1558" t="str">
            <v>ADET</v>
          </cell>
          <cell r="AH1558">
            <v>236.6</v>
          </cell>
          <cell r="AI1558" t="str">
            <v>CNY</v>
          </cell>
          <cell r="AJ1558">
            <v>14200</v>
          </cell>
          <cell r="AK1558" t="str">
            <v>TL</v>
          </cell>
          <cell r="AL1558">
            <v>1</v>
          </cell>
          <cell r="AM1558" t="str">
            <v>8684127513654</v>
          </cell>
          <cell r="AO1558">
            <v>0</v>
          </cell>
          <cell r="AQ1558">
            <v>17</v>
          </cell>
          <cell r="AR1558" t="str">
            <v>CM</v>
          </cell>
          <cell r="AS1558">
            <v>25</v>
          </cell>
          <cell r="AT1558" t="str">
            <v>CM</v>
          </cell>
          <cell r="AU1558">
            <v>0</v>
          </cell>
          <cell r="AW1558">
            <v>0</v>
          </cell>
        </row>
        <row r="1559">
          <cell r="B1559" t="str">
            <v>H1W6KRSECSR-030</v>
          </cell>
          <cell r="C1559" t="str">
            <v>BERLİN PLATİN PASLANMAZ ŞEFFAF CAM SARKIT 30 CM</v>
          </cell>
          <cell r="D1559" t="str">
            <v>BERLİN PLATINUM STEEL CLEAR GLASS PENDANT 30 CM</v>
          </cell>
          <cell r="E1559" t="str">
            <v xml:space="preserve">PASLANMAZ CAM  PLATİN ŞEFFAF   </v>
          </cell>
          <cell r="F1559" t="str">
            <v/>
          </cell>
          <cell r="G1559" t="str">
            <v>AVİZE</v>
          </cell>
          <cell r="H1559" t="str">
            <v/>
          </cell>
          <cell r="I1559" t="str">
            <v>İÇ</v>
          </cell>
          <cell r="J1559" t="str">
            <v>AVİZE</v>
          </cell>
          <cell r="K1559" t="str">
            <v>BERLİN</v>
          </cell>
          <cell r="L1559" t="str">
            <v>Ç</v>
          </cell>
          <cell r="M1559" t="str">
            <v/>
          </cell>
          <cell r="N1559" t="str">
            <v>HKA-24212</v>
          </cell>
          <cell r="O1559" t="str">
            <v>HEKA</v>
          </cell>
          <cell r="P1559" t="str">
            <v>ADET</v>
          </cell>
          <cell r="Q1559" t="str">
            <v>LED</v>
          </cell>
          <cell r="R1559" t="str">
            <v>PASLANMAZ</v>
          </cell>
          <cell r="S1559" t="str">
            <v>PLATİN</v>
          </cell>
          <cell r="T1559" t="str">
            <v>CAM</v>
          </cell>
          <cell r="U1559" t="str">
            <v>ŞEFFAF</v>
          </cell>
          <cell r="X1559" t="str">
            <v>110V-220V</v>
          </cell>
          <cell r="Z1559" t="str">
            <v>3000 K</v>
          </cell>
          <cell r="AF1559">
            <v>43</v>
          </cell>
          <cell r="AG1559" t="str">
            <v>ADET</v>
          </cell>
          <cell r="AH1559">
            <v>315</v>
          </cell>
          <cell r="AI1559" t="str">
            <v>CNY</v>
          </cell>
          <cell r="AJ1559">
            <v>18900</v>
          </cell>
          <cell r="AK1559" t="str">
            <v>TL</v>
          </cell>
          <cell r="AL1559">
            <v>1</v>
          </cell>
          <cell r="AM1559" t="str">
            <v>8684127513661</v>
          </cell>
          <cell r="AO1559">
            <v>0</v>
          </cell>
          <cell r="AQ1559">
            <v>30</v>
          </cell>
          <cell r="AR1559" t="str">
            <v>CM</v>
          </cell>
          <cell r="AS1559">
            <v>30</v>
          </cell>
          <cell r="AT1559" t="str">
            <v>CM</v>
          </cell>
          <cell r="AU1559">
            <v>0</v>
          </cell>
          <cell r="AW1559">
            <v>0</v>
          </cell>
        </row>
        <row r="1560">
          <cell r="B1560" t="str">
            <v>25092024</v>
          </cell>
          <cell r="C1560" t="str">
            <v>ZAMANSIZ KUM SAATİ</v>
          </cell>
          <cell r="D1560" t="str">
            <v/>
          </cell>
          <cell r="E1560" t="str">
            <v/>
          </cell>
          <cell r="F1560" t="str">
            <v/>
          </cell>
          <cell r="G1560" t="str">
            <v/>
          </cell>
          <cell r="H1560" t="str">
            <v/>
          </cell>
          <cell r="I1560" t="str">
            <v/>
          </cell>
          <cell r="J1560" t="str">
            <v/>
          </cell>
          <cell r="K1560" t="str">
            <v/>
          </cell>
          <cell r="L1560" t="str">
            <v/>
          </cell>
          <cell r="M1560" t="str">
            <v/>
          </cell>
          <cell r="N1560" t="str">
            <v/>
          </cell>
          <cell r="P1560" t="str">
            <v>ADET</v>
          </cell>
          <cell r="AG1560" t="str">
            <v>ADET</v>
          </cell>
          <cell r="AL1560">
            <v>0</v>
          </cell>
          <cell r="AO1560">
            <v>0</v>
          </cell>
          <cell r="AQ1560">
            <v>0</v>
          </cell>
          <cell r="AS1560">
            <v>0</v>
          </cell>
          <cell r="AU1560">
            <v>0</v>
          </cell>
          <cell r="AW1560">
            <v>0</v>
          </cell>
        </row>
        <row r="1561">
          <cell r="B1561" t="str">
            <v>H1C7JMEERF0-024</v>
          </cell>
          <cell r="C1561" t="str">
            <v>VİYANA GÖZYAŞI FÜME CAM ESKİTME SARKIT 24 CM</v>
          </cell>
          <cell r="D1561" t="str">
            <v>VİYANA EYEDROP SMOKY GLASS BRUSHED BRASS PENDANT LAMP 24 CM</v>
          </cell>
          <cell r="E1561" t="str">
            <v xml:space="preserve">METAL CAM  ESKİTME FÜME   </v>
          </cell>
          <cell r="F1561" t="str">
            <v>9405.11.90.00.00</v>
          </cell>
          <cell r="G1561" t="str">
            <v>AVİZE</v>
          </cell>
          <cell r="H1561" t="str">
            <v>T1A6231100-20</v>
          </cell>
          <cell r="I1561" t="str">
            <v>İÇ</v>
          </cell>
          <cell r="J1561" t="str">
            <v>AVİZE.SARK</v>
          </cell>
          <cell r="K1561" t="str">
            <v>VİYANA</v>
          </cell>
          <cell r="L1561" t="str">
            <v/>
          </cell>
          <cell r="M1561" t="str">
            <v/>
          </cell>
          <cell r="N1561" t="str">
            <v>HKA-24406</v>
          </cell>
          <cell r="O1561" t="str">
            <v>HEKA</v>
          </cell>
          <cell r="P1561" t="str">
            <v>ADET</v>
          </cell>
          <cell r="Q1561" t="str">
            <v>PERİ LED</v>
          </cell>
          <cell r="R1561" t="str">
            <v>METAL</v>
          </cell>
          <cell r="S1561" t="str">
            <v>ESKİTME</v>
          </cell>
          <cell r="T1561" t="str">
            <v>CAM</v>
          </cell>
          <cell r="U1561" t="str">
            <v>FÜME</v>
          </cell>
          <cell r="AD1561" t="str">
            <v>N/A</v>
          </cell>
          <cell r="AF1561">
            <v>55</v>
          </cell>
          <cell r="AG1561" t="str">
            <v>ADET</v>
          </cell>
          <cell r="AJ1561">
            <v>4641</v>
          </cell>
          <cell r="AK1561" t="str">
            <v>TL</v>
          </cell>
          <cell r="AL1561">
            <v>1</v>
          </cell>
          <cell r="AM1561" t="str">
            <v>8684127514255</v>
          </cell>
          <cell r="AO1561">
            <v>0</v>
          </cell>
          <cell r="AQ1561">
            <v>0</v>
          </cell>
          <cell r="AR1561" t="str">
            <v>CM</v>
          </cell>
          <cell r="AS1561">
            <v>0</v>
          </cell>
          <cell r="AT1561" t="str">
            <v>CM</v>
          </cell>
          <cell r="AU1561">
            <v>0</v>
          </cell>
          <cell r="AW1561">
            <v>0</v>
          </cell>
        </row>
        <row r="1562">
          <cell r="B1562" t="str">
            <v>H1C7JMEERL0-024</v>
          </cell>
          <cell r="C1562" t="str">
            <v>VİYANA GÖZYAŞI BAL CAM ESKİTME SARKIT 24 CM</v>
          </cell>
          <cell r="D1562" t="str">
            <v>VİYANA EYEDROP AMBER GLASS BRUSHED BRASS PENDANT LAMP 24 CM</v>
          </cell>
          <cell r="E1562" t="str">
            <v>METAL CAM  ESKİTME BAL</v>
          </cell>
          <cell r="F1562" t="str">
            <v>9405.11.90.00.00</v>
          </cell>
          <cell r="G1562" t="str">
            <v>AVİZE</v>
          </cell>
          <cell r="H1562" t="str">
            <v>T1A6231100-20</v>
          </cell>
          <cell r="I1562" t="str">
            <v>İÇ</v>
          </cell>
          <cell r="J1562" t="str">
            <v>AVİZE.SARK</v>
          </cell>
          <cell r="K1562" t="str">
            <v>VİYANA</v>
          </cell>
          <cell r="L1562" t="str">
            <v/>
          </cell>
          <cell r="M1562" t="str">
            <v/>
          </cell>
          <cell r="N1562" t="str">
            <v>HKA-24403</v>
          </cell>
          <cell r="O1562" t="str">
            <v>HEKA</v>
          </cell>
          <cell r="P1562" t="str">
            <v>ADET</v>
          </cell>
          <cell r="Q1562" t="str">
            <v>PERİ LED</v>
          </cell>
          <cell r="R1562" t="str">
            <v>METAL</v>
          </cell>
          <cell r="S1562" t="str">
            <v>ESKİTME</v>
          </cell>
          <cell r="T1562" t="str">
            <v>CAM</v>
          </cell>
          <cell r="U1562" t="str">
            <v>BAL</v>
          </cell>
          <cell r="AD1562" t="str">
            <v>N/A</v>
          </cell>
          <cell r="AF1562">
            <v>46</v>
          </cell>
          <cell r="AG1562" t="str">
            <v>ADET</v>
          </cell>
          <cell r="AJ1562">
            <v>4641</v>
          </cell>
          <cell r="AK1562" t="str">
            <v>TL</v>
          </cell>
          <cell r="AL1562">
            <v>1</v>
          </cell>
          <cell r="AM1562" t="str">
            <v>8684127514286</v>
          </cell>
          <cell r="AO1562">
            <v>0</v>
          </cell>
          <cell r="AQ1562">
            <v>0</v>
          </cell>
          <cell r="AR1562" t="str">
            <v>CM</v>
          </cell>
          <cell r="AS1562">
            <v>0</v>
          </cell>
          <cell r="AT1562" t="str">
            <v>CM</v>
          </cell>
          <cell r="AU1562">
            <v>0</v>
          </cell>
          <cell r="AW1562">
            <v>0</v>
          </cell>
        </row>
        <row r="1563">
          <cell r="B1563" t="str">
            <v>H1T6ARKAAAJ-016</v>
          </cell>
          <cell r="C1563" t="str">
            <v>SHAGGY KIRMIZI KLASİK EBRU AHŞAP MANTAR MASA LAMBA</v>
          </cell>
          <cell r="D1563" t="str">
            <v>SHAGGY RED CLASSIC MARBLING WOOD MUSHROOM TABLE LAMP</v>
          </cell>
          <cell r="E1563" t="str">
            <v xml:space="preserve">AHŞAP AHŞAP KIRMIZI AKÇAAĞAÇ   </v>
          </cell>
          <cell r="F1563" t="str">
            <v/>
          </cell>
          <cell r="G1563" t="str">
            <v>MASAABAJ</v>
          </cell>
          <cell r="H1563" t="str">
            <v/>
          </cell>
          <cell r="I1563" t="str">
            <v>İÇ</v>
          </cell>
          <cell r="J1563" t="str">
            <v>MASAKAMP</v>
          </cell>
          <cell r="K1563" t="str">
            <v>SHAGGY</v>
          </cell>
          <cell r="L1563" t="str">
            <v/>
          </cell>
          <cell r="M1563" t="str">
            <v/>
          </cell>
          <cell r="N1563" t="str">
            <v>HKA-24419</v>
          </cell>
          <cell r="O1563" t="str">
            <v>HEKA</v>
          </cell>
          <cell r="P1563" t="str">
            <v>ADET</v>
          </cell>
          <cell r="Q1563" t="str">
            <v>LED</v>
          </cell>
          <cell r="R1563" t="str">
            <v>AHŞAP</v>
          </cell>
          <cell r="S1563" t="str">
            <v>KIRMIZI</v>
          </cell>
          <cell r="T1563" t="str">
            <v>AHŞAP</v>
          </cell>
          <cell r="U1563" t="str">
            <v>AKÇA AĞAÇ</v>
          </cell>
          <cell r="AD1563" t="str">
            <v>ŞARJLI</v>
          </cell>
          <cell r="AF1563">
            <v>70</v>
          </cell>
          <cell r="AG1563" t="str">
            <v>ADET</v>
          </cell>
          <cell r="AJ1563">
            <v>2395</v>
          </cell>
          <cell r="AK1563" t="str">
            <v>TL</v>
          </cell>
          <cell r="AL1563">
            <v>1</v>
          </cell>
          <cell r="AM1563" t="str">
            <v>8684127514187</v>
          </cell>
          <cell r="AO1563">
            <v>0</v>
          </cell>
          <cell r="AQ1563">
            <v>16</v>
          </cell>
          <cell r="AR1563" t="str">
            <v>CM</v>
          </cell>
          <cell r="AS1563">
            <v>10.5</v>
          </cell>
          <cell r="AT1563" t="str">
            <v>CM</v>
          </cell>
          <cell r="AU1563">
            <v>0</v>
          </cell>
          <cell r="AW1563">
            <v>0</v>
          </cell>
        </row>
        <row r="1564">
          <cell r="B1564" t="str">
            <v>H1W6JRSBCS0-060</v>
          </cell>
          <cell r="C1564" t="str">
            <v>PANAMA ALTI ŞEFFAF AKRİLİK SİYAH APLİK</v>
          </cell>
          <cell r="D1564" t="str">
            <v>PANAMA SIX CLEAR ACYRLIC BLACK WALL LAMP</v>
          </cell>
          <cell r="E1564" t="str">
            <v xml:space="preserve">METAL AKRİLİK SİYAH ŞEFFAF   </v>
          </cell>
          <cell r="F1564" t="str">
            <v/>
          </cell>
          <cell r="G1564" t="str">
            <v>APLİK</v>
          </cell>
          <cell r="H1564" t="str">
            <v/>
          </cell>
          <cell r="I1564" t="str">
            <v>İÇ</v>
          </cell>
          <cell r="J1564" t="str">
            <v>APLİK</v>
          </cell>
          <cell r="K1564" t="str">
            <v>PANAMA</v>
          </cell>
          <cell r="L1564" t="str">
            <v/>
          </cell>
          <cell r="M1564" t="str">
            <v/>
          </cell>
          <cell r="N1564" t="str">
            <v>HKA-24198</v>
          </cell>
          <cell r="O1564" t="str">
            <v>HEKA</v>
          </cell>
          <cell r="P1564" t="str">
            <v>ADET</v>
          </cell>
          <cell r="Q1564" t="str">
            <v>LED</v>
          </cell>
          <cell r="R1564" t="str">
            <v>METAL</v>
          </cell>
          <cell r="S1564" t="str">
            <v>SİYAH</v>
          </cell>
          <cell r="T1564" t="str">
            <v>AKRİLİK</v>
          </cell>
          <cell r="U1564" t="str">
            <v>ŞEFFAF</v>
          </cell>
          <cell r="X1564" t="str">
            <v>110V-220V</v>
          </cell>
          <cell r="Z1564" t="str">
            <v>3000 K</v>
          </cell>
          <cell r="AF1564">
            <v>6</v>
          </cell>
          <cell r="AG1564" t="str">
            <v>ADET</v>
          </cell>
          <cell r="AH1564">
            <v>131.1</v>
          </cell>
          <cell r="AI1564" t="str">
            <v>CNY</v>
          </cell>
          <cell r="AJ1564">
            <v>11600</v>
          </cell>
          <cell r="AK1564" t="str">
            <v>TL</v>
          </cell>
          <cell r="AL1564">
            <v>1</v>
          </cell>
          <cell r="AM1564" t="str">
            <v>8684127513272</v>
          </cell>
          <cell r="AO1564">
            <v>2.5</v>
          </cell>
          <cell r="AP1564" t="str">
            <v>KG</v>
          </cell>
          <cell r="AQ1564">
            <v>12</v>
          </cell>
          <cell r="AR1564" t="str">
            <v>CM</v>
          </cell>
          <cell r="AS1564">
            <v>10</v>
          </cell>
          <cell r="AT1564" t="str">
            <v>CM</v>
          </cell>
          <cell r="AU1564">
            <v>0</v>
          </cell>
          <cell r="AW1564">
            <v>0</v>
          </cell>
        </row>
        <row r="1565">
          <cell r="B1565" t="str">
            <v>H1C6CMGECS0-052</v>
          </cell>
          <cell r="C1565" t="str">
            <v>LÜKSEMBURG 21 ŞEFFAF CAM KAHVERENGİ ALUMİNYUM AVİZ</v>
          </cell>
          <cell r="D1565" t="str">
            <v xml:space="preserve">LÜKSEMBURG 21 CLEAR GLASS BROWN ALUMINIUM CHANDELIER </v>
          </cell>
          <cell r="E1565" t="str">
            <v xml:space="preserve">ALUMİNYUM CAM  KAHVERENGİ ŞEFFAF   </v>
          </cell>
          <cell r="F1565" t="str">
            <v/>
          </cell>
          <cell r="G1565" t="str">
            <v>AVİZE</v>
          </cell>
          <cell r="H1565" t="str">
            <v/>
          </cell>
          <cell r="I1565" t="str">
            <v>İÇ</v>
          </cell>
          <cell r="J1565" t="str">
            <v>AVİZE</v>
          </cell>
          <cell r="K1565" t="str">
            <v>LÜKSEMBURG</v>
          </cell>
          <cell r="L1565" t="str">
            <v/>
          </cell>
          <cell r="M1565" t="str">
            <v/>
          </cell>
          <cell r="N1565" t="str">
            <v>HKA-24248</v>
          </cell>
          <cell r="O1565" t="str">
            <v>HEKA</v>
          </cell>
          <cell r="P1565" t="str">
            <v>ADET</v>
          </cell>
          <cell r="Q1565" t="str">
            <v>LED</v>
          </cell>
          <cell r="R1565" t="str">
            <v>ALUMİNYUM</v>
          </cell>
          <cell r="S1565" t="str">
            <v>KAHVERENGİ</v>
          </cell>
          <cell r="T1565" t="str">
            <v>CAM</v>
          </cell>
          <cell r="U1565" t="str">
            <v>ŞEFFAF</v>
          </cell>
          <cell r="X1565" t="str">
            <v>110V-220V</v>
          </cell>
          <cell r="Z1565" t="str">
            <v>3000 K</v>
          </cell>
          <cell r="AF1565">
            <v>1</v>
          </cell>
          <cell r="AG1565" t="str">
            <v>ADET</v>
          </cell>
          <cell r="AH1565">
            <v>2034</v>
          </cell>
          <cell r="AI1565" t="str">
            <v>CNY</v>
          </cell>
          <cell r="AJ1565">
            <v>116900</v>
          </cell>
          <cell r="AK1565" t="str">
            <v>TL</v>
          </cell>
          <cell r="AL1565">
            <v>1</v>
          </cell>
          <cell r="AM1565" t="str">
            <v>8684127513388</v>
          </cell>
          <cell r="AO1565">
            <v>4.8</v>
          </cell>
          <cell r="AP1565" t="str">
            <v>KG</v>
          </cell>
          <cell r="AQ1565">
            <v>62</v>
          </cell>
          <cell r="AR1565" t="str">
            <v>CM</v>
          </cell>
          <cell r="AS1565">
            <v>52</v>
          </cell>
          <cell r="AT1565" t="str">
            <v>CM</v>
          </cell>
          <cell r="AU1565">
            <v>0</v>
          </cell>
          <cell r="AW1565">
            <v>0</v>
          </cell>
        </row>
        <row r="1566">
          <cell r="B1566" t="str">
            <v>H1C6KRSBRB0-100</v>
          </cell>
          <cell r="C1566" t="str">
            <v>OSLO PLATİN PASLANMAZ BEYAZ AKRİLİK AVİZE 25Lİ</v>
          </cell>
          <cell r="D1566" t="str">
            <v>OSLO PLATINUM STAINLESS STEEL WHITE ACYRLIC CHANDELIER 25PCS</v>
          </cell>
          <cell r="E1566" t="str">
            <v xml:space="preserve">PASLANMAZ AKRİLİK PLATİN BEYAZ   </v>
          </cell>
          <cell r="F1566" t="str">
            <v/>
          </cell>
          <cell r="G1566" t="str">
            <v>AVİZE</v>
          </cell>
          <cell r="H1566" t="str">
            <v/>
          </cell>
          <cell r="I1566" t="str">
            <v>İÇ</v>
          </cell>
          <cell r="J1566" t="str">
            <v>AVİZE</v>
          </cell>
          <cell r="K1566" t="str">
            <v>OSLO</v>
          </cell>
          <cell r="L1566" t="str">
            <v/>
          </cell>
          <cell r="M1566" t="str">
            <v/>
          </cell>
          <cell r="N1566" t="str">
            <v>HKA-24162</v>
          </cell>
          <cell r="O1566" t="str">
            <v>HEKA</v>
          </cell>
          <cell r="P1566" t="str">
            <v>ADET</v>
          </cell>
          <cell r="Q1566" t="str">
            <v>LED</v>
          </cell>
          <cell r="R1566" t="str">
            <v>PASLANMAZ</v>
          </cell>
          <cell r="S1566" t="str">
            <v>PLATİN</v>
          </cell>
          <cell r="T1566" t="str">
            <v>AKRİLİK</v>
          </cell>
          <cell r="U1566" t="str">
            <v>BEYAZ</v>
          </cell>
          <cell r="X1566" t="str">
            <v>110V-220V</v>
          </cell>
          <cell r="Z1566" t="str">
            <v>3000 K</v>
          </cell>
          <cell r="AF1566">
            <v>0</v>
          </cell>
          <cell r="AG1566" t="str">
            <v>ADET</v>
          </cell>
          <cell r="AH1566">
            <v>2870.4</v>
          </cell>
          <cell r="AI1566" t="str">
            <v>CNY</v>
          </cell>
          <cell r="AJ1566">
            <v>241100</v>
          </cell>
          <cell r="AK1566" t="str">
            <v>TL</v>
          </cell>
          <cell r="AL1566">
            <v>1</v>
          </cell>
          <cell r="AM1566" t="str">
            <v>8684127513449</v>
          </cell>
          <cell r="AO1566">
            <v>0</v>
          </cell>
          <cell r="AQ1566">
            <v>0</v>
          </cell>
          <cell r="AS1566">
            <v>0</v>
          </cell>
          <cell r="AU1566">
            <v>0</v>
          </cell>
          <cell r="AW1566">
            <v>0</v>
          </cell>
        </row>
        <row r="1567">
          <cell r="B1567" t="str">
            <v>H1C6KRSBRB0-060</v>
          </cell>
          <cell r="C1567" t="str">
            <v>BERN PLATİN PASLANMAZ AKRİLİK PLAFONYER 60 CM</v>
          </cell>
          <cell r="D1567" t="str">
            <v>BERN PLATINUM STAINLESS STEEL ACYRLIC PLAFONIER 60 CM</v>
          </cell>
          <cell r="E1567" t="str">
            <v xml:space="preserve">PASLANMAZ AKRİLİK PLATİN BEYAZ   </v>
          </cell>
          <cell r="F1567" t="str">
            <v/>
          </cell>
          <cell r="G1567" t="str">
            <v>AVİZE</v>
          </cell>
          <cell r="H1567" t="str">
            <v/>
          </cell>
          <cell r="I1567" t="str">
            <v>İÇ</v>
          </cell>
          <cell r="J1567" t="str">
            <v>AVİZE.PLF</v>
          </cell>
          <cell r="K1567" t="str">
            <v>BERN</v>
          </cell>
          <cell r="L1567" t="str">
            <v/>
          </cell>
          <cell r="M1567" t="str">
            <v/>
          </cell>
          <cell r="N1567" t="str">
            <v>HKA-24169</v>
          </cell>
          <cell r="O1567" t="str">
            <v>HEKA</v>
          </cell>
          <cell r="P1567" t="str">
            <v>ADET</v>
          </cell>
          <cell r="Q1567" t="str">
            <v>LED</v>
          </cell>
          <cell r="R1567" t="str">
            <v>PASLANMAZ</v>
          </cell>
          <cell r="S1567" t="str">
            <v>PLATİN</v>
          </cell>
          <cell r="T1567" t="str">
            <v>AKRİLİK</v>
          </cell>
          <cell r="U1567" t="str">
            <v>BEYAZ</v>
          </cell>
          <cell r="X1567" t="str">
            <v>110V-220V</v>
          </cell>
          <cell r="Z1567" t="str">
            <v>3000 K</v>
          </cell>
          <cell r="AF1567">
            <v>9</v>
          </cell>
          <cell r="AG1567" t="str">
            <v>ADET</v>
          </cell>
          <cell r="AH1567">
            <v>416.5</v>
          </cell>
          <cell r="AI1567" t="str">
            <v>CNY</v>
          </cell>
          <cell r="AJ1567">
            <v>34950</v>
          </cell>
          <cell r="AK1567" t="str">
            <v>TL</v>
          </cell>
          <cell r="AL1567">
            <v>1</v>
          </cell>
          <cell r="AM1567" t="str">
            <v>8684127513517</v>
          </cell>
          <cell r="AO1567">
            <v>0</v>
          </cell>
          <cell r="AQ1567">
            <v>0</v>
          </cell>
          <cell r="AS1567">
            <v>60</v>
          </cell>
          <cell r="AT1567" t="str">
            <v>CM</v>
          </cell>
          <cell r="AU1567">
            <v>0</v>
          </cell>
          <cell r="AW1567">
            <v>0</v>
          </cell>
        </row>
        <row r="1568">
          <cell r="B1568" t="str">
            <v>H1W3JMKECT0-021</v>
          </cell>
          <cell r="C1568" t="str">
            <v>HAVANA KROM-PLATİN TEKLİ SOFT CAM APLİK</v>
          </cell>
          <cell r="D1568" t="str">
            <v>HAVANA CHROME-PLATINUM SINGLE SOFT GLASS WALL LAMP</v>
          </cell>
          <cell r="E1568" t="str">
            <v xml:space="preserve">METAL CAM KROM SOFT   </v>
          </cell>
          <cell r="F1568" t="str">
            <v/>
          </cell>
          <cell r="G1568" t="str">
            <v>APLİK</v>
          </cell>
          <cell r="H1568" t="str">
            <v/>
          </cell>
          <cell r="I1568" t="str">
            <v>İÇ</v>
          </cell>
          <cell r="J1568" t="str">
            <v>APLİK</v>
          </cell>
          <cell r="K1568" t="str">
            <v>HAVANA</v>
          </cell>
          <cell r="L1568" t="str">
            <v>Ç</v>
          </cell>
          <cell r="M1568" t="str">
            <v/>
          </cell>
          <cell r="N1568" t="str">
            <v>HKA-24228</v>
          </cell>
          <cell r="O1568" t="str">
            <v>HEKA</v>
          </cell>
          <cell r="P1568" t="str">
            <v>ADET</v>
          </cell>
          <cell r="Q1568" t="str">
            <v>G9</v>
          </cell>
          <cell r="R1568" t="str">
            <v>METAL</v>
          </cell>
          <cell r="S1568" t="str">
            <v>KROM</v>
          </cell>
          <cell r="T1568" t="str">
            <v>CAM</v>
          </cell>
          <cell r="U1568" t="str">
            <v>SOFT</v>
          </cell>
          <cell r="X1568" t="str">
            <v>110V-220V</v>
          </cell>
          <cell r="Z1568" t="str">
            <v>3000 K</v>
          </cell>
          <cell r="AF1568">
            <v>73</v>
          </cell>
          <cell r="AG1568" t="str">
            <v>ADET</v>
          </cell>
          <cell r="AH1568">
            <v>56</v>
          </cell>
          <cell r="AI1568" t="str">
            <v>CNY</v>
          </cell>
          <cell r="AJ1568">
            <v>3920</v>
          </cell>
          <cell r="AK1568" t="str">
            <v>TL</v>
          </cell>
          <cell r="AL1568">
            <v>1</v>
          </cell>
          <cell r="AM1568" t="str">
            <v>8684127513623</v>
          </cell>
          <cell r="AO1568">
            <v>0.37</v>
          </cell>
          <cell r="AP1568" t="str">
            <v>KG</v>
          </cell>
          <cell r="AQ1568">
            <v>21</v>
          </cell>
          <cell r="AR1568" t="str">
            <v>CM</v>
          </cell>
          <cell r="AS1568">
            <v>19</v>
          </cell>
          <cell r="AT1568" t="str">
            <v>CM</v>
          </cell>
          <cell r="AU1568">
            <v>0</v>
          </cell>
          <cell r="AW1568">
            <v>0</v>
          </cell>
        </row>
        <row r="1569">
          <cell r="B1569" t="str">
            <v>H1W6KRSECSR-049</v>
          </cell>
          <cell r="C1569" t="str">
            <v>BERLİN PLATİN PASLANMAZ ŞEFFAF CAM APLİK</v>
          </cell>
          <cell r="D1569" t="str">
            <v>BERLİN PLATINUM  STEEL CLEAR GLASS WALL LAMP</v>
          </cell>
          <cell r="E1569" t="str">
            <v xml:space="preserve">PASLANMAZ CAM  PLATİN ŞEFFAF   </v>
          </cell>
          <cell r="F1569" t="str">
            <v/>
          </cell>
          <cell r="G1569" t="str">
            <v>APLİK</v>
          </cell>
          <cell r="H1569" t="str">
            <v/>
          </cell>
          <cell r="I1569" t="str">
            <v>İÇ</v>
          </cell>
          <cell r="J1569" t="str">
            <v>APLİK</v>
          </cell>
          <cell r="K1569" t="str">
            <v>BERLİN</v>
          </cell>
          <cell r="L1569" t="str">
            <v/>
          </cell>
          <cell r="M1569" t="str">
            <v>30.03.2026</v>
          </cell>
          <cell r="N1569" t="str">
            <v>HKA-24215</v>
          </cell>
          <cell r="O1569" t="str">
            <v>HEKA</v>
          </cell>
          <cell r="P1569" t="str">
            <v>ADET</v>
          </cell>
          <cell r="Q1569" t="str">
            <v>LED</v>
          </cell>
          <cell r="R1569" t="str">
            <v>PASLANMAZ</v>
          </cell>
          <cell r="S1569" t="str">
            <v>PLATİN</v>
          </cell>
          <cell r="T1569" t="str">
            <v>CAM</v>
          </cell>
          <cell r="U1569" t="str">
            <v>ŞEFFAF</v>
          </cell>
          <cell r="X1569" t="str">
            <v>110V-220V</v>
          </cell>
          <cell r="Z1569" t="str">
            <v>3000 K</v>
          </cell>
          <cell r="AF1569">
            <v>11</v>
          </cell>
          <cell r="AG1569" t="str">
            <v>ADET</v>
          </cell>
          <cell r="AH1569">
            <v>222.6</v>
          </cell>
          <cell r="AI1569" t="str">
            <v>CNY</v>
          </cell>
          <cell r="AJ1569">
            <v>16750</v>
          </cell>
          <cell r="AK1569" t="str">
            <v>TL</v>
          </cell>
          <cell r="AL1569">
            <v>1</v>
          </cell>
          <cell r="AM1569" t="str">
            <v>8684127513678</v>
          </cell>
          <cell r="AO1569">
            <v>0</v>
          </cell>
          <cell r="AQ1569">
            <v>49</v>
          </cell>
          <cell r="AR1569" t="str">
            <v>CM</v>
          </cell>
          <cell r="AS1569">
            <v>20</v>
          </cell>
          <cell r="AT1569" t="str">
            <v>CM</v>
          </cell>
          <cell r="AU1569">
            <v>0</v>
          </cell>
          <cell r="AW1569">
            <v>0</v>
          </cell>
        </row>
        <row r="1570">
          <cell r="B1570" t="str">
            <v>H1C6KMKECS0-068</v>
          </cell>
          <cell r="C1570" t="str">
            <v>BÜKREŞ ALTI KROM PASLANMAZ ŞEFFAF CAM AVİZE 68 CM</v>
          </cell>
          <cell r="D1570" t="str">
            <v>BÜKREŞ SIX CHROME STEEL CLEAR GLASS CHANDELIER 68 CM</v>
          </cell>
          <cell r="E1570" t="str">
            <v xml:space="preserve">PASLANMAZ CAM  KROM ŞEFFAF   </v>
          </cell>
          <cell r="F1570" t="str">
            <v/>
          </cell>
          <cell r="G1570" t="str">
            <v>AVİZE</v>
          </cell>
          <cell r="H1570" t="str">
            <v/>
          </cell>
          <cell r="I1570" t="str">
            <v>İÇ</v>
          </cell>
          <cell r="J1570" t="str">
            <v>AVİZE</v>
          </cell>
          <cell r="K1570" t="str">
            <v>BÜKREŞ</v>
          </cell>
          <cell r="L1570" t="str">
            <v/>
          </cell>
          <cell r="M1570" t="str">
            <v/>
          </cell>
          <cell r="N1570" t="str">
            <v>HKA-24222</v>
          </cell>
          <cell r="O1570" t="str">
            <v>HEKA</v>
          </cell>
          <cell r="P1570" t="str">
            <v>ADET</v>
          </cell>
          <cell r="Q1570" t="str">
            <v>LED</v>
          </cell>
          <cell r="R1570" t="str">
            <v>PASLANMAZ</v>
          </cell>
          <cell r="S1570" t="str">
            <v>KROM</v>
          </cell>
          <cell r="T1570" t="str">
            <v>CAM</v>
          </cell>
          <cell r="U1570" t="str">
            <v>ŞEFFAF</v>
          </cell>
          <cell r="X1570" t="str">
            <v>110V-220V</v>
          </cell>
          <cell r="Z1570" t="str">
            <v>3000 K</v>
          </cell>
          <cell r="AF1570">
            <v>21</v>
          </cell>
          <cell r="AG1570" t="str">
            <v>ADET</v>
          </cell>
          <cell r="AH1570">
            <v>637.5</v>
          </cell>
          <cell r="AI1570" t="str">
            <v>CNY</v>
          </cell>
          <cell r="AJ1570">
            <v>53550</v>
          </cell>
          <cell r="AK1570" t="str">
            <v>TL</v>
          </cell>
          <cell r="AL1570">
            <v>1</v>
          </cell>
          <cell r="AM1570" t="str">
            <v>8684127513746</v>
          </cell>
          <cell r="AO1570">
            <v>0</v>
          </cell>
          <cell r="AQ1570">
            <v>43</v>
          </cell>
          <cell r="AR1570" t="str">
            <v>CM</v>
          </cell>
          <cell r="AS1570">
            <v>68</v>
          </cell>
          <cell r="AT1570" t="str">
            <v>CM</v>
          </cell>
          <cell r="AU1570">
            <v>0</v>
          </cell>
          <cell r="AW1570">
            <v>0</v>
          </cell>
        </row>
        <row r="1571">
          <cell r="B1571" t="str">
            <v>H1C6R00ECS0-120</v>
          </cell>
          <cell r="C1571" t="str">
            <v>OXFORD PİRİNÇ ŞEFFAF YAPRAK CAM AVİZE 120 cm</v>
          </cell>
          <cell r="D1571" t="str">
            <v>OXFORD BRASS CLEAR LEAF GLASS CHANDELIER 120 cm</v>
          </cell>
          <cell r="E1571" t="str">
            <v xml:space="preserve">PRİNÇ CAM  ŞEFFAF   </v>
          </cell>
          <cell r="F1571" t="str">
            <v/>
          </cell>
          <cell r="G1571" t="str">
            <v>AVİZE</v>
          </cell>
          <cell r="H1571" t="str">
            <v/>
          </cell>
          <cell r="I1571" t="str">
            <v>İÇ</v>
          </cell>
          <cell r="J1571" t="str">
            <v>AVİZE</v>
          </cell>
          <cell r="K1571" t="str">
            <v>OXFORD</v>
          </cell>
          <cell r="L1571" t="str">
            <v/>
          </cell>
          <cell r="M1571" t="str">
            <v/>
          </cell>
          <cell r="N1571" t="str">
            <v>HKA-24208</v>
          </cell>
          <cell r="O1571" t="str">
            <v>HEKA</v>
          </cell>
          <cell r="P1571" t="str">
            <v>ADET</v>
          </cell>
          <cell r="Q1571" t="str">
            <v>LED</v>
          </cell>
          <cell r="R1571" t="str">
            <v>PİRİNÇ</v>
          </cell>
          <cell r="T1571" t="str">
            <v>CAM</v>
          </cell>
          <cell r="X1571" t="str">
            <v>220V</v>
          </cell>
          <cell r="Y1571" t="str">
            <v>46 WATT</v>
          </cell>
          <cell r="Z1571" t="str">
            <v>3000 K</v>
          </cell>
          <cell r="AB1571" t="str">
            <v>401-500</v>
          </cell>
          <cell r="AF1571">
            <v>1</v>
          </cell>
          <cell r="AG1571" t="str">
            <v>ADET</v>
          </cell>
          <cell r="AJ1571">
            <v>189900</v>
          </cell>
          <cell r="AK1571" t="str">
            <v>TL</v>
          </cell>
          <cell r="AL1571">
            <v>0</v>
          </cell>
          <cell r="AM1571" t="str">
            <v>8684127513913</v>
          </cell>
          <cell r="AO1571">
            <v>26.1</v>
          </cell>
          <cell r="AP1571" t="str">
            <v>KG</v>
          </cell>
          <cell r="AQ1571">
            <v>34</v>
          </cell>
          <cell r="AR1571" t="str">
            <v>CM</v>
          </cell>
          <cell r="AS1571">
            <v>80</v>
          </cell>
          <cell r="AT1571" t="str">
            <v>CM</v>
          </cell>
          <cell r="AU1571">
            <v>0</v>
          </cell>
          <cell r="AW1571">
            <v>0</v>
          </cell>
        </row>
        <row r="1572">
          <cell r="B1572" t="str">
            <v>H1F6ARVECSC-180</v>
          </cell>
          <cell r="C1572" t="str">
            <v>NARAMATA KAHVERENGİ AHŞAP ESKİTME LAMBADER</v>
          </cell>
          <cell r="D1572" t="str">
            <v>NARAMATA BROWN WOOD, CLEAR GLASS BRUSHED BRASS FLOOR LAMP</v>
          </cell>
          <cell r="E1572" t="str">
            <v xml:space="preserve">AHŞAP CAM  KAHVERENGİ ŞEFFAF   </v>
          </cell>
          <cell r="F1572" t="str">
            <v/>
          </cell>
          <cell r="G1572" t="str">
            <v>LAMBADER</v>
          </cell>
          <cell r="H1572" t="str">
            <v/>
          </cell>
          <cell r="I1572" t="str">
            <v>İÇ</v>
          </cell>
          <cell r="J1572" t="str">
            <v>LAMBADER</v>
          </cell>
          <cell r="K1572" t="str">
            <v>NARAMATA</v>
          </cell>
          <cell r="L1572" t="str">
            <v>Y</v>
          </cell>
          <cell r="M1572" t="str">
            <v/>
          </cell>
          <cell r="N1572" t="str">
            <v>HKA-24444</v>
          </cell>
          <cell r="P1572" t="str">
            <v>ADET</v>
          </cell>
          <cell r="Q1572" t="str">
            <v>LED</v>
          </cell>
          <cell r="R1572" t="str">
            <v>AHŞAP</v>
          </cell>
          <cell r="S1572" t="str">
            <v>KAHVERENGİ</v>
          </cell>
          <cell r="T1572" t="str">
            <v>CAM</v>
          </cell>
          <cell r="U1572" t="str">
            <v>ŞEFFAF</v>
          </cell>
          <cell r="AD1572" t="str">
            <v>SİLİNDİR</v>
          </cell>
          <cell r="AF1572">
            <v>6</v>
          </cell>
          <cell r="AG1572" t="str">
            <v>ADET</v>
          </cell>
          <cell r="AH1572">
            <v>3000</v>
          </cell>
          <cell r="AI1572" t="str">
            <v>CNY</v>
          </cell>
          <cell r="AJ1572">
            <v>157500</v>
          </cell>
          <cell r="AK1572" t="str">
            <v>TL</v>
          </cell>
          <cell r="AL1572">
            <v>1</v>
          </cell>
          <cell r="AM1572" t="str">
            <v>8684127514767</v>
          </cell>
          <cell r="AO1572">
            <v>0</v>
          </cell>
          <cell r="AQ1572">
            <v>0</v>
          </cell>
          <cell r="AS1572">
            <v>0</v>
          </cell>
          <cell r="AU1572">
            <v>0</v>
          </cell>
          <cell r="AW1572">
            <v>0</v>
          </cell>
        </row>
        <row r="1573">
          <cell r="B1573" t="str">
            <v>H1T6JMGBCSY-023</v>
          </cell>
          <cell r="C1573" t="str">
            <v>CARİNA KÜRE ŞEFFAF AKRİLİK GOLD MASA LAMBASI 23 cm</v>
          </cell>
          <cell r="D1573" t="str">
            <v>CARİNA SPHERE CLEAR ACRYLIC GOLD TABLE LAMP 23 cm</v>
          </cell>
          <cell r="E1573" t="str">
            <v xml:space="preserve">METAL AKRİLİK GOLD ŞEFFAF   </v>
          </cell>
          <cell r="F1573" t="str">
            <v>9405.11.90.00.00</v>
          </cell>
          <cell r="G1573" t="str">
            <v>MASAABAJ</v>
          </cell>
          <cell r="H1573" t="str">
            <v>T1A6241100-03</v>
          </cell>
          <cell r="I1573" t="str">
            <v>İÇ</v>
          </cell>
          <cell r="J1573" t="str">
            <v>MASAABAJ</v>
          </cell>
          <cell r="K1573" t="str">
            <v>CARİNA</v>
          </cell>
          <cell r="L1573" t="str">
            <v/>
          </cell>
          <cell r="M1573" t="str">
            <v/>
          </cell>
          <cell r="N1573" t="str">
            <v>HKA-24409</v>
          </cell>
          <cell r="O1573" t="str">
            <v>HEKA</v>
          </cell>
          <cell r="P1573" t="str">
            <v>ADET</v>
          </cell>
          <cell r="Q1573" t="str">
            <v>LED</v>
          </cell>
          <cell r="R1573" t="str">
            <v>METAL</v>
          </cell>
          <cell r="S1573" t="str">
            <v>GOLD</v>
          </cell>
          <cell r="T1573" t="str">
            <v>AKRİLİK</v>
          </cell>
          <cell r="U1573" t="str">
            <v>ŞEFFAF</v>
          </cell>
          <cell r="AD1573" t="str">
            <v>KÜRE</v>
          </cell>
          <cell r="AF1573">
            <v>19</v>
          </cell>
          <cell r="AG1573" t="str">
            <v>ADET</v>
          </cell>
          <cell r="AH1573">
            <v>280</v>
          </cell>
          <cell r="AI1573" t="str">
            <v>CNY</v>
          </cell>
          <cell r="AJ1573">
            <v>20650</v>
          </cell>
          <cell r="AK1573" t="str">
            <v>TL</v>
          </cell>
          <cell r="AL1573">
            <v>1</v>
          </cell>
          <cell r="AM1573" t="str">
            <v>8684127514088</v>
          </cell>
          <cell r="AO1573">
            <v>0</v>
          </cell>
          <cell r="AQ1573">
            <v>0</v>
          </cell>
          <cell r="AR1573" t="str">
            <v>CM</v>
          </cell>
          <cell r="AS1573">
            <v>0</v>
          </cell>
          <cell r="AT1573" t="str">
            <v>CM</v>
          </cell>
          <cell r="AU1573">
            <v>0</v>
          </cell>
          <cell r="AW1573">
            <v>0</v>
          </cell>
        </row>
        <row r="1574">
          <cell r="B1574" t="str">
            <v>H1W6JMEBCST-090</v>
          </cell>
          <cell r="C1574" t="str">
            <v>SOFYA ÜÇLÜ AKRİLİK ESKİTME APLİK 90cm</v>
          </cell>
          <cell r="D1574" t="str">
            <v>SOFYA TRIPLE ACRYLIC BRUSHED BRASS WALL LAMP 90cm</v>
          </cell>
          <cell r="E1574" t="str">
            <v xml:space="preserve">METAL AKRİLİK ESKİTME ŞEFFAF   </v>
          </cell>
          <cell r="F1574" t="str">
            <v>9405.11.90.00.00</v>
          </cell>
          <cell r="G1574" t="str">
            <v>APLİK</v>
          </cell>
          <cell r="H1574" t="str">
            <v>T1A6621100-21</v>
          </cell>
          <cell r="I1574" t="str">
            <v>İÇ</v>
          </cell>
          <cell r="J1574" t="str">
            <v>APLİK</v>
          </cell>
          <cell r="K1574" t="str">
            <v>SOFYA</v>
          </cell>
          <cell r="L1574" t="str">
            <v/>
          </cell>
          <cell r="M1574" t="str">
            <v>30.03.2026</v>
          </cell>
          <cell r="N1574" t="str">
            <v>HKA-24423</v>
          </cell>
          <cell r="O1574" t="str">
            <v>HEKA</v>
          </cell>
          <cell r="P1574" t="str">
            <v>ADET</v>
          </cell>
          <cell r="Q1574" t="str">
            <v>LED</v>
          </cell>
          <cell r="R1574" t="str">
            <v>METAL</v>
          </cell>
          <cell r="S1574" t="str">
            <v>ESKİTME</v>
          </cell>
          <cell r="T1574" t="str">
            <v>AKRİLİK</v>
          </cell>
          <cell r="U1574" t="str">
            <v>ŞEFFAF</v>
          </cell>
          <cell r="AD1574" t="str">
            <v>TIRTIKLI</v>
          </cell>
          <cell r="AF1574">
            <v>7</v>
          </cell>
          <cell r="AG1574" t="str">
            <v>ADET</v>
          </cell>
          <cell r="AJ1574">
            <v>15800</v>
          </cell>
          <cell r="AK1574" t="str">
            <v>TL</v>
          </cell>
          <cell r="AL1574">
            <v>1</v>
          </cell>
          <cell r="AM1574" t="str">
            <v>8684127514224</v>
          </cell>
          <cell r="AO1574">
            <v>0</v>
          </cell>
          <cell r="AQ1574">
            <v>0</v>
          </cell>
          <cell r="AR1574" t="str">
            <v>CM</v>
          </cell>
          <cell r="AS1574">
            <v>0</v>
          </cell>
          <cell r="AT1574" t="str">
            <v>CM</v>
          </cell>
          <cell r="AU1574">
            <v>0</v>
          </cell>
          <cell r="AW1574">
            <v>0</v>
          </cell>
        </row>
        <row r="1575">
          <cell r="B1575" t="str">
            <v>H1L2JMENRS1-053</v>
          </cell>
          <cell r="C1575" t="str">
            <v>BEROVA ESKİTME SİYAH PORSELEN ABAJUR</v>
          </cell>
          <cell r="D1575" t="str">
            <v>BEROVA BRUSHED BRASS BLACK PORCELAIN LAMPSHADE</v>
          </cell>
          <cell r="E1575" t="str">
            <v xml:space="preserve">METAL PORSELEN ESKİTME SİYAH  </v>
          </cell>
          <cell r="F1575" t="str">
            <v/>
          </cell>
          <cell r="G1575" t="str">
            <v>MASAABAJ</v>
          </cell>
          <cell r="H1575" t="str">
            <v/>
          </cell>
          <cell r="I1575" t="str">
            <v>İÇ</v>
          </cell>
          <cell r="J1575" t="str">
            <v>MASAABAJ</v>
          </cell>
          <cell r="K1575" t="str">
            <v>BEROVA</v>
          </cell>
          <cell r="L1575" t="str">
            <v/>
          </cell>
          <cell r="M1575" t="str">
            <v/>
          </cell>
          <cell r="N1575" t="str">
            <v>HKA-24266</v>
          </cell>
          <cell r="O1575" t="str">
            <v>HEKA</v>
          </cell>
          <cell r="P1575" t="str">
            <v>ADET</v>
          </cell>
          <cell r="Q1575" t="str">
            <v>E27</v>
          </cell>
          <cell r="R1575" t="str">
            <v>METAL</v>
          </cell>
          <cell r="S1575" t="str">
            <v>ESKİTME</v>
          </cell>
          <cell r="T1575" t="str">
            <v>PORSELEN</v>
          </cell>
          <cell r="U1575" t="str">
            <v>SİYAH</v>
          </cell>
          <cell r="AD1575" t="str">
            <v>TEKLİ</v>
          </cell>
          <cell r="AE1575" t="str">
            <v>01</v>
          </cell>
          <cell r="AF1575">
            <v>0</v>
          </cell>
          <cell r="AG1575" t="str">
            <v>ADET</v>
          </cell>
          <cell r="AH1575">
            <v>133</v>
          </cell>
          <cell r="AI1575" t="str">
            <v>CNY</v>
          </cell>
          <cell r="AJ1575">
            <v>11200</v>
          </cell>
          <cell r="AK1575" t="str">
            <v>TL</v>
          </cell>
          <cell r="AL1575">
            <v>1</v>
          </cell>
          <cell r="AO1575">
            <v>2.5</v>
          </cell>
          <cell r="AP1575" t="str">
            <v>KG</v>
          </cell>
          <cell r="AQ1575">
            <v>53</v>
          </cell>
          <cell r="AR1575" t="str">
            <v>CM</v>
          </cell>
          <cell r="AS1575">
            <v>18</v>
          </cell>
          <cell r="AT1575" t="str">
            <v>CM</v>
          </cell>
          <cell r="AU1575">
            <v>0</v>
          </cell>
          <cell r="AW1575">
            <v>0</v>
          </cell>
        </row>
        <row r="1576">
          <cell r="B1576" t="str">
            <v>H1L2JMEWRG1-059</v>
          </cell>
          <cell r="C1576" t="str">
            <v>PONZAN GRİ MERMER ESKİTME ABAJUR</v>
          </cell>
          <cell r="D1576" t="str">
            <v>PONZAN GREY MARBLE BURSHED BRASS LAMPSHADE</v>
          </cell>
          <cell r="E1576" t="str">
            <v>METAL MERMER ESKİTME GRİ</v>
          </cell>
          <cell r="F1576" t="str">
            <v/>
          </cell>
          <cell r="G1576" t="str">
            <v>MASAABAJ</v>
          </cell>
          <cell r="H1576" t="str">
            <v/>
          </cell>
          <cell r="I1576" t="str">
            <v>İÇ</v>
          </cell>
          <cell r="J1576" t="str">
            <v>MASAABAJ</v>
          </cell>
          <cell r="K1576" t="str">
            <v>PONZAN</v>
          </cell>
          <cell r="L1576" t="str">
            <v/>
          </cell>
          <cell r="M1576" t="str">
            <v/>
          </cell>
          <cell r="N1576" t="str">
            <v>HKA-24256</v>
          </cell>
          <cell r="O1576" t="str">
            <v>HEKA</v>
          </cell>
          <cell r="P1576" t="str">
            <v>ADET</v>
          </cell>
          <cell r="Q1576" t="str">
            <v>E27</v>
          </cell>
          <cell r="R1576" t="str">
            <v>METAL</v>
          </cell>
          <cell r="S1576" t="str">
            <v>ESKİTME</v>
          </cell>
          <cell r="T1576" t="str">
            <v>MERMER</v>
          </cell>
          <cell r="U1576" t="str">
            <v>GRİ</v>
          </cell>
          <cell r="AD1576" t="str">
            <v>TEKLİ</v>
          </cell>
          <cell r="AE1576" t="str">
            <v>01</v>
          </cell>
          <cell r="AF1576">
            <v>0</v>
          </cell>
          <cell r="AG1576" t="str">
            <v>ADET</v>
          </cell>
          <cell r="AH1576">
            <v>90.25</v>
          </cell>
          <cell r="AI1576" t="str">
            <v>CNY</v>
          </cell>
          <cell r="AJ1576">
            <v>7580</v>
          </cell>
          <cell r="AK1576" t="str">
            <v>TL</v>
          </cell>
          <cell r="AL1576">
            <v>1</v>
          </cell>
          <cell r="AM1576" t="str">
            <v>8684127514514</v>
          </cell>
          <cell r="AO1576">
            <v>3</v>
          </cell>
          <cell r="AP1576" t="str">
            <v>KG</v>
          </cell>
          <cell r="AQ1576">
            <v>59</v>
          </cell>
          <cell r="AR1576" t="str">
            <v>CM</v>
          </cell>
          <cell r="AS1576">
            <v>33</v>
          </cell>
          <cell r="AT1576" t="str">
            <v>CM</v>
          </cell>
          <cell r="AU1576">
            <v>0</v>
          </cell>
          <cell r="AW1576">
            <v>0</v>
          </cell>
        </row>
        <row r="1577">
          <cell r="B1577" t="str">
            <v>ADFLJMG0002-078</v>
          </cell>
          <cell r="C1577" t="str">
            <v>GOLD DUNYA AYAKLI DEKOR 78 CM</v>
          </cell>
          <cell r="D1577" t="str">
            <v>GOLD WORLD FOOTED DECOR 78 CM</v>
          </cell>
          <cell r="E1577" t="str">
            <v xml:space="preserve">METAL YOK GOLD YOK   </v>
          </cell>
          <cell r="F1577" t="str">
            <v/>
          </cell>
          <cell r="G1577" t="str">
            <v>AKSESUAR</v>
          </cell>
          <cell r="H1577" t="str">
            <v/>
          </cell>
          <cell r="I1577" t="str">
            <v>İÇ</v>
          </cell>
          <cell r="J1577" t="str">
            <v>AKSESUAR</v>
          </cell>
          <cell r="K1577" t="str">
            <v/>
          </cell>
          <cell r="L1577" t="str">
            <v/>
          </cell>
          <cell r="M1577" t="str">
            <v/>
          </cell>
          <cell r="N1577" t="str">
            <v>HAA-250052</v>
          </cell>
          <cell r="P1577" t="str">
            <v>ADET</v>
          </cell>
          <cell r="R1577" t="str">
            <v>METAL</v>
          </cell>
          <cell r="S1577" t="str">
            <v>GOLD</v>
          </cell>
          <cell r="AD1577" t="str">
            <v>BİBLO</v>
          </cell>
          <cell r="AF1577">
            <v>1</v>
          </cell>
          <cell r="AG1577" t="str">
            <v>ADET</v>
          </cell>
          <cell r="AH1577">
            <v>15609</v>
          </cell>
          <cell r="AI1577" t="str">
            <v>TL</v>
          </cell>
          <cell r="AJ1577">
            <v>37462</v>
          </cell>
          <cell r="AK1577" t="str">
            <v>TL</v>
          </cell>
          <cell r="AL1577">
            <v>1</v>
          </cell>
          <cell r="AO1577">
            <v>0</v>
          </cell>
          <cell r="AQ1577">
            <v>0</v>
          </cell>
          <cell r="AS1577">
            <v>0</v>
          </cell>
          <cell r="AU1577">
            <v>0</v>
          </cell>
          <cell r="AW1577">
            <v>0</v>
          </cell>
        </row>
        <row r="1578">
          <cell r="B1578" t="str">
            <v>AVFLERY0003-032</v>
          </cell>
          <cell r="C1578" t="str">
            <v>CAM YEŞİL KASE  32x14x17 cm</v>
          </cell>
          <cell r="D1578" t="str">
            <v>GLASS GREEN BOWL 32x14x17 cm</v>
          </cell>
          <cell r="E1578" t="str">
            <v xml:space="preserve">CAM  YOK YEŞİL YOK   </v>
          </cell>
          <cell r="F1578" t="str">
            <v/>
          </cell>
          <cell r="G1578" t="str">
            <v>AKSESUAR</v>
          </cell>
          <cell r="H1578" t="str">
            <v/>
          </cell>
          <cell r="I1578" t="str">
            <v>İÇ</v>
          </cell>
          <cell r="J1578" t="str">
            <v>AKSESUAR</v>
          </cell>
          <cell r="K1578" t="str">
            <v/>
          </cell>
          <cell r="L1578" t="str">
            <v/>
          </cell>
          <cell r="M1578" t="str">
            <v/>
          </cell>
          <cell r="N1578" t="str">
            <v>HAA-250056</v>
          </cell>
          <cell r="P1578" t="str">
            <v>ADET</v>
          </cell>
          <cell r="R1578" t="str">
            <v>CAM</v>
          </cell>
          <cell r="S1578" t="str">
            <v>YEŞİL</v>
          </cell>
          <cell r="AD1578" t="str">
            <v>KASE</v>
          </cell>
          <cell r="AF1578">
            <v>0</v>
          </cell>
          <cell r="AG1578" t="str">
            <v>ADET</v>
          </cell>
          <cell r="AH1578">
            <v>2450</v>
          </cell>
          <cell r="AI1578" t="str">
            <v>TL</v>
          </cell>
          <cell r="AJ1578">
            <v>4900</v>
          </cell>
          <cell r="AK1578" t="str">
            <v>TL</v>
          </cell>
          <cell r="AL1578">
            <v>1</v>
          </cell>
          <cell r="AO1578">
            <v>0</v>
          </cell>
          <cell r="AQ1578">
            <v>0</v>
          </cell>
          <cell r="AS1578">
            <v>0</v>
          </cell>
          <cell r="AU1578">
            <v>0</v>
          </cell>
          <cell r="AW1578">
            <v>0</v>
          </cell>
        </row>
        <row r="1579">
          <cell r="B1579" t="str">
            <v>AVFMERG0008-108</v>
          </cell>
          <cell r="C1579" t="str">
            <v>SİYAH ÇİÇEK DESENLİ BÜYÜK VAZO 24,5x108cm</v>
          </cell>
          <cell r="D1579" t="str">
            <v>BLACK FLOWER PATTERNED BIG VASE 24,5x108 cm</v>
          </cell>
          <cell r="E1579" t="str">
            <v xml:space="preserve">CAM  YOK GRİ YOK   </v>
          </cell>
          <cell r="F1579" t="str">
            <v/>
          </cell>
          <cell r="G1579" t="str">
            <v>AKSESUAR</v>
          </cell>
          <cell r="H1579" t="str">
            <v/>
          </cell>
          <cell r="I1579" t="str">
            <v>İÇ</v>
          </cell>
          <cell r="J1579" t="str">
            <v>AKSESUAR</v>
          </cell>
          <cell r="K1579" t="str">
            <v/>
          </cell>
          <cell r="L1579" t="str">
            <v/>
          </cell>
          <cell r="M1579" t="str">
            <v/>
          </cell>
          <cell r="N1579" t="str">
            <v>HAA-250020</v>
          </cell>
          <cell r="P1579" t="str">
            <v>ADET</v>
          </cell>
          <cell r="R1579" t="str">
            <v>CAM</v>
          </cell>
          <cell r="S1579" t="str">
            <v>GRİ</v>
          </cell>
          <cell r="AD1579" t="str">
            <v>DESENLİ</v>
          </cell>
          <cell r="AF1579">
            <v>0</v>
          </cell>
          <cell r="AG1579" t="str">
            <v>ADET</v>
          </cell>
          <cell r="AJ1579">
            <v>19124</v>
          </cell>
          <cell r="AK1579" t="str">
            <v>TL</v>
          </cell>
          <cell r="AL1579">
            <v>1</v>
          </cell>
          <cell r="AO1579">
            <v>0</v>
          </cell>
          <cell r="AQ1579">
            <v>0</v>
          </cell>
          <cell r="AS1579">
            <v>0</v>
          </cell>
          <cell r="AU1579">
            <v>0</v>
          </cell>
          <cell r="AW1579">
            <v>0</v>
          </cell>
        </row>
        <row r="1580">
          <cell r="B1580" t="str">
            <v>ADFMJRUWSB9-047</v>
          </cell>
          <cell r="C1580" t="str">
            <v>GÜMÜŞ DAMALI GLOBE DEKOR 36x13x46,5 cm</v>
          </cell>
          <cell r="D1580" t="str">
            <v>SILVER CHECKERED GLOBE DECOR 36x13x46,5 cm</v>
          </cell>
          <cell r="E1580" t="str">
            <v xml:space="preserve">METAL MERMER GÜMÜŞ SİYAH-BEYAZ  </v>
          </cell>
          <cell r="F1580" t="str">
            <v/>
          </cell>
          <cell r="G1580" t="str">
            <v>AKSESUAR</v>
          </cell>
          <cell r="H1580" t="str">
            <v/>
          </cell>
          <cell r="I1580" t="str">
            <v>İÇ</v>
          </cell>
          <cell r="J1580" t="str">
            <v>AKSESUAR</v>
          </cell>
          <cell r="K1580" t="str">
            <v/>
          </cell>
          <cell r="L1580" t="str">
            <v/>
          </cell>
          <cell r="M1580" t="str">
            <v/>
          </cell>
          <cell r="N1580" t="str">
            <v>HAA-250022</v>
          </cell>
          <cell r="P1580" t="str">
            <v>ADET</v>
          </cell>
          <cell r="R1580" t="str">
            <v>METAL</v>
          </cell>
          <cell r="S1580" t="str">
            <v>GÜMÜŞ</v>
          </cell>
          <cell r="T1580" t="str">
            <v>MERMER</v>
          </cell>
          <cell r="U1580" t="str">
            <v>SİYAH-BEYAZ</v>
          </cell>
          <cell r="AD1580" t="str">
            <v>DAMALI</v>
          </cell>
          <cell r="AF1580">
            <v>1</v>
          </cell>
          <cell r="AG1580" t="str">
            <v>ADET</v>
          </cell>
          <cell r="AJ1580">
            <v>8862</v>
          </cell>
          <cell r="AK1580" t="str">
            <v>TL</v>
          </cell>
          <cell r="AL1580">
            <v>1</v>
          </cell>
          <cell r="AO1580">
            <v>0</v>
          </cell>
          <cell r="AQ1580">
            <v>0</v>
          </cell>
          <cell r="AS1580">
            <v>0</v>
          </cell>
          <cell r="AU1580">
            <v>0</v>
          </cell>
          <cell r="AW1580">
            <v>0</v>
          </cell>
        </row>
        <row r="1581">
          <cell r="B1581" t="str">
            <v>ADFMERYERM2-032</v>
          </cell>
          <cell r="C1581" t="str">
            <v>YEŞİL MAVİ YAPRAK DEKOR KÜÇÜK 12x6x32 cm</v>
          </cell>
          <cell r="D1581" t="str">
            <v>GREEN BLUE LEAF DECOR SMALL 12x6x32 cm</v>
          </cell>
          <cell r="E1581" t="str">
            <v xml:space="preserve">CAM  CAM  YEŞİL MAVİ   </v>
          </cell>
          <cell r="F1581" t="str">
            <v/>
          </cell>
          <cell r="G1581" t="str">
            <v>AKSESUAR</v>
          </cell>
          <cell r="H1581" t="str">
            <v/>
          </cell>
          <cell r="I1581" t="str">
            <v>İÇ</v>
          </cell>
          <cell r="J1581" t="str">
            <v>AKSESUAR</v>
          </cell>
          <cell r="K1581" t="str">
            <v/>
          </cell>
          <cell r="L1581" t="str">
            <v/>
          </cell>
          <cell r="M1581" t="str">
            <v/>
          </cell>
          <cell r="N1581" t="str">
            <v>HAA-250027</v>
          </cell>
          <cell r="P1581" t="str">
            <v>ADET</v>
          </cell>
          <cell r="R1581" t="str">
            <v>CAM</v>
          </cell>
          <cell r="S1581" t="str">
            <v>YEŞİL</v>
          </cell>
          <cell r="T1581" t="str">
            <v>CAM</v>
          </cell>
          <cell r="U1581" t="str">
            <v>MAVİ</v>
          </cell>
          <cell r="AD1581" t="str">
            <v>BİBLO</v>
          </cell>
          <cell r="AF1581">
            <v>0</v>
          </cell>
          <cell r="AG1581" t="str">
            <v>ADET</v>
          </cell>
          <cell r="AJ1581">
            <v>2745</v>
          </cell>
          <cell r="AK1581" t="str">
            <v>TL</v>
          </cell>
          <cell r="AL1581">
            <v>1</v>
          </cell>
          <cell r="AO1581">
            <v>0</v>
          </cell>
          <cell r="AQ1581">
            <v>0</v>
          </cell>
          <cell r="AS1581">
            <v>0</v>
          </cell>
          <cell r="AU1581">
            <v>0</v>
          </cell>
          <cell r="AW1581">
            <v>0</v>
          </cell>
        </row>
        <row r="1582">
          <cell r="B1582" t="str">
            <v>MPFIZBJ000T-076</v>
          </cell>
          <cell r="C1582" t="str">
            <v>MERKÜR POLİÜRETAN TEKLİ YAN SEHPA</v>
          </cell>
          <cell r="D1582" t="str">
            <v>MERKÜR POLYURETHANE SINGLE SIDE TABLE</v>
          </cell>
          <cell r="E1582" t="str">
            <v xml:space="preserve">POLİÜRETAN YOK BEJ YOK   </v>
          </cell>
          <cell r="F1582" t="str">
            <v/>
          </cell>
          <cell r="G1582" t="str">
            <v>MOBİLYA</v>
          </cell>
          <cell r="H1582" t="str">
            <v/>
          </cell>
          <cell r="I1582" t="str">
            <v>İÇ</v>
          </cell>
          <cell r="J1582" t="str">
            <v>MOBİLYA</v>
          </cell>
          <cell r="K1582" t="str">
            <v>MERKÜR</v>
          </cell>
          <cell r="L1582" t="str">
            <v/>
          </cell>
          <cell r="M1582" t="str">
            <v>ÜRTM:20GÜN</v>
          </cell>
          <cell r="N1582" t="str">
            <v>HKM-24010</v>
          </cell>
          <cell r="P1582" t="str">
            <v>ADET</v>
          </cell>
          <cell r="R1582" t="str">
            <v>POLİÜRETAN</v>
          </cell>
          <cell r="S1582" t="str">
            <v>BEJ</v>
          </cell>
          <cell r="AD1582" t="str">
            <v>TEKLİ</v>
          </cell>
          <cell r="AF1582">
            <v>1</v>
          </cell>
          <cell r="AG1582" t="str">
            <v>ADET</v>
          </cell>
          <cell r="AH1582">
            <v>7920</v>
          </cell>
          <cell r="AI1582" t="str">
            <v>TL</v>
          </cell>
          <cell r="AJ1582">
            <v>23900</v>
          </cell>
          <cell r="AK1582" t="str">
            <v>TL</v>
          </cell>
          <cell r="AL1582">
            <v>1</v>
          </cell>
          <cell r="AO1582">
            <v>0</v>
          </cell>
          <cell r="AQ1582">
            <v>0</v>
          </cell>
          <cell r="AS1582">
            <v>0</v>
          </cell>
          <cell r="AU1582">
            <v>0</v>
          </cell>
          <cell r="AW1582">
            <v>0</v>
          </cell>
        </row>
        <row r="1583">
          <cell r="B1583" t="str">
            <v>MNFRAAKHRG0-078</v>
          </cell>
          <cell r="C1583" t="str">
            <v>LUNA KAYIN AĞACI GRİ KUMAŞ SANDALYE</v>
          </cell>
          <cell r="D1583" t="str">
            <v>LUNA BEECH GRAY FABRIC CHAIR</v>
          </cell>
          <cell r="E1583" t="str">
            <v xml:space="preserve">AHŞAP KUMAŞ KAYIN GRİ   </v>
          </cell>
          <cell r="F1583" t="str">
            <v/>
          </cell>
          <cell r="G1583" t="str">
            <v>MOBİLYA</v>
          </cell>
          <cell r="H1583" t="str">
            <v/>
          </cell>
          <cell r="I1583" t="str">
            <v>İÇ</v>
          </cell>
          <cell r="J1583" t="str">
            <v>MOBİLYA</v>
          </cell>
          <cell r="K1583" t="str">
            <v>LUNA</v>
          </cell>
          <cell r="L1583" t="str">
            <v/>
          </cell>
          <cell r="M1583" t="str">
            <v/>
          </cell>
          <cell r="N1583" t="str">
            <v>HKM-24012</v>
          </cell>
          <cell r="P1583" t="str">
            <v>ADET</v>
          </cell>
          <cell r="R1583" t="str">
            <v>AHŞAP</v>
          </cell>
          <cell r="S1583" t="str">
            <v>KAYIN</v>
          </cell>
          <cell r="T1583" t="str">
            <v>KUMAŞ</v>
          </cell>
          <cell r="U1583" t="str">
            <v>GRİ</v>
          </cell>
          <cell r="AF1583">
            <v>4</v>
          </cell>
          <cell r="AG1583" t="str">
            <v>ADET</v>
          </cell>
          <cell r="AJ1583">
            <v>14700</v>
          </cell>
          <cell r="AK1583" t="str">
            <v>TL</v>
          </cell>
          <cell r="AL1583">
            <v>1</v>
          </cell>
          <cell r="AO1583">
            <v>0</v>
          </cell>
          <cell r="AQ1583">
            <v>0</v>
          </cell>
          <cell r="AS1583">
            <v>0</v>
          </cell>
          <cell r="AU1583">
            <v>0</v>
          </cell>
          <cell r="AW1583">
            <v>0</v>
          </cell>
        </row>
        <row r="1584">
          <cell r="B1584" t="str">
            <v>MPFIAACWRB0-055</v>
          </cell>
          <cell r="C1584" t="str">
            <v>PICUS CEVİZ AĞACI BEYAZ MERMER  ESKİTME YAN SEHPA</v>
          </cell>
          <cell r="D1584" t="str">
            <v>PICUS WALNUT WOOD WHITE MARBLE BRUSHED BRASS SIDE TABLE</v>
          </cell>
          <cell r="E1584" t="str">
            <v xml:space="preserve">AHŞAP MERMER CEVİZ BEYAZ   </v>
          </cell>
          <cell r="F1584" t="str">
            <v/>
          </cell>
          <cell r="G1584" t="str">
            <v>MOBİLYA</v>
          </cell>
          <cell r="H1584" t="str">
            <v/>
          </cell>
          <cell r="I1584" t="str">
            <v>İÇ</v>
          </cell>
          <cell r="J1584" t="str">
            <v>MOBİLYA</v>
          </cell>
          <cell r="K1584" t="str">
            <v>PICUS</v>
          </cell>
          <cell r="L1584" t="str">
            <v/>
          </cell>
          <cell r="M1584" t="str">
            <v/>
          </cell>
          <cell r="N1584" t="str">
            <v>HKM-24014</v>
          </cell>
          <cell r="P1584" t="str">
            <v>ADET</v>
          </cell>
          <cell r="R1584" t="str">
            <v>AHŞAP</v>
          </cell>
          <cell r="S1584" t="str">
            <v>CEVİZ</v>
          </cell>
          <cell r="T1584" t="str">
            <v>MERMER</v>
          </cell>
          <cell r="U1584" t="str">
            <v>BEYAZ</v>
          </cell>
          <cell r="AG1584" t="str">
            <v>ADET</v>
          </cell>
          <cell r="AL1584">
            <v>1</v>
          </cell>
          <cell r="AO1584">
            <v>0</v>
          </cell>
          <cell r="AQ1584">
            <v>0</v>
          </cell>
          <cell r="AS1584">
            <v>0</v>
          </cell>
          <cell r="AU1584">
            <v>0</v>
          </cell>
          <cell r="AW1584">
            <v>0</v>
          </cell>
        </row>
        <row r="1585">
          <cell r="B1585" t="str">
            <v>CA2G1C3M2J5V1</v>
          </cell>
          <cell r="C1585" t="str">
            <v>ERD-304 A60 ŞEFFAF 12W 3000K E27 LED AMPUL</v>
          </cell>
          <cell r="D1585" t="str">
            <v>ERD-304 A60 CLEAR 12W 3000K E27 LED BULB</v>
          </cell>
          <cell r="E1585" t="str">
            <v>CAM METAL ŞEFFAF FLAMENT DIMMLI A60</v>
          </cell>
          <cell r="F1585" t="str">
            <v>8539.52.00.00.00</v>
          </cell>
          <cell r="G1585" t="str">
            <v>AMPUL</v>
          </cell>
          <cell r="H1585" t="str">
            <v>ERD-252</v>
          </cell>
          <cell r="I1585" t="str">
            <v>İÇ</v>
          </cell>
          <cell r="J1585" t="str">
            <v>AMPUL</v>
          </cell>
          <cell r="K1585" t="str">
            <v>ERD-304</v>
          </cell>
          <cell r="L1585" t="str">
            <v/>
          </cell>
          <cell r="M1585" t="str">
            <v/>
          </cell>
          <cell r="N1585" t="str">
            <v>ERD-304</v>
          </cell>
          <cell r="O1585" t="str">
            <v>HEKA</v>
          </cell>
          <cell r="P1585" t="str">
            <v>ADET</v>
          </cell>
          <cell r="Q1585" t="str">
            <v>E27</v>
          </cell>
          <cell r="R1585" t="str">
            <v>CAM</v>
          </cell>
          <cell r="S1585" t="str">
            <v>ŞEFFAF</v>
          </cell>
          <cell r="T1585" t="str">
            <v>METAL</v>
          </cell>
          <cell r="V1585" t="str">
            <v>D</v>
          </cell>
          <cell r="W1585" t="str">
            <v>FLAMENT</v>
          </cell>
          <cell r="X1585" t="str">
            <v>220V</v>
          </cell>
          <cell r="Y1585" t="str">
            <v>12 WATT</v>
          </cell>
          <cell r="Z1585" t="str">
            <v>3000 K</v>
          </cell>
          <cell r="AA1585" t="str">
            <v>DIMMLI</v>
          </cell>
          <cell r="AB1585" t="str">
            <v>1501-1600</v>
          </cell>
          <cell r="AC1585" t="str">
            <v>A60</v>
          </cell>
          <cell r="AD1585" t="str">
            <v>N/A</v>
          </cell>
          <cell r="AF1585">
            <v>4355</v>
          </cell>
          <cell r="AG1585" t="str">
            <v>ADET</v>
          </cell>
          <cell r="AH1585">
            <v>0.89</v>
          </cell>
          <cell r="AI1585" t="str">
            <v>USD</v>
          </cell>
          <cell r="AJ1585">
            <v>4.7</v>
          </cell>
          <cell r="AK1585" t="str">
            <v>USD</v>
          </cell>
          <cell r="AL1585">
            <v>1</v>
          </cell>
          <cell r="AM1585" t="str">
            <v>8684127514675</v>
          </cell>
          <cell r="AN1585" t="str">
            <v>8684127514682</v>
          </cell>
          <cell r="AO1585">
            <v>0</v>
          </cell>
          <cell r="AQ1585">
            <v>6</v>
          </cell>
          <cell r="AR1585" t="str">
            <v>CM</v>
          </cell>
          <cell r="AS1585">
            <v>6</v>
          </cell>
          <cell r="AT1585" t="str">
            <v>CM</v>
          </cell>
          <cell r="AU1585">
            <v>0</v>
          </cell>
          <cell r="AW1585">
            <v>0</v>
          </cell>
        </row>
        <row r="1586">
          <cell r="B1586" t="str">
            <v>H1F6JMKWRB0-173</v>
          </cell>
          <cell r="C1586" t="str">
            <v>SANTIAGO BEYAZ MERMER KROM LAMBADER</v>
          </cell>
          <cell r="D1586" t="str">
            <v>SANTIAGO WHITE MARBLE CHROME FLOOR LAMP</v>
          </cell>
          <cell r="E1586" t="str">
            <v xml:space="preserve">METAL MERMER KROM BEYAZ   </v>
          </cell>
          <cell r="F1586" t="str">
            <v/>
          </cell>
          <cell r="G1586" t="str">
            <v>LAMBADER</v>
          </cell>
          <cell r="H1586" t="str">
            <v/>
          </cell>
          <cell r="I1586" t="str">
            <v>İÇ</v>
          </cell>
          <cell r="J1586" t="str">
            <v>LAMBADER</v>
          </cell>
          <cell r="K1586" t="str">
            <v>SANTIAGO</v>
          </cell>
          <cell r="L1586" t="str">
            <v/>
          </cell>
          <cell r="M1586" t="str">
            <v/>
          </cell>
          <cell r="N1586" t="str">
            <v>HKA-24450</v>
          </cell>
          <cell r="O1586" t="str">
            <v>HEKA</v>
          </cell>
          <cell r="P1586" t="str">
            <v>ADET</v>
          </cell>
          <cell r="Q1586" t="str">
            <v>LED</v>
          </cell>
          <cell r="R1586" t="str">
            <v>METAL</v>
          </cell>
          <cell r="S1586" t="str">
            <v>KROM</v>
          </cell>
          <cell r="T1586" t="str">
            <v>MERMER</v>
          </cell>
          <cell r="U1586" t="str">
            <v>BEYAZ</v>
          </cell>
          <cell r="AD1586" t="str">
            <v>N/A</v>
          </cell>
          <cell r="AE1586" t="str">
            <v>01</v>
          </cell>
          <cell r="AF1586">
            <v>0</v>
          </cell>
          <cell r="AG1586" t="str">
            <v>ADET</v>
          </cell>
          <cell r="AH1586">
            <v>1500</v>
          </cell>
          <cell r="AI1586" t="str">
            <v>CNY</v>
          </cell>
          <cell r="AJ1586">
            <v>104750</v>
          </cell>
          <cell r="AK1586" t="str">
            <v>TL</v>
          </cell>
          <cell r="AL1586">
            <v>1</v>
          </cell>
          <cell r="AM1586" t="str">
            <v>8684127514835</v>
          </cell>
          <cell r="AO1586">
            <v>0</v>
          </cell>
          <cell r="AP1586" t="str">
            <v>KG</v>
          </cell>
          <cell r="AQ1586">
            <v>0</v>
          </cell>
          <cell r="AR1586" t="str">
            <v>CM</v>
          </cell>
          <cell r="AS1586">
            <v>0</v>
          </cell>
          <cell r="AT1586" t="str">
            <v>CM</v>
          </cell>
          <cell r="AU1586">
            <v>0</v>
          </cell>
          <cell r="AW1586">
            <v>0</v>
          </cell>
        </row>
        <row r="1587">
          <cell r="B1587" t="str">
            <v>H1T6JMKECBU-040</v>
          </cell>
          <cell r="C1587" t="str">
            <v>NUBLE ŞEFFAF BUZLU CAM KROM METAL MASA LAMBASI</v>
          </cell>
          <cell r="D1587" t="str">
            <v>NUBLE CLEAR FROSTED GLASS CHROME TABLE LAMP</v>
          </cell>
          <cell r="E1587" t="str">
            <v xml:space="preserve">METAL CAM  KROM BUZLU   </v>
          </cell>
          <cell r="F1587" t="str">
            <v/>
          </cell>
          <cell r="G1587" t="str">
            <v>MASAABAJ</v>
          </cell>
          <cell r="H1587" t="str">
            <v/>
          </cell>
          <cell r="I1587" t="str">
            <v>İÇ</v>
          </cell>
          <cell r="J1587" t="str">
            <v>MASAABAJ</v>
          </cell>
          <cell r="K1587" t="str">
            <v>NUBLE</v>
          </cell>
          <cell r="L1587" t="str">
            <v/>
          </cell>
          <cell r="M1587" t="str">
            <v/>
          </cell>
          <cell r="N1587" t="str">
            <v>HKA-24452</v>
          </cell>
          <cell r="O1587" t="str">
            <v>HEKA</v>
          </cell>
          <cell r="P1587" t="str">
            <v>ADET</v>
          </cell>
          <cell r="Q1587" t="str">
            <v>LED</v>
          </cell>
          <cell r="R1587" t="str">
            <v>METAL</v>
          </cell>
          <cell r="S1587" t="str">
            <v>KROM</v>
          </cell>
          <cell r="T1587" t="str">
            <v>CAM</v>
          </cell>
          <cell r="U1587" t="str">
            <v>BUZLU</v>
          </cell>
          <cell r="AD1587" t="str">
            <v>ÜÇGEN</v>
          </cell>
          <cell r="AF1587">
            <v>1</v>
          </cell>
          <cell r="AG1587" t="str">
            <v>ADET</v>
          </cell>
          <cell r="AH1587">
            <v>400</v>
          </cell>
          <cell r="AI1587" t="str">
            <v>CNY</v>
          </cell>
          <cell r="AJ1587">
            <v>27950</v>
          </cell>
          <cell r="AK1587" t="str">
            <v>TL</v>
          </cell>
          <cell r="AL1587">
            <v>1</v>
          </cell>
          <cell r="AM1587" t="str">
            <v>8684127514859</v>
          </cell>
          <cell r="AO1587">
            <v>0</v>
          </cell>
          <cell r="AQ1587">
            <v>0</v>
          </cell>
          <cell r="AS1587">
            <v>0</v>
          </cell>
          <cell r="AU1587">
            <v>0</v>
          </cell>
          <cell r="AW1587">
            <v>0</v>
          </cell>
        </row>
        <row r="1588">
          <cell r="B1588" t="str">
            <v>CM3G2P302D8G1</v>
          </cell>
          <cell r="C1588" t="str">
            <v>ERD-305 MISIR ŞEFFAF 5W 6500K G9 LED AMPUL</v>
          </cell>
          <cell r="D1588" t="str">
            <v>ERD-305 CORN CLEAR 5W 6500K G9 LED BULB</v>
          </cell>
          <cell r="E1588" t="str">
            <v xml:space="preserve">SMD LED YOK PLASTİK 220v   </v>
          </cell>
          <cell r="F1588" t="str">
            <v/>
          </cell>
          <cell r="G1588" t="str">
            <v>AMPUL</v>
          </cell>
          <cell r="H1588" t="str">
            <v/>
          </cell>
          <cell r="I1588" t="str">
            <v>İÇ</v>
          </cell>
          <cell r="J1588" t="str">
            <v>AMPUL</v>
          </cell>
          <cell r="K1588" t="str">
            <v>ERD-305</v>
          </cell>
          <cell r="L1588" t="str">
            <v/>
          </cell>
          <cell r="M1588" t="str">
            <v/>
          </cell>
          <cell r="N1588" t="str">
            <v>ERD-305</v>
          </cell>
          <cell r="O1588" t="str">
            <v>HEKA</v>
          </cell>
          <cell r="P1588" t="str">
            <v>ADET</v>
          </cell>
          <cell r="Q1588" t="str">
            <v>G9</v>
          </cell>
          <cell r="R1588" t="str">
            <v>PLASTİK</v>
          </cell>
          <cell r="S1588" t="str">
            <v>ŞEFFAF</v>
          </cell>
          <cell r="V1588" t="str">
            <v>G</v>
          </cell>
          <cell r="W1588" t="str">
            <v>SMD LED</v>
          </cell>
          <cell r="X1588" t="str">
            <v>220V</v>
          </cell>
          <cell r="Y1588" t="str">
            <v>5 WATT</v>
          </cell>
          <cell r="Z1588" t="str">
            <v>6500 K</v>
          </cell>
          <cell r="AA1588" t="str">
            <v>DIMMLI</v>
          </cell>
          <cell r="AB1588" t="str">
            <v>201-300</v>
          </cell>
          <cell r="AC1588" t="str">
            <v>MISIR</v>
          </cell>
          <cell r="AF1588">
            <v>-7</v>
          </cell>
          <cell r="AG1588" t="str">
            <v>ADET</v>
          </cell>
          <cell r="AJ1588">
            <v>1.3</v>
          </cell>
          <cell r="AK1588" t="str">
            <v>USD</v>
          </cell>
          <cell r="AL1588">
            <v>1</v>
          </cell>
          <cell r="AM1588" t="str">
            <v>8684127514873</v>
          </cell>
          <cell r="AN1588" t="str">
            <v>8684127514880</v>
          </cell>
          <cell r="AO1588">
            <v>0</v>
          </cell>
          <cell r="AQ1588">
            <v>1.5</v>
          </cell>
          <cell r="AR1588" t="str">
            <v>CM</v>
          </cell>
          <cell r="AS1588">
            <v>1.5</v>
          </cell>
          <cell r="AT1588" t="str">
            <v>CM</v>
          </cell>
          <cell r="AU1588">
            <v>0</v>
          </cell>
          <cell r="AW1588">
            <v>0</v>
          </cell>
        </row>
        <row r="1589">
          <cell r="B1589" t="str">
            <v>H1C6WRBJME0-130</v>
          </cell>
          <cell r="C1589" t="str">
            <v>HARTUM MERMER Y.MASASI ESKİTME AVİZE 130cm</v>
          </cell>
          <cell r="D1589" t="str">
            <v>HARTUM MARBLE BRUSHED BRASS CHANDELIER 130cm</v>
          </cell>
          <cell r="E1589" t="str">
            <v xml:space="preserve">MERMER METAL BEYAZ ESKİTME   </v>
          </cell>
          <cell r="F1589" t="str">
            <v/>
          </cell>
          <cell r="G1589" t="str">
            <v>AVİZE</v>
          </cell>
          <cell r="H1589" t="str">
            <v/>
          </cell>
          <cell r="I1589" t="str">
            <v>İÇ</v>
          </cell>
          <cell r="J1589" t="str">
            <v>AVİZE</v>
          </cell>
          <cell r="K1589" t="str">
            <v>HARTUM</v>
          </cell>
          <cell r="L1589" t="str">
            <v/>
          </cell>
          <cell r="M1589" t="str">
            <v>20.04.2026</v>
          </cell>
          <cell r="N1589" t="str">
            <v>HKA-24233</v>
          </cell>
          <cell r="O1589" t="str">
            <v>HEKA</v>
          </cell>
          <cell r="P1589" t="str">
            <v>ADET</v>
          </cell>
          <cell r="Q1589" t="str">
            <v>LED</v>
          </cell>
          <cell r="R1589" t="str">
            <v>MERMER</v>
          </cell>
          <cell r="S1589" t="str">
            <v>BEYAZ</v>
          </cell>
          <cell r="T1589" t="str">
            <v>METAL</v>
          </cell>
          <cell r="U1589" t="str">
            <v>ESKİTME</v>
          </cell>
          <cell r="X1589" t="str">
            <v>220V</v>
          </cell>
          <cell r="Z1589" t="str">
            <v>3000 K</v>
          </cell>
          <cell r="AD1589" t="str">
            <v>SİLİNDİR</v>
          </cell>
          <cell r="AF1589">
            <v>10</v>
          </cell>
          <cell r="AG1589" t="str">
            <v>ADET</v>
          </cell>
          <cell r="AH1589">
            <v>1872</v>
          </cell>
          <cell r="AI1589" t="str">
            <v>CNY</v>
          </cell>
          <cell r="AJ1589">
            <v>156900</v>
          </cell>
          <cell r="AK1589" t="str">
            <v>TL</v>
          </cell>
          <cell r="AL1589">
            <v>1</v>
          </cell>
          <cell r="AM1589" t="str">
            <v>8684127513364</v>
          </cell>
          <cell r="AO1589">
            <v>10.6</v>
          </cell>
          <cell r="AP1589" t="str">
            <v>KG</v>
          </cell>
          <cell r="AQ1589">
            <v>45</v>
          </cell>
          <cell r="AR1589" t="str">
            <v>CM</v>
          </cell>
          <cell r="AS1589">
            <v>12</v>
          </cell>
          <cell r="AT1589" t="str">
            <v>CM</v>
          </cell>
          <cell r="AU1589">
            <v>0</v>
          </cell>
          <cell r="AW1589">
            <v>0</v>
          </cell>
        </row>
        <row r="1590">
          <cell r="B1590" t="str">
            <v>H1F6KRSBRB0-146</v>
          </cell>
          <cell r="C1590" t="str">
            <v>OSLO PLATİN PASLANMAZ BEYAZ AKRİLİK LAMBADER</v>
          </cell>
          <cell r="D1590" t="str">
            <v>OSLO PLATINUM STAINLESS STEEL WHITE ACYRLIC FLOOR LAMP</v>
          </cell>
          <cell r="E1590" t="str">
            <v xml:space="preserve">PASLANMAZ AKRİLİK PLATİN BEYAZ   </v>
          </cell>
          <cell r="F1590" t="str">
            <v/>
          </cell>
          <cell r="G1590" t="str">
            <v>LAMBADER</v>
          </cell>
          <cell r="H1590" t="str">
            <v/>
          </cell>
          <cell r="I1590" t="str">
            <v>İÇ</v>
          </cell>
          <cell r="J1590" t="str">
            <v>LAMBADER</v>
          </cell>
          <cell r="K1590" t="str">
            <v>OSLO</v>
          </cell>
          <cell r="L1590" t="str">
            <v/>
          </cell>
          <cell r="M1590" t="str">
            <v/>
          </cell>
          <cell r="N1590" t="str">
            <v>HKA-24160</v>
          </cell>
          <cell r="O1590" t="str">
            <v>HEKA</v>
          </cell>
          <cell r="P1590" t="str">
            <v>ADET</v>
          </cell>
          <cell r="Q1590" t="str">
            <v>LED</v>
          </cell>
          <cell r="R1590" t="str">
            <v>PASLANMAZ</v>
          </cell>
          <cell r="S1590" t="str">
            <v>PLATİN</v>
          </cell>
          <cell r="T1590" t="str">
            <v>AKRİLİK</v>
          </cell>
          <cell r="U1590" t="str">
            <v>BEYAZ</v>
          </cell>
          <cell r="X1590" t="str">
            <v>110V-220V</v>
          </cell>
          <cell r="Z1590" t="str">
            <v>3000 K</v>
          </cell>
          <cell r="AF1590">
            <v>10</v>
          </cell>
          <cell r="AG1590" t="str">
            <v>ADET</v>
          </cell>
          <cell r="AH1590">
            <v>386.1</v>
          </cell>
          <cell r="AI1590" t="str">
            <v>CNY</v>
          </cell>
          <cell r="AJ1590">
            <v>32400</v>
          </cell>
          <cell r="AK1590" t="str">
            <v>TL</v>
          </cell>
          <cell r="AL1590">
            <v>1</v>
          </cell>
          <cell r="AM1590" t="str">
            <v>8684127513791</v>
          </cell>
          <cell r="AO1590">
            <v>0</v>
          </cell>
          <cell r="AQ1590">
            <v>0</v>
          </cell>
          <cell r="AS1590">
            <v>0</v>
          </cell>
          <cell r="AU1590">
            <v>0</v>
          </cell>
          <cell r="AW1590">
            <v>0</v>
          </cell>
        </row>
        <row r="1591">
          <cell r="B1591" t="str">
            <v>H1C6KRSBRB0-061</v>
          </cell>
          <cell r="C1591" t="str">
            <v>BİŞKEK PLATİN PASLANMAZ AKRİLİK PLAFONYER 60 CM</v>
          </cell>
          <cell r="D1591" t="str">
            <v>BİŞKEK PLATINUM STAINLESS STEEL ACYRLIC PLAFONIER 60 CM</v>
          </cell>
          <cell r="E1591" t="str">
            <v xml:space="preserve">PASLANMAZ AKRİLİK PLATİN BEYAZ   </v>
          </cell>
          <cell r="F1591" t="str">
            <v/>
          </cell>
          <cell r="G1591" t="str">
            <v>AVİZE</v>
          </cell>
          <cell r="H1591" t="str">
            <v/>
          </cell>
          <cell r="I1591" t="str">
            <v>İÇ</v>
          </cell>
          <cell r="J1591" t="str">
            <v>AVİZE.PLF</v>
          </cell>
          <cell r="K1591" t="str">
            <v>BİŞKEK</v>
          </cell>
          <cell r="L1591" t="str">
            <v/>
          </cell>
          <cell r="M1591" t="str">
            <v/>
          </cell>
          <cell r="N1591" t="str">
            <v>HKA-24171</v>
          </cell>
          <cell r="O1591" t="str">
            <v>HEKA</v>
          </cell>
          <cell r="P1591" t="str">
            <v>ADET</v>
          </cell>
          <cell r="Q1591" t="str">
            <v>LED</v>
          </cell>
          <cell r="R1591" t="str">
            <v>PASLANMAZ</v>
          </cell>
          <cell r="S1591" t="str">
            <v>PLATİN</v>
          </cell>
          <cell r="T1591" t="str">
            <v>AKRİLİK</v>
          </cell>
          <cell r="U1591" t="str">
            <v>BEYAZ</v>
          </cell>
          <cell r="X1591" t="str">
            <v>110V-220V</v>
          </cell>
          <cell r="Z1591" t="str">
            <v>3000 K</v>
          </cell>
          <cell r="AF1591">
            <v>0</v>
          </cell>
          <cell r="AG1591" t="str">
            <v>ADET</v>
          </cell>
          <cell r="AH1591">
            <v>455</v>
          </cell>
          <cell r="AI1591" t="str">
            <v>CNY</v>
          </cell>
          <cell r="AJ1591">
            <v>45800</v>
          </cell>
          <cell r="AK1591" t="str">
            <v>TL</v>
          </cell>
          <cell r="AL1591">
            <v>1</v>
          </cell>
          <cell r="AM1591" t="str">
            <v>8684127513531</v>
          </cell>
          <cell r="AO1591">
            <v>0</v>
          </cell>
          <cell r="AQ1591">
            <v>0</v>
          </cell>
          <cell r="AS1591">
            <v>60</v>
          </cell>
          <cell r="AT1591" t="str">
            <v>CM</v>
          </cell>
          <cell r="AU1591">
            <v>0</v>
          </cell>
          <cell r="AW1591">
            <v>0</v>
          </cell>
        </row>
        <row r="1592">
          <cell r="B1592" t="str">
            <v>H1C3JMKECT0-085</v>
          </cell>
          <cell r="C1592" t="str">
            <v>HAVANA KROM-PLATİN 8 SOFT CAM SALON AVİZE 85 CM</v>
          </cell>
          <cell r="D1592" t="str">
            <v>HAVANA CHROME-PLATINUM 8 SOFT GLASS LIVING ROOM CHANDELIER 85 CM</v>
          </cell>
          <cell r="E1592" t="str">
            <v xml:space="preserve">METAL CAM  KROM SOFT   </v>
          </cell>
          <cell r="F1592" t="str">
            <v/>
          </cell>
          <cell r="G1592" t="str">
            <v>AVİZE</v>
          </cell>
          <cell r="H1592" t="str">
            <v/>
          </cell>
          <cell r="I1592" t="str">
            <v>İÇ</v>
          </cell>
          <cell r="J1592" t="str">
            <v>AVİZE</v>
          </cell>
          <cell r="K1592" t="str">
            <v>HAVANA</v>
          </cell>
          <cell r="L1592" t="str">
            <v/>
          </cell>
          <cell r="M1592" t="str">
            <v/>
          </cell>
          <cell r="N1592" t="str">
            <v>HKA-24226</v>
          </cell>
          <cell r="O1592" t="str">
            <v>HEKA</v>
          </cell>
          <cell r="P1592" t="str">
            <v>ADET</v>
          </cell>
          <cell r="Q1592" t="str">
            <v>G9</v>
          </cell>
          <cell r="R1592" t="str">
            <v>METAL</v>
          </cell>
          <cell r="S1592" t="str">
            <v>KROM</v>
          </cell>
          <cell r="T1592" t="str">
            <v>CAM</v>
          </cell>
          <cell r="U1592" t="str">
            <v>SOFT</v>
          </cell>
          <cell r="X1592" t="str">
            <v>110V-220V</v>
          </cell>
          <cell r="Z1592" t="str">
            <v>3000 K</v>
          </cell>
          <cell r="AF1592">
            <v>10</v>
          </cell>
          <cell r="AG1592" t="str">
            <v>ADET</v>
          </cell>
          <cell r="AH1592">
            <v>528</v>
          </cell>
          <cell r="AI1592" t="str">
            <v>CNY</v>
          </cell>
          <cell r="AJ1592">
            <v>36900</v>
          </cell>
          <cell r="AK1592" t="str">
            <v>TL</v>
          </cell>
          <cell r="AL1592">
            <v>1</v>
          </cell>
          <cell r="AM1592" t="str">
            <v>8684127513609</v>
          </cell>
          <cell r="AO1592">
            <v>4.3600000000000003</v>
          </cell>
          <cell r="AP1592" t="str">
            <v>KG</v>
          </cell>
          <cell r="AQ1592">
            <v>150</v>
          </cell>
          <cell r="AR1592" t="str">
            <v>CM</v>
          </cell>
          <cell r="AS1592">
            <v>85</v>
          </cell>
          <cell r="AT1592" t="str">
            <v>CM</v>
          </cell>
          <cell r="AU1592">
            <v>0</v>
          </cell>
          <cell r="AW1592">
            <v>0</v>
          </cell>
        </row>
        <row r="1593">
          <cell r="B1593" t="str">
            <v>H1T6KRSECSR-020</v>
          </cell>
          <cell r="C1593" t="str">
            <v>BERLİN PLATİN PASLANMAZ ŞEFFAF CAM MASA LAMBASI</v>
          </cell>
          <cell r="D1593" t="str">
            <v>BERLİN PLATINUM STEEL CLEAR GLASS TABLE LAMP</v>
          </cell>
          <cell r="E1593" t="str">
            <v xml:space="preserve">PASLANMAZ CAM  PLATİN ŞEFFAF   </v>
          </cell>
          <cell r="F1593" t="str">
            <v/>
          </cell>
          <cell r="G1593" t="str">
            <v>MASAABAJ</v>
          </cell>
          <cell r="H1593" t="str">
            <v/>
          </cell>
          <cell r="I1593" t="str">
            <v>İÇ</v>
          </cell>
          <cell r="J1593" t="str">
            <v>MASAABAJ</v>
          </cell>
          <cell r="K1593" t="str">
            <v>BERLİN</v>
          </cell>
          <cell r="L1593" t="str">
            <v/>
          </cell>
          <cell r="M1593" t="str">
            <v/>
          </cell>
          <cell r="N1593" t="str">
            <v>HKA-24213</v>
          </cell>
          <cell r="O1593" t="str">
            <v>HEKA</v>
          </cell>
          <cell r="P1593" t="str">
            <v>ADET</v>
          </cell>
          <cell r="Q1593" t="str">
            <v>LED</v>
          </cell>
          <cell r="R1593" t="str">
            <v>PASLANMAZ</v>
          </cell>
          <cell r="S1593" t="str">
            <v>PLATİN</v>
          </cell>
          <cell r="T1593" t="str">
            <v>CAM</v>
          </cell>
          <cell r="U1593" t="str">
            <v>ŞEFFAF</v>
          </cell>
          <cell r="X1593" t="str">
            <v>110V-220V</v>
          </cell>
          <cell r="Z1593" t="str">
            <v>3000 K</v>
          </cell>
          <cell r="AF1593">
            <v>17</v>
          </cell>
          <cell r="AG1593" t="str">
            <v>ADET</v>
          </cell>
          <cell r="AH1593">
            <v>259</v>
          </cell>
          <cell r="AI1593" t="str">
            <v>CNY</v>
          </cell>
          <cell r="AJ1593">
            <v>16750</v>
          </cell>
          <cell r="AK1593" t="str">
            <v>TL</v>
          </cell>
          <cell r="AL1593">
            <v>1</v>
          </cell>
          <cell r="AM1593" t="str">
            <v>8684127513807</v>
          </cell>
          <cell r="AO1593">
            <v>0</v>
          </cell>
          <cell r="AQ1593">
            <v>46</v>
          </cell>
          <cell r="AR1593" t="str">
            <v>CM</v>
          </cell>
          <cell r="AS1593">
            <v>25</v>
          </cell>
          <cell r="AT1593" t="str">
            <v>CM</v>
          </cell>
          <cell r="AU1593">
            <v>0</v>
          </cell>
          <cell r="AW1593">
            <v>0</v>
          </cell>
        </row>
        <row r="1594">
          <cell r="B1594" t="str">
            <v>H1C6KMKECS0-105</v>
          </cell>
          <cell r="C1594" t="str">
            <v>BÜKREŞ BEŞ KROM PASLANMAZ ŞEFFAF CAM Y.MASASI AVİZ</v>
          </cell>
          <cell r="D1594" t="str">
            <v>BÜKREŞ FIVE CHROME STEEL CLEAR GLASS DINING ROOM CHANDELIER</v>
          </cell>
          <cell r="E1594" t="str">
            <v xml:space="preserve">PASLANMAZ CAM  KROM ŞEFFAF   </v>
          </cell>
          <cell r="F1594" t="str">
            <v/>
          </cell>
          <cell r="G1594" t="str">
            <v>AVİZE</v>
          </cell>
          <cell r="H1594" t="str">
            <v/>
          </cell>
          <cell r="I1594" t="str">
            <v>İÇ</v>
          </cell>
          <cell r="J1594" t="str">
            <v>AVİZE</v>
          </cell>
          <cell r="K1594" t="str">
            <v>BÜKREŞ</v>
          </cell>
          <cell r="L1594" t="str">
            <v>Ç</v>
          </cell>
          <cell r="M1594" t="str">
            <v/>
          </cell>
          <cell r="N1594" t="str">
            <v>HKA-24224</v>
          </cell>
          <cell r="O1594" t="str">
            <v>HEKA</v>
          </cell>
          <cell r="P1594" t="str">
            <v>ADET</v>
          </cell>
          <cell r="Q1594" t="str">
            <v>LED</v>
          </cell>
          <cell r="R1594" t="str">
            <v>PASLANMAZ</v>
          </cell>
          <cell r="S1594" t="str">
            <v>KROM</v>
          </cell>
          <cell r="T1594" t="str">
            <v>CAM</v>
          </cell>
          <cell r="U1594" t="str">
            <v>ŞEFFAF</v>
          </cell>
          <cell r="X1594" t="str">
            <v>110V-220V</v>
          </cell>
          <cell r="Z1594" t="str">
            <v>3000 K</v>
          </cell>
          <cell r="AF1594">
            <v>17</v>
          </cell>
          <cell r="AG1594" t="str">
            <v>ADET</v>
          </cell>
          <cell r="AH1594">
            <v>449.25</v>
          </cell>
          <cell r="AI1594" t="str">
            <v>CNY</v>
          </cell>
          <cell r="AJ1594">
            <v>37700</v>
          </cell>
          <cell r="AK1594" t="str">
            <v>TL</v>
          </cell>
          <cell r="AL1594">
            <v>1</v>
          </cell>
          <cell r="AM1594" t="str">
            <v>8684127513760</v>
          </cell>
          <cell r="AO1594">
            <v>0</v>
          </cell>
          <cell r="AQ1594">
            <v>0</v>
          </cell>
          <cell r="AR1594" t="str">
            <v>CM</v>
          </cell>
          <cell r="AS1594">
            <v>0</v>
          </cell>
          <cell r="AT1594" t="str">
            <v>CM</v>
          </cell>
          <cell r="AU1594">
            <v>0</v>
          </cell>
          <cell r="AW1594">
            <v>0</v>
          </cell>
        </row>
        <row r="1595">
          <cell r="B1595" t="str">
            <v>H1C6RMGECS0-300</v>
          </cell>
          <cell r="C1595" t="str">
            <v>PERU PİRİNÇ ŞEFFAF KIRLANGIÇ CAM AVİZE 300 cm</v>
          </cell>
          <cell r="D1595" t="str">
            <v>PERU BRASS CLEAR SWALLOW BIRD GLASS CHANDELIER 300 cm</v>
          </cell>
          <cell r="E1595" t="str">
            <v xml:space="preserve">PRİNÇ CAM   ŞEFFAF   </v>
          </cell>
          <cell r="F1595" t="str">
            <v/>
          </cell>
          <cell r="G1595" t="str">
            <v>AVİZE</v>
          </cell>
          <cell r="H1595" t="str">
            <v/>
          </cell>
          <cell r="I1595" t="str">
            <v>İÇ</v>
          </cell>
          <cell r="J1595" t="str">
            <v>AVİZE</v>
          </cell>
          <cell r="K1595" t="str">
            <v>PERU</v>
          </cell>
          <cell r="L1595" t="str">
            <v/>
          </cell>
          <cell r="M1595" t="str">
            <v/>
          </cell>
          <cell r="N1595" t="str">
            <v>HKA-24199</v>
          </cell>
          <cell r="O1595" t="str">
            <v>HEKA</v>
          </cell>
          <cell r="P1595" t="str">
            <v>ADET</v>
          </cell>
          <cell r="Q1595" t="str">
            <v>LED</v>
          </cell>
          <cell r="R1595" t="str">
            <v>PİRİNÇ</v>
          </cell>
          <cell r="S1595" t="str">
            <v>GOLD</v>
          </cell>
          <cell r="T1595" t="str">
            <v>CAM</v>
          </cell>
          <cell r="U1595" t="str">
            <v>ŞEFFAF</v>
          </cell>
          <cell r="X1595" t="str">
            <v>220V</v>
          </cell>
          <cell r="Y1595" t="str">
            <v>60 WATT</v>
          </cell>
          <cell r="Z1595" t="str">
            <v>3000 K</v>
          </cell>
          <cell r="AB1595" t="str">
            <v>401-500</v>
          </cell>
          <cell r="AF1595">
            <v>3</v>
          </cell>
          <cell r="AG1595" t="str">
            <v>ADET</v>
          </cell>
          <cell r="AH1595">
            <v>7450</v>
          </cell>
          <cell r="AI1595" t="str">
            <v>CNY</v>
          </cell>
          <cell r="AJ1595">
            <v>625800</v>
          </cell>
          <cell r="AK1595" t="str">
            <v>TL</v>
          </cell>
          <cell r="AL1595">
            <v>1</v>
          </cell>
          <cell r="AM1595" t="str">
            <v>8684127514569</v>
          </cell>
          <cell r="AO1595">
            <v>37.299999999999997</v>
          </cell>
          <cell r="AP1595" t="str">
            <v>KG</v>
          </cell>
          <cell r="AQ1595">
            <v>300</v>
          </cell>
          <cell r="AR1595" t="str">
            <v>CM</v>
          </cell>
          <cell r="AS1595">
            <v>40</v>
          </cell>
          <cell r="AT1595" t="str">
            <v>CM</v>
          </cell>
          <cell r="AU1595">
            <v>0</v>
          </cell>
          <cell r="AW1595">
            <v>0</v>
          </cell>
        </row>
        <row r="1596">
          <cell r="B1596" t="str">
            <v>H1W6R00ECS0-064</v>
          </cell>
          <cell r="C1596" t="str">
            <v>OXFORD PİRİNÇ ŞEFFAF YAPRAK CAM APLİK 64 cm</v>
          </cell>
          <cell r="D1596" t="str">
            <v>OXFORD BRASS CLEAR LEAF GLASS WALL LAMP 64 cm</v>
          </cell>
          <cell r="E1596" t="str">
            <v xml:space="preserve">PRİNÇ CAM   ŞEFFAF   </v>
          </cell>
          <cell r="F1596" t="str">
            <v/>
          </cell>
          <cell r="G1596" t="str">
            <v>APLİK</v>
          </cell>
          <cell r="H1596" t="str">
            <v/>
          </cell>
          <cell r="I1596" t="str">
            <v>İÇ</v>
          </cell>
          <cell r="J1596" t="str">
            <v>APLİK</v>
          </cell>
          <cell r="K1596" t="str">
            <v>OXFORD</v>
          </cell>
          <cell r="L1596" t="str">
            <v/>
          </cell>
          <cell r="M1596" t="str">
            <v/>
          </cell>
          <cell r="N1596" t="str">
            <v>HKA-24206</v>
          </cell>
          <cell r="O1596" t="str">
            <v>HEKA</v>
          </cell>
          <cell r="P1596" t="str">
            <v>ADET</v>
          </cell>
          <cell r="Q1596" t="str">
            <v>LED</v>
          </cell>
          <cell r="R1596" t="str">
            <v>PİRİNÇ</v>
          </cell>
          <cell r="T1596" t="str">
            <v>CAM</v>
          </cell>
          <cell r="X1596" t="str">
            <v>220V</v>
          </cell>
          <cell r="Y1596" t="str">
            <v>12 WATT</v>
          </cell>
          <cell r="Z1596" t="str">
            <v>3000 K</v>
          </cell>
          <cell r="AB1596" t="str">
            <v>401-500</v>
          </cell>
          <cell r="AF1596">
            <v>1</v>
          </cell>
          <cell r="AG1596" t="str">
            <v>ADET</v>
          </cell>
          <cell r="AJ1596">
            <v>35750</v>
          </cell>
          <cell r="AK1596" t="str">
            <v>TL</v>
          </cell>
          <cell r="AL1596">
            <v>0</v>
          </cell>
          <cell r="AM1596" t="str">
            <v>8684127513890</v>
          </cell>
          <cell r="AO1596">
            <v>11.5</v>
          </cell>
          <cell r="AP1596" t="str">
            <v>KG</v>
          </cell>
          <cell r="AQ1596">
            <v>64</v>
          </cell>
          <cell r="AR1596" t="str">
            <v>CM</v>
          </cell>
          <cell r="AS1596">
            <v>27</v>
          </cell>
          <cell r="AT1596" t="str">
            <v>CM</v>
          </cell>
          <cell r="AU1596">
            <v>0</v>
          </cell>
          <cell r="AW1596">
            <v>0</v>
          </cell>
        </row>
        <row r="1597">
          <cell r="B1597" t="str">
            <v>H1C7JMEERL0-018</v>
          </cell>
          <cell r="C1597" t="str">
            <v>VİYANA GÖZYAŞI BAL CAM ESKİTME SARKIT 18 CM</v>
          </cell>
          <cell r="D1597" t="str">
            <v>VİYANA EYEDROP AMBER GLASS BRUSHED BRASS PENDANT LAMP 18 CM</v>
          </cell>
          <cell r="E1597" t="str">
            <v xml:space="preserve">METAL CAM  ESKİTME BAL   </v>
          </cell>
          <cell r="F1597" t="str">
            <v>9405.11.90.00.00</v>
          </cell>
          <cell r="G1597" t="str">
            <v>AVİZE</v>
          </cell>
          <cell r="H1597" t="str">
            <v>T1A6231100-20</v>
          </cell>
          <cell r="I1597" t="str">
            <v>İÇ</v>
          </cell>
          <cell r="J1597" t="str">
            <v>AVİZE.SARK</v>
          </cell>
          <cell r="K1597" t="str">
            <v>VİYANA</v>
          </cell>
          <cell r="L1597" t="str">
            <v/>
          </cell>
          <cell r="M1597" t="str">
            <v/>
          </cell>
          <cell r="N1597" t="str">
            <v>HKA-24401</v>
          </cell>
          <cell r="O1597" t="str">
            <v>HEKA</v>
          </cell>
          <cell r="P1597" t="str">
            <v>ADET</v>
          </cell>
          <cell r="Q1597" t="str">
            <v>PERİ LED</v>
          </cell>
          <cell r="R1597" t="str">
            <v>METAL</v>
          </cell>
          <cell r="S1597" t="str">
            <v>ESKİTME</v>
          </cell>
          <cell r="T1597" t="str">
            <v>CAM</v>
          </cell>
          <cell r="U1597" t="str">
            <v>BAL</v>
          </cell>
          <cell r="AD1597" t="str">
            <v>N/A</v>
          </cell>
          <cell r="AF1597">
            <v>43</v>
          </cell>
          <cell r="AG1597" t="str">
            <v>ADET</v>
          </cell>
          <cell r="AJ1597">
            <v>3713</v>
          </cell>
          <cell r="AK1597" t="str">
            <v>TL</v>
          </cell>
          <cell r="AL1597">
            <v>1</v>
          </cell>
          <cell r="AM1597" t="str">
            <v>8684127514231</v>
          </cell>
          <cell r="AO1597">
            <v>0</v>
          </cell>
          <cell r="AQ1597">
            <v>0</v>
          </cell>
          <cell r="AR1597" t="str">
            <v>CM</v>
          </cell>
          <cell r="AS1597">
            <v>0</v>
          </cell>
          <cell r="AT1597" t="str">
            <v>CM</v>
          </cell>
          <cell r="AU1597">
            <v>0</v>
          </cell>
          <cell r="AW1597">
            <v>0</v>
          </cell>
        </row>
        <row r="1598">
          <cell r="B1598" t="str">
            <v>H1C2YRBJM30-130</v>
          </cell>
          <cell r="C1598" t="str">
            <v>BUBBLE BEYAZ SOFT TOUCH BALON SARKIT 130 cm</v>
          </cell>
          <cell r="D1598" t="str">
            <v>BUBBLE WHITE SOFT TOUCH BUBBLE PENDANT LAMP 130 cm</v>
          </cell>
          <cell r="E1598" t="str">
            <v xml:space="preserve">POLİMER METAL BEYAZ MAT KROM   </v>
          </cell>
          <cell r="F1598" t="str">
            <v/>
          </cell>
          <cell r="G1598" t="str">
            <v>AVİZE</v>
          </cell>
          <cell r="H1598" t="str">
            <v/>
          </cell>
          <cell r="I1598" t="str">
            <v>İÇ</v>
          </cell>
          <cell r="J1598" t="str">
            <v>AVİZE</v>
          </cell>
          <cell r="K1598" t="str">
            <v>BUBBLE</v>
          </cell>
          <cell r="L1598" t="str">
            <v/>
          </cell>
          <cell r="M1598" t="str">
            <v/>
          </cell>
          <cell r="N1598" t="str">
            <v>HKA-24407</v>
          </cell>
          <cell r="O1598" t="str">
            <v>HEKA</v>
          </cell>
          <cell r="P1598" t="str">
            <v>ADET</v>
          </cell>
          <cell r="Q1598" t="str">
            <v>E27</v>
          </cell>
          <cell r="R1598" t="str">
            <v>POLİMER</v>
          </cell>
          <cell r="S1598" t="str">
            <v>BEYAZ</v>
          </cell>
          <cell r="T1598" t="str">
            <v>METAL</v>
          </cell>
          <cell r="U1598" t="str">
            <v>MAT KROM</v>
          </cell>
          <cell r="AD1598" t="str">
            <v>N/A</v>
          </cell>
          <cell r="AE1598" t="str">
            <v>02</v>
          </cell>
          <cell r="AF1598">
            <v>1</v>
          </cell>
          <cell r="AG1598" t="str">
            <v>ADET</v>
          </cell>
          <cell r="AJ1598">
            <v>217750</v>
          </cell>
          <cell r="AK1598" t="str">
            <v>TL</v>
          </cell>
          <cell r="AL1598">
            <v>1</v>
          </cell>
          <cell r="AO1598">
            <v>0</v>
          </cell>
          <cell r="AQ1598">
            <v>0</v>
          </cell>
          <cell r="AS1598">
            <v>0</v>
          </cell>
          <cell r="AU1598">
            <v>0</v>
          </cell>
          <cell r="AW1598">
            <v>0</v>
          </cell>
        </row>
        <row r="1599">
          <cell r="B1599" t="str">
            <v>H1T6ARYAAAJ-016</v>
          </cell>
          <cell r="C1599" t="str">
            <v>SHAGGY YEŞİL AHŞAP MANTAR MASA LAMBASI</v>
          </cell>
          <cell r="D1599" t="str">
            <v>SHAGGY GREEN WOOD MUSHROOM TABLE LAMP</v>
          </cell>
          <cell r="E1599" t="str">
            <v xml:space="preserve">AHŞAP AHŞAP YEŞİL AKÇAAĞAÇ   </v>
          </cell>
          <cell r="F1599" t="str">
            <v/>
          </cell>
          <cell r="G1599" t="str">
            <v>MASAABAJ</v>
          </cell>
          <cell r="H1599" t="str">
            <v/>
          </cell>
          <cell r="I1599" t="str">
            <v>İÇ</v>
          </cell>
          <cell r="J1599" t="str">
            <v>MASAKAMP</v>
          </cell>
          <cell r="K1599" t="str">
            <v>SHAGGY</v>
          </cell>
          <cell r="L1599" t="str">
            <v/>
          </cell>
          <cell r="M1599" t="str">
            <v/>
          </cell>
          <cell r="N1599" t="str">
            <v>HKA-24414</v>
          </cell>
          <cell r="O1599" t="str">
            <v>HEKA</v>
          </cell>
          <cell r="P1599" t="str">
            <v>ADET</v>
          </cell>
          <cell r="Q1599" t="str">
            <v>LED</v>
          </cell>
          <cell r="R1599" t="str">
            <v>AHŞAP</v>
          </cell>
          <cell r="S1599" t="str">
            <v>YEŞİL</v>
          </cell>
          <cell r="T1599" t="str">
            <v>AHŞAP</v>
          </cell>
          <cell r="U1599" t="str">
            <v>AKÇA AĞAÇ</v>
          </cell>
          <cell r="AD1599" t="str">
            <v>ŞARJLI</v>
          </cell>
          <cell r="AF1599">
            <v>2</v>
          </cell>
          <cell r="AG1599" t="str">
            <v>ADET</v>
          </cell>
          <cell r="AJ1599">
            <v>2395</v>
          </cell>
          <cell r="AK1599" t="str">
            <v>TL</v>
          </cell>
          <cell r="AL1599">
            <v>1</v>
          </cell>
          <cell r="AM1599" t="str">
            <v>8684127514132</v>
          </cell>
          <cell r="AO1599">
            <v>0</v>
          </cell>
          <cell r="AQ1599">
            <v>16</v>
          </cell>
          <cell r="AR1599" t="str">
            <v>CM</v>
          </cell>
          <cell r="AS1599">
            <v>10.5</v>
          </cell>
          <cell r="AT1599" t="str">
            <v>CM</v>
          </cell>
          <cell r="AU1599">
            <v>0</v>
          </cell>
          <cell r="AW1599">
            <v>0</v>
          </cell>
        </row>
        <row r="1600">
          <cell r="B1600" t="str">
            <v>H1T6ARMAAAJ-017</v>
          </cell>
          <cell r="C1600" t="str">
            <v>SHAGGY MAVİ BATTAL EBRU AHŞAP MANTAR MASA LAMBASI</v>
          </cell>
          <cell r="D1600" t="str">
            <v>SHAGGY BLUE KING LARGE MARBLING WOOD MUSHROOM TABLE LAMP</v>
          </cell>
          <cell r="E1600" t="str">
            <v xml:space="preserve">AHŞAP AHŞAP MAVİ AKÇAAĞAÇ   </v>
          </cell>
          <cell r="F1600" t="str">
            <v/>
          </cell>
          <cell r="G1600" t="str">
            <v>MASAABAJ</v>
          </cell>
          <cell r="H1600" t="str">
            <v/>
          </cell>
          <cell r="I1600" t="str">
            <v>İÇ</v>
          </cell>
          <cell r="J1600" t="str">
            <v>MASAKAMP</v>
          </cell>
          <cell r="K1600" t="str">
            <v>SHAGGY</v>
          </cell>
          <cell r="L1600" t="str">
            <v/>
          </cell>
          <cell r="M1600" t="str">
            <v/>
          </cell>
          <cell r="N1600" t="str">
            <v>HKA-24418</v>
          </cell>
          <cell r="O1600" t="str">
            <v>HEKA</v>
          </cell>
          <cell r="P1600" t="str">
            <v>ADET</v>
          </cell>
          <cell r="Q1600" t="str">
            <v>LED</v>
          </cell>
          <cell r="R1600" t="str">
            <v>AHŞAP</v>
          </cell>
          <cell r="S1600" t="str">
            <v>MAVİ</v>
          </cell>
          <cell r="T1600" t="str">
            <v>AHŞAP</v>
          </cell>
          <cell r="U1600" t="str">
            <v>AKÇA AĞAÇ</v>
          </cell>
          <cell r="AD1600" t="str">
            <v>ŞARJLI</v>
          </cell>
          <cell r="AF1600">
            <v>92</v>
          </cell>
          <cell r="AG1600" t="str">
            <v>ADET</v>
          </cell>
          <cell r="AJ1600">
            <v>2395</v>
          </cell>
          <cell r="AK1600" t="str">
            <v>TL</v>
          </cell>
          <cell r="AL1600">
            <v>1</v>
          </cell>
          <cell r="AM1600" t="str">
            <v>8684127514170</v>
          </cell>
          <cell r="AO1600">
            <v>0</v>
          </cell>
          <cell r="AQ1600">
            <v>16</v>
          </cell>
          <cell r="AR1600" t="str">
            <v>CM</v>
          </cell>
          <cell r="AS1600">
            <v>10.5</v>
          </cell>
          <cell r="AT1600" t="str">
            <v>CM</v>
          </cell>
          <cell r="AU1600">
            <v>0</v>
          </cell>
          <cell r="AW1600">
            <v>0</v>
          </cell>
        </row>
        <row r="1601">
          <cell r="B1601" t="str">
            <v>ADFVJMGECS9-022</v>
          </cell>
          <cell r="C1601" t="str">
            <v xml:space="preserve">DAMALI GOLD BÜYÜTEÇ </v>
          </cell>
          <cell r="D1601" t="str">
            <v>CHECKERED GOLD MAGNIFICATION GLASS</v>
          </cell>
          <cell r="E1601" t="str">
            <v xml:space="preserve">METAL CAM  GOLD ŞEFFAF   </v>
          </cell>
          <cell r="F1601" t="str">
            <v/>
          </cell>
          <cell r="G1601" t="str">
            <v>AKSESUAR</v>
          </cell>
          <cell r="H1601" t="str">
            <v/>
          </cell>
          <cell r="I1601" t="str">
            <v>İÇ</v>
          </cell>
          <cell r="J1601" t="str">
            <v>AKSESUAR</v>
          </cell>
          <cell r="K1601" t="str">
            <v/>
          </cell>
          <cell r="L1601" t="str">
            <v/>
          </cell>
          <cell r="M1601" t="str">
            <v/>
          </cell>
          <cell r="N1601" t="str">
            <v>HAA-250004</v>
          </cell>
          <cell r="P1601" t="str">
            <v>ADET</v>
          </cell>
          <cell r="R1601" t="str">
            <v>METAL</v>
          </cell>
          <cell r="S1601" t="str">
            <v>GOLD</v>
          </cell>
          <cell r="T1601" t="str">
            <v>CAM</v>
          </cell>
          <cell r="U1601" t="str">
            <v>ŞEFFAF</v>
          </cell>
          <cell r="AD1601" t="str">
            <v>DAMALI</v>
          </cell>
          <cell r="AF1601">
            <v>1</v>
          </cell>
          <cell r="AG1601" t="str">
            <v>ADET</v>
          </cell>
          <cell r="AJ1601">
            <v>3310</v>
          </cell>
          <cell r="AK1601" t="str">
            <v>TL</v>
          </cell>
          <cell r="AL1601">
            <v>1</v>
          </cell>
          <cell r="AO1601">
            <v>0</v>
          </cell>
          <cell r="AQ1601">
            <v>0</v>
          </cell>
          <cell r="AS1601">
            <v>0</v>
          </cell>
          <cell r="AU1601">
            <v>0</v>
          </cell>
          <cell r="AW1601">
            <v>0</v>
          </cell>
        </row>
        <row r="1602">
          <cell r="B1602" t="str">
            <v>AVFVNRR000P-024</v>
          </cell>
          <cell r="C1602" t="str">
            <v>SERAMİK PUANTİYELİ VAZO 19x19x24 cm</v>
          </cell>
          <cell r="D1602" t="str">
            <v>CERAMIC POLKA DOT VASE 19x19x24 cm</v>
          </cell>
          <cell r="E1602" t="str">
            <v xml:space="preserve">PORSELEN YOK KREM YOK   </v>
          </cell>
          <cell r="F1602" t="str">
            <v/>
          </cell>
          <cell r="G1602" t="str">
            <v>AKSESUAR</v>
          </cell>
          <cell r="H1602" t="str">
            <v/>
          </cell>
          <cell r="I1602" t="str">
            <v>İÇ</v>
          </cell>
          <cell r="J1602" t="str">
            <v>AKSESUAR</v>
          </cell>
          <cell r="K1602" t="str">
            <v/>
          </cell>
          <cell r="L1602" t="str">
            <v/>
          </cell>
          <cell r="M1602" t="str">
            <v/>
          </cell>
          <cell r="N1602" t="str">
            <v>HAA-250044</v>
          </cell>
          <cell r="P1602" t="str">
            <v>ADET</v>
          </cell>
          <cell r="R1602" t="str">
            <v>PORSELEN</v>
          </cell>
          <cell r="S1602" t="str">
            <v>KREM</v>
          </cell>
          <cell r="AD1602" t="str">
            <v>PUANTİYELİ</v>
          </cell>
          <cell r="AF1602">
            <v>1</v>
          </cell>
          <cell r="AG1602" t="str">
            <v>ADET</v>
          </cell>
          <cell r="AJ1602">
            <v>5218</v>
          </cell>
          <cell r="AK1602" t="str">
            <v>TL</v>
          </cell>
          <cell r="AL1602">
            <v>1</v>
          </cell>
          <cell r="AO1602">
            <v>0</v>
          </cell>
          <cell r="AQ1602">
            <v>0</v>
          </cell>
          <cell r="AS1602">
            <v>0</v>
          </cell>
          <cell r="AU1602">
            <v>0</v>
          </cell>
          <cell r="AW1602">
            <v>0</v>
          </cell>
        </row>
        <row r="1603">
          <cell r="B1603" t="str">
            <v>ADFMERY0002-015</v>
          </cell>
          <cell r="C1603" t="str">
            <v>YEŞİL CAM BÜYÜK TOP 15 cm</v>
          </cell>
          <cell r="D1603" t="str">
            <v>GLASS LARGE GREEN BALL 15 cm</v>
          </cell>
          <cell r="E1603" t="str">
            <v xml:space="preserve">CAM  YOK YEŞİL YOK   </v>
          </cell>
          <cell r="F1603" t="str">
            <v/>
          </cell>
          <cell r="G1603" t="str">
            <v>AKSESUAR</v>
          </cell>
          <cell r="H1603" t="str">
            <v/>
          </cell>
          <cell r="I1603" t="str">
            <v>İÇ</v>
          </cell>
          <cell r="J1603" t="str">
            <v>AKSESUAR</v>
          </cell>
          <cell r="K1603" t="str">
            <v/>
          </cell>
          <cell r="L1603" t="str">
            <v/>
          </cell>
          <cell r="M1603" t="str">
            <v/>
          </cell>
          <cell r="N1603" t="str">
            <v>HAA-250013</v>
          </cell>
          <cell r="P1603" t="str">
            <v>ADET</v>
          </cell>
          <cell r="R1603" t="str">
            <v>CAM</v>
          </cell>
          <cell r="S1603" t="str">
            <v>YEŞİL</v>
          </cell>
          <cell r="T1603" t="str">
            <v>YOK</v>
          </cell>
          <cell r="U1603" t="str">
            <v>YOK</v>
          </cell>
          <cell r="AD1603" t="str">
            <v>BİBLO</v>
          </cell>
          <cell r="AF1603">
            <v>1</v>
          </cell>
          <cell r="AG1603" t="str">
            <v>ADET</v>
          </cell>
          <cell r="AJ1603">
            <v>2748</v>
          </cell>
          <cell r="AK1603" t="str">
            <v>TL</v>
          </cell>
          <cell r="AL1603">
            <v>1</v>
          </cell>
          <cell r="AO1603">
            <v>0</v>
          </cell>
          <cell r="AQ1603">
            <v>0</v>
          </cell>
          <cell r="AS1603">
            <v>0</v>
          </cell>
          <cell r="AU1603">
            <v>0</v>
          </cell>
          <cell r="AW1603">
            <v>0</v>
          </cell>
        </row>
        <row r="1604">
          <cell r="B1604" t="str">
            <v>AVFMJMNERG0-100</v>
          </cell>
          <cell r="C1604" t="str">
            <v>NİKEL GRİ CAM KÜÇÜK VAZO 100 cm</v>
          </cell>
          <cell r="D1604" t="str">
            <v>NICKEL GRAY GLASS SMALL VASE  100 cm</v>
          </cell>
          <cell r="E1604" t="str">
            <v xml:space="preserve">METAL CAM  NİKEL GRİ   </v>
          </cell>
          <cell r="F1604" t="str">
            <v/>
          </cell>
          <cell r="G1604" t="str">
            <v>AKSESUAR</v>
          </cell>
          <cell r="H1604" t="str">
            <v/>
          </cell>
          <cell r="I1604" t="str">
            <v>İÇ</v>
          </cell>
          <cell r="J1604" t="str">
            <v>AKSESUAR</v>
          </cell>
          <cell r="K1604" t="str">
            <v/>
          </cell>
          <cell r="L1604" t="str">
            <v/>
          </cell>
          <cell r="M1604" t="str">
            <v/>
          </cell>
          <cell r="N1604" t="str">
            <v>HAA-250035</v>
          </cell>
          <cell r="P1604" t="str">
            <v>ADET</v>
          </cell>
          <cell r="R1604" t="str">
            <v>METAL</v>
          </cell>
          <cell r="S1604" t="str">
            <v>NİKEL</v>
          </cell>
          <cell r="T1604" t="str">
            <v>CAM</v>
          </cell>
          <cell r="U1604" t="str">
            <v>GRİ</v>
          </cell>
          <cell r="AF1604">
            <v>0</v>
          </cell>
          <cell r="AG1604" t="str">
            <v>ADET</v>
          </cell>
          <cell r="AJ1604">
            <v>14900</v>
          </cell>
          <cell r="AK1604" t="str">
            <v>TL</v>
          </cell>
          <cell r="AL1604">
            <v>1</v>
          </cell>
          <cell r="AO1604">
            <v>0</v>
          </cell>
          <cell r="AQ1604">
            <v>0</v>
          </cell>
          <cell r="AS1604">
            <v>0</v>
          </cell>
          <cell r="AU1604">
            <v>0</v>
          </cell>
          <cell r="AW1604">
            <v>0</v>
          </cell>
        </row>
        <row r="1605">
          <cell r="B1605" t="str">
            <v>H1C1JME000C-080</v>
          </cell>
          <cell r="C1605" t="str">
            <v>BRUBECK ESKİTME SALON AVİZE</v>
          </cell>
          <cell r="D1605" t="str">
            <v>BRUBECK BRUSHED BRASS LIVING ROOM CHANDELIER</v>
          </cell>
          <cell r="E1605" t="str">
            <v xml:space="preserve">METAL YOK ESKİTME YOK   </v>
          </cell>
          <cell r="F1605" t="str">
            <v>9405.19.90.00.00</v>
          </cell>
          <cell r="G1605" t="str">
            <v>AVİZE</v>
          </cell>
          <cell r="H1605" t="str">
            <v>H1W2180000-47</v>
          </cell>
          <cell r="I1605" t="str">
            <v>İÇ</v>
          </cell>
          <cell r="J1605" t="str">
            <v>APLİK</v>
          </cell>
          <cell r="K1605" t="str">
            <v>BRUBECK</v>
          </cell>
          <cell r="L1605" t="str">
            <v>Y</v>
          </cell>
          <cell r="M1605" t="str">
            <v>ÜRTM:15GÜN</v>
          </cell>
          <cell r="N1605" t="str">
            <v>HKA-24443</v>
          </cell>
          <cell r="O1605" t="str">
            <v>HEKA</v>
          </cell>
          <cell r="P1605" t="str">
            <v>ADET</v>
          </cell>
          <cell r="Q1605" t="str">
            <v>E14</v>
          </cell>
          <cell r="R1605" t="str">
            <v>METAL</v>
          </cell>
          <cell r="S1605" t="str">
            <v>ESKİTME</v>
          </cell>
          <cell r="T1605" t="str">
            <v>YOK</v>
          </cell>
          <cell r="U1605" t="str">
            <v>YOK</v>
          </cell>
          <cell r="AD1605" t="str">
            <v>SİLİNDİR</v>
          </cell>
          <cell r="AE1605" t="str">
            <v>20</v>
          </cell>
          <cell r="AF1605">
            <v>1</v>
          </cell>
          <cell r="AG1605" t="str">
            <v>ADET</v>
          </cell>
          <cell r="AJ1605">
            <v>89750</v>
          </cell>
          <cell r="AK1605" t="str">
            <v>TL</v>
          </cell>
          <cell r="AL1605">
            <v>1</v>
          </cell>
          <cell r="AO1605">
            <v>0</v>
          </cell>
          <cell r="AQ1605">
            <v>0</v>
          </cell>
          <cell r="AR1605" t="str">
            <v>CM</v>
          </cell>
          <cell r="AS1605">
            <v>0</v>
          </cell>
          <cell r="AT1605" t="str">
            <v>CM</v>
          </cell>
          <cell r="AU1605">
            <v>0</v>
          </cell>
          <cell r="AW1605">
            <v>0</v>
          </cell>
        </row>
        <row r="1606">
          <cell r="B1606" t="str">
            <v>MPFRAAW000U-090</v>
          </cell>
          <cell r="C1606" t="str">
            <v>DEMETER MANTAR AHŞAP WENGE ÜÇLÜ SEHPA</v>
          </cell>
          <cell r="D1606" t="str">
            <v>DEMETER MUSHROOM WOODEN WENGE TRIPLE COFFEE TABLE</v>
          </cell>
          <cell r="E1606" t="str">
            <v xml:space="preserve">AHŞAP YOK WENGE YOK   </v>
          </cell>
          <cell r="F1606" t="str">
            <v/>
          </cell>
          <cell r="G1606" t="str">
            <v>MOBİLYA</v>
          </cell>
          <cell r="H1606" t="str">
            <v/>
          </cell>
          <cell r="I1606" t="str">
            <v>İÇ</v>
          </cell>
          <cell r="J1606" t="str">
            <v>MOBİLYA</v>
          </cell>
          <cell r="K1606" t="str">
            <v>DEMETER</v>
          </cell>
          <cell r="L1606" t="str">
            <v/>
          </cell>
          <cell r="M1606" t="str">
            <v>ÜRTM:20GÜN</v>
          </cell>
          <cell r="N1606" t="str">
            <v>HKM-24003</v>
          </cell>
          <cell r="P1606" t="str">
            <v>ADET</v>
          </cell>
          <cell r="R1606" t="str">
            <v>AHŞAP</v>
          </cell>
          <cell r="S1606" t="str">
            <v>WENGE</v>
          </cell>
          <cell r="AD1606" t="str">
            <v>ÜÇLÜ</v>
          </cell>
          <cell r="AF1606">
            <v>1</v>
          </cell>
          <cell r="AG1606" t="str">
            <v>ADET</v>
          </cell>
          <cell r="AJ1606">
            <v>42750</v>
          </cell>
          <cell r="AK1606" t="str">
            <v>TL</v>
          </cell>
          <cell r="AL1606">
            <v>1</v>
          </cell>
          <cell r="AO1606">
            <v>0</v>
          </cell>
          <cell r="AQ1606">
            <v>0</v>
          </cell>
          <cell r="AS1606">
            <v>0</v>
          </cell>
          <cell r="AU1606">
            <v>0</v>
          </cell>
          <cell r="AW1606">
            <v>0</v>
          </cell>
        </row>
        <row r="1607">
          <cell r="B1607" t="str">
            <v>MAFIMBJ000O-230</v>
          </cell>
          <cell r="C1607" t="str">
            <v>ORION BEJ RENGİ OVAL MASA 230 cm</v>
          </cell>
          <cell r="D1607" t="str">
            <v>ORION BEIGE COLOR OVAL TABLE 230 cm</v>
          </cell>
          <cell r="E1607" t="str">
            <v xml:space="preserve">POLİKARBON YOK BEJ YOK   </v>
          </cell>
          <cell r="F1607" t="str">
            <v/>
          </cell>
          <cell r="G1607" t="str">
            <v>MOBİLYA</v>
          </cell>
          <cell r="H1607" t="str">
            <v/>
          </cell>
          <cell r="I1607" t="str">
            <v>İÇ</v>
          </cell>
          <cell r="J1607" t="str">
            <v>MOBİLYA</v>
          </cell>
          <cell r="K1607" t="str">
            <v>ORION</v>
          </cell>
          <cell r="L1607" t="str">
            <v/>
          </cell>
          <cell r="M1607" t="str">
            <v>ÜRTM:20GÜN</v>
          </cell>
          <cell r="N1607" t="str">
            <v>HKM-24005</v>
          </cell>
          <cell r="P1607" t="str">
            <v>ADET</v>
          </cell>
          <cell r="R1607" t="str">
            <v>POLİKARBON</v>
          </cell>
          <cell r="S1607" t="str">
            <v>BEJ</v>
          </cell>
          <cell r="AD1607" t="str">
            <v>OVAL</v>
          </cell>
          <cell r="AF1607">
            <v>1</v>
          </cell>
          <cell r="AG1607" t="str">
            <v>ADET</v>
          </cell>
          <cell r="AH1607">
            <v>23760</v>
          </cell>
          <cell r="AI1607" t="str">
            <v>TL</v>
          </cell>
          <cell r="AJ1607">
            <v>72600</v>
          </cell>
          <cell r="AK1607" t="str">
            <v>TL</v>
          </cell>
          <cell r="AL1607">
            <v>1</v>
          </cell>
          <cell r="AO1607">
            <v>0</v>
          </cell>
          <cell r="AQ1607">
            <v>0</v>
          </cell>
          <cell r="AS1607">
            <v>0</v>
          </cell>
          <cell r="AU1607">
            <v>0</v>
          </cell>
          <cell r="AW1607">
            <v>0</v>
          </cell>
        </row>
        <row r="1608">
          <cell r="B1608" t="str">
            <v>ADFAYMG0000-052</v>
          </cell>
          <cell r="C1608" t="str">
            <v>2 Lİ POLYESTER TASARIM MUMLUK</v>
          </cell>
          <cell r="D1608" t="str">
            <v>DOUBLE POLYESTER DESIGN CANDLE HOLDER</v>
          </cell>
          <cell r="E1608" t="str">
            <v xml:space="preserve">POLYESTER YOK GOLD YOK   </v>
          </cell>
          <cell r="F1608" t="str">
            <v/>
          </cell>
          <cell r="G1608" t="str">
            <v>AKSESUAR</v>
          </cell>
          <cell r="H1608" t="str">
            <v/>
          </cell>
          <cell r="I1608" t="str">
            <v>İÇ</v>
          </cell>
          <cell r="J1608" t="str">
            <v>AKSESUAR</v>
          </cell>
          <cell r="K1608" t="str">
            <v/>
          </cell>
          <cell r="L1608" t="str">
            <v/>
          </cell>
          <cell r="M1608" t="str">
            <v/>
          </cell>
          <cell r="N1608" t="str">
            <v>HAA-250006</v>
          </cell>
          <cell r="P1608" t="str">
            <v>ADET</v>
          </cell>
          <cell r="R1608" t="str">
            <v>POLYESTER</v>
          </cell>
          <cell r="S1608" t="str">
            <v>GOLD</v>
          </cell>
          <cell r="AF1608">
            <v>0</v>
          </cell>
          <cell r="AG1608" t="str">
            <v>ADET</v>
          </cell>
          <cell r="AJ1608">
            <v>3867</v>
          </cell>
          <cell r="AK1608" t="str">
            <v>TL</v>
          </cell>
          <cell r="AL1608">
            <v>1</v>
          </cell>
          <cell r="AO1608">
            <v>0</v>
          </cell>
          <cell r="AQ1608">
            <v>0</v>
          </cell>
          <cell r="AS1608">
            <v>0</v>
          </cell>
          <cell r="AU1608">
            <v>0</v>
          </cell>
          <cell r="AW1608">
            <v>0</v>
          </cell>
        </row>
        <row r="1609">
          <cell r="B1609" t="str">
            <v>ADFAJME0000-030</v>
          </cell>
          <cell r="C1609" t="str">
            <v xml:space="preserve">ZİNCİR DEKOR ESKİTME </v>
          </cell>
          <cell r="D1609" t="str">
            <v>BRUSHED BRASS CHAIN DECOR</v>
          </cell>
          <cell r="E1609" t="str">
            <v xml:space="preserve">METAL YOK ESKİTME YOK   </v>
          </cell>
          <cell r="F1609" t="str">
            <v/>
          </cell>
          <cell r="G1609" t="str">
            <v>AKSESUAR</v>
          </cell>
          <cell r="H1609" t="str">
            <v/>
          </cell>
          <cell r="I1609" t="str">
            <v>İÇ</v>
          </cell>
          <cell r="J1609" t="str">
            <v>AKSESUAR</v>
          </cell>
          <cell r="K1609" t="str">
            <v/>
          </cell>
          <cell r="L1609" t="str">
            <v/>
          </cell>
          <cell r="M1609" t="str">
            <v/>
          </cell>
          <cell r="N1609" t="str">
            <v>HAA-250005</v>
          </cell>
          <cell r="P1609" t="str">
            <v>ADET</v>
          </cell>
          <cell r="R1609" t="str">
            <v>METAL</v>
          </cell>
          <cell r="S1609" t="str">
            <v>ESKİTME</v>
          </cell>
          <cell r="AF1609">
            <v>1</v>
          </cell>
          <cell r="AG1609" t="str">
            <v>ADET</v>
          </cell>
          <cell r="AJ1609">
            <v>3825</v>
          </cell>
          <cell r="AK1609" t="str">
            <v>TL</v>
          </cell>
          <cell r="AL1609">
            <v>1</v>
          </cell>
          <cell r="AO1609">
            <v>0</v>
          </cell>
          <cell r="AQ1609">
            <v>0</v>
          </cell>
          <cell r="AS1609">
            <v>0</v>
          </cell>
          <cell r="AU1609">
            <v>0</v>
          </cell>
          <cell r="AW1609">
            <v>0</v>
          </cell>
        </row>
        <row r="1610">
          <cell r="B1610" t="str">
            <v>ADFAJME0000-060</v>
          </cell>
          <cell r="C1610" t="str">
            <v>2 Lİ METAL DEKORATİF FENER</v>
          </cell>
          <cell r="D1610" t="str">
            <v>DOUBLE METAL DECORATIVE LANTERN</v>
          </cell>
          <cell r="E1610" t="str">
            <v xml:space="preserve">METAL YOK ESKİTME YOK   </v>
          </cell>
          <cell r="F1610" t="str">
            <v/>
          </cell>
          <cell r="G1610" t="str">
            <v>AKSESUAR</v>
          </cell>
          <cell r="H1610" t="str">
            <v/>
          </cell>
          <cell r="I1610" t="str">
            <v>İÇ</v>
          </cell>
          <cell r="J1610" t="str">
            <v>AKSESUAR</v>
          </cell>
          <cell r="K1610" t="str">
            <v/>
          </cell>
          <cell r="L1610" t="str">
            <v/>
          </cell>
          <cell r="M1610" t="str">
            <v/>
          </cell>
          <cell r="N1610" t="str">
            <v>HAA-250049</v>
          </cell>
          <cell r="P1610" t="str">
            <v>ADET</v>
          </cell>
          <cell r="R1610" t="str">
            <v>METAL</v>
          </cell>
          <cell r="S1610" t="str">
            <v>ESKİTME</v>
          </cell>
          <cell r="AF1610">
            <v>1</v>
          </cell>
          <cell r="AG1610" t="str">
            <v>ADET</v>
          </cell>
          <cell r="AH1610">
            <v>3100</v>
          </cell>
          <cell r="AI1610" t="str">
            <v>TL</v>
          </cell>
          <cell r="AJ1610">
            <v>7440</v>
          </cell>
          <cell r="AK1610" t="str">
            <v>TL</v>
          </cell>
          <cell r="AL1610">
            <v>1</v>
          </cell>
          <cell r="AO1610">
            <v>0</v>
          </cell>
          <cell r="AQ1610">
            <v>0</v>
          </cell>
          <cell r="AS1610">
            <v>0</v>
          </cell>
          <cell r="AU1610">
            <v>0</v>
          </cell>
          <cell r="AW1610">
            <v>0</v>
          </cell>
        </row>
        <row r="1611">
          <cell r="B1611" t="str">
            <v>H1C6WRBJME0-080</v>
          </cell>
          <cell r="C1611" t="str">
            <v>HARTUM MERMER ESKİTME SALON AVİZE 80cm</v>
          </cell>
          <cell r="D1611" t="str">
            <v>HARTUM MARBLE BRUSHED BRASS LIVING ROOM CHANDELIER 80cm</v>
          </cell>
          <cell r="E1611" t="str">
            <v xml:space="preserve">MERMER METAL BEYAZ ESKİTME   </v>
          </cell>
          <cell r="F1611" t="str">
            <v/>
          </cell>
          <cell r="G1611" t="str">
            <v>AVİZE</v>
          </cell>
          <cell r="H1611" t="str">
            <v/>
          </cell>
          <cell r="I1611" t="str">
            <v>İÇ</v>
          </cell>
          <cell r="J1611" t="str">
            <v>AVİZE</v>
          </cell>
          <cell r="K1611" t="str">
            <v>HARTUM</v>
          </cell>
          <cell r="L1611" t="str">
            <v/>
          </cell>
          <cell r="M1611" t="str">
            <v>20.04.2026</v>
          </cell>
          <cell r="N1611" t="str">
            <v>HKA-24446</v>
          </cell>
          <cell r="O1611" t="str">
            <v>HEKA</v>
          </cell>
          <cell r="P1611" t="str">
            <v>ADET</v>
          </cell>
          <cell r="Q1611" t="str">
            <v>LED</v>
          </cell>
          <cell r="R1611" t="str">
            <v>MERMER</v>
          </cell>
          <cell r="S1611" t="str">
            <v>BEYAZ</v>
          </cell>
          <cell r="T1611" t="str">
            <v>METAL</v>
          </cell>
          <cell r="U1611" t="str">
            <v>ESKİTME</v>
          </cell>
          <cell r="X1611" t="str">
            <v>110V-220V</v>
          </cell>
          <cell r="Y1611" t="str">
            <v>32 WATT</v>
          </cell>
          <cell r="Z1611" t="str">
            <v>3000 K</v>
          </cell>
          <cell r="AA1611" t="str">
            <v>DIMMSIZ</v>
          </cell>
          <cell r="AD1611" t="str">
            <v>SİLİNDİR</v>
          </cell>
          <cell r="AF1611">
            <v>6</v>
          </cell>
          <cell r="AG1611" t="str">
            <v>ADET</v>
          </cell>
          <cell r="AH1611">
            <v>2613.6</v>
          </cell>
          <cell r="AI1611" t="str">
            <v>CNY</v>
          </cell>
          <cell r="AJ1611">
            <v>179900</v>
          </cell>
          <cell r="AK1611" t="str">
            <v>TL</v>
          </cell>
          <cell r="AL1611">
            <v>1</v>
          </cell>
          <cell r="AM1611" t="str">
            <v>8684127514729</v>
          </cell>
          <cell r="AO1611">
            <v>12.9</v>
          </cell>
          <cell r="AP1611" t="str">
            <v>KG</v>
          </cell>
          <cell r="AQ1611">
            <v>15</v>
          </cell>
          <cell r="AR1611" t="str">
            <v>CM</v>
          </cell>
          <cell r="AS1611">
            <v>80</v>
          </cell>
          <cell r="AT1611" t="str">
            <v>CM</v>
          </cell>
          <cell r="AU1611">
            <v>0</v>
          </cell>
          <cell r="AW1611">
            <v>0</v>
          </cell>
        </row>
        <row r="1612">
          <cell r="B1612" t="str">
            <v>H1C6JMNBCSP-055</v>
          </cell>
          <cell r="C1612" t="str">
            <v>SURINAM KRİSTAL AKRİLİK NİKEL TEKLİ SARKIT</v>
          </cell>
          <cell r="D1612" t="str">
            <v>SURINAM CRYSTAL ACRYLIC NICKEL SINGLE PENDANT</v>
          </cell>
          <cell r="E1612" t="str">
            <v xml:space="preserve">METAL AKRİLİK NİKEL ŞEFFAF   </v>
          </cell>
          <cell r="F1612" t="str">
            <v/>
          </cell>
          <cell r="G1612" t="str">
            <v>AVİZE</v>
          </cell>
          <cell r="H1612" t="str">
            <v/>
          </cell>
          <cell r="I1612" t="str">
            <v>İÇ</v>
          </cell>
          <cell r="J1612" t="str">
            <v>AVİZE.SARK</v>
          </cell>
          <cell r="K1612" t="str">
            <v>SURINAM</v>
          </cell>
          <cell r="L1612" t="str">
            <v/>
          </cell>
          <cell r="M1612" t="str">
            <v/>
          </cell>
          <cell r="N1612" t="str">
            <v>HKA-24448</v>
          </cell>
          <cell r="O1612" t="str">
            <v>HEKA</v>
          </cell>
          <cell r="P1612" t="str">
            <v>ADET</v>
          </cell>
          <cell r="Q1612" t="str">
            <v>LED</v>
          </cell>
          <cell r="R1612" t="str">
            <v>METAL</v>
          </cell>
          <cell r="S1612" t="str">
            <v>NİKEL</v>
          </cell>
          <cell r="T1612" t="str">
            <v>AKRİLİK</v>
          </cell>
          <cell r="U1612" t="str">
            <v>ŞEFFAF</v>
          </cell>
          <cell r="AD1612" t="str">
            <v>POLİGONAL</v>
          </cell>
          <cell r="AF1612">
            <v>7</v>
          </cell>
          <cell r="AG1612" t="str">
            <v>ADET</v>
          </cell>
          <cell r="AH1612">
            <v>226.1</v>
          </cell>
          <cell r="AI1612" t="str">
            <v>TL</v>
          </cell>
          <cell r="AJ1612">
            <v>13500</v>
          </cell>
          <cell r="AK1612" t="str">
            <v>TL</v>
          </cell>
          <cell r="AL1612">
            <v>1</v>
          </cell>
          <cell r="AM1612" t="str">
            <v>8684127514743</v>
          </cell>
          <cell r="AO1612">
            <v>0</v>
          </cell>
          <cell r="AQ1612">
            <v>50</v>
          </cell>
          <cell r="AR1612" t="str">
            <v>CM</v>
          </cell>
          <cell r="AS1612">
            <v>5</v>
          </cell>
          <cell r="AT1612" t="str">
            <v>CM</v>
          </cell>
          <cell r="AU1612">
            <v>0</v>
          </cell>
          <cell r="AW1612">
            <v>0</v>
          </cell>
        </row>
        <row r="1613">
          <cell r="B1613" t="str">
            <v>T1C2JMR000B-030</v>
          </cell>
          <cell r="C1613" t="str">
            <v>TEKER SARKIT 30 cm</v>
          </cell>
          <cell r="D1613" t="str">
            <v>WHEEL PENDANT 30 cm</v>
          </cell>
          <cell r="E1613" t="str">
            <v xml:space="preserve">METAL YOK KOYU ESKİTME YOK   </v>
          </cell>
          <cell r="F1613" t="str">
            <v/>
          </cell>
          <cell r="G1613" t="str">
            <v>AVİZE</v>
          </cell>
          <cell r="H1613" t="str">
            <v/>
          </cell>
          <cell r="I1613" t="str">
            <v>İÇ</v>
          </cell>
          <cell r="J1613" t="str">
            <v>AVİZE</v>
          </cell>
          <cell r="K1613" t="str">
            <v/>
          </cell>
          <cell r="L1613" t="str">
            <v/>
          </cell>
          <cell r="M1613" t="str">
            <v/>
          </cell>
          <cell r="N1613" t="str">
            <v/>
          </cell>
          <cell r="O1613" t="str">
            <v>ISHI</v>
          </cell>
          <cell r="P1613" t="str">
            <v>ADET</v>
          </cell>
          <cell r="AF1613">
            <v>0</v>
          </cell>
          <cell r="AG1613" t="str">
            <v>ADET</v>
          </cell>
          <cell r="AL1613">
            <v>1</v>
          </cell>
          <cell r="AO1613">
            <v>0</v>
          </cell>
          <cell r="AQ1613">
            <v>0</v>
          </cell>
          <cell r="AS1613">
            <v>0</v>
          </cell>
          <cell r="AU1613">
            <v>0</v>
          </cell>
          <cell r="AW1613">
            <v>0</v>
          </cell>
        </row>
        <row r="1614">
          <cell r="B1614" t="str">
            <v>T1W2JMR0000-107</v>
          </cell>
          <cell r="C1614" t="str">
            <v>HAM VERNİKLİ 5 Lİ SU BORUSU APLİK 107x55 cm</v>
          </cell>
          <cell r="D1614" t="str">
            <v>RAW VARNISHED 5-PIECE WATER PIPE WALL LAMP 107x55 cm</v>
          </cell>
          <cell r="E1614" t="str">
            <v xml:space="preserve">METAL YOK KOYU ESKİTME YOK   </v>
          </cell>
          <cell r="F1614" t="str">
            <v/>
          </cell>
          <cell r="G1614" t="str">
            <v>APLİK</v>
          </cell>
          <cell r="H1614" t="str">
            <v/>
          </cell>
          <cell r="I1614" t="str">
            <v>İÇ</v>
          </cell>
          <cell r="J1614" t="str">
            <v>APLİK</v>
          </cell>
          <cell r="K1614" t="str">
            <v/>
          </cell>
          <cell r="L1614" t="str">
            <v/>
          </cell>
          <cell r="M1614" t="str">
            <v/>
          </cell>
          <cell r="N1614" t="str">
            <v/>
          </cell>
          <cell r="P1614" t="str">
            <v>ADET</v>
          </cell>
          <cell r="AF1614">
            <v>0</v>
          </cell>
          <cell r="AG1614" t="str">
            <v>ADET</v>
          </cell>
          <cell r="AL1614">
            <v>1</v>
          </cell>
          <cell r="AO1614">
            <v>0</v>
          </cell>
          <cell r="AQ1614">
            <v>0</v>
          </cell>
          <cell r="AS1614">
            <v>0</v>
          </cell>
          <cell r="AU1614">
            <v>0</v>
          </cell>
          <cell r="AW1614">
            <v>0</v>
          </cell>
        </row>
        <row r="1615">
          <cell r="B1615" t="str">
            <v>H1F2JMEECSR-172</v>
          </cell>
          <cell r="C1615" t="str">
            <v>SATURN ŞEFFAF CAM ESKİTME LAMBADER</v>
          </cell>
          <cell r="D1615" t="str">
            <v xml:space="preserve">SATURN CLEAR GLASS BRUSHED BRASS FLOOR LAMP </v>
          </cell>
          <cell r="E1615" t="str">
            <v xml:space="preserve">METAL CAM  ESKİTME ŞEFFAF   </v>
          </cell>
          <cell r="F1615" t="str">
            <v/>
          </cell>
          <cell r="G1615" t="str">
            <v>LAMBADER</v>
          </cell>
          <cell r="H1615" t="str">
            <v/>
          </cell>
          <cell r="I1615" t="str">
            <v>İÇ</v>
          </cell>
          <cell r="J1615" t="str">
            <v>LAMBADER</v>
          </cell>
          <cell r="K1615" t="str">
            <v>SATURN</v>
          </cell>
          <cell r="L1615" t="str">
            <v/>
          </cell>
          <cell r="M1615" t="str">
            <v/>
          </cell>
          <cell r="N1615" t="str">
            <v>HKA-24399</v>
          </cell>
          <cell r="O1615" t="str">
            <v>HEKA</v>
          </cell>
          <cell r="P1615" t="str">
            <v>ADET</v>
          </cell>
          <cell r="Q1615" t="str">
            <v>E27</v>
          </cell>
          <cell r="R1615" t="str">
            <v>METAL</v>
          </cell>
          <cell r="S1615" t="str">
            <v>ESKİTME</v>
          </cell>
          <cell r="T1615" t="str">
            <v>CAM</v>
          </cell>
          <cell r="U1615" t="str">
            <v>ŞEFFAF</v>
          </cell>
          <cell r="AD1615" t="str">
            <v>DAİRE</v>
          </cell>
          <cell r="AE1615" t="str">
            <v>04</v>
          </cell>
          <cell r="AF1615">
            <v>2</v>
          </cell>
          <cell r="AG1615" t="str">
            <v>ADET</v>
          </cell>
          <cell r="AJ1615">
            <v>34125</v>
          </cell>
          <cell r="AK1615" t="str">
            <v>TL</v>
          </cell>
          <cell r="AL1615">
            <v>0</v>
          </cell>
          <cell r="AO1615">
            <v>0</v>
          </cell>
          <cell r="AQ1615">
            <v>0</v>
          </cell>
          <cell r="AS1615">
            <v>0</v>
          </cell>
          <cell r="AU1615">
            <v>0</v>
          </cell>
          <cell r="AW1615">
            <v>0</v>
          </cell>
        </row>
        <row r="1616">
          <cell r="B1616" t="str">
            <v>H1T6AA1AAAJ-016</v>
          </cell>
          <cell r="C1616" t="str">
            <v>SHAGGY ANTİK MEŞE AHŞAP MANTAR MASA LAMBASI</v>
          </cell>
          <cell r="D1616" t="str">
            <v>SHAGGY ANTIQUE OAK WOOD MUSHROOM TABLE LAMP</v>
          </cell>
          <cell r="E1616" t="str">
            <v xml:space="preserve">AHŞAP AHŞAP ANTİK MEŞE AKÇAAĞAÇ   </v>
          </cell>
          <cell r="F1616" t="str">
            <v/>
          </cell>
          <cell r="G1616" t="str">
            <v>MASAABAJ</v>
          </cell>
          <cell r="H1616" t="str">
            <v/>
          </cell>
          <cell r="I1616" t="str">
            <v>İÇ</v>
          </cell>
          <cell r="J1616" t="str">
            <v>MASAKAMP</v>
          </cell>
          <cell r="K1616" t="str">
            <v>SHAGGY</v>
          </cell>
          <cell r="L1616" t="str">
            <v/>
          </cell>
          <cell r="M1616" t="str">
            <v/>
          </cell>
          <cell r="N1616" t="str">
            <v>HKA-24411</v>
          </cell>
          <cell r="O1616" t="str">
            <v>HEKA</v>
          </cell>
          <cell r="P1616" t="str">
            <v>ADET</v>
          </cell>
          <cell r="Q1616" t="str">
            <v>LED</v>
          </cell>
          <cell r="R1616" t="str">
            <v>AHŞAP</v>
          </cell>
          <cell r="S1616" t="str">
            <v>ANTİK MEŞE</v>
          </cell>
          <cell r="T1616" t="str">
            <v>AHŞAP</v>
          </cell>
          <cell r="U1616" t="str">
            <v>AKÇA AĞAÇ</v>
          </cell>
          <cell r="AD1616" t="str">
            <v>ŞARJLI</v>
          </cell>
          <cell r="AF1616">
            <v>1</v>
          </cell>
          <cell r="AG1616" t="str">
            <v>ADET</v>
          </cell>
          <cell r="AJ1616">
            <v>2395</v>
          </cell>
          <cell r="AK1616" t="str">
            <v>TL</v>
          </cell>
          <cell r="AL1616">
            <v>1</v>
          </cell>
          <cell r="AM1616" t="str">
            <v>8684127514101</v>
          </cell>
          <cell r="AO1616">
            <v>0</v>
          </cell>
          <cell r="AQ1616">
            <v>16</v>
          </cell>
          <cell r="AR1616" t="str">
            <v>CM</v>
          </cell>
          <cell r="AS1616">
            <v>10.5</v>
          </cell>
          <cell r="AT1616" t="str">
            <v>CM</v>
          </cell>
          <cell r="AU1616">
            <v>0</v>
          </cell>
          <cell r="AW1616">
            <v>0</v>
          </cell>
        </row>
        <row r="1617">
          <cell r="B1617" t="str">
            <v>H1T6ARAAAAJ-016</v>
          </cell>
          <cell r="C1617" t="str">
            <v>SHAGGY SARI AHŞAP MANTAR MASA LAMBASI</v>
          </cell>
          <cell r="D1617" t="str">
            <v>SHAGGY YELLOW WOOD MUSHROOM TABLE LAMP</v>
          </cell>
          <cell r="E1617" t="str">
            <v xml:space="preserve">AHŞAP AHŞAP SARI AKÇAAĞAÇ   </v>
          </cell>
          <cell r="F1617" t="str">
            <v/>
          </cell>
          <cell r="G1617" t="str">
            <v>MASAABAJ</v>
          </cell>
          <cell r="H1617" t="str">
            <v/>
          </cell>
          <cell r="I1617" t="str">
            <v>İÇ</v>
          </cell>
          <cell r="J1617" t="str">
            <v>MASAKAMP</v>
          </cell>
          <cell r="K1617" t="str">
            <v>SHAGGY</v>
          </cell>
          <cell r="L1617" t="str">
            <v/>
          </cell>
          <cell r="M1617" t="str">
            <v/>
          </cell>
          <cell r="N1617" t="str">
            <v>HKA-24413</v>
          </cell>
          <cell r="O1617" t="str">
            <v>HEKA</v>
          </cell>
          <cell r="P1617" t="str">
            <v>ADET</v>
          </cell>
          <cell r="Q1617" t="str">
            <v>LED</v>
          </cell>
          <cell r="R1617" t="str">
            <v>AHŞAP</v>
          </cell>
          <cell r="S1617" t="str">
            <v>SARI</v>
          </cell>
          <cell r="T1617" t="str">
            <v>AHŞAP</v>
          </cell>
          <cell r="U1617" t="str">
            <v>AKÇA AĞAÇ</v>
          </cell>
          <cell r="AD1617" t="str">
            <v>ŞARJLI</v>
          </cell>
          <cell r="AF1617">
            <v>35</v>
          </cell>
          <cell r="AG1617" t="str">
            <v>ADET</v>
          </cell>
          <cell r="AJ1617">
            <v>2395</v>
          </cell>
          <cell r="AK1617" t="str">
            <v>TL</v>
          </cell>
          <cell r="AL1617">
            <v>1</v>
          </cell>
          <cell r="AM1617" t="str">
            <v>8684127514125</v>
          </cell>
          <cell r="AO1617">
            <v>0</v>
          </cell>
          <cell r="AQ1617">
            <v>16</v>
          </cell>
          <cell r="AR1617" t="str">
            <v>CM</v>
          </cell>
          <cell r="AS1617">
            <v>10.5</v>
          </cell>
          <cell r="AT1617" t="str">
            <v>CM</v>
          </cell>
          <cell r="AU1617">
            <v>0</v>
          </cell>
          <cell r="AW1617">
            <v>0</v>
          </cell>
        </row>
        <row r="1618">
          <cell r="B1618" t="str">
            <v>H1L2JMEHRV1-069</v>
          </cell>
          <cell r="C1618" t="str">
            <v>NİCE ESKİTME KAHVERENGİ ABAJUR</v>
          </cell>
          <cell r="D1618" t="str">
            <v xml:space="preserve">NİCE BURHSHED BRASS BROWN LAMPSHADE </v>
          </cell>
          <cell r="E1618" t="str">
            <v xml:space="preserve">METAL KUMAŞ ESKİTME KAHVERENGİ   </v>
          </cell>
          <cell r="F1618" t="str">
            <v/>
          </cell>
          <cell r="G1618" t="str">
            <v>MASAABAJ</v>
          </cell>
          <cell r="H1618" t="str">
            <v/>
          </cell>
          <cell r="I1618" t="str">
            <v>İÇ</v>
          </cell>
          <cell r="J1618" t="str">
            <v>MASAABAJ</v>
          </cell>
          <cell r="K1618" t="str">
            <v>NİCE</v>
          </cell>
          <cell r="L1618" t="str">
            <v/>
          </cell>
          <cell r="M1618" t="str">
            <v/>
          </cell>
          <cell r="N1618" t="str">
            <v>HKA-24264</v>
          </cell>
          <cell r="O1618" t="str">
            <v>HEKA</v>
          </cell>
          <cell r="P1618" t="str">
            <v>ADET</v>
          </cell>
          <cell r="Q1618" t="str">
            <v>E27</v>
          </cell>
          <cell r="R1618" t="str">
            <v>METAL</v>
          </cell>
          <cell r="S1618" t="str">
            <v>ESKİTME</v>
          </cell>
          <cell r="T1618" t="str">
            <v>KUMAŞ</v>
          </cell>
          <cell r="U1618" t="str">
            <v>KAHVERENGİ</v>
          </cell>
          <cell r="AD1618" t="str">
            <v>TEKLİ</v>
          </cell>
          <cell r="AE1618" t="str">
            <v>01</v>
          </cell>
          <cell r="AF1618">
            <v>0</v>
          </cell>
          <cell r="AG1618" t="str">
            <v>ADET</v>
          </cell>
          <cell r="AH1618">
            <v>147.25</v>
          </cell>
          <cell r="AI1618" t="str">
            <v>CNY</v>
          </cell>
          <cell r="AJ1618">
            <v>12400</v>
          </cell>
          <cell r="AK1618" t="str">
            <v>TL</v>
          </cell>
          <cell r="AL1618">
            <v>1</v>
          </cell>
          <cell r="AO1618">
            <v>3</v>
          </cell>
          <cell r="AP1618" t="str">
            <v>KG</v>
          </cell>
          <cell r="AQ1618">
            <v>69</v>
          </cell>
          <cell r="AR1618" t="str">
            <v>CM</v>
          </cell>
          <cell r="AS1618">
            <v>38</v>
          </cell>
          <cell r="AT1618" t="str">
            <v>CM</v>
          </cell>
          <cell r="AU1618">
            <v>0</v>
          </cell>
          <cell r="AW1618">
            <v>0</v>
          </cell>
        </row>
        <row r="1619">
          <cell r="B1619" t="str">
            <v>H1F2JMRNRR1-153</v>
          </cell>
          <cell r="C1619" t="str">
            <v>GOSTİVAR KOYU ESKİTME KREM RENK PORSELEN LAMBADER</v>
          </cell>
          <cell r="D1619" t="str">
            <v>GOSTİVAR RAW BRASS CREAM COLOR PORCELAIN FLOOR LAMP</v>
          </cell>
          <cell r="E1619" t="str">
            <v>METAL PORSELEN KOYU ESKİTME KREM</v>
          </cell>
          <cell r="F1619" t="str">
            <v/>
          </cell>
          <cell r="G1619" t="str">
            <v>LAMBADER</v>
          </cell>
          <cell r="H1619" t="str">
            <v/>
          </cell>
          <cell r="I1619" t="str">
            <v>İÇ</v>
          </cell>
          <cell r="J1619" t="str">
            <v>LAMBADER</v>
          </cell>
          <cell r="K1619" t="str">
            <v>GOSTİVAR</v>
          </cell>
          <cell r="L1619" t="str">
            <v/>
          </cell>
          <cell r="M1619" t="str">
            <v/>
          </cell>
          <cell r="N1619" t="str">
            <v>HKA-24271</v>
          </cell>
          <cell r="O1619" t="str">
            <v>HEKA</v>
          </cell>
          <cell r="P1619" t="str">
            <v>ADET</v>
          </cell>
          <cell r="Q1619" t="str">
            <v>E27</v>
          </cell>
          <cell r="R1619" t="str">
            <v>METAL</v>
          </cell>
          <cell r="S1619" t="str">
            <v>KOYU ESKİTME</v>
          </cell>
          <cell r="T1619" t="str">
            <v>PORSELEN</v>
          </cell>
          <cell r="U1619" t="str">
            <v>KREM</v>
          </cell>
          <cell r="AD1619" t="str">
            <v>TEKLİ</v>
          </cell>
          <cell r="AE1619" t="str">
            <v>01</v>
          </cell>
          <cell r="AF1619">
            <v>0</v>
          </cell>
          <cell r="AG1619" t="str">
            <v>ADET</v>
          </cell>
          <cell r="AH1619">
            <v>152</v>
          </cell>
          <cell r="AI1619" t="str">
            <v>CNY</v>
          </cell>
          <cell r="AJ1619">
            <v>12800</v>
          </cell>
          <cell r="AK1619" t="str">
            <v>TL</v>
          </cell>
          <cell r="AL1619">
            <v>1</v>
          </cell>
          <cell r="AO1619">
            <v>0</v>
          </cell>
          <cell r="AP1619" t="str">
            <v>KG</v>
          </cell>
          <cell r="AQ1619">
            <v>153</v>
          </cell>
          <cell r="AR1619" t="str">
            <v>CM</v>
          </cell>
          <cell r="AS1619">
            <v>43</v>
          </cell>
          <cell r="AT1619" t="str">
            <v>CM</v>
          </cell>
          <cell r="AU1619">
            <v>0</v>
          </cell>
          <cell r="AW1619">
            <v>0</v>
          </cell>
        </row>
        <row r="1620">
          <cell r="B1620" t="str">
            <v>H1C6JMEZRLO-014</v>
          </cell>
          <cell r="C1620" t="str">
            <v>ODENSE KABARCIKLI BASIK BAL CAM ESKİTME SARKIT</v>
          </cell>
          <cell r="D1620" t="str">
            <v>ODENSE BUBBLY AMBER SQUASHED GLASS BRUSHED BRASS PENDANT</v>
          </cell>
          <cell r="E1620" t="str">
            <v xml:space="preserve">METAL KABARCIKLI CAM ESKİTME BAL   </v>
          </cell>
          <cell r="F1620" t="str">
            <v/>
          </cell>
          <cell r="G1620" t="str">
            <v>AVİZE</v>
          </cell>
          <cell r="H1620" t="str">
            <v/>
          </cell>
          <cell r="I1620" t="str">
            <v>İÇ</v>
          </cell>
          <cell r="J1620" t="str">
            <v>AVİZE.SARK</v>
          </cell>
          <cell r="K1620" t="str">
            <v>ODENSE</v>
          </cell>
          <cell r="L1620" t="str">
            <v>Ç</v>
          </cell>
          <cell r="M1620" t="str">
            <v/>
          </cell>
          <cell r="N1620" t="str">
            <v>HKA-24434</v>
          </cell>
          <cell r="O1620" t="str">
            <v>HEKA</v>
          </cell>
          <cell r="P1620" t="str">
            <v>ADET</v>
          </cell>
          <cell r="Q1620" t="str">
            <v>LED</v>
          </cell>
          <cell r="R1620" t="str">
            <v>METAL</v>
          </cell>
          <cell r="S1620" t="str">
            <v>ESKİTME</v>
          </cell>
          <cell r="T1620" t="str">
            <v>KABARCIKLI CAM</v>
          </cell>
          <cell r="U1620" t="str">
            <v>BAL</v>
          </cell>
          <cell r="AD1620" t="str">
            <v>BASIK</v>
          </cell>
          <cell r="AF1620">
            <v>73</v>
          </cell>
          <cell r="AG1620" t="str">
            <v>ADET</v>
          </cell>
          <cell r="AH1620">
            <v>40</v>
          </cell>
          <cell r="AI1620" t="str">
            <v>CNY</v>
          </cell>
          <cell r="AJ1620">
            <v>3950</v>
          </cell>
          <cell r="AK1620" t="str">
            <v>TL</v>
          </cell>
          <cell r="AL1620">
            <v>1</v>
          </cell>
          <cell r="AM1620" t="str">
            <v>8684127514378</v>
          </cell>
          <cell r="AO1620">
            <v>0</v>
          </cell>
          <cell r="AQ1620">
            <v>14</v>
          </cell>
          <cell r="AR1620" t="str">
            <v>CM</v>
          </cell>
          <cell r="AS1620">
            <v>15</v>
          </cell>
          <cell r="AT1620" t="str">
            <v>CM</v>
          </cell>
          <cell r="AU1620">
            <v>0</v>
          </cell>
          <cell r="AW1620">
            <v>0</v>
          </cell>
        </row>
        <row r="1621">
          <cell r="B1621" t="str">
            <v>H1W6JMNZCTO-013</v>
          </cell>
          <cell r="C1621" t="str">
            <v>ODENSE KABARCIKLI SOFT BASIK CAM KROM APLİK</v>
          </cell>
          <cell r="D1621" t="str">
            <v>ODENSE BUBBLY SOFT WHITE SQUASHED GLASS CHROME WALL LAMP</v>
          </cell>
          <cell r="E1621" t="str">
            <v xml:space="preserve">METAL KABARCIKLI CAM KROM SOFT   </v>
          </cell>
          <cell r="F1621" t="str">
            <v/>
          </cell>
          <cell r="G1621" t="str">
            <v>APLİK</v>
          </cell>
          <cell r="H1621" t="str">
            <v/>
          </cell>
          <cell r="I1621" t="str">
            <v>İÇ</v>
          </cell>
          <cell r="J1621" t="str">
            <v>APLİK</v>
          </cell>
          <cell r="K1621" t="str">
            <v>ODENSE</v>
          </cell>
          <cell r="L1621" t="str">
            <v>Ç</v>
          </cell>
          <cell r="M1621" t="str">
            <v/>
          </cell>
          <cell r="N1621" t="str">
            <v>HKA-24433</v>
          </cell>
          <cell r="O1621" t="str">
            <v>HEKA</v>
          </cell>
          <cell r="P1621" t="str">
            <v>ADET</v>
          </cell>
          <cell r="Q1621" t="str">
            <v>LED</v>
          </cell>
          <cell r="R1621" t="str">
            <v>METAL</v>
          </cell>
          <cell r="S1621" t="str">
            <v>KROM</v>
          </cell>
          <cell r="T1621" t="str">
            <v>KABARCIKLI CAM</v>
          </cell>
          <cell r="U1621" t="str">
            <v>SOFT</v>
          </cell>
          <cell r="AD1621" t="str">
            <v>BASIK</v>
          </cell>
          <cell r="AF1621">
            <v>19</v>
          </cell>
          <cell r="AG1621" t="str">
            <v>ADET</v>
          </cell>
          <cell r="AH1621">
            <v>40</v>
          </cell>
          <cell r="AI1621" t="str">
            <v>CNY</v>
          </cell>
          <cell r="AJ1621">
            <v>3950</v>
          </cell>
          <cell r="AK1621" t="str">
            <v>TL</v>
          </cell>
          <cell r="AL1621">
            <v>1</v>
          </cell>
          <cell r="AM1621" t="str">
            <v>8684127514361</v>
          </cell>
          <cell r="AO1621">
            <v>0</v>
          </cell>
          <cell r="AQ1621">
            <v>13</v>
          </cell>
          <cell r="AR1621" t="str">
            <v>CM</v>
          </cell>
          <cell r="AS1621">
            <v>15</v>
          </cell>
          <cell r="AT1621" t="str">
            <v>CM</v>
          </cell>
          <cell r="AU1621">
            <v>0</v>
          </cell>
          <cell r="AW1621">
            <v>0</v>
          </cell>
        </row>
        <row r="1622">
          <cell r="B1622" t="str">
            <v>3YC4OZRL000-013</v>
          </cell>
          <cell r="C1622" t="str">
            <v>KABARACIKLI BAL BASIK AVİZE CAMI 15 cm</v>
          </cell>
          <cell r="D1622" t="str">
            <v>BUBBLY AMBER SQUASHED PENDANT GLASS 15 cm</v>
          </cell>
          <cell r="E1622" t="str">
            <v xml:space="preserve">BASIK KABARCIKLI CAM KABARCIKLI CAM YOK   </v>
          </cell>
          <cell r="F1622" t="str">
            <v/>
          </cell>
          <cell r="G1622" t="str">
            <v>ZPARCA</v>
          </cell>
          <cell r="H1622" t="str">
            <v/>
          </cell>
          <cell r="I1622" t="str">
            <v>İÇ</v>
          </cell>
          <cell r="J1622" t="str">
            <v>ZPARCA</v>
          </cell>
          <cell r="K1622" t="str">
            <v/>
          </cell>
          <cell r="L1622" t="str">
            <v/>
          </cell>
          <cell r="M1622" t="str">
            <v/>
          </cell>
          <cell r="N1622" t="str">
            <v>HKY-240006</v>
          </cell>
          <cell r="P1622" t="str">
            <v>ADET</v>
          </cell>
          <cell r="AF1622">
            <v>0</v>
          </cell>
          <cell r="AG1622" t="str">
            <v>ADET</v>
          </cell>
          <cell r="AL1622">
            <v>0</v>
          </cell>
          <cell r="AO1622">
            <v>0</v>
          </cell>
          <cell r="AQ1622">
            <v>0</v>
          </cell>
          <cell r="AS1622">
            <v>0</v>
          </cell>
          <cell r="AU1622">
            <v>0</v>
          </cell>
          <cell r="AW1622">
            <v>0</v>
          </cell>
        </row>
        <row r="1623">
          <cell r="B1623" t="str">
            <v>3YC4OZCT000-013</v>
          </cell>
          <cell r="C1623" t="str">
            <v>KABARACIKLI SOFT BASIK AVİZE CAMI 15 cm</v>
          </cell>
          <cell r="D1623" t="str">
            <v>BUBBLY SOFT SQUASHED PENDANT GLASS 15 cm</v>
          </cell>
          <cell r="E1623" t="str">
            <v xml:space="preserve">BASIK KABARCIKLI CAM KABARCIKLI CAM YOK   </v>
          </cell>
          <cell r="F1623" t="str">
            <v/>
          </cell>
          <cell r="G1623" t="str">
            <v>ZPARCA</v>
          </cell>
          <cell r="H1623" t="str">
            <v/>
          </cell>
          <cell r="I1623" t="str">
            <v>İÇ</v>
          </cell>
          <cell r="J1623" t="str">
            <v>ZPARCA</v>
          </cell>
          <cell r="K1623" t="str">
            <v/>
          </cell>
          <cell r="L1623" t="str">
            <v/>
          </cell>
          <cell r="M1623" t="str">
            <v/>
          </cell>
          <cell r="N1623" t="str">
            <v>HKY-240008</v>
          </cell>
          <cell r="P1623" t="str">
            <v>ADET</v>
          </cell>
          <cell r="AF1623">
            <v>0</v>
          </cell>
          <cell r="AG1623" t="str">
            <v>ADET</v>
          </cell>
          <cell r="AL1623">
            <v>0</v>
          </cell>
          <cell r="AO1623">
            <v>0</v>
          </cell>
          <cell r="AQ1623">
            <v>0</v>
          </cell>
          <cell r="AS1623">
            <v>0</v>
          </cell>
          <cell r="AU1623">
            <v>0</v>
          </cell>
          <cell r="AW1623">
            <v>0</v>
          </cell>
        </row>
        <row r="1624">
          <cell r="B1624" t="str">
            <v>H1L2JMGECS1-071</v>
          </cell>
          <cell r="C1624" t="str">
            <v>BONN GOLD ŞEFFAF CAM ABAJUR</v>
          </cell>
          <cell r="D1624" t="str">
            <v>BONN GOLD CLEAR GLASS LAMPSHADE</v>
          </cell>
          <cell r="E1624" t="str">
            <v xml:space="preserve">METAL CAM  GOLD ŞEFFAF   </v>
          </cell>
          <cell r="F1624" t="str">
            <v/>
          </cell>
          <cell r="G1624" t="str">
            <v>MASAABAJ</v>
          </cell>
          <cell r="H1624" t="str">
            <v/>
          </cell>
          <cell r="I1624" t="str">
            <v>İÇ</v>
          </cell>
          <cell r="J1624" t="str">
            <v>MASAABAJ</v>
          </cell>
          <cell r="K1624" t="str">
            <v>BONN</v>
          </cell>
          <cell r="L1624" t="str">
            <v/>
          </cell>
          <cell r="M1624" t="str">
            <v/>
          </cell>
          <cell r="N1624" t="str">
            <v>HKA-24262</v>
          </cell>
          <cell r="O1624" t="str">
            <v>HEKA</v>
          </cell>
          <cell r="P1624" t="str">
            <v>ADET</v>
          </cell>
          <cell r="Q1624" t="str">
            <v>E27</v>
          </cell>
          <cell r="R1624" t="str">
            <v>METAL</v>
          </cell>
          <cell r="S1624" t="str">
            <v>GOLD</v>
          </cell>
          <cell r="T1624" t="str">
            <v>CAM</v>
          </cell>
          <cell r="U1624" t="str">
            <v>ŞEFFAF</v>
          </cell>
          <cell r="AD1624" t="str">
            <v>TEKLİ</v>
          </cell>
          <cell r="AE1624" t="str">
            <v>01</v>
          </cell>
          <cell r="AF1624">
            <v>0</v>
          </cell>
          <cell r="AG1624" t="str">
            <v>ADET</v>
          </cell>
          <cell r="AH1624">
            <v>137.75</v>
          </cell>
          <cell r="AI1624" t="str">
            <v>CNY</v>
          </cell>
          <cell r="AJ1624">
            <v>11570</v>
          </cell>
          <cell r="AK1624" t="str">
            <v>TL</v>
          </cell>
          <cell r="AL1624">
            <v>1</v>
          </cell>
          <cell r="AM1624" t="str">
            <v>8684127514484</v>
          </cell>
          <cell r="AO1624">
            <v>3.4</v>
          </cell>
          <cell r="AP1624" t="str">
            <v>KG</v>
          </cell>
          <cell r="AQ1624">
            <v>71</v>
          </cell>
          <cell r="AR1624" t="str">
            <v>CM</v>
          </cell>
          <cell r="AS1624">
            <v>38</v>
          </cell>
          <cell r="AT1624" t="str">
            <v>CM</v>
          </cell>
          <cell r="AU1624">
            <v>0</v>
          </cell>
          <cell r="AW1624">
            <v>0</v>
          </cell>
        </row>
        <row r="1625">
          <cell r="B1625" t="str">
            <v>AVFLERY0005-026</v>
          </cell>
          <cell r="C1625" t="str">
            <v>CAM YEŞİL VAZO  KÜÇÜK 16x12x26 cm</v>
          </cell>
          <cell r="D1625" t="str">
            <v>GLASS GREEN VASE SMALL 16x12x26 cm</v>
          </cell>
          <cell r="E1625" t="str">
            <v xml:space="preserve">CAM  YOK YEŞİL YOK   </v>
          </cell>
          <cell r="F1625" t="str">
            <v/>
          </cell>
          <cell r="G1625" t="str">
            <v>AKSESUAR</v>
          </cell>
          <cell r="H1625" t="str">
            <v/>
          </cell>
          <cell r="I1625" t="str">
            <v>İÇ</v>
          </cell>
          <cell r="J1625" t="str">
            <v>AKSESUAR</v>
          </cell>
          <cell r="K1625" t="str">
            <v/>
          </cell>
          <cell r="L1625" t="str">
            <v/>
          </cell>
          <cell r="M1625" t="str">
            <v/>
          </cell>
          <cell r="N1625" t="str">
            <v>HAA-250057</v>
          </cell>
          <cell r="P1625" t="str">
            <v>ADET</v>
          </cell>
          <cell r="R1625" t="str">
            <v>CAM</v>
          </cell>
          <cell r="S1625" t="str">
            <v>YEŞİL</v>
          </cell>
          <cell r="AD1625" t="str">
            <v>VAZO</v>
          </cell>
          <cell r="AF1625">
            <v>0</v>
          </cell>
          <cell r="AG1625" t="str">
            <v>ADET</v>
          </cell>
          <cell r="AH1625">
            <v>1850</v>
          </cell>
          <cell r="AI1625" t="str">
            <v>TL</v>
          </cell>
          <cell r="AJ1625">
            <v>4440</v>
          </cell>
          <cell r="AK1625" t="str">
            <v>TL</v>
          </cell>
          <cell r="AL1625">
            <v>1</v>
          </cell>
          <cell r="AO1625">
            <v>0</v>
          </cell>
          <cell r="AQ1625">
            <v>0</v>
          </cell>
          <cell r="AS1625">
            <v>0</v>
          </cell>
          <cell r="AU1625">
            <v>0</v>
          </cell>
          <cell r="AW1625">
            <v>0</v>
          </cell>
        </row>
        <row r="1626">
          <cell r="B1626" t="str">
            <v>ADFMXCSJRS2-065</v>
          </cell>
          <cell r="C1626" t="str">
            <v>DALGA FORMU ŞEFFAF REÇİNE DEKOR  47x14x65 cm</v>
          </cell>
          <cell r="D1626" t="str">
            <v>WAVEFORM CLEAR RESIN DECOR 47x14x65 cm</v>
          </cell>
          <cell r="E1626" t="str">
            <v xml:space="preserve">REÇİNE METAL ŞEFFAF SİYAH   </v>
          </cell>
          <cell r="F1626" t="str">
            <v/>
          </cell>
          <cell r="G1626" t="str">
            <v>AKSESUAR</v>
          </cell>
          <cell r="H1626" t="str">
            <v/>
          </cell>
          <cell r="I1626" t="str">
            <v>İÇ</v>
          </cell>
          <cell r="J1626" t="str">
            <v>AKSESUAR</v>
          </cell>
          <cell r="K1626" t="str">
            <v/>
          </cell>
          <cell r="L1626" t="str">
            <v/>
          </cell>
          <cell r="M1626" t="str">
            <v/>
          </cell>
          <cell r="N1626" t="str">
            <v>HAA-250015</v>
          </cell>
          <cell r="P1626" t="str">
            <v>ADET</v>
          </cell>
          <cell r="S1626" t="str">
            <v>ŞEFFAF</v>
          </cell>
          <cell r="T1626" t="str">
            <v>METAL</v>
          </cell>
          <cell r="U1626" t="str">
            <v>SİYAH</v>
          </cell>
          <cell r="AD1626" t="str">
            <v>BİBLO</v>
          </cell>
          <cell r="AF1626">
            <v>1</v>
          </cell>
          <cell r="AG1626" t="str">
            <v>ADET</v>
          </cell>
          <cell r="AJ1626">
            <v>14850</v>
          </cell>
          <cell r="AK1626" t="str">
            <v>TL</v>
          </cell>
          <cell r="AL1626">
            <v>1</v>
          </cell>
          <cell r="AO1626">
            <v>0</v>
          </cell>
          <cell r="AQ1626">
            <v>0</v>
          </cell>
          <cell r="AS1626">
            <v>0</v>
          </cell>
          <cell r="AU1626">
            <v>0</v>
          </cell>
          <cell r="AW1626">
            <v>0</v>
          </cell>
        </row>
        <row r="1627">
          <cell r="B1627" t="str">
            <v>ADFMJMG0002-074</v>
          </cell>
          <cell r="C1627" t="str">
            <v>UZUN BİBLO (GÖRMEDİM)  14x10x73 cm</v>
          </cell>
          <cell r="D1627" t="str">
            <v>LONG TRINKET (DID NOT SEE) 14x10x73 cm</v>
          </cell>
          <cell r="E1627" t="str">
            <v xml:space="preserve">METAL YOK GOLD YOK   </v>
          </cell>
          <cell r="F1627" t="str">
            <v/>
          </cell>
          <cell r="G1627" t="str">
            <v>AKSESUAR</v>
          </cell>
          <cell r="H1627" t="str">
            <v/>
          </cell>
          <cell r="I1627" t="str">
            <v>İÇ</v>
          </cell>
          <cell r="J1627" t="str">
            <v>AKSESUAR</v>
          </cell>
          <cell r="K1627" t="str">
            <v/>
          </cell>
          <cell r="L1627" t="str">
            <v/>
          </cell>
          <cell r="M1627" t="str">
            <v/>
          </cell>
          <cell r="N1627" t="str">
            <v>HAA-250017</v>
          </cell>
          <cell r="P1627" t="str">
            <v>ADET</v>
          </cell>
          <cell r="R1627" t="str">
            <v>METAL</v>
          </cell>
          <cell r="S1627" t="str">
            <v>GOLD</v>
          </cell>
          <cell r="AD1627" t="str">
            <v>BİBLO</v>
          </cell>
          <cell r="AF1627">
            <v>1</v>
          </cell>
          <cell r="AG1627" t="str">
            <v>ADET</v>
          </cell>
          <cell r="AJ1627">
            <v>6704</v>
          </cell>
          <cell r="AK1627" t="str">
            <v>TL</v>
          </cell>
          <cell r="AL1627">
            <v>2</v>
          </cell>
          <cell r="AO1627">
            <v>0</v>
          </cell>
          <cell r="AQ1627">
            <v>0</v>
          </cell>
          <cell r="AS1627">
            <v>0</v>
          </cell>
          <cell r="AU1627">
            <v>0</v>
          </cell>
          <cell r="AW1627">
            <v>0</v>
          </cell>
        </row>
        <row r="1628">
          <cell r="B1628" t="str">
            <v>H1C6KMGBRB0-055</v>
          </cell>
          <cell r="C1628" t="str">
            <v>STOCKHOLM ESKİTME PASLANMAZ BEYAZ AKRİLİK AVİZE 55</v>
          </cell>
          <cell r="D1628" t="str">
            <v>STOCKHOLM BRUSHED BRASS STAINLESS STEEL WHITE ACYRLIC CHANDELIER 55 CM</v>
          </cell>
          <cell r="E1628" t="str">
            <v xml:space="preserve">PASLANMAZ AKRİLİK ESKİTME BEYAZ   </v>
          </cell>
          <cell r="F1628" t="str">
            <v/>
          </cell>
          <cell r="G1628" t="str">
            <v>AVİZE</v>
          </cell>
          <cell r="H1628" t="str">
            <v/>
          </cell>
          <cell r="I1628" t="str">
            <v>İÇ</v>
          </cell>
          <cell r="J1628" t="str">
            <v>AVİZE</v>
          </cell>
          <cell r="K1628" t="str">
            <v>STOCKHOLM</v>
          </cell>
          <cell r="L1628" t="str">
            <v>Ç</v>
          </cell>
          <cell r="M1628" t="str">
            <v/>
          </cell>
          <cell r="N1628" t="str">
            <v>HKA-24165</v>
          </cell>
          <cell r="O1628" t="str">
            <v>HEKA</v>
          </cell>
          <cell r="P1628" t="str">
            <v>ADET</v>
          </cell>
          <cell r="Q1628" t="str">
            <v>LED</v>
          </cell>
          <cell r="R1628" t="str">
            <v>PASLANMAZ</v>
          </cell>
          <cell r="S1628" t="str">
            <v>ESKİTME</v>
          </cell>
          <cell r="T1628" t="str">
            <v>AKRİLİK</v>
          </cell>
          <cell r="U1628" t="str">
            <v>BEYAZ</v>
          </cell>
          <cell r="X1628" t="str">
            <v>110V-220V</v>
          </cell>
          <cell r="Z1628" t="str">
            <v>3000 K</v>
          </cell>
          <cell r="AF1628">
            <v>1</v>
          </cell>
          <cell r="AG1628" t="str">
            <v>ADET</v>
          </cell>
          <cell r="AH1628">
            <v>592</v>
          </cell>
          <cell r="AI1628" t="str">
            <v>CNY</v>
          </cell>
          <cell r="AJ1628">
            <v>49800</v>
          </cell>
          <cell r="AK1628" t="str">
            <v>TL</v>
          </cell>
          <cell r="AL1628">
            <v>1</v>
          </cell>
          <cell r="AM1628" t="str">
            <v>8684127516488</v>
          </cell>
          <cell r="AO1628">
            <v>0</v>
          </cell>
          <cell r="AQ1628">
            <v>0</v>
          </cell>
          <cell r="AS1628">
            <v>80</v>
          </cell>
          <cell r="AT1628" t="str">
            <v>CM</v>
          </cell>
          <cell r="AU1628">
            <v>0</v>
          </cell>
          <cell r="AW1628">
            <v>0</v>
          </cell>
        </row>
        <row r="1629">
          <cell r="B1629" t="str">
            <v>H1W6KMGBRB0-022</v>
          </cell>
          <cell r="C1629" t="str">
            <v xml:space="preserve">STOCKHOLM ESKİTME PASLANMAZ BEYAZ AKRİLİK APLİK </v>
          </cell>
          <cell r="D1629" t="str">
            <v>STOCKHOLM BRUSHED BRASS STAINLESS STEEL WHITE ACYRLIC WALL LAMP</v>
          </cell>
          <cell r="E1629" t="str">
            <v xml:space="preserve">PASLANMAZ AKRİLİK ESKİTME BEYAZ   </v>
          </cell>
          <cell r="F1629" t="str">
            <v/>
          </cell>
          <cell r="G1629" t="str">
            <v>APLİK</v>
          </cell>
          <cell r="H1629" t="str">
            <v/>
          </cell>
          <cell r="I1629" t="str">
            <v>İÇ</v>
          </cell>
          <cell r="J1629" t="str">
            <v>APLİK</v>
          </cell>
          <cell r="K1629" t="str">
            <v>STOCKHOLM</v>
          </cell>
          <cell r="L1629" t="str">
            <v>Ç</v>
          </cell>
          <cell r="M1629" t="str">
            <v/>
          </cell>
          <cell r="N1629" t="str">
            <v>HKA-24167</v>
          </cell>
          <cell r="O1629" t="str">
            <v>HEKA</v>
          </cell>
          <cell r="P1629" t="str">
            <v>ADET</v>
          </cell>
          <cell r="Q1629" t="str">
            <v>LED</v>
          </cell>
          <cell r="R1629" t="str">
            <v>PASLANMAZ</v>
          </cell>
          <cell r="S1629" t="str">
            <v>ESKİTME</v>
          </cell>
          <cell r="T1629" t="str">
            <v>AKRİLİK</v>
          </cell>
          <cell r="U1629" t="str">
            <v>BEYAZ</v>
          </cell>
          <cell r="X1629" t="str">
            <v>110V-220V</v>
          </cell>
          <cell r="Z1629" t="str">
            <v>3000 K</v>
          </cell>
          <cell r="AF1629">
            <v>24</v>
          </cell>
          <cell r="AG1629" t="str">
            <v>ADET</v>
          </cell>
          <cell r="AH1629">
            <v>144.30000000000001</v>
          </cell>
          <cell r="AI1629" t="str">
            <v>CNY</v>
          </cell>
          <cell r="AJ1629">
            <v>12100</v>
          </cell>
          <cell r="AK1629" t="str">
            <v>TL</v>
          </cell>
          <cell r="AL1629">
            <v>1</v>
          </cell>
          <cell r="AM1629" t="str">
            <v>8684127513494</v>
          </cell>
          <cell r="AO1629">
            <v>0</v>
          </cell>
          <cell r="AQ1629">
            <v>0</v>
          </cell>
          <cell r="AS1629">
            <v>22</v>
          </cell>
          <cell r="AT1629" t="str">
            <v>CM</v>
          </cell>
          <cell r="AU1629">
            <v>0</v>
          </cell>
          <cell r="AW1629">
            <v>0</v>
          </cell>
        </row>
        <row r="1630">
          <cell r="B1630" t="str">
            <v>H1W3JMKECT0-105</v>
          </cell>
          <cell r="C1630" t="str">
            <v>HAVANA KROM-PLATİN 15 SOFT CAM SALON AVİZE 105 CM</v>
          </cell>
          <cell r="D1630" t="str">
            <v>HAVANA CHROME-PLATINUM 15 SOFT GLASS LIVING ROOM 105 CM</v>
          </cell>
          <cell r="E1630" t="str">
            <v xml:space="preserve">METAL CAM  KROM SOFT   </v>
          </cell>
          <cell r="F1630" t="str">
            <v/>
          </cell>
          <cell r="G1630" t="str">
            <v>AVİZE</v>
          </cell>
          <cell r="H1630" t="str">
            <v/>
          </cell>
          <cell r="I1630" t="str">
            <v>İÇ</v>
          </cell>
          <cell r="J1630" t="str">
            <v>AVİZE</v>
          </cell>
          <cell r="K1630" t="str">
            <v>HAVANA</v>
          </cell>
          <cell r="L1630" t="str">
            <v/>
          </cell>
          <cell r="M1630" t="str">
            <v/>
          </cell>
          <cell r="N1630" t="str">
            <v>HKA-24229</v>
          </cell>
          <cell r="O1630" t="str">
            <v>HEKA</v>
          </cell>
          <cell r="P1630" t="str">
            <v>ADET</v>
          </cell>
          <cell r="Q1630" t="str">
            <v>G9</v>
          </cell>
          <cell r="R1630" t="str">
            <v>METAL</v>
          </cell>
          <cell r="S1630" t="str">
            <v>KROM</v>
          </cell>
          <cell r="T1630" t="str">
            <v>CAM</v>
          </cell>
          <cell r="U1630" t="str">
            <v>SOFT</v>
          </cell>
          <cell r="X1630" t="str">
            <v>110V-220V</v>
          </cell>
          <cell r="Z1630" t="str">
            <v>3000 K</v>
          </cell>
          <cell r="AF1630">
            <v>3</v>
          </cell>
          <cell r="AG1630" t="str">
            <v>ADET</v>
          </cell>
          <cell r="AH1630">
            <v>1000</v>
          </cell>
          <cell r="AI1630" t="str">
            <v>CNY</v>
          </cell>
          <cell r="AJ1630">
            <v>69750</v>
          </cell>
          <cell r="AK1630" t="str">
            <v>TL</v>
          </cell>
          <cell r="AL1630">
            <v>1</v>
          </cell>
          <cell r="AM1630" t="str">
            <v>8684127513630</v>
          </cell>
          <cell r="AO1630">
            <v>9.02</v>
          </cell>
          <cell r="AP1630" t="str">
            <v>KG</v>
          </cell>
          <cell r="AQ1630">
            <v>150</v>
          </cell>
          <cell r="AR1630" t="str">
            <v>CM</v>
          </cell>
          <cell r="AS1630">
            <v>105</v>
          </cell>
          <cell r="AT1630" t="str">
            <v>CM</v>
          </cell>
          <cell r="AU1630">
            <v>0</v>
          </cell>
          <cell r="AW1630">
            <v>0</v>
          </cell>
        </row>
        <row r="1631">
          <cell r="B1631" t="str">
            <v>H1W6KRSECSR-020</v>
          </cell>
          <cell r="C1631" t="str">
            <v>BERLİN PLATİN PASLANMAZ ŞEFFAF CAM SARKIT 20 CM</v>
          </cell>
          <cell r="D1631" t="str">
            <v>BERLİN PLATINUM STEEL CLEAR GLASS PENDANT 20 CM</v>
          </cell>
          <cell r="E1631" t="str">
            <v xml:space="preserve">PASLANMAZ CAM  PLATİN ŞEFFAF   </v>
          </cell>
          <cell r="F1631" t="str">
            <v/>
          </cell>
          <cell r="G1631" t="str">
            <v>AVİZE</v>
          </cell>
          <cell r="H1631" t="str">
            <v/>
          </cell>
          <cell r="I1631" t="str">
            <v>İÇ</v>
          </cell>
          <cell r="J1631" t="str">
            <v>AVİZE</v>
          </cell>
          <cell r="K1631" t="str">
            <v>BERLİN</v>
          </cell>
          <cell r="L1631" t="str">
            <v/>
          </cell>
          <cell r="M1631" t="str">
            <v/>
          </cell>
          <cell r="N1631" t="str">
            <v>HKA-24210</v>
          </cell>
          <cell r="O1631" t="str">
            <v>HEKA</v>
          </cell>
          <cell r="P1631" t="str">
            <v>ADET</v>
          </cell>
          <cell r="Q1631" t="str">
            <v>LED</v>
          </cell>
          <cell r="R1631" t="str">
            <v>PASLANMAZ</v>
          </cell>
          <cell r="S1631" t="str">
            <v>PLATİN</v>
          </cell>
          <cell r="T1631" t="str">
            <v>CAM</v>
          </cell>
          <cell r="U1631" t="str">
            <v>ŞEFFAF</v>
          </cell>
          <cell r="X1631" t="str">
            <v>110V-220V</v>
          </cell>
          <cell r="Z1631" t="str">
            <v>3000 K</v>
          </cell>
          <cell r="AF1631">
            <v>46</v>
          </cell>
          <cell r="AG1631" t="str">
            <v>ADET</v>
          </cell>
          <cell r="AH1631">
            <v>187.6</v>
          </cell>
          <cell r="AI1631" t="str">
            <v>CNY</v>
          </cell>
          <cell r="AJ1631">
            <v>11255</v>
          </cell>
          <cell r="AK1631" t="str">
            <v>TL</v>
          </cell>
          <cell r="AL1631">
            <v>1</v>
          </cell>
          <cell r="AM1631" t="str">
            <v>8684127513647</v>
          </cell>
          <cell r="AO1631">
            <v>0</v>
          </cell>
          <cell r="AQ1631">
            <v>17</v>
          </cell>
          <cell r="AR1631" t="str">
            <v>CM</v>
          </cell>
          <cell r="AS1631">
            <v>20</v>
          </cell>
          <cell r="AT1631" t="str">
            <v>CM</v>
          </cell>
          <cell r="AU1631">
            <v>0</v>
          </cell>
          <cell r="AW1631">
            <v>0</v>
          </cell>
        </row>
        <row r="1632">
          <cell r="B1632" t="str">
            <v>H1C6R00ECS0-080</v>
          </cell>
          <cell r="C1632" t="str">
            <v>OXFORD PİRİNÇ ŞEFFAF YAPRAK CAM AVİZE 80 cm</v>
          </cell>
          <cell r="D1632" t="str">
            <v>OXFORD BRASS CLEAR LEAF GLASS CHANDELIER 80 cm</v>
          </cell>
          <cell r="E1632" t="str">
            <v xml:space="preserve">PRİNÇ CAM   ŞEFFAF   </v>
          </cell>
          <cell r="F1632" t="str">
            <v/>
          </cell>
          <cell r="G1632" t="str">
            <v>AVİZE</v>
          </cell>
          <cell r="H1632" t="str">
            <v/>
          </cell>
          <cell r="I1632" t="str">
            <v>İÇ</v>
          </cell>
          <cell r="J1632" t="str">
            <v>AVİZE</v>
          </cell>
          <cell r="K1632" t="str">
            <v>OXFORD</v>
          </cell>
          <cell r="L1632" t="str">
            <v/>
          </cell>
          <cell r="M1632" t="str">
            <v/>
          </cell>
          <cell r="N1632" t="str">
            <v>HKA-24209</v>
          </cell>
          <cell r="O1632" t="str">
            <v>HEKA</v>
          </cell>
          <cell r="P1632" t="str">
            <v>ADET</v>
          </cell>
          <cell r="Q1632" t="str">
            <v>LED</v>
          </cell>
          <cell r="R1632" t="str">
            <v>PİRİNÇ</v>
          </cell>
          <cell r="T1632" t="str">
            <v>CAM</v>
          </cell>
          <cell r="X1632" t="str">
            <v>220V</v>
          </cell>
          <cell r="Y1632" t="str">
            <v>50 WATT</v>
          </cell>
          <cell r="Z1632" t="str">
            <v>3000 K</v>
          </cell>
          <cell r="AB1632" t="str">
            <v>401-500</v>
          </cell>
          <cell r="AF1632">
            <v>1</v>
          </cell>
          <cell r="AG1632" t="str">
            <v>ADET</v>
          </cell>
          <cell r="AJ1632">
            <v>159900</v>
          </cell>
          <cell r="AK1632" t="str">
            <v>TL</v>
          </cell>
          <cell r="AL1632">
            <v>0</v>
          </cell>
          <cell r="AM1632" t="str">
            <v>8684127513920</v>
          </cell>
          <cell r="AO1632">
            <v>28.6</v>
          </cell>
          <cell r="AP1632" t="str">
            <v>KG</v>
          </cell>
          <cell r="AQ1632">
            <v>40</v>
          </cell>
          <cell r="AR1632" t="str">
            <v>CM</v>
          </cell>
          <cell r="AS1632">
            <v>100</v>
          </cell>
          <cell r="AT1632" t="str">
            <v>CM</v>
          </cell>
          <cell r="AU1632">
            <v>0</v>
          </cell>
          <cell r="AW1632">
            <v>0</v>
          </cell>
        </row>
        <row r="1633">
          <cell r="B1633" t="str">
            <v>H1C7JMEERF0-018</v>
          </cell>
          <cell r="C1633" t="str">
            <v>VİYANA GÖZYAŞI FÜME CAM ESKİTME SARKIT 18 CM</v>
          </cell>
          <cell r="D1633" t="str">
            <v>VİYANA EYEDROP SMOKY GLASS BRUSHED BRASS PENDANT LAMP 18 CM</v>
          </cell>
          <cell r="E1633" t="str">
            <v xml:space="preserve">METAL CAM  ESKİTME FÜME   </v>
          </cell>
          <cell r="F1633" t="str">
            <v>9405.11.90.00.00</v>
          </cell>
          <cell r="G1633" t="str">
            <v>AVİZE</v>
          </cell>
          <cell r="H1633" t="str">
            <v>T1A6231100-20</v>
          </cell>
          <cell r="I1633" t="str">
            <v>İÇ</v>
          </cell>
          <cell r="J1633" t="str">
            <v>AVİZE.SARK</v>
          </cell>
          <cell r="K1633" t="str">
            <v>VİYANA</v>
          </cell>
          <cell r="L1633" t="str">
            <v/>
          </cell>
          <cell r="M1633" t="str">
            <v/>
          </cell>
          <cell r="N1633" t="str">
            <v>HKA-24404</v>
          </cell>
          <cell r="O1633" t="str">
            <v>HEKA</v>
          </cell>
          <cell r="P1633" t="str">
            <v>ADET</v>
          </cell>
          <cell r="Q1633" t="str">
            <v>PERİ LED</v>
          </cell>
          <cell r="R1633" t="str">
            <v>METAL</v>
          </cell>
          <cell r="S1633" t="str">
            <v>ESKİTME</v>
          </cell>
          <cell r="T1633" t="str">
            <v>CAM</v>
          </cell>
          <cell r="U1633" t="str">
            <v>BAL</v>
          </cell>
          <cell r="AD1633" t="str">
            <v>N/A</v>
          </cell>
          <cell r="AF1633">
            <v>40</v>
          </cell>
          <cell r="AG1633" t="str">
            <v>ADET</v>
          </cell>
          <cell r="AJ1633">
            <v>3713</v>
          </cell>
          <cell r="AK1633" t="str">
            <v>TL</v>
          </cell>
          <cell r="AL1633">
            <v>1</v>
          </cell>
          <cell r="AM1633" t="str">
            <v>8684127514262</v>
          </cell>
          <cell r="AO1633">
            <v>0</v>
          </cell>
          <cell r="AQ1633">
            <v>0</v>
          </cell>
          <cell r="AR1633" t="str">
            <v>CM</v>
          </cell>
          <cell r="AS1633">
            <v>0</v>
          </cell>
          <cell r="AT1633" t="str">
            <v>CM</v>
          </cell>
          <cell r="AU1633">
            <v>0</v>
          </cell>
          <cell r="AW1633">
            <v>0</v>
          </cell>
        </row>
        <row r="1634">
          <cell r="B1634" t="str">
            <v>H1C7JMEERF0-020</v>
          </cell>
          <cell r="C1634" t="str">
            <v>VİYANA GÖZYAŞI FÜME CAM ESKİTME SARKIT 20 CM</v>
          </cell>
          <cell r="D1634" t="str">
            <v>VİYANA EYEDROP SMOKY GLASS BRUSHED BRASS PENDANT LAMP 20 CM</v>
          </cell>
          <cell r="E1634" t="str">
            <v xml:space="preserve">METAL CAM  ESKİTME FÜME   </v>
          </cell>
          <cell r="F1634" t="str">
            <v>9405.11.90.00.00</v>
          </cell>
          <cell r="G1634" t="str">
            <v>AVİZE</v>
          </cell>
          <cell r="H1634" t="str">
            <v>T1A6231100-20</v>
          </cell>
          <cell r="I1634" t="str">
            <v>İÇ</v>
          </cell>
          <cell r="J1634" t="str">
            <v>AVİZE.SARK</v>
          </cell>
          <cell r="K1634" t="str">
            <v>VİYANA</v>
          </cell>
          <cell r="L1634" t="str">
            <v/>
          </cell>
          <cell r="M1634" t="str">
            <v/>
          </cell>
          <cell r="N1634" t="str">
            <v>HKA-24405</v>
          </cell>
          <cell r="O1634" t="str">
            <v>HEKA</v>
          </cell>
          <cell r="P1634" t="str">
            <v>ADET</v>
          </cell>
          <cell r="Q1634" t="str">
            <v>PERİ LED</v>
          </cell>
          <cell r="R1634" t="str">
            <v>METAL</v>
          </cell>
          <cell r="S1634" t="str">
            <v>ESKİTME</v>
          </cell>
          <cell r="T1634" t="str">
            <v>CAM</v>
          </cell>
          <cell r="U1634" t="str">
            <v>FÜME</v>
          </cell>
          <cell r="AD1634" t="str">
            <v>N/A</v>
          </cell>
          <cell r="AF1634">
            <v>53</v>
          </cell>
          <cell r="AG1634" t="str">
            <v>ADET</v>
          </cell>
          <cell r="AJ1634">
            <v>4250</v>
          </cell>
          <cell r="AK1634" t="str">
            <v>TL</v>
          </cell>
          <cell r="AL1634">
            <v>1</v>
          </cell>
          <cell r="AM1634" t="str">
            <v>8684127514279</v>
          </cell>
          <cell r="AO1634">
            <v>0</v>
          </cell>
          <cell r="AQ1634">
            <v>0</v>
          </cell>
          <cell r="AR1634" t="str">
            <v>CM</v>
          </cell>
          <cell r="AS1634">
            <v>0</v>
          </cell>
          <cell r="AT1634" t="str">
            <v>CM</v>
          </cell>
          <cell r="AU1634">
            <v>0</v>
          </cell>
          <cell r="AW1634">
            <v>0</v>
          </cell>
        </row>
        <row r="1635">
          <cell r="B1635" t="str">
            <v>H1W6JMEBCST-034</v>
          </cell>
          <cell r="C1635" t="str">
            <v>SOFYA TEKLİ AKRİLİK ESKİTME APLİK 34cm</v>
          </cell>
          <cell r="D1635" t="str">
            <v>SOFYA SINGLE ACRYLIC BRUSHED BRASS WALL LAMP 34cm</v>
          </cell>
          <cell r="E1635" t="str">
            <v xml:space="preserve">METAL AKRİLİK ESKİTME ŞEFFAF   </v>
          </cell>
          <cell r="F1635" t="str">
            <v>9405.11.90.00.00</v>
          </cell>
          <cell r="G1635" t="str">
            <v>APLİK</v>
          </cell>
          <cell r="H1635" t="str">
            <v>T1A6621100-21</v>
          </cell>
          <cell r="I1635" t="str">
            <v>İÇ</v>
          </cell>
          <cell r="J1635" t="str">
            <v>APLİK</v>
          </cell>
          <cell r="K1635" t="str">
            <v>SOFYA</v>
          </cell>
          <cell r="L1635" t="str">
            <v>Ç</v>
          </cell>
          <cell r="M1635" t="str">
            <v>30.03.2026</v>
          </cell>
          <cell r="N1635" t="str">
            <v>HKA-24421</v>
          </cell>
          <cell r="O1635" t="str">
            <v>HEKA</v>
          </cell>
          <cell r="P1635" t="str">
            <v>ADET</v>
          </cell>
          <cell r="Q1635" t="str">
            <v>LED</v>
          </cell>
          <cell r="R1635" t="str">
            <v>METAL</v>
          </cell>
          <cell r="S1635" t="str">
            <v>ESKİTME</v>
          </cell>
          <cell r="T1635" t="str">
            <v>AKRİLİK</v>
          </cell>
          <cell r="U1635" t="str">
            <v>ŞEFFAF</v>
          </cell>
          <cell r="AD1635" t="str">
            <v>TIRTIKLI</v>
          </cell>
          <cell r="AF1635">
            <v>1</v>
          </cell>
          <cell r="AG1635" t="str">
            <v>ADET</v>
          </cell>
          <cell r="AJ1635">
            <v>7750</v>
          </cell>
          <cell r="AK1635" t="str">
            <v>TL</v>
          </cell>
          <cell r="AL1635">
            <v>1</v>
          </cell>
          <cell r="AM1635" t="str">
            <v>8684127514200</v>
          </cell>
          <cell r="AO1635">
            <v>0</v>
          </cell>
          <cell r="AQ1635">
            <v>0</v>
          </cell>
          <cell r="AR1635" t="str">
            <v>CM</v>
          </cell>
          <cell r="AS1635">
            <v>0</v>
          </cell>
          <cell r="AT1635" t="str">
            <v>CM</v>
          </cell>
          <cell r="AU1635">
            <v>0</v>
          </cell>
          <cell r="AW1635">
            <v>0</v>
          </cell>
        </row>
        <row r="1636">
          <cell r="B1636" t="str">
            <v>H1W6JMEBCST-062</v>
          </cell>
          <cell r="C1636" t="str">
            <v>SOFYA İKİLİ AKRİLİK ESKİTME APLİK 62cm</v>
          </cell>
          <cell r="D1636" t="str">
            <v>SOFYA DOUBLE ACRYLIC BRUSHED BRASS WALL LAMP 62cm</v>
          </cell>
          <cell r="E1636" t="str">
            <v xml:space="preserve">METAL AKRİLİK ESKİTME ŞEFFAF   </v>
          </cell>
          <cell r="F1636" t="str">
            <v>9405.11.90.00.00</v>
          </cell>
          <cell r="G1636" t="str">
            <v>APLİK</v>
          </cell>
          <cell r="H1636" t="str">
            <v>T1A6621100-21</v>
          </cell>
          <cell r="I1636" t="str">
            <v>İÇ</v>
          </cell>
          <cell r="J1636" t="str">
            <v>APLİK</v>
          </cell>
          <cell r="K1636" t="str">
            <v>SOFYA</v>
          </cell>
          <cell r="L1636" t="str">
            <v/>
          </cell>
          <cell r="M1636" t="str">
            <v>30.03.2026</v>
          </cell>
          <cell r="N1636" t="str">
            <v>HKA-24422</v>
          </cell>
          <cell r="O1636" t="str">
            <v>HEKA</v>
          </cell>
          <cell r="P1636" t="str">
            <v>ADET</v>
          </cell>
          <cell r="Q1636" t="str">
            <v>LED</v>
          </cell>
          <cell r="R1636" t="str">
            <v>METAL</v>
          </cell>
          <cell r="S1636" t="str">
            <v>ESKİTME</v>
          </cell>
          <cell r="T1636" t="str">
            <v>AKRİLİK</v>
          </cell>
          <cell r="U1636" t="str">
            <v>ŞEFFAF</v>
          </cell>
          <cell r="AD1636" t="str">
            <v>TIRTIKLI</v>
          </cell>
          <cell r="AF1636">
            <v>1</v>
          </cell>
          <cell r="AG1636" t="str">
            <v>ADET</v>
          </cell>
          <cell r="AJ1636">
            <v>11750</v>
          </cell>
          <cell r="AK1636" t="str">
            <v>TL</v>
          </cell>
          <cell r="AL1636">
            <v>1</v>
          </cell>
          <cell r="AM1636" t="str">
            <v>8684127514217</v>
          </cell>
          <cell r="AO1636">
            <v>0</v>
          </cell>
          <cell r="AQ1636">
            <v>0</v>
          </cell>
          <cell r="AR1636" t="str">
            <v>CM</v>
          </cell>
          <cell r="AS1636">
            <v>0</v>
          </cell>
          <cell r="AT1636" t="str">
            <v>CM</v>
          </cell>
          <cell r="AU1636">
            <v>0</v>
          </cell>
          <cell r="AW1636">
            <v>0</v>
          </cell>
        </row>
        <row r="1637">
          <cell r="B1637" t="str">
            <v>H1F2JMRNRY1-153</v>
          </cell>
          <cell r="C1637" t="str">
            <v>DEBRE KOYU ESKİTME YEŞİL PORSELEN LAMBADER</v>
          </cell>
          <cell r="D1637" t="str">
            <v>DEBRE RAW BRASS GREEN PORCELAIN FLOOR LAMP</v>
          </cell>
          <cell r="E1637" t="str">
            <v>METAL PORSELEN ESKİTME YEŞİL</v>
          </cell>
          <cell r="F1637" t="str">
            <v/>
          </cell>
          <cell r="G1637" t="str">
            <v>LAMBADER</v>
          </cell>
          <cell r="H1637" t="str">
            <v/>
          </cell>
          <cell r="I1637" t="str">
            <v>İÇ</v>
          </cell>
          <cell r="J1637" t="str">
            <v>LAMBADER</v>
          </cell>
          <cell r="K1637" t="str">
            <v>DEBRE</v>
          </cell>
          <cell r="L1637" t="str">
            <v/>
          </cell>
          <cell r="M1637" t="str">
            <v/>
          </cell>
          <cell r="N1637" t="str">
            <v>HKA-24269</v>
          </cell>
          <cell r="O1637" t="str">
            <v>HEKA</v>
          </cell>
          <cell r="P1637" t="str">
            <v>ADET</v>
          </cell>
          <cell r="Q1637" t="str">
            <v>E27</v>
          </cell>
          <cell r="R1637" t="str">
            <v>METAL</v>
          </cell>
          <cell r="S1637" t="str">
            <v>KOYU ESKİTME</v>
          </cell>
          <cell r="T1637" t="str">
            <v>PORSELEN</v>
          </cell>
          <cell r="U1637" t="str">
            <v>YEŞİL</v>
          </cell>
          <cell r="AD1637" t="str">
            <v>TEKLİ</v>
          </cell>
          <cell r="AE1637" t="str">
            <v>01</v>
          </cell>
          <cell r="AF1637">
            <v>0</v>
          </cell>
          <cell r="AG1637" t="str">
            <v>ADET</v>
          </cell>
          <cell r="AH1637">
            <v>152</v>
          </cell>
          <cell r="AI1637" t="str">
            <v>CNY</v>
          </cell>
          <cell r="AJ1637">
            <v>12800</v>
          </cell>
          <cell r="AK1637" t="str">
            <v>TL</v>
          </cell>
          <cell r="AL1637">
            <v>1</v>
          </cell>
          <cell r="AO1637">
            <v>0</v>
          </cell>
          <cell r="AP1637" t="str">
            <v>KG</v>
          </cell>
          <cell r="AQ1637">
            <v>153</v>
          </cell>
          <cell r="AR1637" t="str">
            <v>CM</v>
          </cell>
          <cell r="AS1637">
            <v>43</v>
          </cell>
          <cell r="AT1637" t="str">
            <v>CM</v>
          </cell>
          <cell r="AU1637">
            <v>0</v>
          </cell>
          <cell r="AW1637">
            <v>0</v>
          </cell>
        </row>
        <row r="1638">
          <cell r="B1638" t="str">
            <v>H1F2JMENRB1-158</v>
          </cell>
          <cell r="C1638" t="str">
            <v>KANNUS ESKİTME BEYAZ PORSELEN LAMBADER</v>
          </cell>
          <cell r="D1638" t="str">
            <v>KANNUS BRUSHED BRASS WHITE PORCELAIN FLOOR LAMP</v>
          </cell>
          <cell r="E1638" t="str">
            <v xml:space="preserve">METAL PORSELEN ESKİTME BEYAZ   </v>
          </cell>
          <cell r="F1638" t="str">
            <v/>
          </cell>
          <cell r="G1638" t="str">
            <v>LAMBADER</v>
          </cell>
          <cell r="H1638" t="str">
            <v/>
          </cell>
          <cell r="I1638" t="str">
            <v>İÇ</v>
          </cell>
          <cell r="J1638" t="str">
            <v>LAMBADER</v>
          </cell>
          <cell r="K1638" t="str">
            <v>KANNUS</v>
          </cell>
          <cell r="L1638" t="str">
            <v/>
          </cell>
          <cell r="M1638" t="str">
            <v/>
          </cell>
          <cell r="N1638" t="str">
            <v>HKA-24275</v>
          </cell>
          <cell r="O1638" t="str">
            <v>HEKA</v>
          </cell>
          <cell r="P1638" t="str">
            <v>ADET</v>
          </cell>
          <cell r="Q1638" t="str">
            <v>E27</v>
          </cell>
          <cell r="R1638" t="str">
            <v>METAL</v>
          </cell>
          <cell r="S1638" t="str">
            <v>ESKİTME</v>
          </cell>
          <cell r="T1638" t="str">
            <v>PORSELEN</v>
          </cell>
          <cell r="U1638" t="str">
            <v>BEYAZ</v>
          </cell>
          <cell r="AD1638" t="str">
            <v>TEKLİ</v>
          </cell>
          <cell r="AE1638" t="str">
            <v>01</v>
          </cell>
          <cell r="AF1638">
            <v>0</v>
          </cell>
          <cell r="AG1638" t="str">
            <v>ADET</v>
          </cell>
          <cell r="AH1638">
            <v>180.5</v>
          </cell>
          <cell r="AI1638" t="str">
            <v>CNY</v>
          </cell>
          <cell r="AJ1638">
            <v>15200</v>
          </cell>
          <cell r="AK1638" t="str">
            <v>TL</v>
          </cell>
          <cell r="AL1638">
            <v>1</v>
          </cell>
          <cell r="AO1638">
            <v>0</v>
          </cell>
          <cell r="AP1638" t="str">
            <v>KG</v>
          </cell>
          <cell r="AQ1638">
            <v>158</v>
          </cell>
          <cell r="AR1638" t="str">
            <v>CM</v>
          </cell>
          <cell r="AS1638">
            <v>43</v>
          </cell>
          <cell r="AT1638" t="str">
            <v>CM</v>
          </cell>
          <cell r="AU1638">
            <v>0</v>
          </cell>
          <cell r="AW1638">
            <v>0</v>
          </cell>
        </row>
        <row r="1639">
          <cell r="B1639" t="str">
            <v>H1W3JRSZCTM-063</v>
          </cell>
          <cell r="C1639" t="str">
            <v>HELSİNGÖR İKİLİ KABARCIKLI SOFT CAM SİYAH APLİK</v>
          </cell>
          <cell r="D1639" t="str">
            <v>HELSİNGÖR DOUBLE BUBBLY SOFT WHITE GLASS BLACK WALL LAMP</v>
          </cell>
          <cell r="E1639" t="str">
            <v xml:space="preserve">METAL KABARCIKLI CAM SİYAH SOFT   </v>
          </cell>
          <cell r="F1639" t="str">
            <v>9405.19.90.00.00</v>
          </cell>
          <cell r="G1639" t="str">
            <v>APLİK</v>
          </cell>
          <cell r="H1639" t="str">
            <v>T1W3112100-01</v>
          </cell>
          <cell r="I1639" t="str">
            <v>İÇ</v>
          </cell>
          <cell r="J1639" t="str">
            <v>APLİK</v>
          </cell>
          <cell r="K1639" t="str">
            <v>HELSİNGÖR</v>
          </cell>
          <cell r="L1639" t="str">
            <v/>
          </cell>
          <cell r="M1639" t="str">
            <v>ÜRTM:15GÜN</v>
          </cell>
          <cell r="N1639" t="str">
            <v>HKA-24441</v>
          </cell>
          <cell r="O1639" t="str">
            <v>HEKA</v>
          </cell>
          <cell r="P1639" t="str">
            <v>ADET</v>
          </cell>
          <cell r="Q1639" t="str">
            <v>G9</v>
          </cell>
          <cell r="R1639" t="str">
            <v>METAL</v>
          </cell>
          <cell r="S1639" t="str">
            <v>SİYAH</v>
          </cell>
          <cell r="T1639" t="str">
            <v>KABARCIKLI CAM</v>
          </cell>
          <cell r="U1639" t="str">
            <v>SOFT</v>
          </cell>
          <cell r="AD1639" t="str">
            <v>ÇİFT AYDINLATMA</v>
          </cell>
          <cell r="AE1639" t="str">
            <v>02</v>
          </cell>
          <cell r="AF1639">
            <v>10</v>
          </cell>
          <cell r="AG1639" t="str">
            <v>ADET</v>
          </cell>
          <cell r="AJ1639">
            <v>14230</v>
          </cell>
          <cell r="AK1639" t="str">
            <v>TL</v>
          </cell>
          <cell r="AL1639">
            <v>1</v>
          </cell>
          <cell r="AM1639" t="str">
            <v>8684127514453</v>
          </cell>
          <cell r="AO1639">
            <v>0</v>
          </cell>
          <cell r="AQ1639">
            <v>62</v>
          </cell>
          <cell r="AR1639" t="str">
            <v>CM</v>
          </cell>
          <cell r="AS1639">
            <v>17</v>
          </cell>
          <cell r="AT1639" t="str">
            <v>CM</v>
          </cell>
          <cell r="AU1639">
            <v>0</v>
          </cell>
          <cell r="AW1639">
            <v>0</v>
          </cell>
        </row>
        <row r="1640">
          <cell r="B1640" t="str">
            <v>H1T6ARKAAAJ-017</v>
          </cell>
          <cell r="C1640" t="str">
            <v>SHAGGY KIRMIZI BATTAL EBRU AHŞAP MANTAR MASA LAMBA</v>
          </cell>
          <cell r="D1640" t="str">
            <v>SHAGGY RED KING LARGE MARBLING WOOD MUSHROOM TABLE LAMP</v>
          </cell>
          <cell r="E1640" t="str">
            <v xml:space="preserve">AHŞAP AHŞAP KIRMIZI AKÇAAĞAÇ   </v>
          </cell>
          <cell r="F1640" t="str">
            <v/>
          </cell>
          <cell r="G1640" t="str">
            <v>MASAABAJ</v>
          </cell>
          <cell r="H1640" t="str">
            <v/>
          </cell>
          <cell r="I1640" t="str">
            <v>İÇ</v>
          </cell>
          <cell r="J1640" t="str">
            <v>MASAKAMP</v>
          </cell>
          <cell r="K1640" t="str">
            <v>SHAGGY</v>
          </cell>
          <cell r="L1640" t="str">
            <v/>
          </cell>
          <cell r="M1640" t="str">
            <v/>
          </cell>
          <cell r="N1640" t="str">
            <v>HKA-24420</v>
          </cell>
          <cell r="O1640" t="str">
            <v>HEKA</v>
          </cell>
          <cell r="P1640" t="str">
            <v>ADET</v>
          </cell>
          <cell r="Q1640" t="str">
            <v>LED</v>
          </cell>
          <cell r="R1640" t="str">
            <v>AHŞAP</v>
          </cell>
          <cell r="S1640" t="str">
            <v>KIRMIZI</v>
          </cell>
          <cell r="T1640" t="str">
            <v>AHŞAP</v>
          </cell>
          <cell r="U1640" t="str">
            <v>AKÇA AĞAÇ</v>
          </cell>
          <cell r="AD1640" t="str">
            <v>ŞARJLI</v>
          </cell>
          <cell r="AF1640">
            <v>96</v>
          </cell>
          <cell r="AG1640" t="str">
            <v>ADET</v>
          </cell>
          <cell r="AJ1640">
            <v>2395</v>
          </cell>
          <cell r="AK1640" t="str">
            <v>TL</v>
          </cell>
          <cell r="AL1640">
            <v>1</v>
          </cell>
          <cell r="AM1640" t="str">
            <v>8684127514194</v>
          </cell>
          <cell r="AO1640">
            <v>0</v>
          </cell>
          <cell r="AQ1640">
            <v>16</v>
          </cell>
          <cell r="AR1640" t="str">
            <v>CM</v>
          </cell>
          <cell r="AS1640">
            <v>10.5</v>
          </cell>
          <cell r="AT1640" t="str">
            <v>CM</v>
          </cell>
          <cell r="AU1640">
            <v>0</v>
          </cell>
          <cell r="AW1640">
            <v>0</v>
          </cell>
        </row>
        <row r="1641">
          <cell r="B1641" t="str">
            <v>H1C6JMNZCTV-017</v>
          </cell>
          <cell r="C1641" t="str">
            <v>KOPENHAG KABARCIKLI SOFT CAM KROM SARKIT</v>
          </cell>
          <cell r="D1641" t="str">
            <v>KOPENHAG BUBBLY SOFT WHITE GLASS CHROME PENDANT</v>
          </cell>
          <cell r="E1641" t="str">
            <v xml:space="preserve">METAL KABARCIKLI CAM KROM SOFT   </v>
          </cell>
          <cell r="F1641" t="str">
            <v/>
          </cell>
          <cell r="G1641" t="str">
            <v>AVİZE</v>
          </cell>
          <cell r="H1641" t="str">
            <v/>
          </cell>
          <cell r="I1641" t="str">
            <v>İÇ</v>
          </cell>
          <cell r="J1641" t="str">
            <v>AVİZE.SARK</v>
          </cell>
          <cell r="K1641" t="str">
            <v>KOPENHAG</v>
          </cell>
          <cell r="L1641" t="str">
            <v/>
          </cell>
          <cell r="M1641" t="str">
            <v/>
          </cell>
          <cell r="N1641" t="str">
            <v>HKA-24426</v>
          </cell>
          <cell r="O1641" t="str">
            <v>HEKA</v>
          </cell>
          <cell r="P1641" t="str">
            <v>ADET</v>
          </cell>
          <cell r="Q1641" t="str">
            <v>LED</v>
          </cell>
          <cell r="R1641" t="str">
            <v>METAL</v>
          </cell>
          <cell r="S1641" t="str">
            <v>KROM</v>
          </cell>
          <cell r="T1641" t="str">
            <v>KABARCIKLI CAM</v>
          </cell>
          <cell r="U1641" t="str">
            <v>SOFT</v>
          </cell>
          <cell r="AD1641" t="str">
            <v>YAMUK</v>
          </cell>
          <cell r="AF1641">
            <v>27</v>
          </cell>
          <cell r="AG1641" t="str">
            <v>ADET</v>
          </cell>
          <cell r="AJ1641">
            <v>3950</v>
          </cell>
          <cell r="AK1641" t="str">
            <v>TL</v>
          </cell>
          <cell r="AL1641">
            <v>1</v>
          </cell>
          <cell r="AM1641" t="str">
            <v>8684127514309</v>
          </cell>
          <cell r="AO1641">
            <v>0</v>
          </cell>
          <cell r="AQ1641">
            <v>17</v>
          </cell>
          <cell r="AR1641" t="str">
            <v>CM</v>
          </cell>
          <cell r="AS1641">
            <v>15</v>
          </cell>
          <cell r="AT1641" t="str">
            <v>CM</v>
          </cell>
          <cell r="AU1641">
            <v>0</v>
          </cell>
          <cell r="AW1641">
            <v>0</v>
          </cell>
        </row>
        <row r="1642">
          <cell r="B1642" t="str">
            <v>H1W3JMEZCTM-063</v>
          </cell>
          <cell r="C1642" t="str">
            <v>HELSİNGÖR İKİLİ KABARCIKLI SOFT CAM ESKİTME APLİK</v>
          </cell>
          <cell r="D1642" t="str">
            <v>HELSİNGÖR DOUBLE BUBBLY SOFT WHITE GLASS BRUSHED BRASS WALL LAMP</v>
          </cell>
          <cell r="E1642" t="str">
            <v xml:space="preserve">METAL KABARCIKLI CAM ESKİTME SOFT   </v>
          </cell>
          <cell r="F1642" t="str">
            <v>9405.19.90.00.00</v>
          </cell>
          <cell r="G1642" t="str">
            <v>APLİK</v>
          </cell>
          <cell r="H1642" t="str">
            <v>T1W3112100-01</v>
          </cell>
          <cell r="I1642" t="str">
            <v>İÇ</v>
          </cell>
          <cell r="J1642" t="str">
            <v>APLİK</v>
          </cell>
          <cell r="K1642" t="str">
            <v>HELSİNGÖR</v>
          </cell>
          <cell r="L1642" t="str">
            <v/>
          </cell>
          <cell r="M1642" t="str">
            <v>ÜRTM:15GÜN</v>
          </cell>
          <cell r="N1642" t="str">
            <v>HKA-24440</v>
          </cell>
          <cell r="O1642" t="str">
            <v>HEKA</v>
          </cell>
          <cell r="P1642" t="str">
            <v>ADET</v>
          </cell>
          <cell r="Q1642" t="str">
            <v>G9</v>
          </cell>
          <cell r="R1642" t="str">
            <v>METAL</v>
          </cell>
          <cell r="S1642" t="str">
            <v>ESKİTME</v>
          </cell>
          <cell r="T1642" t="str">
            <v>KABARCIKLI CAM</v>
          </cell>
          <cell r="U1642" t="str">
            <v>SOFT</v>
          </cell>
          <cell r="AD1642" t="str">
            <v>ÇİFT AYDINLATMA</v>
          </cell>
          <cell r="AE1642" t="str">
            <v>02</v>
          </cell>
          <cell r="AF1642">
            <v>5</v>
          </cell>
          <cell r="AG1642" t="str">
            <v>ADET</v>
          </cell>
          <cell r="AJ1642">
            <v>14950</v>
          </cell>
          <cell r="AK1642" t="str">
            <v>TL</v>
          </cell>
          <cell r="AL1642">
            <v>1</v>
          </cell>
          <cell r="AM1642" t="str">
            <v>8684127514446</v>
          </cell>
          <cell r="AO1642">
            <v>0</v>
          </cell>
          <cell r="AQ1642">
            <v>62</v>
          </cell>
          <cell r="AR1642" t="str">
            <v>CM</v>
          </cell>
          <cell r="AS1642">
            <v>17</v>
          </cell>
          <cell r="AT1642" t="str">
            <v>CM</v>
          </cell>
          <cell r="AU1642">
            <v>0</v>
          </cell>
          <cell r="AW1642">
            <v>0</v>
          </cell>
        </row>
        <row r="1643">
          <cell r="B1643" t="str">
            <v>3YC4IZRN000-012</v>
          </cell>
          <cell r="C1643" t="str">
            <v>KABARACIKLI VİŞNE RENGİ TELLİ AVİZE CAMI 12 cm</v>
          </cell>
          <cell r="D1643" t="str">
            <v>BUBBLY CHERRY COLOR PENDANT GLASS 12 cm</v>
          </cell>
          <cell r="E1643" t="str">
            <v xml:space="preserve">TELLİ KABARCIKLI CAM KABARCIKLI CAM YOK   </v>
          </cell>
          <cell r="F1643" t="str">
            <v/>
          </cell>
          <cell r="G1643" t="str">
            <v>ZPARCA</v>
          </cell>
          <cell r="H1643" t="str">
            <v/>
          </cell>
          <cell r="I1643" t="str">
            <v>İÇ</v>
          </cell>
          <cell r="J1643" t="str">
            <v>ZPARCA</v>
          </cell>
          <cell r="K1643" t="str">
            <v/>
          </cell>
          <cell r="L1643" t="str">
            <v/>
          </cell>
          <cell r="M1643" t="str">
            <v/>
          </cell>
          <cell r="N1643" t="str">
            <v>HKY-240001</v>
          </cell>
          <cell r="P1643" t="str">
            <v>ADET</v>
          </cell>
          <cell r="AF1643">
            <v>0</v>
          </cell>
          <cell r="AG1643" t="str">
            <v>ADET</v>
          </cell>
          <cell r="AL1643">
            <v>0</v>
          </cell>
          <cell r="AO1643">
            <v>0</v>
          </cell>
          <cell r="AQ1643">
            <v>0</v>
          </cell>
          <cell r="AS1643">
            <v>12</v>
          </cell>
          <cell r="AU1643">
            <v>0</v>
          </cell>
          <cell r="AW1643">
            <v>0</v>
          </cell>
        </row>
        <row r="1644">
          <cell r="B1644" t="str">
            <v>H1L2JMRNRR1-054</v>
          </cell>
          <cell r="C1644" t="str">
            <v>GOSTİVAR KOYU ESKİTME KREM RENK PORSELEN ABAJUR</v>
          </cell>
          <cell r="D1644" t="str">
            <v>GOSTİVAR RAW BRASS CREAM COLOR PORCELAIN LAMPSHADE</v>
          </cell>
          <cell r="E1644" t="str">
            <v>METAL PORSELEN KOYU ESKİTME KREM</v>
          </cell>
          <cell r="F1644" t="str">
            <v/>
          </cell>
          <cell r="G1644" t="str">
            <v>MASAABAJ</v>
          </cell>
          <cell r="H1644" t="str">
            <v/>
          </cell>
          <cell r="I1644" t="str">
            <v>İÇ</v>
          </cell>
          <cell r="J1644" t="str">
            <v>MASAABAJ</v>
          </cell>
          <cell r="K1644" t="str">
            <v>GOSTİVAR</v>
          </cell>
          <cell r="L1644" t="str">
            <v/>
          </cell>
          <cell r="M1644" t="str">
            <v/>
          </cell>
          <cell r="N1644" t="str">
            <v>HKA-24270</v>
          </cell>
          <cell r="O1644" t="str">
            <v>HEKA</v>
          </cell>
          <cell r="P1644" t="str">
            <v>ADET</v>
          </cell>
          <cell r="Q1644" t="str">
            <v>E27</v>
          </cell>
          <cell r="R1644" t="str">
            <v>METAL</v>
          </cell>
          <cell r="S1644" t="str">
            <v>KOYU ESKİTME</v>
          </cell>
          <cell r="T1644" t="str">
            <v>PORSELEN</v>
          </cell>
          <cell r="U1644" t="str">
            <v>KREM</v>
          </cell>
          <cell r="AD1644" t="str">
            <v>TEKLİ</v>
          </cell>
          <cell r="AE1644" t="str">
            <v>01</v>
          </cell>
          <cell r="AF1644">
            <v>0</v>
          </cell>
          <cell r="AG1644" t="str">
            <v>ADET</v>
          </cell>
          <cell r="AH1644">
            <v>80.75</v>
          </cell>
          <cell r="AI1644" t="str">
            <v>CNY</v>
          </cell>
          <cell r="AJ1644">
            <v>6700</v>
          </cell>
          <cell r="AK1644" t="str">
            <v>TL</v>
          </cell>
          <cell r="AL1644">
            <v>1</v>
          </cell>
          <cell r="AM1644" t="str">
            <v>8684127514538</v>
          </cell>
          <cell r="AO1644">
            <v>1.7</v>
          </cell>
          <cell r="AP1644" t="str">
            <v>KG</v>
          </cell>
          <cell r="AQ1644">
            <v>54</v>
          </cell>
          <cell r="AR1644" t="str">
            <v>CM</v>
          </cell>
          <cell r="AS1644">
            <v>30</v>
          </cell>
          <cell r="AT1644" t="str">
            <v>CM</v>
          </cell>
          <cell r="AU1644">
            <v>0</v>
          </cell>
          <cell r="AW1644">
            <v>0</v>
          </cell>
        </row>
        <row r="1645">
          <cell r="B1645" t="str">
            <v>H1L2JMENRR1-056</v>
          </cell>
          <cell r="C1645" t="str">
            <v>KERAVA ESKİTME KREM RENK PORSELEN ABAJUR</v>
          </cell>
          <cell r="D1645" t="str">
            <v>KERAVA BRUSHED BRASS CREAM COLOR PORCELAIN LAMPSHADE</v>
          </cell>
          <cell r="E1645" t="str">
            <v xml:space="preserve">METAL PORSELEN ESKİTME KREM   </v>
          </cell>
          <cell r="F1645" t="str">
            <v/>
          </cell>
          <cell r="G1645" t="str">
            <v>MASAABAJ</v>
          </cell>
          <cell r="H1645" t="str">
            <v/>
          </cell>
          <cell r="I1645" t="str">
            <v>İÇ</v>
          </cell>
          <cell r="J1645" t="str">
            <v>MASAABAJ</v>
          </cell>
          <cell r="K1645" t="str">
            <v>KERAVA</v>
          </cell>
          <cell r="L1645" t="str">
            <v/>
          </cell>
          <cell r="M1645" t="str">
            <v/>
          </cell>
          <cell r="N1645" t="str">
            <v>HKA-24272</v>
          </cell>
          <cell r="O1645" t="str">
            <v>HEKA</v>
          </cell>
          <cell r="P1645" t="str">
            <v>ADET</v>
          </cell>
          <cell r="Q1645" t="str">
            <v>E27</v>
          </cell>
          <cell r="R1645" t="str">
            <v>METAL</v>
          </cell>
          <cell r="S1645" t="str">
            <v>ESKİTME</v>
          </cell>
          <cell r="T1645" t="str">
            <v>PORSELEN</v>
          </cell>
          <cell r="U1645" t="str">
            <v>KREM</v>
          </cell>
          <cell r="AD1645" t="str">
            <v>TEKLİ</v>
          </cell>
          <cell r="AE1645" t="str">
            <v>01</v>
          </cell>
          <cell r="AF1645">
            <v>0</v>
          </cell>
          <cell r="AG1645" t="str">
            <v>ADET</v>
          </cell>
          <cell r="AH1645">
            <v>114</v>
          </cell>
          <cell r="AI1645" t="str">
            <v>CNY</v>
          </cell>
          <cell r="AJ1645">
            <v>9600</v>
          </cell>
          <cell r="AK1645" t="str">
            <v>TL</v>
          </cell>
          <cell r="AL1645">
            <v>1</v>
          </cell>
          <cell r="AM1645" t="str">
            <v>8684127514545</v>
          </cell>
          <cell r="AO1645">
            <v>2.1</v>
          </cell>
          <cell r="AP1645" t="str">
            <v>KG</v>
          </cell>
          <cell r="AQ1645">
            <v>56</v>
          </cell>
          <cell r="AR1645" t="str">
            <v>CM</v>
          </cell>
          <cell r="AS1645">
            <v>33</v>
          </cell>
          <cell r="AT1645" t="str">
            <v>CM</v>
          </cell>
          <cell r="AU1645">
            <v>0</v>
          </cell>
          <cell r="AW1645">
            <v>0</v>
          </cell>
        </row>
        <row r="1646">
          <cell r="B1646" t="str">
            <v>AVFVJRB0005-022</v>
          </cell>
          <cell r="C1646" t="str">
            <v>SERAMİK MODERN VAZO 7x20x22 cm</v>
          </cell>
          <cell r="D1646" t="str">
            <v>CERAMIC MODERN VASE 7x20x22 cm</v>
          </cell>
          <cell r="E1646" t="str">
            <v xml:space="preserve">SERAMİK YOK BEYAZ YOK   </v>
          </cell>
          <cell r="F1646" t="str">
            <v/>
          </cell>
          <cell r="G1646" t="str">
            <v>AKSESUAR</v>
          </cell>
          <cell r="H1646" t="str">
            <v/>
          </cell>
          <cell r="I1646" t="str">
            <v>İÇ</v>
          </cell>
          <cell r="J1646" t="str">
            <v>AKSESUAR</v>
          </cell>
          <cell r="K1646" t="str">
            <v/>
          </cell>
          <cell r="L1646" t="str">
            <v/>
          </cell>
          <cell r="M1646" t="str">
            <v/>
          </cell>
          <cell r="N1646" t="str">
            <v>HAA-250041</v>
          </cell>
          <cell r="P1646" t="str">
            <v>ADET</v>
          </cell>
          <cell r="R1646" t="str">
            <v>SERAMİK</v>
          </cell>
          <cell r="S1646" t="str">
            <v>BEYAZ</v>
          </cell>
          <cell r="AD1646" t="str">
            <v>VAZO</v>
          </cell>
          <cell r="AF1646">
            <v>1</v>
          </cell>
          <cell r="AG1646" t="str">
            <v>ADET</v>
          </cell>
          <cell r="AJ1646">
            <v>1710</v>
          </cell>
          <cell r="AK1646" t="str">
            <v>TL</v>
          </cell>
          <cell r="AL1646">
            <v>1</v>
          </cell>
          <cell r="AO1646">
            <v>0</v>
          </cell>
          <cell r="AQ1646">
            <v>0</v>
          </cell>
          <cell r="AS1646">
            <v>0</v>
          </cell>
          <cell r="AU1646">
            <v>0</v>
          </cell>
          <cell r="AW1646">
            <v>0</v>
          </cell>
        </row>
        <row r="1647">
          <cell r="B1647" t="str">
            <v>AMFVNRR000P-031</v>
          </cell>
          <cell r="C1647" t="str">
            <v>SERAMİK PUANTİYELİ MEYVELİK 31x31x11 cm</v>
          </cell>
          <cell r="D1647" t="str">
            <v>CERAMIC POLKA DOT FRUIT BOWL 31x31x11 cm</v>
          </cell>
          <cell r="E1647" t="str">
            <v xml:space="preserve">PORSELEN YOK KREM YOK   </v>
          </cell>
          <cell r="F1647" t="str">
            <v/>
          </cell>
          <cell r="G1647" t="str">
            <v>AKSESUAR</v>
          </cell>
          <cell r="H1647" t="str">
            <v/>
          </cell>
          <cell r="I1647" t="str">
            <v>İÇ</v>
          </cell>
          <cell r="J1647" t="str">
            <v>AKSESUAR</v>
          </cell>
          <cell r="K1647" t="str">
            <v/>
          </cell>
          <cell r="L1647" t="str">
            <v/>
          </cell>
          <cell r="M1647" t="str">
            <v/>
          </cell>
          <cell r="N1647" t="str">
            <v>HAA-250043</v>
          </cell>
          <cell r="P1647" t="str">
            <v>ADET</v>
          </cell>
          <cell r="R1647" t="str">
            <v>PORSELEN</v>
          </cell>
          <cell r="S1647" t="str">
            <v>KREM</v>
          </cell>
          <cell r="AD1647" t="str">
            <v>PUANTİYELİ</v>
          </cell>
          <cell r="AF1647">
            <v>1</v>
          </cell>
          <cell r="AG1647" t="str">
            <v>ADET</v>
          </cell>
          <cell r="AJ1647">
            <v>4595</v>
          </cell>
          <cell r="AK1647" t="str">
            <v>TL</v>
          </cell>
          <cell r="AL1647">
            <v>1</v>
          </cell>
          <cell r="AO1647">
            <v>0</v>
          </cell>
          <cell r="AQ1647">
            <v>0</v>
          </cell>
          <cell r="AS1647">
            <v>0</v>
          </cell>
          <cell r="AU1647">
            <v>0</v>
          </cell>
          <cell r="AW1647">
            <v>0</v>
          </cell>
        </row>
        <row r="1648">
          <cell r="B1648" t="str">
            <v>ADFMFRS0008-018</v>
          </cell>
          <cell r="C1648" t="str">
            <v>DÜNYA HARİTASI İKİLİ SİYAH KİTAP KUTU</v>
          </cell>
          <cell r="D1648" t="str">
            <v>WORLD MAP DOUBLE BLACK BOOK BOX</v>
          </cell>
          <cell r="E1648" t="str">
            <v xml:space="preserve">MUKAVVA YOK SİYAH YOK   </v>
          </cell>
          <cell r="F1648" t="str">
            <v/>
          </cell>
          <cell r="G1648" t="str">
            <v>AKSESUAR</v>
          </cell>
          <cell r="H1648" t="str">
            <v/>
          </cell>
          <cell r="I1648" t="str">
            <v>İÇ</v>
          </cell>
          <cell r="J1648" t="str">
            <v>AKSESUAR</v>
          </cell>
          <cell r="K1648" t="str">
            <v/>
          </cell>
          <cell r="L1648" t="str">
            <v/>
          </cell>
          <cell r="M1648" t="str">
            <v/>
          </cell>
          <cell r="N1648" t="str">
            <v>HAA-250023</v>
          </cell>
          <cell r="P1648" t="str">
            <v>ADET</v>
          </cell>
          <cell r="R1648" t="str">
            <v>MUKAVVA</v>
          </cell>
          <cell r="S1648" t="str">
            <v>SİYAH</v>
          </cell>
          <cell r="AD1648" t="str">
            <v>DESENLİ</v>
          </cell>
          <cell r="AF1648">
            <v>1</v>
          </cell>
          <cell r="AG1648" t="str">
            <v>ADET</v>
          </cell>
          <cell r="AJ1648">
            <v>2071</v>
          </cell>
          <cell r="AK1648" t="str">
            <v>TL</v>
          </cell>
          <cell r="AL1648">
            <v>1</v>
          </cell>
          <cell r="AO1648">
            <v>0</v>
          </cell>
          <cell r="AQ1648">
            <v>0</v>
          </cell>
          <cell r="AS1648">
            <v>0</v>
          </cell>
          <cell r="AU1648">
            <v>0</v>
          </cell>
          <cell r="AW1648">
            <v>0</v>
          </cell>
        </row>
        <row r="1649">
          <cell r="B1649" t="str">
            <v>ADFMERYERM2-049</v>
          </cell>
          <cell r="C1649" t="str">
            <v>YEŞİL MAVİ YAPRAK DEKOR ORTA BOY 13x8x49 cm</v>
          </cell>
          <cell r="D1649" t="str">
            <v>GREEN BLUE LEAF DECOR MEDIUM 13x8x49 cm</v>
          </cell>
          <cell r="E1649" t="str">
            <v xml:space="preserve">CAM  CAM  YEŞİL MAVİ   </v>
          </cell>
          <cell r="F1649" t="str">
            <v/>
          </cell>
          <cell r="G1649" t="str">
            <v>AKSESUAR</v>
          </cell>
          <cell r="H1649" t="str">
            <v/>
          </cell>
          <cell r="I1649" t="str">
            <v>İÇ</v>
          </cell>
          <cell r="J1649" t="str">
            <v>AKSESUAR</v>
          </cell>
          <cell r="K1649" t="str">
            <v/>
          </cell>
          <cell r="L1649" t="str">
            <v/>
          </cell>
          <cell r="M1649" t="str">
            <v/>
          </cell>
          <cell r="N1649" t="str">
            <v>HAA-250026</v>
          </cell>
          <cell r="P1649" t="str">
            <v>ADET</v>
          </cell>
          <cell r="R1649" t="str">
            <v>CAM</v>
          </cell>
          <cell r="S1649" t="str">
            <v>YEŞİL</v>
          </cell>
          <cell r="T1649" t="str">
            <v>CAM</v>
          </cell>
          <cell r="U1649" t="str">
            <v>MAVİ</v>
          </cell>
          <cell r="AD1649" t="str">
            <v>BİBLO</v>
          </cell>
          <cell r="AF1649">
            <v>0</v>
          </cell>
          <cell r="AG1649" t="str">
            <v>ADET</v>
          </cell>
          <cell r="AJ1649">
            <v>3472</v>
          </cell>
          <cell r="AK1649" t="str">
            <v>TL</v>
          </cell>
          <cell r="AL1649">
            <v>1</v>
          </cell>
          <cell r="AO1649">
            <v>0</v>
          </cell>
          <cell r="AQ1649">
            <v>0</v>
          </cell>
          <cell r="AS1649">
            <v>0</v>
          </cell>
          <cell r="AU1649">
            <v>0</v>
          </cell>
          <cell r="AW1649">
            <v>0</v>
          </cell>
        </row>
        <row r="1650">
          <cell r="B1650" t="str">
            <v>ADFMJMEECB0-039</v>
          </cell>
          <cell r="C1650" t="str">
            <v xml:space="preserve">GÜMÜŞ AHTAPOT ÜÇLÜ TOP 26-32-38,5 CM </v>
          </cell>
          <cell r="D1650" t="str">
            <v xml:space="preserve">SILVER OCTOPUS TRIPLE BALL 26-32-38,5 CM </v>
          </cell>
          <cell r="E1650" t="str">
            <v xml:space="preserve">METAL CAM  ESKİTME BUZLU   </v>
          </cell>
          <cell r="F1650" t="str">
            <v/>
          </cell>
          <cell r="G1650" t="str">
            <v>AKSESUAR</v>
          </cell>
          <cell r="H1650" t="str">
            <v/>
          </cell>
          <cell r="I1650" t="str">
            <v>İÇ</v>
          </cell>
          <cell r="J1650" t="str">
            <v>AKSESUAR</v>
          </cell>
          <cell r="K1650" t="str">
            <v/>
          </cell>
          <cell r="L1650" t="str">
            <v/>
          </cell>
          <cell r="M1650" t="str">
            <v/>
          </cell>
          <cell r="N1650" t="str">
            <v>HAA-250038</v>
          </cell>
          <cell r="P1650" t="str">
            <v>ADET</v>
          </cell>
          <cell r="R1650" t="str">
            <v>METAL</v>
          </cell>
          <cell r="S1650" t="str">
            <v>ESKİTME</v>
          </cell>
          <cell r="T1650" t="str">
            <v>CAM</v>
          </cell>
          <cell r="U1650" t="str">
            <v>BUZLU</v>
          </cell>
          <cell r="AF1650">
            <v>1</v>
          </cell>
          <cell r="AG1650" t="str">
            <v>ADET</v>
          </cell>
          <cell r="AJ1650">
            <v>28000</v>
          </cell>
          <cell r="AK1650" t="str">
            <v>TL</v>
          </cell>
          <cell r="AL1650">
            <v>1</v>
          </cell>
          <cell r="AO1650">
            <v>0</v>
          </cell>
          <cell r="AQ1650">
            <v>0</v>
          </cell>
          <cell r="AS1650">
            <v>0</v>
          </cell>
          <cell r="AU1650">
            <v>0</v>
          </cell>
          <cell r="AW1650">
            <v>0</v>
          </cell>
        </row>
        <row r="1651">
          <cell r="B1651" t="str">
            <v>ADFMMRUMRB0-140</v>
          </cell>
          <cell r="C1651" t="str">
            <v>GÜMÜŞ ASTRONOT MÜZİK ÇALAR  VE IŞIKLI TOP</v>
          </cell>
          <cell r="D1651" t="str">
            <v>ASTRONAUT AUDIO AND LIGHT BALL, SILVER</v>
          </cell>
          <cell r="E1651" t="str">
            <v xml:space="preserve">POLİKARBON POLİKARBON GÜMÜŞ BEYAZ   </v>
          </cell>
          <cell r="F1651" t="str">
            <v/>
          </cell>
          <cell r="G1651" t="str">
            <v>AKSESUAR</v>
          </cell>
          <cell r="H1651" t="str">
            <v/>
          </cell>
          <cell r="I1651" t="str">
            <v>İÇ</v>
          </cell>
          <cell r="J1651" t="str">
            <v>AKSESUAR</v>
          </cell>
          <cell r="K1651" t="str">
            <v/>
          </cell>
          <cell r="L1651" t="str">
            <v/>
          </cell>
          <cell r="M1651" t="str">
            <v/>
          </cell>
          <cell r="N1651" t="str">
            <v>HAA-250039</v>
          </cell>
          <cell r="P1651" t="str">
            <v>ADET</v>
          </cell>
          <cell r="R1651" t="str">
            <v>POLİKARBON</v>
          </cell>
          <cell r="S1651" t="str">
            <v>GÜMÜŞ</v>
          </cell>
          <cell r="T1651" t="str">
            <v>POLİKARBON</v>
          </cell>
          <cell r="U1651" t="str">
            <v>BEYAZ</v>
          </cell>
          <cell r="AF1651">
            <v>0</v>
          </cell>
          <cell r="AG1651" t="str">
            <v>ADET</v>
          </cell>
          <cell r="AJ1651">
            <v>33125</v>
          </cell>
          <cell r="AK1651" t="str">
            <v>TL</v>
          </cell>
          <cell r="AL1651">
            <v>1</v>
          </cell>
          <cell r="AO1651">
            <v>0</v>
          </cell>
          <cell r="AQ1651">
            <v>0</v>
          </cell>
          <cell r="AS1651">
            <v>0</v>
          </cell>
          <cell r="AU1651">
            <v>0</v>
          </cell>
          <cell r="AW1651">
            <v>0</v>
          </cell>
        </row>
        <row r="1652">
          <cell r="B1652" t="str">
            <v>MPFIERSJRS0-060</v>
          </cell>
          <cell r="C1652" t="str">
            <v>URAGOS SİYAH CAMI SİYAH METAL YAN SEHPA</v>
          </cell>
          <cell r="D1652" t="str">
            <v>URAGOS BLACK GLASS BLACK METAL SIDE TABLE</v>
          </cell>
          <cell r="E1652" t="str">
            <v xml:space="preserve">CAM  METAL SİYAH SİYAH   </v>
          </cell>
          <cell r="F1652" t="str">
            <v/>
          </cell>
          <cell r="G1652" t="str">
            <v>MOBİLYA</v>
          </cell>
          <cell r="H1652" t="str">
            <v/>
          </cell>
          <cell r="I1652" t="str">
            <v>İÇ</v>
          </cell>
          <cell r="J1652" t="str">
            <v>MOBİLYA</v>
          </cell>
          <cell r="K1652" t="str">
            <v>URAGOS</v>
          </cell>
          <cell r="L1652" t="str">
            <v/>
          </cell>
          <cell r="M1652" t="str">
            <v/>
          </cell>
          <cell r="N1652" t="str">
            <v>HKM-24016</v>
          </cell>
          <cell r="P1652" t="str">
            <v>ADET</v>
          </cell>
          <cell r="R1652" t="str">
            <v>CAM</v>
          </cell>
          <cell r="S1652" t="str">
            <v>SİYAH</v>
          </cell>
          <cell r="T1652" t="str">
            <v>METAL</v>
          </cell>
          <cell r="U1652" t="str">
            <v>SİYAH</v>
          </cell>
          <cell r="AF1652">
            <v>1</v>
          </cell>
          <cell r="AG1652" t="str">
            <v>ADET</v>
          </cell>
          <cell r="AJ1652">
            <v>5750</v>
          </cell>
          <cell r="AK1652" t="str">
            <v>TL</v>
          </cell>
          <cell r="AL1652">
            <v>1</v>
          </cell>
          <cell r="AO1652">
            <v>0</v>
          </cell>
          <cell r="AQ1652">
            <v>0</v>
          </cell>
          <cell r="AS1652">
            <v>0</v>
          </cell>
          <cell r="AU1652">
            <v>0</v>
          </cell>
          <cell r="AW1652">
            <v>0</v>
          </cell>
        </row>
        <row r="1653">
          <cell r="B1653" t="str">
            <v>H1F2JMGECS1-170</v>
          </cell>
          <cell r="C1653" t="str">
            <v>BONN GOLD ŞEFFAF CAM LAMBADER</v>
          </cell>
          <cell r="D1653" t="str">
            <v>BONN GOLD CLEAR GLASS FLOOR LAMP</v>
          </cell>
          <cell r="E1653" t="str">
            <v xml:space="preserve">METAL CAM  GOLD ŞEFFAF   </v>
          </cell>
          <cell r="F1653" t="str">
            <v/>
          </cell>
          <cell r="G1653" t="str">
            <v>LAMBADER</v>
          </cell>
          <cell r="H1653" t="str">
            <v/>
          </cell>
          <cell r="I1653" t="str">
            <v>İÇ</v>
          </cell>
          <cell r="J1653" t="str">
            <v>LAMBADER</v>
          </cell>
          <cell r="K1653" t="str">
            <v>BONN</v>
          </cell>
          <cell r="L1653" t="str">
            <v/>
          </cell>
          <cell r="M1653" t="str">
            <v/>
          </cell>
          <cell r="N1653" t="str">
            <v>HKA-24263</v>
          </cell>
          <cell r="O1653" t="str">
            <v>HEKA</v>
          </cell>
          <cell r="P1653" t="str">
            <v>ADET</v>
          </cell>
          <cell r="Q1653" t="str">
            <v>E27</v>
          </cell>
          <cell r="R1653" t="str">
            <v>METAL</v>
          </cell>
          <cell r="S1653" t="str">
            <v>GOLD</v>
          </cell>
          <cell r="T1653" t="str">
            <v>CAM</v>
          </cell>
          <cell r="U1653" t="str">
            <v>ŞEFFAF</v>
          </cell>
          <cell r="AD1653" t="str">
            <v>TEKLİ</v>
          </cell>
          <cell r="AE1653" t="str">
            <v>01</v>
          </cell>
          <cell r="AF1653">
            <v>0</v>
          </cell>
          <cell r="AG1653" t="str">
            <v>ADET</v>
          </cell>
          <cell r="AH1653">
            <v>175.75</v>
          </cell>
          <cell r="AI1653" t="str">
            <v>CNY</v>
          </cell>
          <cell r="AJ1653">
            <v>14700</v>
          </cell>
          <cell r="AK1653" t="str">
            <v>TL</v>
          </cell>
          <cell r="AL1653">
            <v>1</v>
          </cell>
          <cell r="AO1653">
            <v>0</v>
          </cell>
          <cell r="AP1653" t="str">
            <v>KG</v>
          </cell>
          <cell r="AQ1653">
            <v>170</v>
          </cell>
          <cell r="AR1653" t="str">
            <v>CM</v>
          </cell>
          <cell r="AS1653">
            <v>45</v>
          </cell>
          <cell r="AT1653" t="str">
            <v>CM</v>
          </cell>
          <cell r="AU1653">
            <v>0</v>
          </cell>
          <cell r="AW1653">
            <v>0</v>
          </cell>
        </row>
        <row r="1654">
          <cell r="B1654" t="str">
            <v>H1F2JMENRS1-159</v>
          </cell>
          <cell r="C1654" t="str">
            <v>BEROVA ESKİTME SİYAH PORSELEN LAMBADER</v>
          </cell>
          <cell r="D1654" t="str">
            <v>BEROVA BRUSHED BRASS BLACK PORCELAIN FLOOR LAMP</v>
          </cell>
          <cell r="E1654" t="str">
            <v xml:space="preserve">METAL PORSELEN ESKİTME SİYAH  </v>
          </cell>
          <cell r="F1654" t="str">
            <v/>
          </cell>
          <cell r="G1654" t="str">
            <v>LAMBADER</v>
          </cell>
          <cell r="H1654" t="str">
            <v/>
          </cell>
          <cell r="I1654" t="str">
            <v>İÇ</v>
          </cell>
          <cell r="J1654" t="str">
            <v>LAMBADER</v>
          </cell>
          <cell r="K1654" t="str">
            <v>BEROVA</v>
          </cell>
          <cell r="L1654" t="str">
            <v/>
          </cell>
          <cell r="M1654" t="str">
            <v/>
          </cell>
          <cell r="N1654" t="str">
            <v>HKA-24267</v>
          </cell>
          <cell r="O1654" t="str">
            <v>HEKA</v>
          </cell>
          <cell r="P1654" t="str">
            <v>ADET</v>
          </cell>
          <cell r="Q1654" t="str">
            <v>E27</v>
          </cell>
          <cell r="R1654" t="str">
            <v>METAL</v>
          </cell>
          <cell r="S1654" t="str">
            <v>ESKİTME</v>
          </cell>
          <cell r="T1654" t="str">
            <v>PORSELEN</v>
          </cell>
          <cell r="U1654" t="str">
            <v>SİYAH</v>
          </cell>
          <cell r="AD1654" t="str">
            <v>TEKLİ</v>
          </cell>
          <cell r="AE1654" t="str">
            <v>01</v>
          </cell>
          <cell r="AF1654">
            <v>0</v>
          </cell>
          <cell r="AG1654" t="str">
            <v>ADET</v>
          </cell>
          <cell r="AH1654">
            <v>185.25</v>
          </cell>
          <cell r="AI1654" t="str">
            <v>CNY</v>
          </cell>
          <cell r="AJ1654">
            <v>15600</v>
          </cell>
          <cell r="AK1654" t="str">
            <v>TL</v>
          </cell>
          <cell r="AL1654">
            <v>1</v>
          </cell>
          <cell r="AO1654">
            <v>0</v>
          </cell>
          <cell r="AP1654" t="str">
            <v>KG</v>
          </cell>
          <cell r="AQ1654">
            <v>159</v>
          </cell>
          <cell r="AR1654" t="str">
            <v>CM</v>
          </cell>
          <cell r="AS1654">
            <v>32</v>
          </cell>
          <cell r="AT1654" t="str">
            <v>CM</v>
          </cell>
          <cell r="AU1654">
            <v>0</v>
          </cell>
          <cell r="AW1654">
            <v>0</v>
          </cell>
        </row>
        <row r="1655">
          <cell r="B1655" t="str">
            <v>H1C6JMNZCTO-014</v>
          </cell>
          <cell r="C1655" t="str">
            <v>ODENSE KABARCIKLI SOFT BASIK CAM KROM SARKIT</v>
          </cell>
          <cell r="D1655" t="str">
            <v>ODENSE BUBBLY SOFT WHITE SQUASHED GLASS CHROME PENDANT</v>
          </cell>
          <cell r="E1655" t="str">
            <v xml:space="preserve">METAL KABARCIKLI CAM KROM SOFT   </v>
          </cell>
          <cell r="F1655" t="str">
            <v/>
          </cell>
          <cell r="G1655" t="str">
            <v>AVİZE</v>
          </cell>
          <cell r="H1655" t="str">
            <v/>
          </cell>
          <cell r="I1655" t="str">
            <v>İÇ</v>
          </cell>
          <cell r="J1655" t="str">
            <v>AVİZE.SARK</v>
          </cell>
          <cell r="K1655" t="str">
            <v>ODENSE</v>
          </cell>
          <cell r="L1655" t="str">
            <v/>
          </cell>
          <cell r="M1655" t="str">
            <v/>
          </cell>
          <cell r="N1655" t="str">
            <v>HKA-24432</v>
          </cell>
          <cell r="O1655" t="str">
            <v>HEKA</v>
          </cell>
          <cell r="P1655" t="str">
            <v>ADET</v>
          </cell>
          <cell r="Q1655" t="str">
            <v>LED</v>
          </cell>
          <cell r="R1655" t="str">
            <v>METAL</v>
          </cell>
          <cell r="S1655" t="str">
            <v>KROM</v>
          </cell>
          <cell r="T1655" t="str">
            <v>KABARCIKLI CAM</v>
          </cell>
          <cell r="U1655" t="str">
            <v>SOFT</v>
          </cell>
          <cell r="AD1655" t="str">
            <v>BASIK</v>
          </cell>
          <cell r="AF1655">
            <v>18</v>
          </cell>
          <cell r="AG1655" t="str">
            <v>ADET</v>
          </cell>
          <cell r="AH1655">
            <v>40</v>
          </cell>
          <cell r="AI1655" t="str">
            <v>CNY</v>
          </cell>
          <cell r="AJ1655">
            <v>3950</v>
          </cell>
          <cell r="AK1655" t="str">
            <v>TL</v>
          </cell>
          <cell r="AL1655">
            <v>1</v>
          </cell>
          <cell r="AM1655" t="str">
            <v>8684127514354</v>
          </cell>
          <cell r="AO1655">
            <v>0</v>
          </cell>
          <cell r="AQ1655">
            <v>14</v>
          </cell>
          <cell r="AR1655" t="str">
            <v>CM</v>
          </cell>
          <cell r="AS1655">
            <v>15</v>
          </cell>
          <cell r="AT1655" t="str">
            <v>CM</v>
          </cell>
          <cell r="AU1655">
            <v>0</v>
          </cell>
          <cell r="AW1655">
            <v>0</v>
          </cell>
        </row>
        <row r="1656">
          <cell r="B1656" t="str">
            <v>H1C6JMNZRFO-014</v>
          </cell>
          <cell r="C1656" t="str">
            <v>ODENSE KABARCIKLI BASIK FÜME CAM KROM AVİZE</v>
          </cell>
          <cell r="D1656" t="str">
            <v>ODENSE BUBBLY SMOKY SQUASHED GLASS CHROME PENDANT</v>
          </cell>
          <cell r="E1656" t="str">
            <v>METAL KABARCIKLI CAM KROM FÜME</v>
          </cell>
          <cell r="F1656" t="str">
            <v/>
          </cell>
          <cell r="G1656" t="str">
            <v>AVİZE</v>
          </cell>
          <cell r="H1656" t="str">
            <v/>
          </cell>
          <cell r="I1656" t="str">
            <v>İÇ</v>
          </cell>
          <cell r="J1656" t="str">
            <v>AVİZE.SARK</v>
          </cell>
          <cell r="K1656" t="str">
            <v>ODENSE</v>
          </cell>
          <cell r="L1656" t="str">
            <v/>
          </cell>
          <cell r="M1656" t="str">
            <v/>
          </cell>
          <cell r="N1656" t="str">
            <v>HKA-24436</v>
          </cell>
          <cell r="O1656" t="str">
            <v>HEKA</v>
          </cell>
          <cell r="P1656" t="str">
            <v>ADET</v>
          </cell>
          <cell r="Q1656" t="str">
            <v>LED</v>
          </cell>
          <cell r="R1656" t="str">
            <v>METAL</v>
          </cell>
          <cell r="S1656" t="str">
            <v>KROM</v>
          </cell>
          <cell r="T1656" t="str">
            <v>KABARCIKLI CAM</v>
          </cell>
          <cell r="U1656" t="str">
            <v>FÜME</v>
          </cell>
          <cell r="AD1656" t="str">
            <v>BASIK</v>
          </cell>
          <cell r="AF1656">
            <v>0</v>
          </cell>
          <cell r="AG1656" t="str">
            <v>ADET</v>
          </cell>
          <cell r="AH1656">
            <v>40</v>
          </cell>
          <cell r="AI1656" t="str">
            <v>CNY</v>
          </cell>
          <cell r="AJ1656">
            <v>3950</v>
          </cell>
          <cell r="AK1656" t="str">
            <v>TL</v>
          </cell>
          <cell r="AL1656">
            <v>1</v>
          </cell>
          <cell r="AM1656" t="str">
            <v>8684127514392</v>
          </cell>
          <cell r="AO1656">
            <v>0</v>
          </cell>
          <cell r="AQ1656">
            <v>14</v>
          </cell>
          <cell r="AR1656" t="str">
            <v>CM</v>
          </cell>
          <cell r="AS1656">
            <v>15</v>
          </cell>
          <cell r="AT1656" t="str">
            <v>CM</v>
          </cell>
          <cell r="AU1656">
            <v>0</v>
          </cell>
          <cell r="AW1656">
            <v>0</v>
          </cell>
        </row>
        <row r="1657">
          <cell r="B1657" t="str">
            <v>3YC4OZRF000-013</v>
          </cell>
          <cell r="C1657" t="str">
            <v>KABARACIKLI FÜME BASIK AVİZE CAMI 15 cm</v>
          </cell>
          <cell r="D1657" t="str">
            <v>BUBBLY SMOKY SQUASHED PENDANT GLASS 15 cm</v>
          </cell>
          <cell r="E1657" t="str">
            <v xml:space="preserve">BASIK KABARCIKLI CAM KABARCIKLI CAM YOK   </v>
          </cell>
          <cell r="F1657" t="str">
            <v/>
          </cell>
          <cell r="G1657" t="str">
            <v>ZPARCA</v>
          </cell>
          <cell r="H1657" t="str">
            <v/>
          </cell>
          <cell r="I1657" t="str">
            <v>İÇ</v>
          </cell>
          <cell r="J1657" t="str">
            <v>ZPARCA</v>
          </cell>
          <cell r="K1657" t="str">
            <v/>
          </cell>
          <cell r="L1657" t="str">
            <v/>
          </cell>
          <cell r="M1657" t="str">
            <v/>
          </cell>
          <cell r="N1657" t="str">
            <v>HKY-240007</v>
          </cell>
          <cell r="P1657" t="str">
            <v>ADET</v>
          </cell>
          <cell r="AF1657">
            <v>0</v>
          </cell>
          <cell r="AG1657" t="str">
            <v>ADET</v>
          </cell>
          <cell r="AL1657">
            <v>0</v>
          </cell>
          <cell r="AO1657">
            <v>0</v>
          </cell>
          <cell r="AQ1657">
            <v>0</v>
          </cell>
          <cell r="AS1657">
            <v>0</v>
          </cell>
          <cell r="AU1657">
            <v>0</v>
          </cell>
          <cell r="AW1657">
            <v>0</v>
          </cell>
        </row>
        <row r="1658">
          <cell r="B1658" t="str">
            <v>H1L1JMGJRSZ-063</v>
          </cell>
          <cell r="C1658" t="str">
            <v>TORİNO GOLD-SİYAH ÜÇ KOLLU ABAJUR</v>
          </cell>
          <cell r="D1658" t="str">
            <v>TORİNO GOLD-BLACK THREE-ARMED LAMPSHADE</v>
          </cell>
          <cell r="E1658" t="str">
            <v xml:space="preserve">METAL METAL GOLD SİYAH   </v>
          </cell>
          <cell r="F1658" t="str">
            <v/>
          </cell>
          <cell r="G1658" t="str">
            <v>MASAABAJ</v>
          </cell>
          <cell r="H1658" t="str">
            <v/>
          </cell>
          <cell r="I1658" t="str">
            <v>İÇ</v>
          </cell>
          <cell r="J1658" t="str">
            <v>MASAABAJ</v>
          </cell>
          <cell r="K1658" t="str">
            <v>TORİNO</v>
          </cell>
          <cell r="L1658" t="str">
            <v/>
          </cell>
          <cell r="M1658" t="str">
            <v/>
          </cell>
          <cell r="N1658" t="str">
            <v>HKA-24258</v>
          </cell>
          <cell r="O1658" t="str">
            <v>HEKA</v>
          </cell>
          <cell r="P1658" t="str">
            <v>ADET</v>
          </cell>
          <cell r="Q1658" t="str">
            <v>E14</v>
          </cell>
          <cell r="R1658" t="str">
            <v>METAL</v>
          </cell>
          <cell r="S1658" t="str">
            <v>GOLD</v>
          </cell>
          <cell r="T1658" t="str">
            <v>METAL</v>
          </cell>
          <cell r="U1658" t="str">
            <v>SİYAH</v>
          </cell>
          <cell r="AD1658" t="str">
            <v>KOLLU</v>
          </cell>
          <cell r="AE1658" t="str">
            <v>03</v>
          </cell>
          <cell r="AF1658">
            <v>0</v>
          </cell>
          <cell r="AG1658" t="str">
            <v>ADET</v>
          </cell>
          <cell r="AH1658">
            <v>171</v>
          </cell>
          <cell r="AI1658" t="str">
            <v>CNY</v>
          </cell>
          <cell r="AJ1658">
            <v>14300</v>
          </cell>
          <cell r="AK1658" t="str">
            <v>TL</v>
          </cell>
          <cell r="AL1658">
            <v>1</v>
          </cell>
          <cell r="AM1658" t="str">
            <v>8684127514477</v>
          </cell>
          <cell r="AO1658">
            <v>3</v>
          </cell>
          <cell r="AP1658" t="str">
            <v>KG</v>
          </cell>
          <cell r="AQ1658">
            <v>63</v>
          </cell>
          <cell r="AR1658" t="str">
            <v>CM</v>
          </cell>
          <cell r="AS1658">
            <v>40</v>
          </cell>
          <cell r="AT1658" t="str">
            <v>CM</v>
          </cell>
          <cell r="AU1658">
            <v>0</v>
          </cell>
          <cell r="AW1658">
            <v>0</v>
          </cell>
        </row>
        <row r="1659">
          <cell r="B1659" t="str">
            <v>AVFLERY0005-038</v>
          </cell>
          <cell r="C1659" t="str">
            <v>CAM YEŞİL VAZO BÜYÜK 16x11x38 cm</v>
          </cell>
          <cell r="D1659" t="str">
            <v>GLASS GREEN VASE LARGE 16x11x38 cm</v>
          </cell>
          <cell r="E1659" t="str">
            <v xml:space="preserve">CAM  YOK YEŞİL YOK   </v>
          </cell>
          <cell r="F1659" t="str">
            <v/>
          </cell>
          <cell r="G1659" t="str">
            <v>AKSESUAR</v>
          </cell>
          <cell r="H1659" t="str">
            <v/>
          </cell>
          <cell r="I1659" t="str">
            <v>İÇ</v>
          </cell>
          <cell r="J1659" t="str">
            <v>AKSESUAR</v>
          </cell>
          <cell r="K1659" t="str">
            <v/>
          </cell>
          <cell r="L1659" t="str">
            <v/>
          </cell>
          <cell r="M1659" t="str">
            <v/>
          </cell>
          <cell r="N1659" t="str">
            <v>HAA-250055</v>
          </cell>
          <cell r="P1659" t="str">
            <v>ADET</v>
          </cell>
          <cell r="R1659" t="str">
            <v>CAM</v>
          </cell>
          <cell r="S1659" t="str">
            <v>YEŞİL</v>
          </cell>
          <cell r="AD1659" t="str">
            <v>VAZO</v>
          </cell>
          <cell r="AF1659">
            <v>0</v>
          </cell>
          <cell r="AG1659" t="str">
            <v>ADET</v>
          </cell>
          <cell r="AH1659">
            <v>2650</v>
          </cell>
          <cell r="AI1659" t="str">
            <v>TL</v>
          </cell>
          <cell r="AJ1659">
            <v>6360</v>
          </cell>
          <cell r="AK1659" t="str">
            <v>TL</v>
          </cell>
          <cell r="AL1659">
            <v>1</v>
          </cell>
          <cell r="AO1659">
            <v>0</v>
          </cell>
          <cell r="AQ1659">
            <v>0</v>
          </cell>
          <cell r="AS1659">
            <v>0</v>
          </cell>
          <cell r="AU1659">
            <v>0</v>
          </cell>
          <cell r="AW1659">
            <v>0</v>
          </cell>
        </row>
        <row r="1660">
          <cell r="B1660" t="str">
            <v>ADFMJMG0002-073</v>
          </cell>
          <cell r="C1660" t="str">
            <v>UZUN BİBLO (BİLMİYORUM)  14x10x73 cm</v>
          </cell>
          <cell r="D1660" t="str">
            <v>LONG TRINKET (I DONT KNOW) 14x10x73 cm</v>
          </cell>
          <cell r="E1660" t="str">
            <v xml:space="preserve">METAL YOK GOLD YOK   </v>
          </cell>
          <cell r="F1660" t="str">
            <v/>
          </cell>
          <cell r="G1660" t="str">
            <v>AKSESUAR</v>
          </cell>
          <cell r="H1660" t="str">
            <v/>
          </cell>
          <cell r="I1660" t="str">
            <v>İÇ</v>
          </cell>
          <cell r="J1660" t="str">
            <v>AKSESUAR</v>
          </cell>
          <cell r="K1660" t="str">
            <v/>
          </cell>
          <cell r="L1660" t="str">
            <v/>
          </cell>
          <cell r="M1660" t="str">
            <v/>
          </cell>
          <cell r="N1660" t="str">
            <v>HAA-250016</v>
          </cell>
          <cell r="P1660" t="str">
            <v>ADET</v>
          </cell>
          <cell r="R1660" t="str">
            <v>METAL</v>
          </cell>
          <cell r="S1660" t="str">
            <v>GOLD</v>
          </cell>
          <cell r="AD1660" t="str">
            <v>BİBLO</v>
          </cell>
          <cell r="AF1660">
            <v>1</v>
          </cell>
          <cell r="AG1660" t="str">
            <v>ADET</v>
          </cell>
          <cell r="AJ1660">
            <v>6704</v>
          </cell>
          <cell r="AK1660" t="str">
            <v>TL</v>
          </cell>
          <cell r="AL1660">
            <v>1</v>
          </cell>
          <cell r="AO1660">
            <v>0</v>
          </cell>
          <cell r="AQ1660">
            <v>0</v>
          </cell>
          <cell r="AS1660">
            <v>0</v>
          </cell>
          <cell r="AU1660">
            <v>0</v>
          </cell>
          <cell r="AW1660">
            <v>0</v>
          </cell>
        </row>
        <row r="1661">
          <cell r="B1661" t="str">
            <v>ADFMJMG0002-075</v>
          </cell>
          <cell r="C1661" t="str">
            <v>UZUN BİBLO (DUYMADIM)  14x10x73 cm</v>
          </cell>
          <cell r="D1661" t="str">
            <v>LONG TRINKET (DID NOT HEAR) 14x10x73 cm</v>
          </cell>
          <cell r="E1661" t="str">
            <v xml:space="preserve">METAL YOK GOLD YOK   </v>
          </cell>
          <cell r="F1661" t="str">
            <v/>
          </cell>
          <cell r="G1661" t="str">
            <v>AKSESUAR</v>
          </cell>
          <cell r="H1661" t="str">
            <v/>
          </cell>
          <cell r="I1661" t="str">
            <v>İÇ</v>
          </cell>
          <cell r="J1661" t="str">
            <v>AKSESUAR</v>
          </cell>
          <cell r="K1661" t="str">
            <v/>
          </cell>
          <cell r="L1661" t="str">
            <v/>
          </cell>
          <cell r="M1661" t="str">
            <v/>
          </cell>
          <cell r="N1661" t="str">
            <v>HAA-250018</v>
          </cell>
          <cell r="P1661" t="str">
            <v>ADET</v>
          </cell>
          <cell r="R1661" t="str">
            <v>METAL</v>
          </cell>
          <cell r="S1661" t="str">
            <v>GOLD</v>
          </cell>
          <cell r="AD1661" t="str">
            <v>BİBLO</v>
          </cell>
          <cell r="AF1661">
            <v>1</v>
          </cell>
          <cell r="AG1661" t="str">
            <v>ADET</v>
          </cell>
          <cell r="AJ1661">
            <v>6704</v>
          </cell>
          <cell r="AK1661" t="str">
            <v>TL</v>
          </cell>
          <cell r="AL1661">
            <v>1</v>
          </cell>
          <cell r="AO1661">
            <v>0</v>
          </cell>
          <cell r="AQ1661">
            <v>0</v>
          </cell>
          <cell r="AS1661">
            <v>0</v>
          </cell>
          <cell r="AU1661">
            <v>0</v>
          </cell>
          <cell r="AW1661">
            <v>0</v>
          </cell>
        </row>
        <row r="1662">
          <cell r="B1662" t="str">
            <v>ADFMERVJRU0-053</v>
          </cell>
          <cell r="C1662" t="str">
            <v>CAM DEKORATİF OBJE BÜYÜK 15x32x53 cm</v>
          </cell>
          <cell r="D1662" t="str">
            <v>LARGE DECORATIVE OBJECT  15x32x53 cm</v>
          </cell>
          <cell r="E1662" t="str">
            <v xml:space="preserve">CAM  METAL KAHVERENGİ GÜMÜŞ   </v>
          </cell>
          <cell r="F1662" t="str">
            <v/>
          </cell>
          <cell r="G1662" t="str">
            <v>AKSESUAR</v>
          </cell>
          <cell r="H1662" t="str">
            <v/>
          </cell>
          <cell r="I1662" t="str">
            <v>İÇ</v>
          </cell>
          <cell r="J1662" t="str">
            <v>AKSESUAR</v>
          </cell>
          <cell r="K1662" t="str">
            <v/>
          </cell>
          <cell r="L1662" t="str">
            <v/>
          </cell>
          <cell r="M1662" t="str">
            <v/>
          </cell>
          <cell r="N1662" t="str">
            <v>HAA-250030</v>
          </cell>
          <cell r="P1662" t="str">
            <v>ADET</v>
          </cell>
          <cell r="R1662" t="str">
            <v>CAM</v>
          </cell>
          <cell r="S1662" t="str">
            <v>KAHVERENGİ</v>
          </cell>
          <cell r="T1662" t="str">
            <v>METAL</v>
          </cell>
          <cell r="U1662" t="str">
            <v>GÜMÜŞ</v>
          </cell>
          <cell r="AF1662">
            <v>1</v>
          </cell>
          <cell r="AG1662" t="str">
            <v>ADET</v>
          </cell>
          <cell r="AJ1662">
            <v>13500</v>
          </cell>
          <cell r="AK1662" t="str">
            <v>TL</v>
          </cell>
          <cell r="AL1662">
            <v>1</v>
          </cell>
          <cell r="AO1662">
            <v>0</v>
          </cell>
          <cell r="AQ1662">
            <v>0</v>
          </cell>
          <cell r="AS1662">
            <v>0</v>
          </cell>
          <cell r="AU1662">
            <v>0</v>
          </cell>
          <cell r="AW1662">
            <v>0</v>
          </cell>
        </row>
        <row r="1663">
          <cell r="B1663" t="str">
            <v>ADFMJMGECS7-047</v>
          </cell>
          <cell r="C1663" t="str">
            <v>DÜŞÜNEN İKİ ADAM FİGÜRÜ 47x8x21 cm</v>
          </cell>
          <cell r="D1663" t="str">
            <v>TWO THINKING MEN FIGURES  47x8x21 cm</v>
          </cell>
          <cell r="E1663" t="str">
            <v xml:space="preserve">METAL CAM  GOLD ŞEFFAF   </v>
          </cell>
          <cell r="F1663" t="str">
            <v/>
          </cell>
          <cell r="G1663" t="str">
            <v>AKSESUAR</v>
          </cell>
          <cell r="H1663" t="str">
            <v/>
          </cell>
          <cell r="I1663" t="str">
            <v>İÇ</v>
          </cell>
          <cell r="J1663" t="str">
            <v>AKSESUAR</v>
          </cell>
          <cell r="K1663" t="str">
            <v/>
          </cell>
          <cell r="L1663" t="str">
            <v/>
          </cell>
          <cell r="M1663" t="str">
            <v/>
          </cell>
          <cell r="N1663" t="str">
            <v>HAA-250032</v>
          </cell>
          <cell r="P1663" t="str">
            <v>ADET</v>
          </cell>
          <cell r="R1663" t="str">
            <v>METAL</v>
          </cell>
          <cell r="S1663" t="str">
            <v>GOLD</v>
          </cell>
          <cell r="T1663" t="str">
            <v>CAM</v>
          </cell>
          <cell r="U1663" t="str">
            <v>ŞEFFAF</v>
          </cell>
          <cell r="AD1663" t="str">
            <v>HEYKEL</v>
          </cell>
          <cell r="AF1663">
            <v>1</v>
          </cell>
          <cell r="AG1663" t="str">
            <v>ADET</v>
          </cell>
          <cell r="AJ1663">
            <v>5165</v>
          </cell>
          <cell r="AK1663" t="str">
            <v>TL</v>
          </cell>
          <cell r="AL1663">
            <v>1</v>
          </cell>
          <cell r="AO1663">
            <v>0</v>
          </cell>
          <cell r="AQ1663">
            <v>0</v>
          </cell>
          <cell r="AS1663">
            <v>0</v>
          </cell>
          <cell r="AU1663">
            <v>0</v>
          </cell>
          <cell r="AW1663">
            <v>0</v>
          </cell>
        </row>
        <row r="1664">
          <cell r="B1664" t="str">
            <v>AVFMJMNERG0-122</v>
          </cell>
          <cell r="C1664" t="str">
            <v>NİKEL GRİ CAM BÜYÜK VAZO 122 cm</v>
          </cell>
          <cell r="D1664" t="str">
            <v>NICKEL GRAY GLASS LARGE VASE  122 cm</v>
          </cell>
          <cell r="E1664" t="str">
            <v xml:space="preserve">METAL CAM  NİKEL GRİ   </v>
          </cell>
          <cell r="F1664" t="str">
            <v/>
          </cell>
          <cell r="G1664" t="str">
            <v>AKSESUAR</v>
          </cell>
          <cell r="H1664" t="str">
            <v/>
          </cell>
          <cell r="I1664" t="str">
            <v>İÇ</v>
          </cell>
          <cell r="J1664" t="str">
            <v>AKSESUAR</v>
          </cell>
          <cell r="K1664" t="str">
            <v/>
          </cell>
          <cell r="L1664" t="str">
            <v/>
          </cell>
          <cell r="M1664" t="str">
            <v/>
          </cell>
          <cell r="N1664" t="str">
            <v>HAA-250034</v>
          </cell>
          <cell r="P1664" t="str">
            <v>ADET</v>
          </cell>
          <cell r="R1664" t="str">
            <v>METAL</v>
          </cell>
          <cell r="S1664" t="str">
            <v>NİKEL</v>
          </cell>
          <cell r="T1664" t="str">
            <v>CAM</v>
          </cell>
          <cell r="U1664" t="str">
            <v>GRİ</v>
          </cell>
          <cell r="AF1664">
            <v>0</v>
          </cell>
          <cell r="AG1664" t="str">
            <v>ADET</v>
          </cell>
          <cell r="AJ1664">
            <v>18165</v>
          </cell>
          <cell r="AK1664" t="str">
            <v>TL</v>
          </cell>
          <cell r="AL1664">
            <v>1</v>
          </cell>
          <cell r="AO1664">
            <v>0</v>
          </cell>
          <cell r="AQ1664">
            <v>0</v>
          </cell>
          <cell r="AS1664">
            <v>0</v>
          </cell>
          <cell r="AU1664">
            <v>0</v>
          </cell>
          <cell r="AW1664">
            <v>0</v>
          </cell>
        </row>
        <row r="1665">
          <cell r="B1665" t="str">
            <v>MNFRHBJA00B-077</v>
          </cell>
          <cell r="C1665" t="str">
            <v>MINOS BEJ RENGİ BUKLE KUMAŞ SANDALYE 67x60x77 cm</v>
          </cell>
          <cell r="D1665" t="str">
            <v>MINOS BEIGE COLOR LOOP FABRIC CHAIR 67x60x77 cm</v>
          </cell>
          <cell r="E1665" t="str">
            <v xml:space="preserve">KUMAŞ AHŞAP BEJ YOK   </v>
          </cell>
          <cell r="F1665" t="str">
            <v/>
          </cell>
          <cell r="G1665" t="str">
            <v>MOBİLYA</v>
          </cell>
          <cell r="H1665" t="str">
            <v/>
          </cell>
          <cell r="I1665" t="str">
            <v>İÇ</v>
          </cell>
          <cell r="J1665" t="str">
            <v>MOBİLYA</v>
          </cell>
          <cell r="K1665" t="str">
            <v/>
          </cell>
          <cell r="L1665" t="str">
            <v/>
          </cell>
          <cell r="M1665" t="str">
            <v>ÜRTM:20GÜN</v>
          </cell>
          <cell r="N1665" t="str">
            <v>HKM-24006</v>
          </cell>
          <cell r="P1665" t="str">
            <v>ADET</v>
          </cell>
          <cell r="R1665" t="str">
            <v>KUMAŞ</v>
          </cell>
          <cell r="S1665" t="str">
            <v>BEJ</v>
          </cell>
          <cell r="T1665" t="str">
            <v>AHŞAP</v>
          </cell>
          <cell r="AD1665" t="str">
            <v>BUKLE</v>
          </cell>
          <cell r="AF1665">
            <v>6</v>
          </cell>
          <cell r="AG1665" t="str">
            <v>ADET</v>
          </cell>
          <cell r="AJ1665">
            <v>14800</v>
          </cell>
          <cell r="AK1665" t="str">
            <v>TL</v>
          </cell>
          <cell r="AL1665">
            <v>1</v>
          </cell>
          <cell r="AO1665">
            <v>0</v>
          </cell>
          <cell r="AQ1665">
            <v>0</v>
          </cell>
          <cell r="AS1665">
            <v>0</v>
          </cell>
          <cell r="AU1665">
            <v>0</v>
          </cell>
          <cell r="AW1665">
            <v>0</v>
          </cell>
        </row>
        <row r="1666">
          <cell r="B1666" t="str">
            <v>MNFIAACHBJD-084</v>
          </cell>
          <cell r="C1666" t="str">
            <v>NOX CEVİZ AHŞAP DÖNER FONKSİYONLU SANDALYE</v>
          </cell>
          <cell r="D1666" t="str">
            <v>NOX WALNUT WOOD SWIVEL FUNCTION CHAIR</v>
          </cell>
          <cell r="E1666" t="str">
            <v xml:space="preserve">AHŞAP KUMAŞ CEVİZ BEJ   </v>
          </cell>
          <cell r="F1666" t="str">
            <v/>
          </cell>
          <cell r="G1666" t="str">
            <v>MOBİLYA</v>
          </cell>
          <cell r="H1666" t="str">
            <v/>
          </cell>
          <cell r="I1666" t="str">
            <v>İÇ</v>
          </cell>
          <cell r="J1666" t="str">
            <v>MOBİLYA</v>
          </cell>
          <cell r="K1666" t="str">
            <v>NOX</v>
          </cell>
          <cell r="L1666" t="str">
            <v/>
          </cell>
          <cell r="M1666" t="str">
            <v>ÜRTM:20GÜN</v>
          </cell>
          <cell r="N1666" t="str">
            <v>HKM-24008</v>
          </cell>
          <cell r="P1666" t="str">
            <v>ADET</v>
          </cell>
          <cell r="R1666" t="str">
            <v>AHŞAP</v>
          </cell>
          <cell r="S1666" t="str">
            <v>CEVİZ</v>
          </cell>
          <cell r="T1666" t="str">
            <v>KUMAŞ</v>
          </cell>
          <cell r="U1666" t="str">
            <v>BEJ</v>
          </cell>
          <cell r="AD1666" t="str">
            <v>DÖNERLİ</v>
          </cell>
          <cell r="AF1666">
            <v>6</v>
          </cell>
          <cell r="AG1666" t="str">
            <v>ADET</v>
          </cell>
          <cell r="AJ1666">
            <v>19750</v>
          </cell>
          <cell r="AK1666" t="str">
            <v>TL</v>
          </cell>
          <cell r="AL1666">
            <v>1</v>
          </cell>
          <cell r="AO1666">
            <v>0</v>
          </cell>
          <cell r="AQ1666">
            <v>0</v>
          </cell>
          <cell r="AS1666">
            <v>0</v>
          </cell>
          <cell r="AU1666">
            <v>0</v>
          </cell>
          <cell r="AW1666">
            <v>0</v>
          </cell>
        </row>
        <row r="1667">
          <cell r="B1667" t="str">
            <v>H1C6JMNZRFV-017</v>
          </cell>
          <cell r="C1667" t="str">
            <v>KOPENHAG KABARCIKLI FÜME CAM KROM SARKIT</v>
          </cell>
          <cell r="D1667" t="str">
            <v>KOPENHAG BUBBLY SMOKY GLASS CHROME PENDANT</v>
          </cell>
          <cell r="E1667" t="str">
            <v>METAL KABARCIKLI CAM KROM FÜME</v>
          </cell>
          <cell r="F1667" t="str">
            <v/>
          </cell>
          <cell r="G1667" t="str">
            <v>AVİZE</v>
          </cell>
          <cell r="H1667" t="str">
            <v/>
          </cell>
          <cell r="I1667" t="str">
            <v>İÇ</v>
          </cell>
          <cell r="J1667" t="str">
            <v>AVİZE.SARK</v>
          </cell>
          <cell r="K1667" t="str">
            <v>KOPENHAG</v>
          </cell>
          <cell r="L1667" t="str">
            <v/>
          </cell>
          <cell r="M1667" t="str">
            <v/>
          </cell>
          <cell r="N1667" t="str">
            <v>HKA-24430</v>
          </cell>
          <cell r="O1667" t="str">
            <v>HEKA</v>
          </cell>
          <cell r="P1667" t="str">
            <v>ADET</v>
          </cell>
          <cell r="Q1667" t="str">
            <v>LED</v>
          </cell>
          <cell r="R1667" t="str">
            <v>METAL</v>
          </cell>
          <cell r="S1667" t="str">
            <v>KROM</v>
          </cell>
          <cell r="T1667" t="str">
            <v>KABARCIKLI CAM</v>
          </cell>
          <cell r="U1667" t="str">
            <v>FÜME</v>
          </cell>
          <cell r="AD1667" t="str">
            <v>YAMUK</v>
          </cell>
          <cell r="AF1667">
            <v>1</v>
          </cell>
          <cell r="AG1667" t="str">
            <v>ADET</v>
          </cell>
          <cell r="AJ1667">
            <v>3950</v>
          </cell>
          <cell r="AK1667" t="str">
            <v>TL</v>
          </cell>
          <cell r="AL1667">
            <v>1</v>
          </cell>
          <cell r="AM1667" t="str">
            <v>8684127514415</v>
          </cell>
          <cell r="AO1667">
            <v>0</v>
          </cell>
          <cell r="AQ1667">
            <v>17</v>
          </cell>
          <cell r="AR1667" t="str">
            <v>CM</v>
          </cell>
          <cell r="AS1667">
            <v>15</v>
          </cell>
          <cell r="AT1667" t="str">
            <v>CM</v>
          </cell>
          <cell r="AU1667">
            <v>0</v>
          </cell>
          <cell r="AW1667">
            <v>0</v>
          </cell>
        </row>
        <row r="1668">
          <cell r="B1668" t="str">
            <v>H1W6JMEZRLO-013</v>
          </cell>
          <cell r="C1668" t="str">
            <v>ODENSE KABARCIKLI BASIK BAL CAM ESKİTME APLİK</v>
          </cell>
          <cell r="D1668" t="str">
            <v>ODENSE BUBBLY AMBER SQUASHED GLASS BRUSHED BRASS WALL LAMP</v>
          </cell>
          <cell r="E1668" t="str">
            <v xml:space="preserve">METAL KABARCIKLI CAM ESKİTME BAL   </v>
          </cell>
          <cell r="F1668" t="str">
            <v/>
          </cell>
          <cell r="G1668" t="str">
            <v>APLİK</v>
          </cell>
          <cell r="H1668" t="str">
            <v/>
          </cell>
          <cell r="I1668" t="str">
            <v>İÇ</v>
          </cell>
          <cell r="J1668" t="str">
            <v>APLİK</v>
          </cell>
          <cell r="K1668" t="str">
            <v>ODENSE</v>
          </cell>
          <cell r="L1668" t="str">
            <v>Ç</v>
          </cell>
          <cell r="M1668" t="str">
            <v/>
          </cell>
          <cell r="N1668" t="str">
            <v>HKA-24435</v>
          </cell>
          <cell r="O1668" t="str">
            <v>HEKA</v>
          </cell>
          <cell r="P1668" t="str">
            <v>ADET</v>
          </cell>
          <cell r="Q1668" t="str">
            <v>LED</v>
          </cell>
          <cell r="R1668" t="str">
            <v>METAL</v>
          </cell>
          <cell r="S1668" t="str">
            <v>ESKİTME</v>
          </cell>
          <cell r="T1668" t="str">
            <v>KABARCIKLI CAM</v>
          </cell>
          <cell r="U1668" t="str">
            <v>BAL</v>
          </cell>
          <cell r="AD1668" t="str">
            <v>BASIK</v>
          </cell>
          <cell r="AF1668">
            <v>33</v>
          </cell>
          <cell r="AG1668" t="str">
            <v>ADET</v>
          </cell>
          <cell r="AH1668">
            <v>40</v>
          </cell>
          <cell r="AI1668" t="str">
            <v>CNY</v>
          </cell>
          <cell r="AJ1668">
            <v>3950</v>
          </cell>
          <cell r="AK1668" t="str">
            <v>TL</v>
          </cell>
          <cell r="AL1668">
            <v>1</v>
          </cell>
          <cell r="AM1668" t="str">
            <v>8684127514385</v>
          </cell>
          <cell r="AO1668">
            <v>0</v>
          </cell>
          <cell r="AQ1668">
            <v>13</v>
          </cell>
          <cell r="AR1668" t="str">
            <v>CM</v>
          </cell>
          <cell r="AS1668">
            <v>15</v>
          </cell>
          <cell r="AT1668" t="str">
            <v>CM</v>
          </cell>
          <cell r="AU1668">
            <v>0</v>
          </cell>
          <cell r="AW1668">
            <v>0</v>
          </cell>
        </row>
        <row r="1669">
          <cell r="B1669" t="str">
            <v>3YC4VZCT000-015</v>
          </cell>
          <cell r="C1669" t="str">
            <v>KABARACIKLI SOFT YAMUK AVİZE CAMI 15 cm</v>
          </cell>
          <cell r="D1669" t="str">
            <v>BUBBLY SOFT TRAPEZOID PENDANT GLASS 15 cm</v>
          </cell>
          <cell r="E1669" t="str">
            <v xml:space="preserve">YAMUK KABARCIKLI CAM KABARCIKLI CAM YOK   </v>
          </cell>
          <cell r="F1669" t="str">
            <v/>
          </cell>
          <cell r="G1669" t="str">
            <v>ZPARCA</v>
          </cell>
          <cell r="H1669" t="str">
            <v/>
          </cell>
          <cell r="I1669" t="str">
            <v>İÇ</v>
          </cell>
          <cell r="J1669" t="str">
            <v>ZPARCA</v>
          </cell>
          <cell r="K1669" t="str">
            <v/>
          </cell>
          <cell r="L1669" t="str">
            <v/>
          </cell>
          <cell r="M1669" t="str">
            <v/>
          </cell>
          <cell r="N1669" t="str">
            <v>HKY-240005</v>
          </cell>
          <cell r="P1669" t="str">
            <v>ADET</v>
          </cell>
          <cell r="AF1669">
            <v>0</v>
          </cell>
          <cell r="AG1669" t="str">
            <v>ADET</v>
          </cell>
          <cell r="AL1669">
            <v>0</v>
          </cell>
          <cell r="AO1669">
            <v>0</v>
          </cell>
          <cell r="AQ1669">
            <v>0</v>
          </cell>
          <cell r="AS1669">
            <v>0</v>
          </cell>
          <cell r="AU1669">
            <v>0</v>
          </cell>
          <cell r="AW1669">
            <v>0</v>
          </cell>
        </row>
        <row r="1670">
          <cell r="B1670" t="str">
            <v>H1L2JMEWRY1-059</v>
          </cell>
          <cell r="C1670" t="str">
            <v>PONZAN YEŞİL MERMER ESKİTME ABAJUR</v>
          </cell>
          <cell r="D1670" t="str">
            <v>PONZAN GREEN MARBLE BURSHED BRASS LAMPSHADE</v>
          </cell>
          <cell r="E1670" t="str">
            <v>METAL MERMER ESKİTME YEŞİL</v>
          </cell>
          <cell r="F1670" t="str">
            <v/>
          </cell>
          <cell r="G1670" t="str">
            <v>MASAABAJ</v>
          </cell>
          <cell r="H1670" t="str">
            <v/>
          </cell>
          <cell r="I1670" t="str">
            <v>İÇ</v>
          </cell>
          <cell r="J1670" t="str">
            <v>MASAABAJ</v>
          </cell>
          <cell r="K1670" t="str">
            <v>PONZAN</v>
          </cell>
          <cell r="L1670" t="str">
            <v/>
          </cell>
          <cell r="M1670" t="str">
            <v/>
          </cell>
          <cell r="N1670" t="str">
            <v>HKA-24254</v>
          </cell>
          <cell r="O1670" t="str">
            <v>HEKA</v>
          </cell>
          <cell r="P1670" t="str">
            <v>ADET</v>
          </cell>
          <cell r="Q1670" t="str">
            <v>E27</v>
          </cell>
          <cell r="R1670" t="str">
            <v>METAL</v>
          </cell>
          <cell r="S1670" t="str">
            <v>ESKİTME</v>
          </cell>
          <cell r="T1670" t="str">
            <v>MERMER</v>
          </cell>
          <cell r="U1670" t="str">
            <v>YEŞİL</v>
          </cell>
          <cell r="AD1670" t="str">
            <v>TEKLİ</v>
          </cell>
          <cell r="AE1670" t="str">
            <v>01</v>
          </cell>
          <cell r="AF1670">
            <v>0</v>
          </cell>
          <cell r="AG1670" t="str">
            <v>ADET</v>
          </cell>
          <cell r="AH1670">
            <v>90.25</v>
          </cell>
          <cell r="AI1670" t="str">
            <v>CNY</v>
          </cell>
          <cell r="AJ1670">
            <v>7580</v>
          </cell>
          <cell r="AK1670" t="str">
            <v>TL</v>
          </cell>
          <cell r="AL1670">
            <v>1</v>
          </cell>
          <cell r="AM1670" t="str">
            <v>8684127514507</v>
          </cell>
          <cell r="AO1670">
            <v>3</v>
          </cell>
          <cell r="AP1670" t="str">
            <v>KG</v>
          </cell>
          <cell r="AQ1670">
            <v>59</v>
          </cell>
          <cell r="AR1670" t="str">
            <v>CM</v>
          </cell>
          <cell r="AS1670">
            <v>33</v>
          </cell>
          <cell r="AT1670" t="str">
            <v>CM</v>
          </cell>
          <cell r="AU1670">
            <v>0</v>
          </cell>
          <cell r="AW1670">
            <v>0</v>
          </cell>
        </row>
        <row r="1671">
          <cell r="B1671" t="str">
            <v>AVFLNRVJMG4-092</v>
          </cell>
          <cell r="C1671" t="str">
            <v>KAHVERENGİ GOLD AY KÜP 92 cm</v>
          </cell>
          <cell r="D1671" t="str">
            <v>BROWN GOLD MOON CUBE 92 cm</v>
          </cell>
          <cell r="E1671" t="str">
            <v xml:space="preserve">PORSELEN METAL KAHVERENGİ GOLD   </v>
          </cell>
          <cell r="F1671" t="str">
            <v/>
          </cell>
          <cell r="G1671" t="str">
            <v>AKSESUAR</v>
          </cell>
          <cell r="H1671" t="str">
            <v/>
          </cell>
          <cell r="I1671" t="str">
            <v>İÇ</v>
          </cell>
          <cell r="J1671" t="str">
            <v>AKSESUAR</v>
          </cell>
          <cell r="K1671" t="str">
            <v/>
          </cell>
          <cell r="L1671" t="str">
            <v/>
          </cell>
          <cell r="M1671" t="str">
            <v/>
          </cell>
          <cell r="N1671" t="str">
            <v>HAA-250046</v>
          </cell>
          <cell r="P1671" t="str">
            <v>ADET</v>
          </cell>
          <cell r="R1671" t="str">
            <v>PORSELEN</v>
          </cell>
          <cell r="S1671" t="str">
            <v>KAHVERENGİ</v>
          </cell>
          <cell r="T1671" t="str">
            <v>METAL</v>
          </cell>
          <cell r="U1671" t="str">
            <v>GOLD</v>
          </cell>
          <cell r="AD1671" t="str">
            <v>KÜP</v>
          </cell>
          <cell r="AF1671">
            <v>0</v>
          </cell>
          <cell r="AG1671" t="str">
            <v>ADET</v>
          </cell>
          <cell r="AH1671">
            <v>7370</v>
          </cell>
          <cell r="AI1671" t="str">
            <v>TL</v>
          </cell>
          <cell r="AJ1671">
            <v>17688</v>
          </cell>
          <cell r="AK1671" t="str">
            <v>TL</v>
          </cell>
          <cell r="AL1671">
            <v>1</v>
          </cell>
          <cell r="AO1671">
            <v>0</v>
          </cell>
          <cell r="AQ1671">
            <v>106</v>
          </cell>
          <cell r="AR1671" t="str">
            <v>CM</v>
          </cell>
          <cell r="AS1671">
            <v>0</v>
          </cell>
          <cell r="AU1671">
            <v>0</v>
          </cell>
          <cell r="AW1671">
            <v>0</v>
          </cell>
        </row>
        <row r="1672">
          <cell r="B1672" t="str">
            <v>H1C6JMEERLP-025</v>
          </cell>
          <cell r="C1672" t="str">
            <v>VİYANA BAL GÖKTAŞI CAM SARKIT 25cm</v>
          </cell>
          <cell r="D1672" t="str">
            <v>VIYANA AMBER METEORITE GLASS PENDANT 25cm</v>
          </cell>
          <cell r="E1672" t="str">
            <v>METAL ESKİTME CAM BAL</v>
          </cell>
          <cell r="F1672" t="str">
            <v>9405.11.90.00.00</v>
          </cell>
          <cell r="G1672" t="str">
            <v>AVİZE</v>
          </cell>
          <cell r="H1672" t="str">
            <v>T1A6231100-20</v>
          </cell>
          <cell r="I1672" t="str">
            <v>İÇ</v>
          </cell>
          <cell r="J1672" t="str">
            <v>AVİZE.SARK</v>
          </cell>
          <cell r="K1672" t="str">
            <v>VİYANA</v>
          </cell>
          <cell r="L1672" t="str">
            <v/>
          </cell>
          <cell r="M1672" t="str">
            <v/>
          </cell>
          <cell r="N1672" t="str">
            <v>HKA-24424</v>
          </cell>
          <cell r="O1672" t="str">
            <v>HEKA</v>
          </cell>
          <cell r="P1672" t="str">
            <v>ADET</v>
          </cell>
          <cell r="Q1672" t="str">
            <v>PERİ LED</v>
          </cell>
          <cell r="R1672" t="str">
            <v>METAL</v>
          </cell>
          <cell r="S1672" t="str">
            <v>ESKİTME</v>
          </cell>
          <cell r="T1672" t="str">
            <v>CAM</v>
          </cell>
          <cell r="U1672" t="str">
            <v>BAL</v>
          </cell>
          <cell r="AD1672" t="str">
            <v>POLİGONAL</v>
          </cell>
          <cell r="AF1672">
            <v>74</v>
          </cell>
          <cell r="AG1672" t="str">
            <v>ADET</v>
          </cell>
          <cell r="AH1672">
            <v>75</v>
          </cell>
          <cell r="AI1672" t="str">
            <v>CNY</v>
          </cell>
          <cell r="AJ1672">
            <v>4275</v>
          </cell>
          <cell r="AK1672" t="str">
            <v>TL</v>
          </cell>
          <cell r="AL1672">
            <v>1</v>
          </cell>
          <cell r="AM1672" t="str">
            <v>8684127514774</v>
          </cell>
          <cell r="AO1672">
            <v>0</v>
          </cell>
          <cell r="AQ1672">
            <v>0</v>
          </cell>
          <cell r="AR1672" t="str">
            <v>CM</v>
          </cell>
          <cell r="AS1672">
            <v>0</v>
          </cell>
          <cell r="AT1672" t="str">
            <v>CM</v>
          </cell>
          <cell r="AU1672">
            <v>0</v>
          </cell>
          <cell r="AW1672">
            <v>0</v>
          </cell>
        </row>
        <row r="1673">
          <cell r="B1673" t="str">
            <v>ADFMJRUJRS0-030</v>
          </cell>
          <cell r="C1673" t="str">
            <v>KINGDOM GÜMÜŞ SİYAH KÜÇÜK SATRANÇ SETİ 30x30x5 cm</v>
          </cell>
          <cell r="D1673" t="str">
            <v>KINGDOM SILVER BLACK SMALL CHESS SET 30x30x5 cm</v>
          </cell>
          <cell r="E1673" t="str">
            <v xml:space="preserve">METAL METAL GÜMÜŞ SİYAH </v>
          </cell>
          <cell r="F1673" t="str">
            <v/>
          </cell>
          <cell r="G1673" t="str">
            <v>AKSESUAR</v>
          </cell>
          <cell r="H1673" t="str">
            <v/>
          </cell>
          <cell r="I1673" t="str">
            <v>İÇ</v>
          </cell>
          <cell r="J1673" t="str">
            <v>AKSESUAR</v>
          </cell>
          <cell r="K1673" t="str">
            <v/>
          </cell>
          <cell r="L1673" t="str">
            <v/>
          </cell>
          <cell r="M1673" t="str">
            <v/>
          </cell>
          <cell r="N1673" t="str">
            <v>HAA-250012</v>
          </cell>
          <cell r="P1673" t="str">
            <v>ADET</v>
          </cell>
          <cell r="R1673" t="str">
            <v>METAL</v>
          </cell>
          <cell r="S1673" t="str">
            <v>GÜMÜŞ</v>
          </cell>
          <cell r="T1673" t="str">
            <v>METAL</v>
          </cell>
          <cell r="U1673" t="str">
            <v>SİYAH</v>
          </cell>
          <cell r="AF1673">
            <v>1</v>
          </cell>
          <cell r="AG1673" t="str">
            <v>ADET</v>
          </cell>
          <cell r="AJ1673">
            <v>13452</v>
          </cell>
          <cell r="AK1673" t="str">
            <v>TL</v>
          </cell>
          <cell r="AL1673">
            <v>1</v>
          </cell>
          <cell r="AO1673">
            <v>0</v>
          </cell>
          <cell r="AQ1673">
            <v>0</v>
          </cell>
          <cell r="AS1673">
            <v>0</v>
          </cell>
          <cell r="AU1673">
            <v>0</v>
          </cell>
          <cell r="AW1673">
            <v>0</v>
          </cell>
        </row>
        <row r="1674">
          <cell r="B1674" t="str">
            <v>AVFMERG0008-087</v>
          </cell>
          <cell r="C1674" t="str">
            <v>SİYAH ÇİÇEK DESENLİ KÜÇÜK VAZO 22x87 cm</v>
          </cell>
          <cell r="D1674" t="str">
            <v>BLACK FLOWER PATTERNED SMALL VASE 22x87 cm</v>
          </cell>
          <cell r="E1674" t="str">
            <v xml:space="preserve">CAM  YOK GRİ YOK   </v>
          </cell>
          <cell r="F1674" t="str">
            <v/>
          </cell>
          <cell r="G1674" t="str">
            <v>AKSESUAR</v>
          </cell>
          <cell r="H1674" t="str">
            <v/>
          </cell>
          <cell r="I1674" t="str">
            <v>İÇ</v>
          </cell>
          <cell r="J1674" t="str">
            <v>AKSESUAR</v>
          </cell>
          <cell r="K1674" t="str">
            <v/>
          </cell>
          <cell r="L1674" t="str">
            <v/>
          </cell>
          <cell r="M1674" t="str">
            <v/>
          </cell>
          <cell r="N1674" t="str">
            <v>HAA-250019</v>
          </cell>
          <cell r="P1674" t="str">
            <v>ADET</v>
          </cell>
          <cell r="R1674" t="str">
            <v>CAM</v>
          </cell>
          <cell r="S1674" t="str">
            <v>GRİ</v>
          </cell>
          <cell r="AD1674" t="str">
            <v>DESENLİ</v>
          </cell>
          <cell r="AF1674">
            <v>1</v>
          </cell>
          <cell r="AG1674" t="str">
            <v>ADET</v>
          </cell>
          <cell r="AJ1674">
            <v>13990</v>
          </cell>
          <cell r="AK1674" t="str">
            <v>TL</v>
          </cell>
          <cell r="AL1674">
            <v>1</v>
          </cell>
          <cell r="AO1674">
            <v>0</v>
          </cell>
          <cell r="AQ1674">
            <v>0</v>
          </cell>
          <cell r="AS1674">
            <v>0</v>
          </cell>
          <cell r="AU1674">
            <v>0</v>
          </cell>
          <cell r="AW1674">
            <v>0</v>
          </cell>
        </row>
        <row r="1675">
          <cell r="B1675" t="str">
            <v>ADFMERVJRU0-042</v>
          </cell>
          <cell r="C1675" t="str">
            <v>CAM DEKORATİF OBJE KÜÇÜK 11x27x42 cm</v>
          </cell>
          <cell r="D1675" t="str">
            <v>SMALL DECORATIVE OBJECT 11x27x42 cm</v>
          </cell>
          <cell r="E1675" t="str">
            <v xml:space="preserve">CAM  METAL KAHVERENGİ GÜMÜŞ   </v>
          </cell>
          <cell r="F1675" t="str">
            <v/>
          </cell>
          <cell r="G1675" t="str">
            <v>AKSESUAR</v>
          </cell>
          <cell r="H1675" t="str">
            <v/>
          </cell>
          <cell r="I1675" t="str">
            <v>İÇ</v>
          </cell>
          <cell r="J1675" t="str">
            <v>AKSESUAR</v>
          </cell>
          <cell r="K1675" t="str">
            <v/>
          </cell>
          <cell r="L1675" t="str">
            <v/>
          </cell>
          <cell r="M1675" t="str">
            <v/>
          </cell>
          <cell r="N1675" t="str">
            <v>HAA-250029</v>
          </cell>
          <cell r="P1675" t="str">
            <v>ADET</v>
          </cell>
          <cell r="R1675" t="str">
            <v>CAM</v>
          </cell>
          <cell r="S1675" t="str">
            <v>KAHVERENGİ</v>
          </cell>
          <cell r="T1675" t="str">
            <v>METAL</v>
          </cell>
          <cell r="U1675" t="str">
            <v>GÜMÜŞ</v>
          </cell>
          <cell r="AF1675">
            <v>1</v>
          </cell>
          <cell r="AG1675" t="str">
            <v>ADET</v>
          </cell>
          <cell r="AJ1675">
            <v>9458</v>
          </cell>
          <cell r="AK1675" t="str">
            <v>TL</v>
          </cell>
          <cell r="AL1675">
            <v>1</v>
          </cell>
          <cell r="AO1675">
            <v>0</v>
          </cell>
          <cell r="AQ1675">
            <v>0</v>
          </cell>
          <cell r="AS1675">
            <v>0</v>
          </cell>
          <cell r="AU1675">
            <v>0</v>
          </cell>
          <cell r="AW1675">
            <v>0</v>
          </cell>
        </row>
        <row r="1676">
          <cell r="B1676" t="str">
            <v>ADFMJMNWRB0-100</v>
          </cell>
          <cell r="C1676" t="str">
            <v xml:space="preserve">ÜÇLÜ NİKEL MERMER DEKORATİF TOPLAR </v>
          </cell>
          <cell r="D1676" t="str">
            <v>TRIPLE NICKEL MARBLE DECORATIVE BALLS</v>
          </cell>
          <cell r="E1676" t="str">
            <v xml:space="preserve">METAL MERMER NİKEL BEYAZ   </v>
          </cell>
          <cell r="F1676" t="str">
            <v/>
          </cell>
          <cell r="G1676" t="str">
            <v>AKSESUAR</v>
          </cell>
          <cell r="H1676" t="str">
            <v/>
          </cell>
          <cell r="I1676" t="str">
            <v>İÇ</v>
          </cell>
          <cell r="J1676" t="str">
            <v>AKSESUAR</v>
          </cell>
          <cell r="K1676" t="str">
            <v/>
          </cell>
          <cell r="L1676" t="str">
            <v/>
          </cell>
          <cell r="M1676" t="str">
            <v/>
          </cell>
          <cell r="N1676" t="str">
            <v>HAA-250036</v>
          </cell>
          <cell r="P1676" t="str">
            <v>ADET</v>
          </cell>
          <cell r="R1676" t="str">
            <v>METAL</v>
          </cell>
          <cell r="S1676" t="str">
            <v>NİKEL</v>
          </cell>
          <cell r="T1676" t="str">
            <v>MERMER</v>
          </cell>
          <cell r="U1676" t="str">
            <v>BEYAZ</v>
          </cell>
          <cell r="AF1676">
            <v>1</v>
          </cell>
          <cell r="AG1676" t="str">
            <v>ADET</v>
          </cell>
          <cell r="AJ1676">
            <v>10996</v>
          </cell>
          <cell r="AK1676" t="str">
            <v>TL</v>
          </cell>
          <cell r="AL1676">
            <v>1</v>
          </cell>
          <cell r="AO1676">
            <v>0</v>
          </cell>
          <cell r="AQ1676">
            <v>0</v>
          </cell>
          <cell r="AS1676">
            <v>0</v>
          </cell>
          <cell r="AU1676">
            <v>0</v>
          </cell>
          <cell r="AW1676">
            <v>0</v>
          </cell>
        </row>
        <row r="1677">
          <cell r="B1677" t="str">
            <v>MPFIECSMBJ0-120</v>
          </cell>
          <cell r="C1677" t="str">
            <v>SELENE ÜÇ TOP AYAKLI ŞEFFAF CAM SEHPA 120 cm</v>
          </cell>
          <cell r="D1677" t="str">
            <v>SELENE CLEAR GLASS COFFEE TABLE THREE BALL FEET 120 cm</v>
          </cell>
          <cell r="E1677" t="str">
            <v>CAM  POLİKARBON ŞEFFAF BEJ</v>
          </cell>
          <cell r="F1677" t="str">
            <v/>
          </cell>
          <cell r="G1677" t="str">
            <v>MOBİLYA</v>
          </cell>
          <cell r="H1677" t="str">
            <v/>
          </cell>
          <cell r="I1677" t="str">
            <v>İÇ</v>
          </cell>
          <cell r="J1677" t="str">
            <v>MOBİLYA</v>
          </cell>
          <cell r="K1677" t="str">
            <v>SELENE</v>
          </cell>
          <cell r="L1677" t="str">
            <v/>
          </cell>
          <cell r="M1677" t="str">
            <v/>
          </cell>
          <cell r="N1677" t="str">
            <v>HKM-24002</v>
          </cell>
          <cell r="P1677" t="str">
            <v>ADET</v>
          </cell>
          <cell r="R1677" t="str">
            <v>CAM</v>
          </cell>
          <cell r="S1677" t="str">
            <v>ŞEFFAF</v>
          </cell>
          <cell r="T1677" t="str">
            <v>POLİKARBON</v>
          </cell>
          <cell r="U1677" t="str">
            <v>BEJ</v>
          </cell>
          <cell r="AF1677">
            <v>1</v>
          </cell>
          <cell r="AG1677" t="str">
            <v>ADET</v>
          </cell>
          <cell r="AJ1677">
            <v>27750</v>
          </cell>
          <cell r="AK1677" t="str">
            <v>TL</v>
          </cell>
          <cell r="AL1677">
            <v>1</v>
          </cell>
          <cell r="AO1677">
            <v>0</v>
          </cell>
          <cell r="AQ1677">
            <v>0</v>
          </cell>
          <cell r="AS1677">
            <v>0</v>
          </cell>
          <cell r="AU1677">
            <v>0</v>
          </cell>
          <cell r="AW1677">
            <v>0</v>
          </cell>
        </row>
        <row r="1678">
          <cell r="B1678" t="str">
            <v>MPFIAACZBJ0-055</v>
          </cell>
          <cell r="C1678" t="str">
            <v>PUTA CEVİZ AĞACI POLİÜRETAN ESKİTME YAN SEHPA</v>
          </cell>
          <cell r="D1678" t="str">
            <v>PUTA WALNUT WOOD POLYURETHANE BRUSHED BRASS SIDE TABLE</v>
          </cell>
          <cell r="E1678" t="str">
            <v xml:space="preserve">AHŞAP POLİÜRETAN CEVİZ BEJ   </v>
          </cell>
          <cell r="F1678" t="str">
            <v/>
          </cell>
          <cell r="G1678" t="str">
            <v>MOBİLYA</v>
          </cell>
          <cell r="H1678" t="str">
            <v/>
          </cell>
          <cell r="I1678" t="str">
            <v>İÇ</v>
          </cell>
          <cell r="J1678" t="str">
            <v>MOBİLYA</v>
          </cell>
          <cell r="K1678" t="str">
            <v>PUTA</v>
          </cell>
          <cell r="L1678" t="str">
            <v/>
          </cell>
          <cell r="M1678" t="str">
            <v/>
          </cell>
          <cell r="N1678" t="str">
            <v>HKM-24013</v>
          </cell>
          <cell r="P1678" t="str">
            <v>ADET</v>
          </cell>
          <cell r="R1678" t="str">
            <v>AHŞAP</v>
          </cell>
          <cell r="S1678" t="str">
            <v>CEVİZ</v>
          </cell>
          <cell r="T1678" t="str">
            <v>POLİÜRETAN</v>
          </cell>
          <cell r="U1678" t="str">
            <v>BEJ</v>
          </cell>
          <cell r="AG1678" t="str">
            <v>ADET</v>
          </cell>
          <cell r="AL1678">
            <v>1</v>
          </cell>
          <cell r="AO1678">
            <v>0</v>
          </cell>
          <cell r="AQ1678">
            <v>0</v>
          </cell>
          <cell r="AS1678">
            <v>0</v>
          </cell>
          <cell r="AU1678">
            <v>0</v>
          </cell>
          <cell r="AW1678">
            <v>0</v>
          </cell>
        </row>
        <row r="1679">
          <cell r="B1679" t="str">
            <v>ADFAHRS0000-027</v>
          </cell>
          <cell r="C1679" t="str">
            <v>RODIN KUMAŞ KİTAP KUTU</v>
          </cell>
          <cell r="D1679" t="str">
            <v>RODIN FABRIC BOOK BOX</v>
          </cell>
          <cell r="E1679" t="str">
            <v xml:space="preserve">KUMAŞ YOK SİYAH YOK   </v>
          </cell>
          <cell r="F1679" t="str">
            <v/>
          </cell>
          <cell r="G1679" t="str">
            <v>AKSESUAR</v>
          </cell>
          <cell r="H1679" t="str">
            <v/>
          </cell>
          <cell r="I1679" t="str">
            <v>İÇ</v>
          </cell>
          <cell r="J1679" t="str">
            <v>AKSESUAR</v>
          </cell>
          <cell r="K1679" t="str">
            <v>RODIN</v>
          </cell>
          <cell r="L1679" t="str">
            <v/>
          </cell>
          <cell r="M1679" t="str">
            <v/>
          </cell>
          <cell r="N1679" t="str">
            <v>HAA-250010</v>
          </cell>
          <cell r="P1679" t="str">
            <v>ADET</v>
          </cell>
          <cell r="R1679" t="str">
            <v>KUMAŞ</v>
          </cell>
          <cell r="S1679" t="str">
            <v>SİYAH</v>
          </cell>
          <cell r="AF1679">
            <v>1</v>
          </cell>
          <cell r="AG1679" t="str">
            <v>ADET</v>
          </cell>
          <cell r="AJ1679">
            <v>396</v>
          </cell>
          <cell r="AK1679" t="str">
            <v>TL</v>
          </cell>
          <cell r="AL1679">
            <v>1</v>
          </cell>
          <cell r="AO1679">
            <v>0</v>
          </cell>
          <cell r="AQ1679">
            <v>0</v>
          </cell>
          <cell r="AS1679">
            <v>0</v>
          </cell>
          <cell r="AU1679">
            <v>0</v>
          </cell>
          <cell r="AW1679">
            <v>0</v>
          </cell>
        </row>
        <row r="1680">
          <cell r="B1680" t="str">
            <v>H1C6JMEBCSP-055</v>
          </cell>
          <cell r="C1680" t="str">
            <v>SURINAM KRİSTAL AKRİLİK ESKİTME TEKLİ SARKIT</v>
          </cell>
          <cell r="D1680" t="str">
            <v>SURINAM CRYSTAL ACRYLIC BRUSHED BRASS SINGLE PENDANT</v>
          </cell>
          <cell r="E1680" t="str">
            <v xml:space="preserve">METAL AKRİLİK ESKİTME ŞEFFAF   </v>
          </cell>
          <cell r="F1680" t="str">
            <v/>
          </cell>
          <cell r="G1680" t="str">
            <v>AVİZE</v>
          </cell>
          <cell r="H1680" t="str">
            <v/>
          </cell>
          <cell r="I1680" t="str">
            <v>İÇ</v>
          </cell>
          <cell r="J1680" t="str">
            <v>AVİZE.SARK</v>
          </cell>
          <cell r="K1680" t="str">
            <v>SURINAM</v>
          </cell>
          <cell r="L1680" t="str">
            <v/>
          </cell>
          <cell r="M1680" t="str">
            <v/>
          </cell>
          <cell r="N1680" t="str">
            <v>HKA-24447</v>
          </cell>
          <cell r="O1680" t="str">
            <v>HEKA</v>
          </cell>
          <cell r="P1680" t="str">
            <v>ADET</v>
          </cell>
          <cell r="Q1680" t="str">
            <v>LED</v>
          </cell>
          <cell r="R1680" t="str">
            <v>METAL</v>
          </cell>
          <cell r="S1680" t="str">
            <v>ESKİTME</v>
          </cell>
          <cell r="T1680" t="str">
            <v>AKRİLİK</v>
          </cell>
          <cell r="U1680" t="str">
            <v>ŞEFFAF</v>
          </cell>
          <cell r="AD1680" t="str">
            <v>POLİGONAL</v>
          </cell>
          <cell r="AF1680">
            <v>37</v>
          </cell>
          <cell r="AG1680" t="str">
            <v>ADET</v>
          </cell>
          <cell r="AH1680">
            <v>226.1</v>
          </cell>
          <cell r="AI1680" t="str">
            <v>CNY</v>
          </cell>
          <cell r="AJ1680">
            <v>13500</v>
          </cell>
          <cell r="AK1680" t="str">
            <v>TL</v>
          </cell>
          <cell r="AL1680">
            <v>1</v>
          </cell>
          <cell r="AM1680" t="str">
            <v>8684127514736</v>
          </cell>
          <cell r="AO1680">
            <v>0</v>
          </cell>
          <cell r="AQ1680">
            <v>50</v>
          </cell>
          <cell r="AR1680" t="str">
            <v>CM</v>
          </cell>
          <cell r="AS1680">
            <v>5</v>
          </cell>
          <cell r="AT1680" t="str">
            <v>CM</v>
          </cell>
          <cell r="AU1680">
            <v>0</v>
          </cell>
          <cell r="AW1680">
            <v>0</v>
          </cell>
        </row>
        <row r="1681">
          <cell r="B1681" t="str">
            <v>CM2G2P3T2I970</v>
          </cell>
          <cell r="C1681" t="str">
            <v>ERD-307 MISIR ŞEFFAF 10W ÜÇ RENKLİ E27 LED AMPUL</v>
          </cell>
          <cell r="D1681" t="str">
            <v>ERD-307 MISIR CLEAR 10W THREE COLOR E27 LED BULB</v>
          </cell>
          <cell r="E1681" t="str">
            <v xml:space="preserve">SMD LED ÜÇ RENKLİ PLASTİK 220v   </v>
          </cell>
          <cell r="F1681" t="str">
            <v/>
          </cell>
          <cell r="G1681" t="str">
            <v>AMPUL</v>
          </cell>
          <cell r="H1681" t="str">
            <v/>
          </cell>
          <cell r="I1681" t="str">
            <v>İÇ</v>
          </cell>
          <cell r="J1681" t="str">
            <v>AMPUL</v>
          </cell>
          <cell r="K1681" t="str">
            <v>ERD-307</v>
          </cell>
          <cell r="L1681" t="str">
            <v/>
          </cell>
          <cell r="M1681" t="str">
            <v/>
          </cell>
          <cell r="N1681" t="str">
            <v>ERD-307</v>
          </cell>
          <cell r="O1681" t="str">
            <v>HEKA</v>
          </cell>
          <cell r="P1681" t="str">
            <v>ADET</v>
          </cell>
          <cell r="Q1681" t="str">
            <v>E27</v>
          </cell>
          <cell r="R1681" t="str">
            <v>PLASTİK</v>
          </cell>
          <cell r="S1681" t="str">
            <v>ŞEFFAF</v>
          </cell>
          <cell r="V1681" t="str">
            <v>G</v>
          </cell>
          <cell r="W1681" t="str">
            <v>SMD LED</v>
          </cell>
          <cell r="X1681" t="str">
            <v>220V</v>
          </cell>
          <cell r="Y1681" t="str">
            <v>10 WATT</v>
          </cell>
          <cell r="Z1681" t="str">
            <v>3000-4000-6500K</v>
          </cell>
          <cell r="AA1681" t="str">
            <v>DIMMLI</v>
          </cell>
          <cell r="AB1681" t="str">
            <v>901-1000</v>
          </cell>
          <cell r="AC1681" t="str">
            <v>MISIR</v>
          </cell>
          <cell r="AF1681">
            <v>4346</v>
          </cell>
          <cell r="AG1681" t="str">
            <v>ADET</v>
          </cell>
          <cell r="AH1681">
            <v>3</v>
          </cell>
          <cell r="AI1681" t="str">
            <v>CNY</v>
          </cell>
          <cell r="AJ1681">
            <v>2.4</v>
          </cell>
          <cell r="AK1681" t="str">
            <v>USD</v>
          </cell>
          <cell r="AL1681">
            <v>1</v>
          </cell>
          <cell r="AM1681" t="str">
            <v>8684127514910</v>
          </cell>
          <cell r="AN1681" t="str">
            <v>8684127514927</v>
          </cell>
          <cell r="AO1681">
            <v>0</v>
          </cell>
          <cell r="AQ1681">
            <v>2.8</v>
          </cell>
          <cell r="AR1681" t="str">
            <v>CM</v>
          </cell>
          <cell r="AS1681">
            <v>2.8</v>
          </cell>
          <cell r="AT1681" t="str">
            <v>CM</v>
          </cell>
          <cell r="AU1681">
            <v>0</v>
          </cell>
          <cell r="AW1681">
            <v>0</v>
          </cell>
        </row>
        <row r="1682">
          <cell r="B1682" t="str">
            <v>S1W3JMGJRS0-040</v>
          </cell>
          <cell r="C1682" t="str">
            <v>CZZ-03 GOLD &amp; MAT SİYAH APLİK</v>
          </cell>
          <cell r="D1682" t="str">
            <v/>
          </cell>
          <cell r="E1682" t="str">
            <v xml:space="preserve">METAL METAL GOLD SİYAH   </v>
          </cell>
          <cell r="F1682" t="str">
            <v/>
          </cell>
          <cell r="G1682" t="str">
            <v>APLİK</v>
          </cell>
          <cell r="H1682" t="str">
            <v/>
          </cell>
          <cell r="I1682" t="str">
            <v>İÇ</v>
          </cell>
          <cell r="J1682" t="str">
            <v>APLİK</v>
          </cell>
          <cell r="K1682" t="str">
            <v>CZZ-03</v>
          </cell>
          <cell r="L1682" t="str">
            <v/>
          </cell>
          <cell r="M1682" t="str">
            <v/>
          </cell>
          <cell r="N1682" t="str">
            <v>HKA-25003</v>
          </cell>
          <cell r="P1682" t="str">
            <v>ADET</v>
          </cell>
          <cell r="Q1682" t="str">
            <v>G9</v>
          </cell>
          <cell r="R1682" t="str">
            <v>METAL</v>
          </cell>
          <cell r="S1682" t="str">
            <v>GOLD</v>
          </cell>
          <cell r="T1682" t="str">
            <v>METAL</v>
          </cell>
          <cell r="U1682" t="str">
            <v>SİYAH</v>
          </cell>
          <cell r="AG1682" t="str">
            <v>ADET</v>
          </cell>
          <cell r="AL1682">
            <v>1</v>
          </cell>
          <cell r="AO1682">
            <v>0</v>
          </cell>
          <cell r="AQ1682">
            <v>0</v>
          </cell>
          <cell r="AR1682" t="str">
            <v>CM</v>
          </cell>
          <cell r="AS1682">
            <v>20</v>
          </cell>
          <cell r="AT1682" t="str">
            <v>CM</v>
          </cell>
          <cell r="AU1682">
            <v>0</v>
          </cell>
          <cell r="AW1682">
            <v>0</v>
          </cell>
        </row>
        <row r="1683">
          <cell r="B1683" t="str">
            <v>S1C3JRVECT0-042</v>
          </cell>
          <cell r="C1683" t="str">
            <v>CZZ-05 SOFT CAMLI BORU SARKIT</v>
          </cell>
          <cell r="D1683" t="str">
            <v/>
          </cell>
          <cell r="E1683" t="str">
            <v xml:space="preserve">METAL CAM  KAHVERENGİ SOFT   </v>
          </cell>
          <cell r="F1683" t="str">
            <v/>
          </cell>
          <cell r="G1683" t="str">
            <v>AVİZE</v>
          </cell>
          <cell r="H1683" t="str">
            <v/>
          </cell>
          <cell r="I1683" t="str">
            <v>İÇ</v>
          </cell>
          <cell r="J1683" t="str">
            <v>AVİZE</v>
          </cell>
          <cell r="K1683" t="str">
            <v>CZZ-05</v>
          </cell>
          <cell r="L1683" t="str">
            <v/>
          </cell>
          <cell r="M1683" t="str">
            <v/>
          </cell>
          <cell r="N1683" t="str">
            <v>HKA-25005</v>
          </cell>
          <cell r="P1683" t="str">
            <v>ADET</v>
          </cell>
          <cell r="Q1683" t="str">
            <v>G9</v>
          </cell>
          <cell r="R1683" t="str">
            <v>METAL</v>
          </cell>
          <cell r="S1683" t="str">
            <v>KAHVERENGİ</v>
          </cell>
          <cell r="T1683" t="str">
            <v>CAM</v>
          </cell>
          <cell r="U1683" t="str">
            <v>SOFT</v>
          </cell>
          <cell r="AG1683" t="str">
            <v>ADET</v>
          </cell>
          <cell r="AL1683">
            <v>1</v>
          </cell>
          <cell r="AO1683">
            <v>0</v>
          </cell>
          <cell r="AQ1683">
            <v>6</v>
          </cell>
          <cell r="AR1683" t="str">
            <v>CM</v>
          </cell>
          <cell r="AS1683">
            <v>6</v>
          </cell>
          <cell r="AT1683" t="str">
            <v>CM</v>
          </cell>
          <cell r="AU1683">
            <v>0</v>
          </cell>
          <cell r="AW1683">
            <v>0</v>
          </cell>
        </row>
        <row r="1684">
          <cell r="B1684" t="str">
            <v>H1C6JMEERB0-022</v>
          </cell>
          <cell r="C1684" t="str">
            <v>GANA İKİ BEYAZ BUZLU CAM ESKİTME SARKIT 22cm</v>
          </cell>
          <cell r="D1684" t="str">
            <v>GANA TWO WHITE FROSTED GLASS BRUSHED BRASS PENDANT 22cm</v>
          </cell>
          <cell r="E1684" t="str">
            <v xml:space="preserve">METAL CAM  ESKİTME BEYAZ   </v>
          </cell>
          <cell r="F1684" t="str">
            <v/>
          </cell>
          <cell r="G1684" t="str">
            <v>AVİZE</v>
          </cell>
          <cell r="H1684" t="str">
            <v/>
          </cell>
          <cell r="I1684" t="str">
            <v>İÇ</v>
          </cell>
          <cell r="J1684" t="str">
            <v>AVİZE</v>
          </cell>
          <cell r="K1684" t="str">
            <v>GANA</v>
          </cell>
          <cell r="L1684" t="str">
            <v/>
          </cell>
          <cell r="M1684" t="str">
            <v>28.02.2026</v>
          </cell>
          <cell r="N1684" t="str">
            <v>HKA-24506</v>
          </cell>
          <cell r="O1684" t="str">
            <v>HEKA</v>
          </cell>
          <cell r="P1684" t="str">
            <v>ADET</v>
          </cell>
          <cell r="Q1684" t="str">
            <v>LED</v>
          </cell>
          <cell r="R1684" t="str">
            <v>METAL</v>
          </cell>
          <cell r="S1684" t="str">
            <v>ESKİTME</v>
          </cell>
          <cell r="T1684" t="str">
            <v>CAM</v>
          </cell>
          <cell r="U1684" t="str">
            <v>BEYAZ</v>
          </cell>
          <cell r="X1684" t="str">
            <v>110V-220V</v>
          </cell>
          <cell r="Y1684" t="str">
            <v>4 WATT</v>
          </cell>
          <cell r="Z1684" t="str">
            <v>3000 K</v>
          </cell>
          <cell r="AB1684" t="str">
            <v>401-500</v>
          </cell>
          <cell r="AF1684">
            <v>6</v>
          </cell>
          <cell r="AG1684" t="str">
            <v>ADET</v>
          </cell>
          <cell r="AH1684">
            <v>180</v>
          </cell>
          <cell r="AI1684" t="str">
            <v>CNY</v>
          </cell>
          <cell r="AJ1684">
            <v>9900</v>
          </cell>
          <cell r="AK1684" t="str">
            <v>TL</v>
          </cell>
          <cell r="AL1684">
            <v>1</v>
          </cell>
          <cell r="AM1684" t="str">
            <v>8684127514989</v>
          </cell>
          <cell r="AO1684">
            <v>1.1000000000000001</v>
          </cell>
          <cell r="AP1684" t="str">
            <v>KG</v>
          </cell>
          <cell r="AQ1684">
            <v>13</v>
          </cell>
          <cell r="AR1684" t="str">
            <v>CM</v>
          </cell>
          <cell r="AS1684">
            <v>16</v>
          </cell>
          <cell r="AT1684" t="str">
            <v>CM</v>
          </cell>
          <cell r="AU1684">
            <v>0</v>
          </cell>
          <cell r="AW1684">
            <v>0</v>
          </cell>
        </row>
        <row r="1685">
          <cell r="B1685" t="str">
            <v>H1T6JMEERB0-048</v>
          </cell>
          <cell r="C1685" t="str">
            <v>GANA BEYAZ BUZLU CAM ESKİTME MASA LAMBASI</v>
          </cell>
          <cell r="D1685" t="str">
            <v>GANA WHITE FROSTED GLASS BRUSHED BRASS TABLE LAMP</v>
          </cell>
          <cell r="E1685" t="str">
            <v xml:space="preserve">METAL CAM  ESKİTME BEYAZ   </v>
          </cell>
          <cell r="F1685" t="str">
            <v/>
          </cell>
          <cell r="G1685" t="str">
            <v>MASAABAJ</v>
          </cell>
          <cell r="H1685" t="str">
            <v/>
          </cell>
          <cell r="I1685" t="str">
            <v>İÇ</v>
          </cell>
          <cell r="J1685" t="str">
            <v>MASAABAJ</v>
          </cell>
          <cell r="K1685" t="str">
            <v>GANA</v>
          </cell>
          <cell r="L1685" t="str">
            <v/>
          </cell>
          <cell r="M1685" t="str">
            <v/>
          </cell>
          <cell r="N1685" t="str">
            <v>HKA-24508</v>
          </cell>
          <cell r="O1685" t="str">
            <v>HEKA</v>
          </cell>
          <cell r="P1685" t="str">
            <v>ADET</v>
          </cell>
          <cell r="Q1685" t="str">
            <v>LED</v>
          </cell>
          <cell r="R1685" t="str">
            <v>METAL</v>
          </cell>
          <cell r="S1685" t="str">
            <v>ESKİTME</v>
          </cell>
          <cell r="T1685" t="str">
            <v>CAM</v>
          </cell>
          <cell r="U1685" t="str">
            <v>BEYAZ</v>
          </cell>
          <cell r="X1685" t="str">
            <v>220V</v>
          </cell>
          <cell r="Y1685" t="str">
            <v>3 WATT</v>
          </cell>
          <cell r="Z1685" t="str">
            <v>3000 K</v>
          </cell>
          <cell r="AB1685" t="str">
            <v>201-300</v>
          </cell>
          <cell r="AF1685">
            <v>10</v>
          </cell>
          <cell r="AG1685" t="str">
            <v>ADET</v>
          </cell>
          <cell r="AH1685">
            <v>522</v>
          </cell>
          <cell r="AI1685" t="str">
            <v>CNY</v>
          </cell>
          <cell r="AJ1685">
            <v>29900</v>
          </cell>
          <cell r="AK1685" t="str">
            <v>TL</v>
          </cell>
          <cell r="AL1685">
            <v>1</v>
          </cell>
          <cell r="AM1685" t="str">
            <v>8684127515009</v>
          </cell>
          <cell r="AO1685">
            <v>7.2</v>
          </cell>
          <cell r="AP1685" t="str">
            <v>KG</v>
          </cell>
          <cell r="AQ1685">
            <v>48</v>
          </cell>
          <cell r="AR1685" t="str">
            <v>CM</v>
          </cell>
          <cell r="AS1685">
            <v>23</v>
          </cell>
          <cell r="AT1685" t="str">
            <v>CM</v>
          </cell>
          <cell r="AU1685">
            <v>0</v>
          </cell>
          <cell r="AW1685">
            <v>0</v>
          </cell>
        </row>
        <row r="1686">
          <cell r="B1686" t="str">
            <v>H1C6JMEERB0-090</v>
          </cell>
          <cell r="C1686" t="str">
            <v>ZAMBİYA BEYAZ BUZLU CAM ESKİTME SİMİT AVİZE 90cm</v>
          </cell>
          <cell r="D1686" t="str">
            <v>ZAMBİYA WHITE FROSTED GLASS BRUSHED BRASS BAGEL CHANDELIER 90cm</v>
          </cell>
          <cell r="E1686" t="str">
            <v xml:space="preserve">METAL CAM  ESKİTME BUZLU   </v>
          </cell>
          <cell r="F1686" t="str">
            <v/>
          </cell>
          <cell r="G1686" t="str">
            <v>AVİZE</v>
          </cell>
          <cell r="H1686" t="str">
            <v/>
          </cell>
          <cell r="I1686" t="str">
            <v>İÇ</v>
          </cell>
          <cell r="J1686" t="str">
            <v>AVİZE</v>
          </cell>
          <cell r="K1686" t="str">
            <v>ZAMBİYA</v>
          </cell>
          <cell r="L1686" t="str">
            <v>Ç</v>
          </cell>
          <cell r="M1686" t="str">
            <v>28.02.2026</v>
          </cell>
          <cell r="N1686" t="str">
            <v>HKA-24519</v>
          </cell>
          <cell r="O1686" t="str">
            <v>HEKA</v>
          </cell>
          <cell r="P1686" t="str">
            <v>ADET</v>
          </cell>
          <cell r="Q1686" t="str">
            <v>LED</v>
          </cell>
          <cell r="R1686" t="str">
            <v>METAL</v>
          </cell>
          <cell r="S1686" t="str">
            <v>ESKİTME</v>
          </cell>
          <cell r="T1686" t="str">
            <v>CAM</v>
          </cell>
          <cell r="U1686" t="str">
            <v>BUZLU</v>
          </cell>
          <cell r="X1686" t="str">
            <v>220V</v>
          </cell>
          <cell r="Y1686" t="str">
            <v>60 WATT</v>
          </cell>
          <cell r="Z1686" t="str">
            <v>3000 K</v>
          </cell>
          <cell r="AA1686" t="str">
            <v>DIMMSIZ</v>
          </cell>
          <cell r="AF1686">
            <v>8</v>
          </cell>
          <cell r="AG1686" t="str">
            <v>ADET</v>
          </cell>
          <cell r="AH1686">
            <v>2475</v>
          </cell>
          <cell r="AI1686" t="str">
            <v>CNY</v>
          </cell>
          <cell r="AJ1686">
            <v>154900</v>
          </cell>
          <cell r="AK1686" t="str">
            <v>TL</v>
          </cell>
          <cell r="AL1686">
            <v>1</v>
          </cell>
          <cell r="AM1686" t="str">
            <v>8684127515238</v>
          </cell>
          <cell r="AO1686">
            <v>0</v>
          </cell>
          <cell r="AP1686" t="str">
            <v>KG</v>
          </cell>
          <cell r="AQ1686">
            <v>13</v>
          </cell>
          <cell r="AR1686" t="str">
            <v>CM</v>
          </cell>
          <cell r="AS1686">
            <v>90</v>
          </cell>
          <cell r="AT1686" t="str">
            <v>CM</v>
          </cell>
          <cell r="AU1686">
            <v>0</v>
          </cell>
          <cell r="AW1686">
            <v>0</v>
          </cell>
        </row>
        <row r="1687">
          <cell r="B1687" t="str">
            <v>H1C6WRBJME0-045</v>
          </cell>
          <cell r="C1687" t="str">
            <v>ALBİNA MERMER ESKİTME DİKEY SARKIT 45cm</v>
          </cell>
          <cell r="D1687" t="str">
            <v>ALBİNA MARBLE BRUSHED BRASS HORIZONTAL PENDANT 45cm</v>
          </cell>
          <cell r="E1687" t="str">
            <v>MERMER METAL BEYAZ ESKİTME</v>
          </cell>
          <cell r="F1687" t="str">
            <v/>
          </cell>
          <cell r="G1687" t="str">
            <v>AVİZE</v>
          </cell>
          <cell r="H1687" t="str">
            <v/>
          </cell>
          <cell r="I1687" t="str">
            <v>İÇ</v>
          </cell>
          <cell r="J1687" t="str">
            <v>AVİZE.SARK</v>
          </cell>
          <cell r="K1687" t="str">
            <v>ALBİNA</v>
          </cell>
          <cell r="L1687" t="str">
            <v/>
          </cell>
          <cell r="M1687" t="str">
            <v/>
          </cell>
          <cell r="N1687" t="str">
            <v>HKA-24536</v>
          </cell>
          <cell r="O1687" t="str">
            <v>HEKA</v>
          </cell>
          <cell r="P1687" t="str">
            <v>ADET</v>
          </cell>
          <cell r="Q1687" t="str">
            <v>LED</v>
          </cell>
          <cell r="R1687" t="str">
            <v>MERMER</v>
          </cell>
          <cell r="S1687" t="str">
            <v>BEYAZ</v>
          </cell>
          <cell r="T1687" t="str">
            <v>METAL</v>
          </cell>
          <cell r="U1687" t="str">
            <v>ESKİTME</v>
          </cell>
          <cell r="X1687" t="str">
            <v>220V</v>
          </cell>
          <cell r="Y1687" t="str">
            <v>10 WATT</v>
          </cell>
          <cell r="Z1687" t="str">
            <v xml:space="preserve">2700 K </v>
          </cell>
          <cell r="AA1687" t="str">
            <v>DIMMSIZ</v>
          </cell>
          <cell r="AB1687" t="str">
            <v>1201-1300</v>
          </cell>
          <cell r="AF1687">
            <v>131</v>
          </cell>
          <cell r="AG1687" t="str">
            <v>ADET</v>
          </cell>
          <cell r="AH1687">
            <v>190</v>
          </cell>
          <cell r="AI1687" t="str">
            <v>CNY</v>
          </cell>
          <cell r="AJ1687">
            <v>11900</v>
          </cell>
          <cell r="AK1687" t="str">
            <v>TL</v>
          </cell>
          <cell r="AL1687">
            <v>1</v>
          </cell>
          <cell r="AM1687" t="str">
            <v>8684127516358</v>
          </cell>
          <cell r="AO1687">
            <v>0.85</v>
          </cell>
          <cell r="AP1687" t="str">
            <v>KG</v>
          </cell>
          <cell r="AQ1687">
            <v>3.5</v>
          </cell>
          <cell r="AR1687" t="str">
            <v>CM</v>
          </cell>
          <cell r="AS1687">
            <v>3.5</v>
          </cell>
          <cell r="AT1687" t="str">
            <v>CM</v>
          </cell>
          <cell r="AU1687">
            <v>0</v>
          </cell>
          <cell r="AW1687">
            <v>0</v>
          </cell>
        </row>
        <row r="1688">
          <cell r="B1688" t="str">
            <v>H1C6JRGERF0-080</v>
          </cell>
          <cell r="C1688" t="str">
            <v>KAMERUN SEKİZ FÜME CAMLI GRİ SALON AVİZE 80cm</v>
          </cell>
          <cell r="D1688" t="str">
            <v>KAMERUN EIGHT SMOKED GLASS GREY LIVING ROOM CHANDELIER 80cm</v>
          </cell>
          <cell r="E1688" t="str">
            <v xml:space="preserve">METAL CAM  GRİ FÜME   </v>
          </cell>
          <cell r="F1688" t="str">
            <v/>
          </cell>
          <cell r="G1688" t="str">
            <v>AVİZE</v>
          </cell>
          <cell r="H1688" t="str">
            <v/>
          </cell>
          <cell r="I1688" t="str">
            <v>İÇ</v>
          </cell>
          <cell r="J1688" t="str">
            <v>AVİZE.AVİZ</v>
          </cell>
          <cell r="K1688" t="str">
            <v>KAMERUN</v>
          </cell>
          <cell r="L1688" t="str">
            <v/>
          </cell>
          <cell r="M1688" t="str">
            <v/>
          </cell>
          <cell r="N1688" t="str">
            <v>HKA-24493</v>
          </cell>
          <cell r="O1688" t="str">
            <v>HEKA</v>
          </cell>
          <cell r="P1688" t="str">
            <v>ADET</v>
          </cell>
          <cell r="Q1688" t="str">
            <v>LED</v>
          </cell>
          <cell r="R1688" t="str">
            <v>METAL</v>
          </cell>
          <cell r="S1688" t="str">
            <v>GRİ</v>
          </cell>
          <cell r="T1688" t="str">
            <v>CAM</v>
          </cell>
          <cell r="U1688" t="str">
            <v>FÜME</v>
          </cell>
          <cell r="X1688" t="str">
            <v>220V</v>
          </cell>
          <cell r="Y1688" t="str">
            <v>70 WATT</v>
          </cell>
          <cell r="AA1688" t="str">
            <v>DIMMSIZ</v>
          </cell>
          <cell r="AF1688">
            <v>1</v>
          </cell>
          <cell r="AG1688" t="str">
            <v>ADET</v>
          </cell>
          <cell r="AH1688">
            <v>880</v>
          </cell>
          <cell r="AI1688" t="str">
            <v>CNY</v>
          </cell>
          <cell r="AJ1688">
            <v>73920</v>
          </cell>
          <cell r="AK1688" t="str">
            <v>TL</v>
          </cell>
          <cell r="AL1688">
            <v>1</v>
          </cell>
          <cell r="AM1688" t="str">
            <v>8684127515290</v>
          </cell>
          <cell r="AO1688">
            <v>0</v>
          </cell>
          <cell r="AP1688" t="str">
            <v>KG</v>
          </cell>
          <cell r="AQ1688">
            <v>8</v>
          </cell>
          <cell r="AR1688" t="str">
            <v>CM</v>
          </cell>
          <cell r="AS1688">
            <v>80</v>
          </cell>
          <cell r="AT1688" t="str">
            <v>CM</v>
          </cell>
          <cell r="AU1688">
            <v>0</v>
          </cell>
          <cell r="AW1688">
            <v>0</v>
          </cell>
        </row>
        <row r="1689">
          <cell r="B1689" t="str">
            <v>H1C6JRGERF0-120</v>
          </cell>
          <cell r="C1689" t="str">
            <v>KAMERUN FÜME CAMLI GRİ YEMEK MASASI AVİZE 120cm</v>
          </cell>
          <cell r="D1689" t="str">
            <v>KAMERUN SMOKED GLASS GREY DINING ROOM CHANDELIER 120cm</v>
          </cell>
          <cell r="E1689" t="str">
            <v xml:space="preserve">METAL CAM  GRİ FÜME   </v>
          </cell>
          <cell r="F1689" t="str">
            <v/>
          </cell>
          <cell r="G1689" t="str">
            <v>AVİZE</v>
          </cell>
          <cell r="H1689" t="str">
            <v/>
          </cell>
          <cell r="I1689" t="str">
            <v>İÇ</v>
          </cell>
          <cell r="J1689" t="str">
            <v>AVİZE.AVİZ</v>
          </cell>
          <cell r="K1689" t="str">
            <v>KAMERUN</v>
          </cell>
          <cell r="L1689" t="str">
            <v/>
          </cell>
          <cell r="M1689" t="str">
            <v/>
          </cell>
          <cell r="N1689" t="str">
            <v>HKA-24494</v>
          </cell>
          <cell r="O1689" t="str">
            <v>HEKA</v>
          </cell>
          <cell r="P1689" t="str">
            <v>ADET</v>
          </cell>
          <cell r="Q1689" t="str">
            <v>LED</v>
          </cell>
          <cell r="R1689" t="str">
            <v>METAL</v>
          </cell>
          <cell r="S1689" t="str">
            <v>GRİ</v>
          </cell>
          <cell r="T1689" t="str">
            <v>CAM</v>
          </cell>
          <cell r="U1689" t="str">
            <v>FÜME</v>
          </cell>
          <cell r="X1689" t="str">
            <v>220V</v>
          </cell>
          <cell r="Y1689" t="str">
            <v>48 WATT</v>
          </cell>
          <cell r="AA1689" t="str">
            <v>DIMMSIZ</v>
          </cell>
          <cell r="AF1689">
            <v>1</v>
          </cell>
          <cell r="AG1689" t="str">
            <v>ADET</v>
          </cell>
          <cell r="AH1689">
            <v>552</v>
          </cell>
          <cell r="AI1689" t="str">
            <v>CNY</v>
          </cell>
          <cell r="AL1689">
            <v>1</v>
          </cell>
          <cell r="AM1689" t="str">
            <v>8684127515313</v>
          </cell>
          <cell r="AO1689">
            <v>3.7</v>
          </cell>
          <cell r="AP1689" t="str">
            <v>KG</v>
          </cell>
          <cell r="AQ1689">
            <v>8</v>
          </cell>
          <cell r="AR1689" t="str">
            <v>CM</v>
          </cell>
          <cell r="AS1689">
            <v>14</v>
          </cell>
          <cell r="AT1689" t="str">
            <v>CM</v>
          </cell>
          <cell r="AU1689">
            <v>0</v>
          </cell>
          <cell r="AW1689">
            <v>0</v>
          </cell>
        </row>
        <row r="1690">
          <cell r="B1690" t="str">
            <v>H1C6JMEWRFP-100</v>
          </cell>
          <cell r="C1690" t="str">
            <v>AZOR İKİLİ MERMER ESKİTME SARKIT</v>
          </cell>
          <cell r="D1690" t="str">
            <v>AZOR DUAL MARBLE BRUSHED BRASS PENDANT</v>
          </cell>
          <cell r="E1690" t="str">
            <v xml:space="preserve">METAL MERMER ESKİTME FÜME   </v>
          </cell>
          <cell r="F1690" t="str">
            <v/>
          </cell>
          <cell r="G1690" t="str">
            <v>AVİZE</v>
          </cell>
          <cell r="H1690" t="str">
            <v/>
          </cell>
          <cell r="I1690" t="str">
            <v>İÇ</v>
          </cell>
          <cell r="J1690" t="str">
            <v>AVİZE</v>
          </cell>
          <cell r="K1690" t="str">
            <v>AZOR</v>
          </cell>
          <cell r="L1690" t="str">
            <v/>
          </cell>
          <cell r="M1690" t="str">
            <v/>
          </cell>
          <cell r="N1690" t="str">
            <v>HKA-24525</v>
          </cell>
          <cell r="O1690" t="str">
            <v>HEKA</v>
          </cell>
          <cell r="P1690" t="str">
            <v>ADET</v>
          </cell>
          <cell r="Q1690" t="str">
            <v>LED</v>
          </cell>
          <cell r="R1690" t="str">
            <v>METAL</v>
          </cell>
          <cell r="S1690" t="str">
            <v>ESKİTME</v>
          </cell>
          <cell r="T1690" t="str">
            <v>MERMER</v>
          </cell>
          <cell r="U1690" t="str">
            <v>BEYAZ</v>
          </cell>
          <cell r="X1690" t="str">
            <v>110V-220V</v>
          </cell>
          <cell r="Y1690" t="str">
            <v>10 WATT</v>
          </cell>
          <cell r="Z1690" t="str">
            <v xml:space="preserve">2700 K </v>
          </cell>
          <cell r="AA1690" t="str">
            <v>DIMMSIZ</v>
          </cell>
          <cell r="AB1690" t="str">
            <v>601-700</v>
          </cell>
          <cell r="AF1690">
            <v>23</v>
          </cell>
          <cell r="AG1690" t="str">
            <v>ADET</v>
          </cell>
          <cell r="AH1690">
            <v>259.60000000000002</v>
          </cell>
          <cell r="AI1690" t="str">
            <v>CNY</v>
          </cell>
          <cell r="AJ1690">
            <v>21900</v>
          </cell>
          <cell r="AK1690" t="str">
            <v>TL</v>
          </cell>
          <cell r="AL1690">
            <v>1</v>
          </cell>
          <cell r="AM1690" t="str">
            <v>8684127515542</v>
          </cell>
          <cell r="AO1690">
            <v>1.98</v>
          </cell>
          <cell r="AP1690" t="str">
            <v>KG</v>
          </cell>
          <cell r="AQ1690">
            <v>16</v>
          </cell>
          <cell r="AR1690" t="str">
            <v>CM</v>
          </cell>
          <cell r="AS1690">
            <v>19</v>
          </cell>
          <cell r="AT1690" t="str">
            <v>CM</v>
          </cell>
          <cell r="AU1690">
            <v>0</v>
          </cell>
          <cell r="AW1690">
            <v>0</v>
          </cell>
        </row>
        <row r="1691">
          <cell r="B1691" t="str">
            <v>H1W6JBJECS0-060</v>
          </cell>
          <cell r="C1691" t="str">
            <v>BERMUDA ŞEFFAF CAM BEJ APLİK 60cm</v>
          </cell>
          <cell r="D1691" t="str">
            <v>BERMUDA CLEAR GLASS BEIGE WALL LAMP 60cm</v>
          </cell>
          <cell r="E1691" t="str">
            <v xml:space="preserve">METAL CAM  BEJ ŞEFFAF   </v>
          </cell>
          <cell r="F1691" t="str">
            <v/>
          </cell>
          <cell r="G1691" t="str">
            <v>APLİK</v>
          </cell>
          <cell r="H1691" t="str">
            <v/>
          </cell>
          <cell r="I1691" t="str">
            <v>İÇ</v>
          </cell>
          <cell r="J1691" t="str">
            <v>APLİK</v>
          </cell>
          <cell r="K1691" t="str">
            <v>BERMUDA</v>
          </cell>
          <cell r="L1691" t="str">
            <v/>
          </cell>
          <cell r="M1691" t="str">
            <v/>
          </cell>
          <cell r="N1691" t="str">
            <v>HKA-24591</v>
          </cell>
          <cell r="O1691" t="str">
            <v>HEKA</v>
          </cell>
          <cell r="P1691" t="str">
            <v>ADET</v>
          </cell>
          <cell r="Q1691" t="str">
            <v>LED</v>
          </cell>
          <cell r="R1691" t="str">
            <v>METAL</v>
          </cell>
          <cell r="S1691" t="str">
            <v>BEJ</v>
          </cell>
          <cell r="T1691" t="str">
            <v>CAM</v>
          </cell>
          <cell r="U1691" t="str">
            <v>ŞEFFAF</v>
          </cell>
          <cell r="X1691" t="str">
            <v>220V</v>
          </cell>
          <cell r="Y1691" t="str">
            <v>9 WATT</v>
          </cell>
          <cell r="Z1691" t="str">
            <v>3000 K</v>
          </cell>
          <cell r="AA1691" t="str">
            <v>DIMMSIZ</v>
          </cell>
          <cell r="AB1691" t="str">
            <v>601-700</v>
          </cell>
          <cell r="AF1691">
            <v>32</v>
          </cell>
          <cell r="AG1691" t="str">
            <v>ADET</v>
          </cell>
          <cell r="AH1691">
            <v>353.02499999999998</v>
          </cell>
          <cell r="AI1691" t="str">
            <v>CNY</v>
          </cell>
          <cell r="AJ1691">
            <v>29900</v>
          </cell>
          <cell r="AK1691" t="str">
            <v>TL</v>
          </cell>
          <cell r="AL1691">
            <v>1</v>
          </cell>
          <cell r="AM1691" t="str">
            <v>8684127515597</v>
          </cell>
          <cell r="AO1691">
            <v>2.11</v>
          </cell>
          <cell r="AP1691" t="str">
            <v>KG</v>
          </cell>
          <cell r="AQ1691">
            <v>12</v>
          </cell>
          <cell r="AR1691" t="str">
            <v>CM</v>
          </cell>
          <cell r="AS1691">
            <v>9.5</v>
          </cell>
          <cell r="AT1691" t="str">
            <v>CM</v>
          </cell>
          <cell r="AU1691">
            <v>0</v>
          </cell>
          <cell r="AW1691">
            <v>0</v>
          </cell>
        </row>
        <row r="1692">
          <cell r="B1692" t="str">
            <v>H1C6JSEECB0-100</v>
          </cell>
          <cell r="C1692" t="str">
            <v>KONGO BUZLU CAM SOFT ESKİTME YEMEK MASASI AVİZE</v>
          </cell>
          <cell r="D1692" t="str">
            <v>KONGO FROSTED GLASS SOFT BRASS DINING ROOM CHANDELIER</v>
          </cell>
          <cell r="E1692" t="str">
            <v xml:space="preserve">METAL CAM  SOFT ESKİTME BUZLU   </v>
          </cell>
          <cell r="F1692" t="str">
            <v/>
          </cell>
          <cell r="G1692" t="str">
            <v>AVİZE</v>
          </cell>
          <cell r="H1692" t="str">
            <v/>
          </cell>
          <cell r="I1692" t="str">
            <v>İÇ</v>
          </cell>
          <cell r="J1692" t="str">
            <v>AVİZE</v>
          </cell>
          <cell r="K1692" t="str">
            <v>KONGO</v>
          </cell>
          <cell r="L1692" t="str">
            <v>Y</v>
          </cell>
          <cell r="M1692" t="str">
            <v/>
          </cell>
          <cell r="N1692" t="str">
            <v>HKA-24520</v>
          </cell>
          <cell r="O1692" t="str">
            <v>HEKA</v>
          </cell>
          <cell r="P1692" t="str">
            <v>ADET</v>
          </cell>
          <cell r="Q1692" t="str">
            <v>LED</v>
          </cell>
          <cell r="R1692" t="str">
            <v>METAL</v>
          </cell>
          <cell r="S1692" t="str">
            <v>SOFT ESKİTME</v>
          </cell>
          <cell r="T1692" t="str">
            <v>CAM</v>
          </cell>
          <cell r="U1692" t="str">
            <v>BUZLU</v>
          </cell>
          <cell r="X1692" t="str">
            <v>220V</v>
          </cell>
          <cell r="Y1692" t="str">
            <v>50 WATT</v>
          </cell>
          <cell r="Z1692" t="str">
            <v xml:space="preserve">2700 K </v>
          </cell>
          <cell r="AA1692" t="str">
            <v>DIMMSIZ</v>
          </cell>
          <cell r="AF1692">
            <v>0</v>
          </cell>
          <cell r="AG1692" t="str">
            <v>ADET</v>
          </cell>
          <cell r="AH1692">
            <v>1584</v>
          </cell>
          <cell r="AI1692" t="str">
            <v>CNY</v>
          </cell>
          <cell r="AJ1692">
            <v>114900</v>
          </cell>
          <cell r="AK1692" t="str">
            <v>TL</v>
          </cell>
          <cell r="AL1692">
            <v>1</v>
          </cell>
          <cell r="AM1692" t="str">
            <v>8684127515658</v>
          </cell>
          <cell r="AO1692">
            <v>13.11</v>
          </cell>
          <cell r="AP1692" t="str">
            <v>KG</v>
          </cell>
          <cell r="AQ1692">
            <v>5.5</v>
          </cell>
          <cell r="AR1692" t="str">
            <v>CM</v>
          </cell>
          <cell r="AS1692">
            <v>33</v>
          </cell>
          <cell r="AT1692" t="str">
            <v>CM</v>
          </cell>
          <cell r="AU1692">
            <v>0</v>
          </cell>
          <cell r="AW1692">
            <v>0</v>
          </cell>
        </row>
        <row r="1693">
          <cell r="B1693" t="str">
            <v>H1T6ERLJRS0-033</v>
          </cell>
          <cell r="C1693" t="str">
            <v>GAMBİA BAL CAM SİYAH MASA LAMBASI 33cm</v>
          </cell>
          <cell r="D1693" t="str">
            <v>GAMBİA AMBER GLASS BLACK TABLE LAMP 33cm</v>
          </cell>
          <cell r="E1693" t="str">
            <v xml:space="preserve">CAM  METAL BAL SİYAH   </v>
          </cell>
          <cell r="F1693" t="str">
            <v/>
          </cell>
          <cell r="G1693" t="str">
            <v>MASAABAJ</v>
          </cell>
          <cell r="H1693" t="str">
            <v/>
          </cell>
          <cell r="I1693" t="str">
            <v>İÇ</v>
          </cell>
          <cell r="J1693" t="str">
            <v>MASAABAJ</v>
          </cell>
          <cell r="K1693" t="str">
            <v>GAMBİA</v>
          </cell>
          <cell r="L1693" t="str">
            <v/>
          </cell>
          <cell r="M1693" t="str">
            <v>28.02.2026</v>
          </cell>
          <cell r="N1693" t="str">
            <v>HKA-24473</v>
          </cell>
          <cell r="O1693" t="str">
            <v>HEKA</v>
          </cell>
          <cell r="P1693" t="str">
            <v>ADET</v>
          </cell>
          <cell r="Q1693" t="str">
            <v>LED</v>
          </cell>
          <cell r="R1693" t="str">
            <v>CAM</v>
          </cell>
          <cell r="S1693" t="str">
            <v>BAL</v>
          </cell>
          <cell r="T1693" t="str">
            <v>METAL</v>
          </cell>
          <cell r="U1693" t="str">
            <v>SİYAH</v>
          </cell>
          <cell r="X1693" t="str">
            <v>110V-220V</v>
          </cell>
          <cell r="Y1693" t="str">
            <v>24 WATT</v>
          </cell>
          <cell r="Z1693" t="str">
            <v>2500 K</v>
          </cell>
          <cell r="AA1693" t="str">
            <v>DIMMSIZ</v>
          </cell>
          <cell r="AB1693" t="str">
            <v>1001-1100</v>
          </cell>
          <cell r="AF1693">
            <v>1</v>
          </cell>
          <cell r="AG1693" t="str">
            <v>ADET</v>
          </cell>
          <cell r="AH1693">
            <v>520</v>
          </cell>
          <cell r="AI1693" t="str">
            <v>CNY</v>
          </cell>
          <cell r="AJ1693">
            <v>30500</v>
          </cell>
          <cell r="AK1693" t="str">
            <v>TL</v>
          </cell>
          <cell r="AL1693">
            <v>1</v>
          </cell>
          <cell r="AM1693" t="str">
            <v>8684127515672</v>
          </cell>
          <cell r="AO1693">
            <v>3.92</v>
          </cell>
          <cell r="AP1693" t="str">
            <v>KG</v>
          </cell>
          <cell r="AQ1693">
            <v>21</v>
          </cell>
          <cell r="AR1693" t="str">
            <v>CM</v>
          </cell>
          <cell r="AS1693">
            <v>25</v>
          </cell>
          <cell r="AT1693" t="str">
            <v>CM</v>
          </cell>
          <cell r="AU1693">
            <v>0</v>
          </cell>
          <cell r="AW1693">
            <v>0</v>
          </cell>
        </row>
        <row r="1694">
          <cell r="B1694" t="str">
            <v>H1W6JMEECB0-058</v>
          </cell>
          <cell r="C1694" t="str">
            <v>ZAMBİYA BEYAZ BUZLU CAM ESKİTME APLİK 80cm</v>
          </cell>
          <cell r="D1694" t="str">
            <v>ZAMBİYA WHITE FROSTED GLASS BRUSHED BRASS WALL LAMP 80cm</v>
          </cell>
          <cell r="E1694" t="str">
            <v xml:space="preserve">METAL CAM  ESKİTME BUZLU   </v>
          </cell>
          <cell r="F1694" t="str">
            <v/>
          </cell>
          <cell r="G1694" t="str">
            <v>APLİK</v>
          </cell>
          <cell r="H1694" t="str">
            <v/>
          </cell>
          <cell r="I1694" t="str">
            <v>İÇ</v>
          </cell>
          <cell r="J1694" t="str">
            <v>APLİK</v>
          </cell>
          <cell r="K1694" t="str">
            <v>ZAMBİYA</v>
          </cell>
          <cell r="L1694" t="str">
            <v/>
          </cell>
          <cell r="M1694" t="str">
            <v/>
          </cell>
          <cell r="N1694" t="str">
            <v>HKA-24515</v>
          </cell>
          <cell r="O1694" t="str">
            <v>HEKA</v>
          </cell>
          <cell r="P1694" t="str">
            <v>ADET</v>
          </cell>
          <cell r="Q1694" t="str">
            <v>LED</v>
          </cell>
          <cell r="R1694" t="str">
            <v>METAL</v>
          </cell>
          <cell r="S1694" t="str">
            <v>ESKİTME</v>
          </cell>
          <cell r="T1694" t="str">
            <v>CAM</v>
          </cell>
          <cell r="U1694" t="str">
            <v>BUZLU</v>
          </cell>
          <cell r="X1694" t="str">
            <v>220V</v>
          </cell>
          <cell r="Y1694" t="str">
            <v>18 WATT</v>
          </cell>
          <cell r="Z1694" t="str">
            <v>3000 K</v>
          </cell>
          <cell r="AA1694" t="str">
            <v>DIMMSIZ</v>
          </cell>
          <cell r="AF1694">
            <v>34</v>
          </cell>
          <cell r="AG1694" t="str">
            <v>ADET</v>
          </cell>
          <cell r="AH1694">
            <v>477</v>
          </cell>
          <cell r="AI1694" t="str">
            <v>CNY</v>
          </cell>
          <cell r="AJ1694">
            <v>39000</v>
          </cell>
          <cell r="AK1694" t="str">
            <v>TL</v>
          </cell>
          <cell r="AL1694">
            <v>1</v>
          </cell>
          <cell r="AM1694" t="str">
            <v>8684127519007</v>
          </cell>
          <cell r="AO1694">
            <v>5.3</v>
          </cell>
          <cell r="AP1694" t="str">
            <v>KG</v>
          </cell>
          <cell r="AQ1694">
            <v>8.5</v>
          </cell>
          <cell r="AR1694" t="str">
            <v>CM</v>
          </cell>
          <cell r="AS1694">
            <v>11</v>
          </cell>
          <cell r="AT1694" t="str">
            <v>CM</v>
          </cell>
          <cell r="AU1694">
            <v>0</v>
          </cell>
          <cell r="AW1694">
            <v>0</v>
          </cell>
        </row>
        <row r="1695">
          <cell r="B1695" t="str">
            <v>H1C6ERFWRB0-058</v>
          </cell>
          <cell r="C1695" t="str">
            <v>SEUL FÜME CAM BEYAZ MERMER  ESKİTME SARKIT</v>
          </cell>
          <cell r="D1695" t="str">
            <v>SEUL SMOKED GLASS WHITE MARBLE BRUSHED BRASS PENDANT</v>
          </cell>
          <cell r="E1695" t="str">
            <v xml:space="preserve">CAM  MERMER FÜME BEYAZ   </v>
          </cell>
          <cell r="F1695" t="str">
            <v/>
          </cell>
          <cell r="G1695" t="str">
            <v>AVİZE</v>
          </cell>
          <cell r="H1695" t="str">
            <v/>
          </cell>
          <cell r="I1695" t="str">
            <v>İÇ</v>
          </cell>
          <cell r="J1695" t="str">
            <v>AVİZE.SARK</v>
          </cell>
          <cell r="K1695" t="str">
            <v>SEUL</v>
          </cell>
          <cell r="L1695" t="str">
            <v/>
          </cell>
          <cell r="M1695" t="str">
            <v/>
          </cell>
          <cell r="N1695" t="str">
            <v>HKA-24572</v>
          </cell>
          <cell r="O1695" t="str">
            <v>HEKA</v>
          </cell>
          <cell r="P1695" t="str">
            <v>ADET</v>
          </cell>
          <cell r="Q1695" t="str">
            <v>LED</v>
          </cell>
          <cell r="R1695" t="str">
            <v>CAM</v>
          </cell>
          <cell r="S1695" t="str">
            <v>FÜME</v>
          </cell>
          <cell r="T1695" t="str">
            <v>MERMER</v>
          </cell>
          <cell r="U1695" t="str">
            <v>BEYAZ</v>
          </cell>
          <cell r="X1695" t="str">
            <v>220V</v>
          </cell>
          <cell r="Y1695" t="str">
            <v>24 WATT</v>
          </cell>
          <cell r="Z1695" t="str">
            <v xml:space="preserve">2700 K </v>
          </cell>
          <cell r="AA1695" t="str">
            <v>DIMMSIZ</v>
          </cell>
          <cell r="AB1695" t="str">
            <v>801-900</v>
          </cell>
          <cell r="AF1695">
            <v>25</v>
          </cell>
          <cell r="AG1695" t="str">
            <v>ADET</v>
          </cell>
          <cell r="AH1695">
            <v>437.5</v>
          </cell>
          <cell r="AI1695" t="str">
            <v>CNY</v>
          </cell>
          <cell r="AJ1695">
            <v>35700</v>
          </cell>
          <cell r="AK1695" t="str">
            <v>TL</v>
          </cell>
          <cell r="AL1695">
            <v>1</v>
          </cell>
          <cell r="AM1695" t="str">
            <v>8684127515078</v>
          </cell>
          <cell r="AO1695">
            <v>3.66</v>
          </cell>
          <cell r="AP1695" t="str">
            <v>KG</v>
          </cell>
          <cell r="AQ1695">
            <v>14</v>
          </cell>
          <cell r="AR1695" t="str">
            <v>CM</v>
          </cell>
          <cell r="AS1695">
            <v>14</v>
          </cell>
          <cell r="AT1695" t="str">
            <v>CM</v>
          </cell>
          <cell r="AU1695">
            <v>0</v>
          </cell>
          <cell r="AW1695">
            <v>0</v>
          </cell>
        </row>
        <row r="1696">
          <cell r="B1696" t="str">
            <v>H1F6JMEERB0-163</v>
          </cell>
          <cell r="C1696" t="str">
            <v>ZAMBİYA BEYAZ BUZLU CAM ESKİTME LAMBADER</v>
          </cell>
          <cell r="D1696" t="str">
            <v>ZAMBİYA WHITE FROSTED GLASS BRUSHED BRASS FLOOR LAMP</v>
          </cell>
          <cell r="E1696" t="str">
            <v xml:space="preserve">METAL CAM  ESKİTME BUZLU   </v>
          </cell>
          <cell r="F1696" t="str">
            <v/>
          </cell>
          <cell r="G1696" t="str">
            <v>LAMBADER</v>
          </cell>
          <cell r="H1696" t="str">
            <v/>
          </cell>
          <cell r="I1696" t="str">
            <v>İÇ</v>
          </cell>
          <cell r="J1696" t="str">
            <v>LAMBADER</v>
          </cell>
          <cell r="K1696" t="str">
            <v>ZAMBİYA</v>
          </cell>
          <cell r="L1696" t="str">
            <v/>
          </cell>
          <cell r="M1696" t="str">
            <v/>
          </cell>
          <cell r="N1696" t="str">
            <v>HKA-24516</v>
          </cell>
          <cell r="O1696" t="str">
            <v>HEKA</v>
          </cell>
          <cell r="P1696" t="str">
            <v>ADET</v>
          </cell>
          <cell r="Q1696" t="str">
            <v>LED</v>
          </cell>
          <cell r="R1696" t="str">
            <v>METAL</v>
          </cell>
          <cell r="S1696" t="str">
            <v>ESKİTME</v>
          </cell>
          <cell r="T1696" t="str">
            <v>CAM</v>
          </cell>
          <cell r="U1696" t="str">
            <v>BUZLU</v>
          </cell>
          <cell r="X1696" t="str">
            <v>220V</v>
          </cell>
          <cell r="Y1696" t="str">
            <v>8 WATT</v>
          </cell>
          <cell r="Z1696" t="str">
            <v>3000 K</v>
          </cell>
          <cell r="AA1696" t="str">
            <v>DIMMSIZ</v>
          </cell>
          <cell r="AF1696">
            <v>5</v>
          </cell>
          <cell r="AG1696" t="str">
            <v>ADET</v>
          </cell>
          <cell r="AH1696">
            <v>1584</v>
          </cell>
          <cell r="AI1696" t="str">
            <v>CNY</v>
          </cell>
          <cell r="AJ1696">
            <v>129000</v>
          </cell>
          <cell r="AK1696" t="str">
            <v>TL</v>
          </cell>
          <cell r="AL1696">
            <v>1</v>
          </cell>
          <cell r="AM1696" t="str">
            <v>8684127515146</v>
          </cell>
          <cell r="AO1696">
            <v>14.5</v>
          </cell>
          <cell r="AP1696" t="str">
            <v>KG</v>
          </cell>
          <cell r="AQ1696">
            <v>9</v>
          </cell>
          <cell r="AR1696" t="str">
            <v>CM</v>
          </cell>
          <cell r="AS1696">
            <v>10</v>
          </cell>
          <cell r="AT1696" t="str">
            <v>CM</v>
          </cell>
          <cell r="AU1696">
            <v>0</v>
          </cell>
          <cell r="AW1696">
            <v>0</v>
          </cell>
        </row>
        <row r="1697">
          <cell r="B1697" t="str">
            <v>H1C6JMEERB0-163</v>
          </cell>
          <cell r="C1697" t="str">
            <v>ZAMBİYA BEYAZ BUZLU CAM ESKİTME YATAY SARKIT 163cm</v>
          </cell>
          <cell r="D1697" t="str">
            <v>ZAMBİYA WHITE FROSTED GLASS BRUSHED BRASS VERTICAL PENDANT 163cm</v>
          </cell>
          <cell r="E1697" t="str">
            <v xml:space="preserve">METAL CAM  ESKİTME BUZLU   </v>
          </cell>
          <cell r="F1697" t="str">
            <v/>
          </cell>
          <cell r="G1697" t="str">
            <v>AVİZE</v>
          </cell>
          <cell r="H1697" t="str">
            <v/>
          </cell>
          <cell r="I1697" t="str">
            <v>İÇ</v>
          </cell>
          <cell r="J1697" t="str">
            <v>AVİZE.SARK</v>
          </cell>
          <cell r="K1697" t="str">
            <v>ZAMBİYA</v>
          </cell>
          <cell r="L1697" t="str">
            <v/>
          </cell>
          <cell r="M1697" t="str">
            <v>28.02.2026</v>
          </cell>
          <cell r="N1697" t="str">
            <v>HKA-24512</v>
          </cell>
          <cell r="O1697" t="str">
            <v>HEKA</v>
          </cell>
          <cell r="P1697" t="str">
            <v>ADET</v>
          </cell>
          <cell r="Q1697" t="str">
            <v>LED</v>
          </cell>
          <cell r="R1697" t="str">
            <v>METAL</v>
          </cell>
          <cell r="S1697" t="str">
            <v>ESKİTME</v>
          </cell>
          <cell r="T1697" t="str">
            <v>CAM</v>
          </cell>
          <cell r="U1697" t="str">
            <v>BUZLU</v>
          </cell>
          <cell r="X1697" t="str">
            <v>220V</v>
          </cell>
          <cell r="Y1697" t="str">
            <v>36 WATT</v>
          </cell>
          <cell r="Z1697" t="str">
            <v>3000 K</v>
          </cell>
          <cell r="AA1697" t="str">
            <v>DIMMSIZ</v>
          </cell>
          <cell r="AF1697">
            <v>8</v>
          </cell>
          <cell r="AG1697" t="str">
            <v>ADET</v>
          </cell>
          <cell r="AH1697">
            <v>1584</v>
          </cell>
          <cell r="AI1697" t="str">
            <v>CNY</v>
          </cell>
          <cell r="AJ1697">
            <v>129000</v>
          </cell>
          <cell r="AK1697" t="str">
            <v>TL</v>
          </cell>
          <cell r="AL1697">
            <v>1</v>
          </cell>
          <cell r="AM1697" t="str">
            <v>8684127515160</v>
          </cell>
          <cell r="AO1697">
            <v>16.100000000000001</v>
          </cell>
          <cell r="AP1697" t="str">
            <v>KG</v>
          </cell>
          <cell r="AQ1697">
            <v>10</v>
          </cell>
          <cell r="AR1697" t="str">
            <v>CM</v>
          </cell>
          <cell r="AS1697">
            <v>13</v>
          </cell>
          <cell r="AT1697" t="str">
            <v>CM</v>
          </cell>
          <cell r="AU1697">
            <v>0</v>
          </cell>
          <cell r="AW1697">
            <v>0</v>
          </cell>
        </row>
        <row r="1698">
          <cell r="B1698" t="str">
            <v>H1C6ERFERB0-027</v>
          </cell>
          <cell r="C1698" t="str">
            <v>SALVADOR FÜME &amp; BEYAZ CAM PLATİN SARKIT 27cm</v>
          </cell>
          <cell r="D1698" t="str">
            <v>SALVADOR SMOKY &amp; WHITE GLASS PLATINUM PENDANT 27cm</v>
          </cell>
          <cell r="E1698" t="str">
            <v xml:space="preserve">CAM  CAM  FÜME BEYAZ   </v>
          </cell>
          <cell r="F1698" t="str">
            <v/>
          </cell>
          <cell r="G1698" t="str">
            <v>AVİZE</v>
          </cell>
          <cell r="H1698" t="str">
            <v/>
          </cell>
          <cell r="I1698" t="str">
            <v>İÇ</v>
          </cell>
          <cell r="J1698" t="str">
            <v>AVİZE.SARK</v>
          </cell>
          <cell r="K1698" t="str">
            <v>SALVADOR</v>
          </cell>
          <cell r="L1698" t="str">
            <v/>
          </cell>
          <cell r="M1698" t="str">
            <v/>
          </cell>
          <cell r="N1698" t="str">
            <v>HKA-24529</v>
          </cell>
          <cell r="O1698" t="str">
            <v>HEKA</v>
          </cell>
          <cell r="P1698" t="str">
            <v>ADET</v>
          </cell>
          <cell r="Q1698" t="str">
            <v>LED</v>
          </cell>
          <cell r="R1698" t="str">
            <v>CAM</v>
          </cell>
          <cell r="S1698" t="str">
            <v>FÜME</v>
          </cell>
          <cell r="T1698" t="str">
            <v>CAM</v>
          </cell>
          <cell r="U1698" t="str">
            <v>BEYAZ</v>
          </cell>
          <cell r="X1698" t="str">
            <v>110V-220V</v>
          </cell>
          <cell r="Y1698" t="str">
            <v>10 WATT</v>
          </cell>
          <cell r="Z1698" t="str">
            <v>3000 K</v>
          </cell>
          <cell r="AA1698" t="str">
            <v>DIMMSIZ</v>
          </cell>
          <cell r="AB1698" t="str">
            <v>1901-2000</v>
          </cell>
          <cell r="AF1698">
            <v>14</v>
          </cell>
          <cell r="AG1698" t="str">
            <v>ADET</v>
          </cell>
          <cell r="AH1698">
            <v>340</v>
          </cell>
          <cell r="AI1698" t="str">
            <v>CNY</v>
          </cell>
          <cell r="AJ1698">
            <v>23950</v>
          </cell>
          <cell r="AK1698" t="str">
            <v>TL</v>
          </cell>
          <cell r="AL1698">
            <v>1</v>
          </cell>
          <cell r="AM1698" t="str">
            <v>8684127515382</v>
          </cell>
          <cell r="AO1698">
            <v>2.88</v>
          </cell>
          <cell r="AP1698" t="str">
            <v>KG</v>
          </cell>
          <cell r="AQ1698">
            <v>27</v>
          </cell>
          <cell r="AR1698" t="str">
            <v>CM</v>
          </cell>
          <cell r="AS1698">
            <v>34</v>
          </cell>
          <cell r="AT1698" t="str">
            <v>CM</v>
          </cell>
          <cell r="AU1698">
            <v>0</v>
          </cell>
          <cell r="AW1698">
            <v>0</v>
          </cell>
        </row>
        <row r="1699">
          <cell r="B1699" t="str">
            <v>H1C6ERLERB0-040</v>
          </cell>
          <cell r="C1699" t="str">
            <v>SALVADOR BAL &amp; BEYAZ CAM ESKİTME SARKIT 40cm</v>
          </cell>
          <cell r="D1699" t="str">
            <v>SALVADOR AMBER &amp; WHITE GLASS BRUSHED BRASS PENDANT 40cm</v>
          </cell>
          <cell r="E1699" t="str">
            <v xml:space="preserve">CAM  CAM  BAL BEYAZ   </v>
          </cell>
          <cell r="F1699" t="str">
            <v/>
          </cell>
          <cell r="G1699" t="str">
            <v>AVİZE</v>
          </cell>
          <cell r="H1699" t="str">
            <v/>
          </cell>
          <cell r="I1699" t="str">
            <v>İÇ</v>
          </cell>
          <cell r="J1699" t="str">
            <v>AVİZE.SARK</v>
          </cell>
          <cell r="K1699" t="str">
            <v>SALVADOR</v>
          </cell>
          <cell r="L1699" t="str">
            <v/>
          </cell>
          <cell r="M1699" t="str">
            <v/>
          </cell>
          <cell r="N1699" t="str">
            <v>HKA-24532</v>
          </cell>
          <cell r="O1699" t="str">
            <v>HEKA</v>
          </cell>
          <cell r="P1699" t="str">
            <v>ADET</v>
          </cell>
          <cell r="Q1699" t="str">
            <v>LED</v>
          </cell>
          <cell r="R1699" t="str">
            <v>CAM</v>
          </cell>
          <cell r="S1699" t="str">
            <v>BAL</v>
          </cell>
          <cell r="T1699" t="str">
            <v>CAM</v>
          </cell>
          <cell r="U1699" t="str">
            <v>BEYAZ</v>
          </cell>
          <cell r="X1699" t="str">
            <v>110V-220V</v>
          </cell>
          <cell r="Y1699" t="str">
            <v>10 WATT</v>
          </cell>
          <cell r="Z1699" t="str">
            <v>3000 K</v>
          </cell>
          <cell r="AA1699" t="str">
            <v>DIMMSIZ</v>
          </cell>
          <cell r="AB1699" t="str">
            <v>1901-2000</v>
          </cell>
          <cell r="AF1699">
            <v>6</v>
          </cell>
          <cell r="AG1699" t="str">
            <v>ADET</v>
          </cell>
          <cell r="AH1699">
            <v>340</v>
          </cell>
          <cell r="AI1699" t="str">
            <v>CNY</v>
          </cell>
          <cell r="AJ1699">
            <v>23950</v>
          </cell>
          <cell r="AK1699" t="str">
            <v>TL</v>
          </cell>
          <cell r="AL1699">
            <v>1</v>
          </cell>
          <cell r="AM1699" t="str">
            <v>8684127515405</v>
          </cell>
          <cell r="AO1699">
            <v>2.91</v>
          </cell>
          <cell r="AP1699" t="str">
            <v>KG</v>
          </cell>
          <cell r="AQ1699">
            <v>27</v>
          </cell>
          <cell r="AR1699" t="str">
            <v>CM</v>
          </cell>
          <cell r="AS1699">
            <v>27</v>
          </cell>
          <cell r="AT1699" t="str">
            <v>CM</v>
          </cell>
          <cell r="AU1699">
            <v>0</v>
          </cell>
          <cell r="AW1699">
            <v>0</v>
          </cell>
        </row>
        <row r="1700">
          <cell r="B1700" t="str">
            <v>H1W6ERLJRS0-055</v>
          </cell>
          <cell r="C1700" t="str">
            <v>GAMBİA ÜÇ BAL CAMLI SİYAH APLİK 55cm</v>
          </cell>
          <cell r="D1700" t="str">
            <v>GAMBİA THREE AMBER GLASS BLACK WALL LAMP 55cm</v>
          </cell>
          <cell r="E1700" t="str">
            <v xml:space="preserve">CAM  METAL BAL SİYAH   </v>
          </cell>
          <cell r="F1700" t="str">
            <v/>
          </cell>
          <cell r="G1700" t="str">
            <v>APLİK</v>
          </cell>
          <cell r="H1700" t="str">
            <v/>
          </cell>
          <cell r="I1700" t="str">
            <v>İÇ</v>
          </cell>
          <cell r="J1700" t="str">
            <v>APLİK</v>
          </cell>
          <cell r="K1700" t="str">
            <v>GAMBİA</v>
          </cell>
          <cell r="L1700" t="str">
            <v/>
          </cell>
          <cell r="M1700" t="str">
            <v>28.02.2026</v>
          </cell>
          <cell r="N1700" t="str">
            <v>HKA-24471</v>
          </cell>
          <cell r="O1700" t="str">
            <v>HEKA</v>
          </cell>
          <cell r="P1700" t="str">
            <v>ADET</v>
          </cell>
          <cell r="Q1700" t="str">
            <v>LED</v>
          </cell>
          <cell r="R1700" t="str">
            <v>CAM</v>
          </cell>
          <cell r="S1700" t="str">
            <v>BAL</v>
          </cell>
          <cell r="T1700" t="str">
            <v>METAL</v>
          </cell>
          <cell r="U1700" t="str">
            <v>SİYAH</v>
          </cell>
          <cell r="X1700" t="str">
            <v>110V-220V</v>
          </cell>
          <cell r="Y1700" t="str">
            <v>32 WATT</v>
          </cell>
          <cell r="Z1700" t="str">
            <v>2500 K</v>
          </cell>
          <cell r="AA1700" t="str">
            <v>DIMMSIZ</v>
          </cell>
          <cell r="AB1700" t="str">
            <v>1901-2000</v>
          </cell>
          <cell r="AF1700">
            <v>9</v>
          </cell>
          <cell r="AG1700" t="str">
            <v>ADET</v>
          </cell>
          <cell r="AH1700">
            <v>1448</v>
          </cell>
          <cell r="AI1700" t="str">
            <v>CNY</v>
          </cell>
          <cell r="AJ1700">
            <v>89500</v>
          </cell>
          <cell r="AK1700" t="str">
            <v>TL</v>
          </cell>
          <cell r="AL1700">
            <v>1</v>
          </cell>
          <cell r="AM1700" t="str">
            <v>8684127515474</v>
          </cell>
          <cell r="AO1700">
            <v>10.35</v>
          </cell>
          <cell r="AP1700" t="str">
            <v>KG</v>
          </cell>
          <cell r="AQ1700">
            <v>28</v>
          </cell>
          <cell r="AR1700" t="str">
            <v>CM</v>
          </cell>
          <cell r="AS1700">
            <v>39</v>
          </cell>
          <cell r="AT1700" t="str">
            <v>CM</v>
          </cell>
          <cell r="AU1700">
            <v>0</v>
          </cell>
          <cell r="AW1700">
            <v>0</v>
          </cell>
        </row>
        <row r="1701">
          <cell r="B1701" t="str">
            <v>H1C6JMEWRB0-085</v>
          </cell>
          <cell r="C1701" t="str">
            <v>GİNE MERMER TOPLU ESKİTME SALON AVİZE 85cm</v>
          </cell>
          <cell r="D1701" t="str">
            <v>GİNE MARBLE BALLS BRUSHED BRASS LIVING ROOM CHANDELIER 85cm</v>
          </cell>
          <cell r="E1701" t="str">
            <v xml:space="preserve">METAL MERMER ESKİTME BEYAZ   </v>
          </cell>
          <cell r="F1701" t="str">
            <v/>
          </cell>
          <cell r="G1701" t="str">
            <v>AVİZE</v>
          </cell>
          <cell r="H1701" t="str">
            <v/>
          </cell>
          <cell r="I1701" t="str">
            <v>İÇ</v>
          </cell>
          <cell r="J1701" t="str">
            <v>AVİZE</v>
          </cell>
          <cell r="K1701" t="str">
            <v>GİNE</v>
          </cell>
          <cell r="L1701" t="str">
            <v/>
          </cell>
          <cell r="M1701" t="str">
            <v>28.02.2026</v>
          </cell>
          <cell r="N1701" t="str">
            <v>HKA-24466</v>
          </cell>
          <cell r="O1701" t="str">
            <v>HEKA</v>
          </cell>
          <cell r="P1701" t="str">
            <v>ADET</v>
          </cell>
          <cell r="Q1701" t="str">
            <v>LED</v>
          </cell>
          <cell r="R1701" t="str">
            <v>METAL</v>
          </cell>
          <cell r="S1701" t="str">
            <v>ESKİTME</v>
          </cell>
          <cell r="T1701" t="str">
            <v>MERMER</v>
          </cell>
          <cell r="U1701" t="str">
            <v>BEYAZ</v>
          </cell>
          <cell r="X1701" t="str">
            <v>110V-220V</v>
          </cell>
          <cell r="Y1701" t="str">
            <v>36 WATT</v>
          </cell>
          <cell r="Z1701" t="str">
            <v xml:space="preserve">2700 K </v>
          </cell>
          <cell r="AA1701" t="str">
            <v>DIMMSIZ</v>
          </cell>
          <cell r="AF1701">
            <v>4</v>
          </cell>
          <cell r="AG1701" t="str">
            <v>ADET</v>
          </cell>
          <cell r="AH1701">
            <v>1012</v>
          </cell>
          <cell r="AI1701" t="str">
            <v>CNY</v>
          </cell>
          <cell r="AJ1701">
            <v>59000</v>
          </cell>
          <cell r="AK1701" t="str">
            <v>TL</v>
          </cell>
          <cell r="AL1701">
            <v>1</v>
          </cell>
          <cell r="AM1701" t="str">
            <v>8684127515580</v>
          </cell>
          <cell r="AO1701">
            <v>5.82</v>
          </cell>
          <cell r="AP1701" t="str">
            <v>KG</v>
          </cell>
          <cell r="AQ1701">
            <v>22</v>
          </cell>
          <cell r="AR1701" t="str">
            <v>CM</v>
          </cell>
          <cell r="AS1701">
            <v>85</v>
          </cell>
          <cell r="AT1701" t="str">
            <v>CM</v>
          </cell>
          <cell r="AU1701">
            <v>0</v>
          </cell>
          <cell r="AW1701">
            <v>0</v>
          </cell>
        </row>
        <row r="1702">
          <cell r="B1702" t="str">
            <v>H1WAJME0000-077</v>
          </cell>
          <cell r="C1702" t="str">
            <v>ERİTRE REÇİNE KORUMALI KAHVERENGİ APLİK</v>
          </cell>
          <cell r="D1702" t="str">
            <v>ERİTRE RESIN PROTECTED BROWN WALL LAMP</v>
          </cell>
          <cell r="E1702" t="str">
            <v xml:space="preserve">METAL YOK BROWN YOK   </v>
          </cell>
          <cell r="F1702" t="str">
            <v/>
          </cell>
          <cell r="G1702" t="str">
            <v>APLİK</v>
          </cell>
          <cell r="H1702" t="str">
            <v/>
          </cell>
          <cell r="I1702" t="str">
            <v>İÇ</v>
          </cell>
          <cell r="J1702" t="str">
            <v>APLİK</v>
          </cell>
          <cell r="K1702" t="str">
            <v>ERİTRE</v>
          </cell>
          <cell r="L1702" t="str">
            <v/>
          </cell>
          <cell r="M1702" t="str">
            <v/>
          </cell>
          <cell r="N1702" t="str">
            <v>HKA-24601</v>
          </cell>
          <cell r="O1702" t="str">
            <v>HEKA</v>
          </cell>
          <cell r="P1702" t="str">
            <v>ADET</v>
          </cell>
          <cell r="Q1702" t="str">
            <v>E14</v>
          </cell>
          <cell r="R1702" t="str">
            <v>METAL</v>
          </cell>
          <cell r="S1702" t="str">
            <v>KAHVERENGİ</v>
          </cell>
          <cell r="X1702" t="str">
            <v>110V-220V</v>
          </cell>
          <cell r="AE1702" t="str">
            <v>01</v>
          </cell>
          <cell r="AF1702">
            <v>27</v>
          </cell>
          <cell r="AG1702" t="str">
            <v>ADET</v>
          </cell>
          <cell r="AH1702">
            <v>388.8</v>
          </cell>
          <cell r="AI1702" t="str">
            <v>CNY</v>
          </cell>
          <cell r="AJ1702">
            <v>22900</v>
          </cell>
          <cell r="AK1702" t="str">
            <v>TL</v>
          </cell>
          <cell r="AL1702">
            <v>1</v>
          </cell>
          <cell r="AM1702" t="str">
            <v>8684127515740</v>
          </cell>
          <cell r="AO1702">
            <v>6.11</v>
          </cell>
          <cell r="AP1702" t="str">
            <v>KG</v>
          </cell>
          <cell r="AQ1702">
            <v>11</v>
          </cell>
          <cell r="AR1702" t="str">
            <v>CM</v>
          </cell>
          <cell r="AS1702">
            <v>29.5</v>
          </cell>
          <cell r="AT1702" t="str">
            <v>CM</v>
          </cell>
          <cell r="AU1702">
            <v>0</v>
          </cell>
          <cell r="AW1702">
            <v>0</v>
          </cell>
        </row>
        <row r="1703">
          <cell r="B1703" t="str">
            <v>H1F6JBJECS0-162</v>
          </cell>
          <cell r="C1703" t="str">
            <v>BERMUDA ŞEFFAF CAM BEJ LAMBADER</v>
          </cell>
          <cell r="D1703" t="str">
            <v>BERMUDA CLEAR GLASS BEIGE FLOOR LAMP</v>
          </cell>
          <cell r="E1703" t="str">
            <v xml:space="preserve">METAL CAM  BEJ ŞEFFAF   </v>
          </cell>
          <cell r="F1703" t="str">
            <v/>
          </cell>
          <cell r="G1703" t="str">
            <v>LAMBADER</v>
          </cell>
          <cell r="H1703" t="str">
            <v/>
          </cell>
          <cell r="I1703" t="str">
            <v>İÇ</v>
          </cell>
          <cell r="J1703" t="str">
            <v>LAMBADER</v>
          </cell>
          <cell r="K1703" t="str">
            <v>BERMUDA</v>
          </cell>
          <cell r="L1703" t="str">
            <v/>
          </cell>
          <cell r="M1703" t="str">
            <v/>
          </cell>
          <cell r="N1703" t="str">
            <v>HKA-24592</v>
          </cell>
          <cell r="O1703" t="str">
            <v>HEKA</v>
          </cell>
          <cell r="P1703" t="str">
            <v>ADET</v>
          </cell>
          <cell r="Q1703" t="str">
            <v>LED</v>
          </cell>
          <cell r="R1703" t="str">
            <v>METAL</v>
          </cell>
          <cell r="S1703" t="str">
            <v>BEJ</v>
          </cell>
          <cell r="T1703" t="str">
            <v>CAM</v>
          </cell>
          <cell r="U1703" t="str">
            <v>ŞEFFAF</v>
          </cell>
          <cell r="X1703" t="str">
            <v>110V-220V</v>
          </cell>
          <cell r="Y1703" t="str">
            <v>36 WATT</v>
          </cell>
          <cell r="AA1703" t="str">
            <v>DIMMSIZ</v>
          </cell>
          <cell r="AF1703">
            <v>8</v>
          </cell>
          <cell r="AG1703" t="str">
            <v>ADET</v>
          </cell>
          <cell r="AH1703">
            <v>1125</v>
          </cell>
          <cell r="AI1703" t="str">
            <v>CNY</v>
          </cell>
          <cell r="AJ1703">
            <v>89900</v>
          </cell>
          <cell r="AK1703" t="str">
            <v>TL</v>
          </cell>
          <cell r="AL1703">
            <v>1</v>
          </cell>
          <cell r="AM1703" t="str">
            <v>8684127515764</v>
          </cell>
          <cell r="AO1703">
            <v>16.440000000000001</v>
          </cell>
          <cell r="AP1703" t="str">
            <v>KG</v>
          </cell>
          <cell r="AQ1703">
            <v>28</v>
          </cell>
          <cell r="AR1703" t="str">
            <v>CM</v>
          </cell>
          <cell r="AS1703">
            <v>28</v>
          </cell>
          <cell r="AT1703" t="str">
            <v>CM</v>
          </cell>
          <cell r="AU1703">
            <v>0</v>
          </cell>
          <cell r="AW1703">
            <v>0</v>
          </cell>
        </row>
        <row r="1704">
          <cell r="B1704" t="str">
            <v>H1W6JMEWRBD-040</v>
          </cell>
          <cell r="C1704" t="str">
            <v>TETA BEYAZ MERMERLİ ESKİTME APLİK  15x40cm</v>
          </cell>
          <cell r="D1704" t="str">
            <v>TETA WHITE MARBLE BRUSHED BRASS WALL LAMP 15x40cm</v>
          </cell>
          <cell r="E1704" t="str">
            <v xml:space="preserve">METAL MERMER ESKİTME BEYAZ   </v>
          </cell>
          <cell r="F1704" t="str">
            <v/>
          </cell>
          <cell r="G1704" t="str">
            <v>APLİK</v>
          </cell>
          <cell r="H1704" t="str">
            <v/>
          </cell>
          <cell r="I1704" t="str">
            <v>İÇ</v>
          </cell>
          <cell r="J1704" t="str">
            <v>APLİK</v>
          </cell>
          <cell r="K1704" t="str">
            <v>TETA</v>
          </cell>
          <cell r="L1704" t="str">
            <v>Ç</v>
          </cell>
          <cell r="M1704" t="str">
            <v/>
          </cell>
          <cell r="N1704" t="str">
            <v>HKA-24537</v>
          </cell>
          <cell r="O1704" t="str">
            <v>HEKA</v>
          </cell>
          <cell r="P1704" t="str">
            <v>ADET</v>
          </cell>
          <cell r="Q1704" t="str">
            <v>LED</v>
          </cell>
          <cell r="R1704" t="str">
            <v>METAL</v>
          </cell>
          <cell r="S1704" t="str">
            <v>ESKİTME</v>
          </cell>
          <cell r="T1704" t="str">
            <v>MERMER</v>
          </cell>
          <cell r="U1704" t="str">
            <v>BEYAZ</v>
          </cell>
          <cell r="X1704" t="str">
            <v>220V</v>
          </cell>
          <cell r="Y1704" t="str">
            <v>24 WATT</v>
          </cell>
          <cell r="Z1704" t="str">
            <v>3000 K</v>
          </cell>
          <cell r="AA1704" t="str">
            <v>DIMMSIZ</v>
          </cell>
          <cell r="AB1704" t="str">
            <v>1201-1300</v>
          </cell>
          <cell r="AF1704">
            <v>15</v>
          </cell>
          <cell r="AG1704" t="str">
            <v>ADET</v>
          </cell>
          <cell r="AH1704">
            <v>350</v>
          </cell>
          <cell r="AI1704" t="str">
            <v>CNY</v>
          </cell>
          <cell r="AJ1704">
            <v>34900</v>
          </cell>
          <cell r="AK1704" t="str">
            <v>TL</v>
          </cell>
          <cell r="AL1704">
            <v>1</v>
          </cell>
          <cell r="AM1704" t="str">
            <v>8684127515818</v>
          </cell>
          <cell r="AO1704">
            <v>2.89</v>
          </cell>
          <cell r="AP1704" t="str">
            <v>KG</v>
          </cell>
          <cell r="AQ1704">
            <v>10</v>
          </cell>
          <cell r="AR1704" t="str">
            <v>CM</v>
          </cell>
          <cell r="AS1704">
            <v>15</v>
          </cell>
          <cell r="AT1704" t="str">
            <v>CM</v>
          </cell>
          <cell r="AU1704">
            <v>0</v>
          </cell>
          <cell r="AW1704">
            <v>0</v>
          </cell>
        </row>
        <row r="1705">
          <cell r="B1705" t="str">
            <v>H1F6KRGPRBP-145</v>
          </cell>
          <cell r="C1705" t="str">
            <v>MARSİS PASLANMAZ PLATİN LAMBADER</v>
          </cell>
          <cell r="D1705" t="str">
            <v>MARSIS STAINLESS PLATINUM FLOOR LAMP</v>
          </cell>
          <cell r="E1705" t="str">
            <v xml:space="preserve">PASLANMAZ SİLİKON PLATİN BEYAZ   </v>
          </cell>
          <cell r="F1705" t="str">
            <v/>
          </cell>
          <cell r="G1705" t="str">
            <v>LAMBADER</v>
          </cell>
          <cell r="H1705" t="str">
            <v/>
          </cell>
          <cell r="I1705" t="str">
            <v>İÇ</v>
          </cell>
          <cell r="J1705" t="str">
            <v>LAMBADER</v>
          </cell>
          <cell r="K1705" t="str">
            <v>MARSİS</v>
          </cell>
          <cell r="L1705" t="str">
            <v/>
          </cell>
          <cell r="M1705" t="str">
            <v/>
          </cell>
          <cell r="N1705" t="str">
            <v>HKA-24481</v>
          </cell>
          <cell r="O1705" t="str">
            <v>HEKA</v>
          </cell>
          <cell r="P1705" t="str">
            <v>ADET</v>
          </cell>
          <cell r="Q1705" t="str">
            <v>LED</v>
          </cell>
          <cell r="R1705" t="str">
            <v>PASLANMAZ</v>
          </cell>
          <cell r="S1705" t="str">
            <v>PLATİN</v>
          </cell>
          <cell r="T1705" t="str">
            <v>SİLİKON</v>
          </cell>
          <cell r="U1705" t="str">
            <v>BEYAZ</v>
          </cell>
          <cell r="X1705" t="str">
            <v>110V-220V</v>
          </cell>
          <cell r="AD1705" t="str">
            <v>POLİGONAL</v>
          </cell>
          <cell r="AF1705">
            <v>9</v>
          </cell>
          <cell r="AG1705" t="str">
            <v>ADET</v>
          </cell>
          <cell r="AH1705">
            <v>916</v>
          </cell>
          <cell r="AI1705" t="str">
            <v>CNY</v>
          </cell>
          <cell r="AJ1705">
            <v>54900</v>
          </cell>
          <cell r="AK1705" t="str">
            <v>TL</v>
          </cell>
          <cell r="AL1705">
            <v>1</v>
          </cell>
          <cell r="AM1705" t="str">
            <v>8684127515832</v>
          </cell>
          <cell r="AO1705">
            <v>11.06</v>
          </cell>
          <cell r="AP1705" t="str">
            <v>KG</v>
          </cell>
          <cell r="AQ1705">
            <v>32</v>
          </cell>
          <cell r="AR1705" t="str">
            <v>CM</v>
          </cell>
          <cell r="AS1705">
            <v>32</v>
          </cell>
          <cell r="AT1705" t="str">
            <v>CM</v>
          </cell>
          <cell r="AU1705">
            <v>0</v>
          </cell>
          <cell r="AW1705">
            <v>0</v>
          </cell>
        </row>
        <row r="1706">
          <cell r="B1706" t="str">
            <v>ADFMJMGECS0-024</v>
          </cell>
          <cell r="C1706" t="str">
            <v>BÜYÜTEÇ &amp; MEKTUP AÇACAK SETİ  9,5x9, 5x24 cm</v>
          </cell>
          <cell r="D1706" t="str">
            <v>MAGNIFIER &amp; LETTER OPENER SET  9,5x9, 5x24 cm</v>
          </cell>
          <cell r="E1706" t="str">
            <v xml:space="preserve">METAL CAM  GOLD ŞEFFAF   </v>
          </cell>
          <cell r="F1706" t="str">
            <v/>
          </cell>
          <cell r="G1706" t="str">
            <v>AKSESUAR</v>
          </cell>
          <cell r="H1706" t="str">
            <v/>
          </cell>
          <cell r="I1706" t="str">
            <v>İÇ</v>
          </cell>
          <cell r="J1706" t="str">
            <v>AKSESUAR</v>
          </cell>
          <cell r="K1706" t="str">
            <v/>
          </cell>
          <cell r="L1706" t="str">
            <v/>
          </cell>
          <cell r="M1706" t="str">
            <v/>
          </cell>
          <cell r="N1706" t="str">
            <v>HAA-250031</v>
          </cell>
          <cell r="P1706" t="str">
            <v>ADET</v>
          </cell>
          <cell r="R1706" t="str">
            <v>METAL</v>
          </cell>
          <cell r="S1706" t="str">
            <v>GOLD</v>
          </cell>
          <cell r="T1706" t="str">
            <v>CAM</v>
          </cell>
          <cell r="U1706" t="str">
            <v>ŞEFFAF</v>
          </cell>
          <cell r="AF1706">
            <v>1</v>
          </cell>
          <cell r="AG1706" t="str">
            <v>ADET</v>
          </cell>
          <cell r="AJ1706">
            <v>2983</v>
          </cell>
          <cell r="AK1706" t="str">
            <v>TL</v>
          </cell>
          <cell r="AL1706">
            <v>1</v>
          </cell>
          <cell r="AO1706">
            <v>0</v>
          </cell>
          <cell r="AQ1706">
            <v>0</v>
          </cell>
          <cell r="AS1706">
            <v>0</v>
          </cell>
          <cell r="AU1706">
            <v>0</v>
          </cell>
          <cell r="AW1706">
            <v>0</v>
          </cell>
        </row>
        <row r="1707">
          <cell r="B1707" t="str">
            <v>ADFMJMGECS7-013</v>
          </cell>
          <cell r="C1707" t="str">
            <v>KUCAKTA CAM ADAM FİGÜRÜ 12,8x11,5x11,7 cm</v>
          </cell>
          <cell r="D1707" t="str">
            <v>GLASS ON LAP MAN FIGURE  12,8x11,5x11,7 cm</v>
          </cell>
          <cell r="E1707" t="str">
            <v xml:space="preserve">METAL CAM  GOLD ŞEFFAF   </v>
          </cell>
          <cell r="F1707" t="str">
            <v/>
          </cell>
          <cell r="G1707" t="str">
            <v>AKSESUAR</v>
          </cell>
          <cell r="H1707" t="str">
            <v/>
          </cell>
          <cell r="I1707" t="str">
            <v>İÇ</v>
          </cell>
          <cell r="J1707" t="str">
            <v>AKSESUAR</v>
          </cell>
          <cell r="K1707" t="str">
            <v/>
          </cell>
          <cell r="L1707" t="str">
            <v/>
          </cell>
          <cell r="M1707" t="str">
            <v/>
          </cell>
          <cell r="N1707" t="str">
            <v>HAA-250033</v>
          </cell>
          <cell r="P1707" t="str">
            <v>ADET</v>
          </cell>
          <cell r="R1707" t="str">
            <v>METAL</v>
          </cell>
          <cell r="S1707" t="str">
            <v>GOLD</v>
          </cell>
          <cell r="T1707" t="str">
            <v>CAM</v>
          </cell>
          <cell r="U1707" t="str">
            <v>ŞEFFAF</v>
          </cell>
          <cell r="AD1707" t="str">
            <v>HEYKEL</v>
          </cell>
          <cell r="AF1707">
            <v>1</v>
          </cell>
          <cell r="AG1707" t="str">
            <v>ADET</v>
          </cell>
          <cell r="AJ1707">
            <v>2886</v>
          </cell>
          <cell r="AK1707" t="str">
            <v>TL</v>
          </cell>
          <cell r="AL1707">
            <v>1</v>
          </cell>
          <cell r="AO1707">
            <v>0</v>
          </cell>
          <cell r="AQ1707">
            <v>0</v>
          </cell>
          <cell r="AS1707">
            <v>0</v>
          </cell>
          <cell r="AU1707">
            <v>0</v>
          </cell>
          <cell r="AW1707">
            <v>0</v>
          </cell>
        </row>
        <row r="1708">
          <cell r="B1708" t="str">
            <v>MBFIVRVJRS0-093</v>
          </cell>
          <cell r="C1708" t="str">
            <v>ARES SİYAH METAL KAHVERENGİ DERİ BERJER</v>
          </cell>
          <cell r="D1708" t="str">
            <v>ARES BLACK METAL BROWN LEATHER ARMCHAIR</v>
          </cell>
          <cell r="E1708" t="str">
            <v xml:space="preserve">DERİ METAL KAHVERENGİ SİYAH   </v>
          </cell>
          <cell r="F1708" t="str">
            <v/>
          </cell>
          <cell r="G1708" t="str">
            <v>MOBİLYA</v>
          </cell>
          <cell r="H1708" t="str">
            <v/>
          </cell>
          <cell r="I1708" t="str">
            <v>İÇ</v>
          </cell>
          <cell r="J1708" t="str">
            <v>MOBİLYA</v>
          </cell>
          <cell r="K1708" t="str">
            <v>ARES</v>
          </cell>
          <cell r="L1708" t="str">
            <v/>
          </cell>
          <cell r="M1708" t="str">
            <v>ÜRTM:20GÜN</v>
          </cell>
          <cell r="N1708" t="str">
            <v>HKM-24007</v>
          </cell>
          <cell r="P1708" t="str">
            <v>ADET</v>
          </cell>
          <cell r="R1708" t="str">
            <v>DERİ</v>
          </cell>
          <cell r="S1708" t="str">
            <v>KAHVERENGİ</v>
          </cell>
          <cell r="T1708" t="str">
            <v>METAL</v>
          </cell>
          <cell r="U1708" t="str">
            <v>SİYAH</v>
          </cell>
          <cell r="AF1708">
            <v>1</v>
          </cell>
          <cell r="AG1708" t="str">
            <v>ADET</v>
          </cell>
          <cell r="AH1708">
            <v>34650</v>
          </cell>
          <cell r="AI1708" t="str">
            <v>TL</v>
          </cell>
          <cell r="AJ1708">
            <v>109000</v>
          </cell>
          <cell r="AK1708" t="str">
            <v>TL</v>
          </cell>
          <cell r="AL1708">
            <v>1</v>
          </cell>
          <cell r="AO1708">
            <v>0</v>
          </cell>
          <cell r="AQ1708">
            <v>0</v>
          </cell>
          <cell r="AS1708">
            <v>0</v>
          </cell>
          <cell r="AU1708">
            <v>0</v>
          </cell>
          <cell r="AW1708">
            <v>0</v>
          </cell>
        </row>
        <row r="1709">
          <cell r="B1709" t="str">
            <v>MPFIZBJ000U-059</v>
          </cell>
          <cell r="C1709" t="str">
            <v>MİNERVA POLİÜRETAN ÜÇLÜ ORTA SEHPA</v>
          </cell>
          <cell r="D1709" t="str">
            <v>MINERVA POLYURETHANE TRIPLE COFFEE TABLE</v>
          </cell>
          <cell r="E1709" t="str">
            <v xml:space="preserve">POLİÜRETAN YOK BEJ YOK   </v>
          </cell>
          <cell r="F1709" t="str">
            <v/>
          </cell>
          <cell r="G1709" t="str">
            <v>MOBİLYA</v>
          </cell>
          <cell r="H1709" t="str">
            <v/>
          </cell>
          <cell r="I1709" t="str">
            <v>İÇ</v>
          </cell>
          <cell r="J1709" t="str">
            <v>MOBİLYA</v>
          </cell>
          <cell r="K1709" t="str">
            <v/>
          </cell>
          <cell r="L1709" t="str">
            <v/>
          </cell>
          <cell r="M1709" t="str">
            <v>ÜRTM:20GÜN</v>
          </cell>
          <cell r="N1709" t="str">
            <v>HKM-24009</v>
          </cell>
          <cell r="P1709" t="str">
            <v>ADET</v>
          </cell>
          <cell r="R1709" t="str">
            <v>POLİÜRETAN</v>
          </cell>
          <cell r="S1709" t="str">
            <v>BEJ</v>
          </cell>
          <cell r="AD1709" t="str">
            <v>ÜÇLÜ</v>
          </cell>
          <cell r="AF1709">
            <v>3</v>
          </cell>
          <cell r="AG1709" t="str">
            <v>ADET</v>
          </cell>
          <cell r="AH1709">
            <v>12960</v>
          </cell>
          <cell r="AI1709" t="str">
            <v>TL</v>
          </cell>
          <cell r="AJ1709">
            <v>39500</v>
          </cell>
          <cell r="AK1709" t="str">
            <v>TL</v>
          </cell>
          <cell r="AL1709">
            <v>1</v>
          </cell>
          <cell r="AO1709">
            <v>0</v>
          </cell>
          <cell r="AQ1709">
            <v>0</v>
          </cell>
          <cell r="AS1709">
            <v>0</v>
          </cell>
          <cell r="AU1709">
            <v>0</v>
          </cell>
          <cell r="AW1709">
            <v>0</v>
          </cell>
        </row>
        <row r="1710">
          <cell r="B1710" t="str">
            <v>H1W6JRSBCSC-023</v>
          </cell>
          <cell r="C1710" t="str">
            <v>ALABANDA TEKLİ ŞEFFAF AKRİLİK SİYAH LED APLİK</v>
          </cell>
          <cell r="D1710" t="str">
            <v>ALABANDA SINGLE CLEAR ACRYLIC BLACK LED WALL LAMP</v>
          </cell>
          <cell r="E1710" t="str">
            <v xml:space="preserve">METAL AKRİLİK SİYAH ŞEFFAF   </v>
          </cell>
          <cell r="F1710" t="str">
            <v/>
          </cell>
          <cell r="G1710" t="str">
            <v>APLİK</v>
          </cell>
          <cell r="H1710" t="str">
            <v/>
          </cell>
          <cell r="I1710" t="str">
            <v>İÇ</v>
          </cell>
          <cell r="J1710" t="str">
            <v>APLİK</v>
          </cell>
          <cell r="K1710" t="str">
            <v>ALABANDA</v>
          </cell>
          <cell r="L1710" t="str">
            <v/>
          </cell>
          <cell r="M1710" t="str">
            <v/>
          </cell>
          <cell r="N1710" t="str">
            <v>HKA-24445</v>
          </cell>
          <cell r="O1710" t="str">
            <v>HEKA</v>
          </cell>
          <cell r="P1710" t="str">
            <v>ADET</v>
          </cell>
          <cell r="Q1710" t="str">
            <v>LED</v>
          </cell>
          <cell r="R1710" t="str">
            <v>METAL</v>
          </cell>
          <cell r="S1710" t="str">
            <v>SİYAH</v>
          </cell>
          <cell r="T1710" t="str">
            <v>AKRİLİK</v>
          </cell>
          <cell r="U1710" t="str">
            <v>ŞEFFAF</v>
          </cell>
          <cell r="AD1710" t="str">
            <v>SİLİNDİR</v>
          </cell>
          <cell r="AF1710">
            <v>0</v>
          </cell>
          <cell r="AG1710" t="str">
            <v>ADET</v>
          </cell>
          <cell r="AJ1710">
            <v>3365</v>
          </cell>
          <cell r="AK1710" t="str">
            <v>TL</v>
          </cell>
          <cell r="AL1710">
            <v>0</v>
          </cell>
          <cell r="AM1710" t="str">
            <v>8684127516426</v>
          </cell>
          <cell r="AO1710">
            <v>4.5</v>
          </cell>
          <cell r="AP1710" t="str">
            <v>KG</v>
          </cell>
          <cell r="AQ1710">
            <v>23</v>
          </cell>
          <cell r="AR1710" t="str">
            <v>CM</v>
          </cell>
          <cell r="AS1710">
            <v>6</v>
          </cell>
          <cell r="AT1710" t="str">
            <v>CM</v>
          </cell>
          <cell r="AU1710">
            <v>0</v>
          </cell>
          <cell r="AW1710">
            <v>0</v>
          </cell>
        </row>
        <row r="1711">
          <cell r="B1711" t="str">
            <v>ADFAHRR0000-027</v>
          </cell>
          <cell r="C1711" t="str">
            <v>PICASSO KUMAŞ KİTAP KUTU</v>
          </cell>
          <cell r="D1711" t="str">
            <v>PICASSO FABRIC BOOK BOX</v>
          </cell>
          <cell r="E1711" t="str">
            <v xml:space="preserve">KUMAŞ YOK KREM YOK   </v>
          </cell>
          <cell r="F1711" t="str">
            <v/>
          </cell>
          <cell r="G1711" t="str">
            <v>AKSESUAR</v>
          </cell>
          <cell r="H1711" t="str">
            <v/>
          </cell>
          <cell r="I1711" t="str">
            <v>İÇ</v>
          </cell>
          <cell r="J1711" t="str">
            <v>AKSESUAR</v>
          </cell>
          <cell r="K1711" t="str">
            <v>PICASSO</v>
          </cell>
          <cell r="L1711" t="str">
            <v/>
          </cell>
          <cell r="M1711" t="str">
            <v/>
          </cell>
          <cell r="N1711" t="str">
            <v>HAA-250009</v>
          </cell>
          <cell r="P1711" t="str">
            <v>ADET</v>
          </cell>
          <cell r="R1711" t="str">
            <v>KUMAŞ</v>
          </cell>
          <cell r="S1711" t="str">
            <v>KREM</v>
          </cell>
          <cell r="AF1711">
            <v>1</v>
          </cell>
          <cell r="AG1711" t="str">
            <v>ADET</v>
          </cell>
          <cell r="AJ1711">
            <v>396</v>
          </cell>
          <cell r="AK1711" t="str">
            <v>TL</v>
          </cell>
          <cell r="AL1711">
            <v>1</v>
          </cell>
          <cell r="AO1711">
            <v>0</v>
          </cell>
          <cell r="AQ1711">
            <v>0</v>
          </cell>
          <cell r="AS1711">
            <v>0</v>
          </cell>
          <cell r="AU1711">
            <v>0</v>
          </cell>
          <cell r="AW1711">
            <v>0</v>
          </cell>
        </row>
        <row r="1712">
          <cell r="B1712" t="str">
            <v>H1F2JMEWRB1-173</v>
          </cell>
          <cell r="C1712" t="str">
            <v>PONZAN BEYAZ MERMER ESKİTME LAMBADER</v>
          </cell>
          <cell r="D1712" t="str">
            <v>PONZAN WHITE MARBLE BURSHED BRASS FLOOR LAMP</v>
          </cell>
          <cell r="E1712" t="str">
            <v xml:space="preserve">METAL MERMER ESKİTME BEYAZ   </v>
          </cell>
          <cell r="F1712" t="str">
            <v/>
          </cell>
          <cell r="G1712" t="str">
            <v>LAMBADER</v>
          </cell>
          <cell r="H1712" t="str">
            <v/>
          </cell>
          <cell r="I1712" t="str">
            <v>İÇ</v>
          </cell>
          <cell r="J1712" t="str">
            <v>LAMBADER</v>
          </cell>
          <cell r="K1712" t="str">
            <v>PONZAN</v>
          </cell>
          <cell r="L1712" t="str">
            <v/>
          </cell>
          <cell r="M1712" t="str">
            <v/>
          </cell>
          <cell r="N1712" t="str">
            <v>HKA-24253</v>
          </cell>
          <cell r="O1712" t="str">
            <v>HEKA</v>
          </cell>
          <cell r="P1712" t="str">
            <v>ADET</v>
          </cell>
          <cell r="Q1712" t="str">
            <v>E27</v>
          </cell>
          <cell r="R1712" t="str">
            <v>METAL</v>
          </cell>
          <cell r="S1712" t="str">
            <v>ESKİTME</v>
          </cell>
          <cell r="T1712" t="str">
            <v>MERMER</v>
          </cell>
          <cell r="U1712" t="str">
            <v>BEYAZ</v>
          </cell>
          <cell r="AD1712" t="str">
            <v>TEKLİ</v>
          </cell>
          <cell r="AE1712" t="str">
            <v>01</v>
          </cell>
          <cell r="AF1712">
            <v>0</v>
          </cell>
          <cell r="AG1712" t="str">
            <v>ADET</v>
          </cell>
          <cell r="AH1712">
            <v>147</v>
          </cell>
          <cell r="AI1712" t="str">
            <v>CNY</v>
          </cell>
          <cell r="AJ1712">
            <v>11850</v>
          </cell>
          <cell r="AK1712" t="str">
            <v>TL</v>
          </cell>
          <cell r="AL1712">
            <v>1</v>
          </cell>
          <cell r="AM1712" t="str">
            <v>8684127514804</v>
          </cell>
          <cell r="AO1712">
            <v>0</v>
          </cell>
          <cell r="AP1712" t="str">
            <v>KG</v>
          </cell>
          <cell r="AQ1712">
            <v>0</v>
          </cell>
          <cell r="AR1712" t="str">
            <v>CM</v>
          </cell>
          <cell r="AS1712">
            <v>0</v>
          </cell>
          <cell r="AT1712" t="str">
            <v>CM</v>
          </cell>
          <cell r="AU1712">
            <v>0</v>
          </cell>
          <cell r="AW1712">
            <v>0</v>
          </cell>
        </row>
        <row r="1713">
          <cell r="B1713" t="str">
            <v>H1F2JMEWRG1-173</v>
          </cell>
          <cell r="C1713" t="str">
            <v>PONZAN GRİ MERMER ESKİTME LAMBADER</v>
          </cell>
          <cell r="D1713" t="str">
            <v>PONZAN GREY MARBLE BURSHED BRASS FLOOR LAMP</v>
          </cell>
          <cell r="E1713" t="str">
            <v xml:space="preserve">METAL MERMER ESKİTME GRİ   </v>
          </cell>
          <cell r="F1713" t="str">
            <v/>
          </cell>
          <cell r="G1713" t="str">
            <v>LAMBADER</v>
          </cell>
          <cell r="H1713" t="str">
            <v/>
          </cell>
          <cell r="I1713" t="str">
            <v>İÇ</v>
          </cell>
          <cell r="J1713" t="str">
            <v>LAMBADER</v>
          </cell>
          <cell r="K1713" t="str">
            <v>PONZAN</v>
          </cell>
          <cell r="L1713" t="str">
            <v/>
          </cell>
          <cell r="M1713" t="str">
            <v/>
          </cell>
          <cell r="N1713" t="str">
            <v>HKA-24257</v>
          </cell>
          <cell r="O1713" t="str">
            <v>HEKA</v>
          </cell>
          <cell r="P1713" t="str">
            <v>ADET</v>
          </cell>
          <cell r="Q1713" t="str">
            <v>E27</v>
          </cell>
          <cell r="R1713" t="str">
            <v>METAL</v>
          </cell>
          <cell r="S1713" t="str">
            <v>ESKİTME</v>
          </cell>
          <cell r="T1713" t="str">
            <v>MERMER</v>
          </cell>
          <cell r="U1713" t="str">
            <v>GRİ</v>
          </cell>
          <cell r="AD1713" t="str">
            <v>TEKLİ</v>
          </cell>
          <cell r="AE1713" t="str">
            <v>01</v>
          </cell>
          <cell r="AF1713">
            <v>0</v>
          </cell>
          <cell r="AG1713" t="str">
            <v>ADET</v>
          </cell>
          <cell r="AH1713">
            <v>147</v>
          </cell>
          <cell r="AI1713" t="str">
            <v>CNY</v>
          </cell>
          <cell r="AJ1713">
            <v>11850</v>
          </cell>
          <cell r="AK1713" t="str">
            <v>TL</v>
          </cell>
          <cell r="AL1713">
            <v>1</v>
          </cell>
          <cell r="AM1713" t="str">
            <v>8684127514828</v>
          </cell>
          <cell r="AO1713">
            <v>0</v>
          </cell>
          <cell r="AP1713" t="str">
            <v>KG</v>
          </cell>
          <cell r="AQ1713">
            <v>0</v>
          </cell>
          <cell r="AR1713" t="str">
            <v>CM</v>
          </cell>
          <cell r="AS1713">
            <v>0</v>
          </cell>
          <cell r="AT1713" t="str">
            <v>CM</v>
          </cell>
          <cell r="AU1713">
            <v>0</v>
          </cell>
          <cell r="AW1713">
            <v>0</v>
          </cell>
        </row>
        <row r="1714">
          <cell r="B1714" t="str">
            <v>H1W4JMGWRB0-042</v>
          </cell>
          <cell r="C1714" t="str">
            <v xml:space="preserve">BRÜKSEL GOLD MERMER BÜYÜK APLİK </v>
          </cell>
          <cell r="D1714" t="str">
            <v>BRÜKSEL GOLD MARBLE LARGE WALL LAMP</v>
          </cell>
          <cell r="E1714" t="str">
            <v xml:space="preserve">METAL MERMER GOLD BEYAZ   </v>
          </cell>
          <cell r="F1714" t="str">
            <v/>
          </cell>
          <cell r="G1714" t="str">
            <v>APLİK</v>
          </cell>
          <cell r="H1714" t="str">
            <v/>
          </cell>
          <cell r="I1714" t="str">
            <v>İÇ</v>
          </cell>
          <cell r="J1714" t="str">
            <v>APLİK</v>
          </cell>
          <cell r="K1714" t="str">
            <v>BRÜKSEL</v>
          </cell>
          <cell r="L1714" t="str">
            <v/>
          </cell>
          <cell r="M1714" t="str">
            <v/>
          </cell>
          <cell r="N1714" t="str">
            <v>HKA-24602</v>
          </cell>
          <cell r="O1714" t="str">
            <v>HEKA</v>
          </cell>
          <cell r="P1714" t="str">
            <v>ADET</v>
          </cell>
          <cell r="Q1714" t="str">
            <v>G4</v>
          </cell>
          <cell r="R1714" t="str">
            <v>METAL</v>
          </cell>
          <cell r="S1714" t="str">
            <v>GOLD</v>
          </cell>
          <cell r="T1714" t="str">
            <v>MERMER</v>
          </cell>
          <cell r="U1714" t="str">
            <v>BEYAZ</v>
          </cell>
          <cell r="AE1714" t="str">
            <v>01</v>
          </cell>
          <cell r="AF1714">
            <v>78</v>
          </cell>
          <cell r="AG1714" t="str">
            <v>ADET</v>
          </cell>
          <cell r="AH1714">
            <v>105</v>
          </cell>
          <cell r="AI1714" t="str">
            <v>CNY</v>
          </cell>
          <cell r="AJ1714">
            <v>7820</v>
          </cell>
          <cell r="AK1714" t="str">
            <v>TL</v>
          </cell>
          <cell r="AL1714">
            <v>0</v>
          </cell>
          <cell r="AM1714" t="str">
            <v>8684127514934</v>
          </cell>
          <cell r="AO1714">
            <v>1.1000000000000001</v>
          </cell>
          <cell r="AP1714" t="str">
            <v>KG</v>
          </cell>
          <cell r="AQ1714">
            <v>14</v>
          </cell>
          <cell r="AR1714" t="str">
            <v>CM</v>
          </cell>
          <cell r="AS1714">
            <v>25.5</v>
          </cell>
          <cell r="AT1714" t="str">
            <v>CM</v>
          </cell>
          <cell r="AU1714">
            <v>0</v>
          </cell>
          <cell r="AW1714">
            <v>0</v>
          </cell>
        </row>
        <row r="1715">
          <cell r="B1715" t="str">
            <v>H1W4JMGWRB0-026</v>
          </cell>
          <cell r="C1715" t="str">
            <v xml:space="preserve">BRÜKSEL GOLD MERMER KÜÇÜK APLİK </v>
          </cell>
          <cell r="D1715" t="str">
            <v>BRÜKSEL GOLD MARBLE SMALL WALL LAMP</v>
          </cell>
          <cell r="E1715" t="str">
            <v xml:space="preserve">METAL MERMER GOLD BEYAZ   </v>
          </cell>
          <cell r="F1715" t="str">
            <v/>
          </cell>
          <cell r="G1715" t="str">
            <v>APLİK</v>
          </cell>
          <cell r="H1715" t="str">
            <v/>
          </cell>
          <cell r="I1715" t="str">
            <v>İÇ</v>
          </cell>
          <cell r="J1715" t="str">
            <v>APLİK</v>
          </cell>
          <cell r="K1715" t="str">
            <v>BRÜKSEL</v>
          </cell>
          <cell r="L1715" t="str">
            <v/>
          </cell>
          <cell r="M1715" t="str">
            <v/>
          </cell>
          <cell r="N1715" t="str">
            <v>HKA-24604</v>
          </cell>
          <cell r="O1715" t="str">
            <v>HEKA</v>
          </cell>
          <cell r="P1715" t="str">
            <v>ADET</v>
          </cell>
          <cell r="Q1715" t="str">
            <v>G4</v>
          </cell>
          <cell r="R1715" t="str">
            <v>METAL</v>
          </cell>
          <cell r="S1715" t="str">
            <v>GOLD</v>
          </cell>
          <cell r="T1715" t="str">
            <v>MERMER</v>
          </cell>
          <cell r="U1715" t="str">
            <v>BEYAZ</v>
          </cell>
          <cell r="AE1715" t="str">
            <v>01</v>
          </cell>
          <cell r="AF1715">
            <v>76</v>
          </cell>
          <cell r="AG1715" t="str">
            <v>ADET</v>
          </cell>
          <cell r="AH1715">
            <v>80</v>
          </cell>
          <cell r="AI1715" t="str">
            <v>CNY</v>
          </cell>
          <cell r="AJ1715">
            <v>5720</v>
          </cell>
          <cell r="AK1715" t="str">
            <v>TL</v>
          </cell>
          <cell r="AL1715">
            <v>0</v>
          </cell>
          <cell r="AM1715" t="str">
            <v>8684127514958</v>
          </cell>
          <cell r="AO1715">
            <v>0.6</v>
          </cell>
          <cell r="AP1715" t="str">
            <v>KG</v>
          </cell>
          <cell r="AQ1715">
            <v>11</v>
          </cell>
          <cell r="AR1715" t="str">
            <v>CM</v>
          </cell>
          <cell r="AS1715">
            <v>16</v>
          </cell>
          <cell r="AT1715" t="str">
            <v>CM</v>
          </cell>
          <cell r="AU1715">
            <v>0</v>
          </cell>
          <cell r="AW1715">
            <v>0</v>
          </cell>
        </row>
        <row r="1716">
          <cell r="B1716" t="str">
            <v>T1W2JMR0000-065</v>
          </cell>
          <cell r="C1716" t="str">
            <v>HAM VERNİKLİ 3 LÜ SU BORUSU APLİK 65x43 cm</v>
          </cell>
          <cell r="D1716" t="str">
            <v>RAW VARNISHED 3-BULB WATER PIPE WALL LAMP 65x43 cm</v>
          </cell>
          <cell r="E1716" t="str">
            <v xml:space="preserve">METAL YOK KOYU ESKİTME YOK   </v>
          </cell>
          <cell r="F1716" t="str">
            <v/>
          </cell>
          <cell r="G1716" t="str">
            <v>APLİK</v>
          </cell>
          <cell r="H1716" t="str">
            <v/>
          </cell>
          <cell r="I1716" t="str">
            <v>İÇ</v>
          </cell>
          <cell r="J1716" t="str">
            <v>APLİK</v>
          </cell>
          <cell r="K1716" t="str">
            <v/>
          </cell>
          <cell r="L1716" t="str">
            <v/>
          </cell>
          <cell r="M1716" t="str">
            <v/>
          </cell>
          <cell r="N1716" t="str">
            <v/>
          </cell>
          <cell r="P1716" t="str">
            <v>ADET</v>
          </cell>
          <cell r="AF1716">
            <v>0</v>
          </cell>
          <cell r="AG1716" t="str">
            <v>ADET</v>
          </cell>
          <cell r="AL1716">
            <v>1</v>
          </cell>
          <cell r="AO1716">
            <v>0</v>
          </cell>
          <cell r="AQ1716">
            <v>0</v>
          </cell>
          <cell r="AS1716">
            <v>0</v>
          </cell>
          <cell r="AU1716">
            <v>0</v>
          </cell>
          <cell r="AW1716">
            <v>0</v>
          </cell>
        </row>
        <row r="1717">
          <cell r="B1717" t="str">
            <v>T1C2NRBJRB0-000</v>
          </cell>
          <cell r="C1717" t="str">
            <v>PORSELEN ÇAYDANLIK SARKIT</v>
          </cell>
          <cell r="D1717" t="str">
            <v>PORCELAIN TEA POT PENDANT LAMP</v>
          </cell>
          <cell r="E1717" t="str">
            <v xml:space="preserve">PORSELEN METAL BEYAZ BEYAZ   </v>
          </cell>
          <cell r="F1717" t="str">
            <v/>
          </cell>
          <cell r="G1717" t="str">
            <v>AVİZE</v>
          </cell>
          <cell r="H1717" t="str">
            <v/>
          </cell>
          <cell r="I1717" t="str">
            <v>İÇ</v>
          </cell>
          <cell r="J1717" t="str">
            <v>AVİZE</v>
          </cell>
          <cell r="K1717" t="str">
            <v/>
          </cell>
          <cell r="L1717" t="str">
            <v/>
          </cell>
          <cell r="M1717" t="str">
            <v/>
          </cell>
          <cell r="N1717" t="str">
            <v/>
          </cell>
          <cell r="P1717" t="str">
            <v>ADET</v>
          </cell>
          <cell r="AF1717">
            <v>0</v>
          </cell>
          <cell r="AG1717" t="str">
            <v>ADET</v>
          </cell>
          <cell r="AL1717">
            <v>1</v>
          </cell>
          <cell r="AO1717">
            <v>0</v>
          </cell>
          <cell r="AQ1717">
            <v>0</v>
          </cell>
          <cell r="AS1717">
            <v>0</v>
          </cell>
          <cell r="AU1717">
            <v>0</v>
          </cell>
          <cell r="AW1717">
            <v>0</v>
          </cell>
        </row>
        <row r="1718">
          <cell r="B1718" t="str">
            <v>H1C2JMEECB0-070</v>
          </cell>
          <cell r="C1718" t="str">
            <v>GANA BEYAZ BUZLU CAM ESKİTME AVİZE 70cm</v>
          </cell>
          <cell r="D1718" t="str">
            <v>GANA WHITE FROSTED GLASS BRUSHED BRASS CANDELIER 70cm</v>
          </cell>
          <cell r="E1718" t="str">
            <v xml:space="preserve">METAL CAM  ESKİTME BUZLU   </v>
          </cell>
          <cell r="F1718" t="str">
            <v/>
          </cell>
          <cell r="G1718" t="str">
            <v>AVİZE</v>
          </cell>
          <cell r="H1718" t="str">
            <v/>
          </cell>
          <cell r="I1718" t="str">
            <v>İÇ</v>
          </cell>
          <cell r="J1718" t="str">
            <v>AVİZE</v>
          </cell>
          <cell r="K1718" t="str">
            <v>GANA</v>
          </cell>
          <cell r="L1718" t="str">
            <v/>
          </cell>
          <cell r="M1718" t="str">
            <v/>
          </cell>
          <cell r="N1718" t="str">
            <v>HKA-24510</v>
          </cell>
          <cell r="O1718" t="str">
            <v>HEKA</v>
          </cell>
          <cell r="P1718" t="str">
            <v>ADET</v>
          </cell>
          <cell r="Q1718" t="str">
            <v>LED</v>
          </cell>
          <cell r="R1718" t="str">
            <v>METAL</v>
          </cell>
          <cell r="S1718" t="str">
            <v>ESKİTME</v>
          </cell>
          <cell r="T1718" t="str">
            <v>CAM</v>
          </cell>
          <cell r="U1718" t="str">
            <v>BUZLU</v>
          </cell>
          <cell r="X1718" t="str">
            <v>110V-220V</v>
          </cell>
          <cell r="AF1718">
            <v>2</v>
          </cell>
          <cell r="AG1718" t="str">
            <v>ADET</v>
          </cell>
          <cell r="AH1718">
            <v>1710</v>
          </cell>
          <cell r="AI1718" t="str">
            <v>CNY</v>
          </cell>
          <cell r="AJ1718">
            <v>99000</v>
          </cell>
          <cell r="AK1718" t="str">
            <v>TL</v>
          </cell>
          <cell r="AL1718">
            <v>1</v>
          </cell>
          <cell r="AM1718" t="str">
            <v>8684127515016</v>
          </cell>
          <cell r="AO1718">
            <v>13.8</v>
          </cell>
          <cell r="AP1718" t="str">
            <v>KG</v>
          </cell>
          <cell r="AQ1718">
            <v>26</v>
          </cell>
          <cell r="AR1718" t="str">
            <v>CM</v>
          </cell>
          <cell r="AS1718">
            <v>70</v>
          </cell>
          <cell r="AT1718" t="str">
            <v>CM</v>
          </cell>
          <cell r="AU1718">
            <v>0</v>
          </cell>
          <cell r="AW1718">
            <v>0</v>
          </cell>
        </row>
        <row r="1719">
          <cell r="B1719" t="str">
            <v>H1W6JMEECB0-032</v>
          </cell>
          <cell r="C1719" t="str">
            <v>GANA BEYAZ BUZLU CAM ESKİTME APLİK</v>
          </cell>
          <cell r="D1719" t="str">
            <v>GANA WHITE FROSTED GLASS BRUSHED BRASS WALL LAMP</v>
          </cell>
          <cell r="E1719" t="str">
            <v xml:space="preserve">METAL CAM  ESKİTME BUZLU   </v>
          </cell>
          <cell r="F1719" t="str">
            <v/>
          </cell>
          <cell r="G1719" t="str">
            <v>APLİK</v>
          </cell>
          <cell r="H1719" t="str">
            <v/>
          </cell>
          <cell r="I1719" t="str">
            <v>İÇ</v>
          </cell>
          <cell r="J1719" t="str">
            <v>APLİK</v>
          </cell>
          <cell r="K1719" t="str">
            <v>GANA</v>
          </cell>
          <cell r="L1719" t="str">
            <v>Ç</v>
          </cell>
          <cell r="M1719" t="str">
            <v/>
          </cell>
          <cell r="N1719" t="str">
            <v>HKA-24507</v>
          </cell>
          <cell r="O1719" t="str">
            <v>HEKA</v>
          </cell>
          <cell r="P1719" t="str">
            <v>ADET</v>
          </cell>
          <cell r="Q1719" t="str">
            <v>LED</v>
          </cell>
          <cell r="R1719" t="str">
            <v>METAL</v>
          </cell>
          <cell r="S1719" t="str">
            <v>ESKİTME</v>
          </cell>
          <cell r="T1719" t="str">
            <v>CAM</v>
          </cell>
          <cell r="U1719" t="str">
            <v>BUZLU</v>
          </cell>
          <cell r="X1719" t="str">
            <v>110V-220V</v>
          </cell>
          <cell r="Y1719" t="str">
            <v>6 WATT</v>
          </cell>
          <cell r="Z1719" t="str">
            <v>3000 K</v>
          </cell>
          <cell r="AA1719" t="str">
            <v>DIMMSIZ</v>
          </cell>
          <cell r="AB1719" t="str">
            <v>901-1000</v>
          </cell>
          <cell r="AF1719">
            <v>68</v>
          </cell>
          <cell r="AG1719" t="str">
            <v>ADET</v>
          </cell>
          <cell r="AH1719">
            <v>180</v>
          </cell>
          <cell r="AI1719" t="str">
            <v>CNY</v>
          </cell>
          <cell r="AJ1719">
            <v>9900</v>
          </cell>
          <cell r="AK1719" t="str">
            <v>TL</v>
          </cell>
          <cell r="AL1719">
            <v>1</v>
          </cell>
          <cell r="AM1719" t="str">
            <v>8684127515030</v>
          </cell>
          <cell r="AO1719">
            <v>1.43</v>
          </cell>
          <cell r="AP1719" t="str">
            <v>KG</v>
          </cell>
          <cell r="AQ1719">
            <v>11</v>
          </cell>
          <cell r="AR1719" t="str">
            <v>CM</v>
          </cell>
          <cell r="AS1719">
            <v>23</v>
          </cell>
          <cell r="AT1719" t="str">
            <v>CM</v>
          </cell>
          <cell r="AU1719">
            <v>0</v>
          </cell>
          <cell r="AW1719">
            <v>0</v>
          </cell>
        </row>
        <row r="1720">
          <cell r="B1720" t="str">
            <v>H1L2JMGHRR1-073</v>
          </cell>
          <cell r="C1720" t="str">
            <v>NAPOLİ GOLD KREM ABAJUR</v>
          </cell>
          <cell r="D1720" t="str">
            <v>NAPOLİ GOLD CREAM COLOR LAMPSHADE</v>
          </cell>
          <cell r="E1720" t="str">
            <v xml:space="preserve">METAL KUMAŞ GOLD KREM   </v>
          </cell>
          <cell r="F1720" t="str">
            <v/>
          </cell>
          <cell r="G1720" t="str">
            <v>MASAABAJ</v>
          </cell>
          <cell r="H1720" t="str">
            <v/>
          </cell>
          <cell r="I1720" t="str">
            <v>İÇ</v>
          </cell>
          <cell r="J1720" t="str">
            <v>MASAABAJ</v>
          </cell>
          <cell r="K1720" t="str">
            <v>NAPOLİ</v>
          </cell>
          <cell r="L1720" t="str">
            <v/>
          </cell>
          <cell r="M1720" t="str">
            <v/>
          </cell>
          <cell r="N1720" t="str">
            <v>HKA-24260</v>
          </cell>
          <cell r="O1720" t="str">
            <v>HEKA</v>
          </cell>
          <cell r="P1720" t="str">
            <v>ADET</v>
          </cell>
          <cell r="Q1720" t="str">
            <v>E27</v>
          </cell>
          <cell r="R1720" t="str">
            <v>METAL</v>
          </cell>
          <cell r="S1720" t="str">
            <v>GOLD</v>
          </cell>
          <cell r="T1720" t="str">
            <v>KUMAŞ</v>
          </cell>
          <cell r="U1720" t="str">
            <v>KREM</v>
          </cell>
          <cell r="AD1720" t="str">
            <v>TEKLİ</v>
          </cell>
          <cell r="AE1720" t="str">
            <v>01</v>
          </cell>
          <cell r="AF1720">
            <v>0</v>
          </cell>
          <cell r="AG1720" t="str">
            <v>ADET</v>
          </cell>
          <cell r="AH1720">
            <v>171</v>
          </cell>
          <cell r="AI1720" t="str">
            <v>CNY</v>
          </cell>
          <cell r="AJ1720">
            <v>14350</v>
          </cell>
          <cell r="AK1720" t="str">
            <v>TL</v>
          </cell>
          <cell r="AL1720">
            <v>1</v>
          </cell>
          <cell r="AO1720">
            <v>2.2000000000000002</v>
          </cell>
          <cell r="AP1720" t="str">
            <v>KG</v>
          </cell>
          <cell r="AQ1720">
            <v>73</v>
          </cell>
          <cell r="AR1720" t="str">
            <v>CM</v>
          </cell>
          <cell r="AS1720">
            <v>40</v>
          </cell>
          <cell r="AT1720" t="str">
            <v>CM</v>
          </cell>
          <cell r="AU1720">
            <v>0</v>
          </cell>
          <cell r="AW1720">
            <v>0</v>
          </cell>
        </row>
        <row r="1721">
          <cell r="B1721" t="str">
            <v>H1W6JMNZCTV-016</v>
          </cell>
          <cell r="C1721" t="str">
            <v>KOPENHAG KABARCIKLI SOFT CAM KROM APLİK</v>
          </cell>
          <cell r="D1721" t="str">
            <v>KOPENHAG BUBBLY SOFT WHITE GLASS CHROME WALL LAMP</v>
          </cell>
          <cell r="E1721" t="str">
            <v xml:space="preserve">METAL KABARCIKLI CAM KROM SOFT   </v>
          </cell>
          <cell r="F1721" t="str">
            <v/>
          </cell>
          <cell r="G1721" t="str">
            <v>APLİK</v>
          </cell>
          <cell r="H1721" t="str">
            <v/>
          </cell>
          <cell r="I1721" t="str">
            <v>İÇ</v>
          </cell>
          <cell r="J1721" t="str">
            <v>APLİK</v>
          </cell>
          <cell r="K1721" t="str">
            <v>KOPENHAG</v>
          </cell>
          <cell r="L1721" t="str">
            <v/>
          </cell>
          <cell r="M1721" t="str">
            <v/>
          </cell>
          <cell r="N1721" t="str">
            <v>HKA-24427</v>
          </cell>
          <cell r="O1721" t="str">
            <v>HEKA</v>
          </cell>
          <cell r="P1721" t="str">
            <v>ADET</v>
          </cell>
          <cell r="Q1721" t="str">
            <v>LED</v>
          </cell>
          <cell r="R1721" t="str">
            <v>METAL</v>
          </cell>
          <cell r="S1721" t="str">
            <v>KROM</v>
          </cell>
          <cell r="T1721" t="str">
            <v>KABARCIKLI CAM</v>
          </cell>
          <cell r="U1721" t="str">
            <v>SOFT</v>
          </cell>
          <cell r="AD1721" t="str">
            <v>YAMUK</v>
          </cell>
          <cell r="AF1721">
            <v>21</v>
          </cell>
          <cell r="AG1721" t="str">
            <v>ADET</v>
          </cell>
          <cell r="AJ1721">
            <v>3950</v>
          </cell>
          <cell r="AK1721" t="str">
            <v>TL</v>
          </cell>
          <cell r="AL1721">
            <v>1</v>
          </cell>
          <cell r="AM1721" t="str">
            <v>8684127514316</v>
          </cell>
          <cell r="AO1721">
            <v>0</v>
          </cell>
          <cell r="AQ1721">
            <v>16</v>
          </cell>
          <cell r="AR1721" t="str">
            <v>CM</v>
          </cell>
          <cell r="AS1721">
            <v>15</v>
          </cell>
          <cell r="AT1721" t="str">
            <v>CM</v>
          </cell>
          <cell r="AU1721">
            <v>0</v>
          </cell>
          <cell r="AW1721">
            <v>0</v>
          </cell>
        </row>
        <row r="1722">
          <cell r="B1722" t="str">
            <v>H1W6JMNZRFV-016</v>
          </cell>
          <cell r="C1722" t="str">
            <v>KOPENHAG KABARCIKLI FÜME CAM KROM APLİK</v>
          </cell>
          <cell r="D1722" t="str">
            <v>KOPENHAG BUBBLY SMOKY GLASS CHROME WALL LAMP</v>
          </cell>
          <cell r="E1722" t="str">
            <v>METAL KABARCIKLI CAM KROM FÜME</v>
          </cell>
          <cell r="F1722" t="str">
            <v/>
          </cell>
          <cell r="G1722" t="str">
            <v>APLİK</v>
          </cell>
          <cell r="H1722" t="str">
            <v/>
          </cell>
          <cell r="I1722" t="str">
            <v>İÇ</v>
          </cell>
          <cell r="J1722" t="str">
            <v>APLİK</v>
          </cell>
          <cell r="K1722" t="str">
            <v>KOPENHAG</v>
          </cell>
          <cell r="L1722" t="str">
            <v/>
          </cell>
          <cell r="M1722" t="str">
            <v/>
          </cell>
          <cell r="N1722" t="str">
            <v>HKA-24431</v>
          </cell>
          <cell r="O1722" t="str">
            <v>HEKA</v>
          </cell>
          <cell r="P1722" t="str">
            <v>ADET</v>
          </cell>
          <cell r="Q1722" t="str">
            <v>LED</v>
          </cell>
          <cell r="R1722" t="str">
            <v>METAL</v>
          </cell>
          <cell r="S1722" t="str">
            <v>KROM</v>
          </cell>
          <cell r="T1722" t="str">
            <v>KABARCIKLI CAM</v>
          </cell>
          <cell r="U1722" t="str">
            <v>FÜME</v>
          </cell>
          <cell r="AD1722" t="str">
            <v>YAMUK</v>
          </cell>
          <cell r="AF1722">
            <v>101</v>
          </cell>
          <cell r="AG1722" t="str">
            <v>ADET</v>
          </cell>
          <cell r="AH1722">
            <v>46</v>
          </cell>
          <cell r="AI1722" t="str">
            <v>CNY</v>
          </cell>
          <cell r="AJ1722">
            <v>3950</v>
          </cell>
          <cell r="AK1722" t="str">
            <v>TL</v>
          </cell>
          <cell r="AL1722">
            <v>1</v>
          </cell>
          <cell r="AM1722" t="str">
            <v>8684127514347</v>
          </cell>
          <cell r="AO1722">
            <v>0</v>
          </cell>
          <cell r="AQ1722">
            <v>16</v>
          </cell>
          <cell r="AR1722" t="str">
            <v>CM</v>
          </cell>
          <cell r="AS1722">
            <v>15</v>
          </cell>
          <cell r="AT1722" t="str">
            <v>CM</v>
          </cell>
          <cell r="AU1722">
            <v>0</v>
          </cell>
          <cell r="AW1722">
            <v>0</v>
          </cell>
        </row>
        <row r="1723">
          <cell r="B1723" t="str">
            <v>H1W3JMEZCT1-026</v>
          </cell>
          <cell r="C1723" t="str">
            <v>HELSİNGÖR TEKLİ KABARCIKLI SOFT CAM ESKİTME APLİK</v>
          </cell>
          <cell r="D1723" t="str">
            <v>HELSİNGÖR SINGLE BUBBLY SOFT WHITE GLASS BRUSHED BRASS WALL LAMP</v>
          </cell>
          <cell r="E1723" t="str">
            <v xml:space="preserve">METAL KABARCIKLI CAM ESKİTME SOFT   </v>
          </cell>
          <cell r="F1723" t="str">
            <v>9405.19.90.00.00</v>
          </cell>
          <cell r="G1723" t="str">
            <v>APLİK</v>
          </cell>
          <cell r="H1723" t="str">
            <v>T1W3112100-01</v>
          </cell>
          <cell r="I1723" t="str">
            <v>İÇ</v>
          </cell>
          <cell r="J1723" t="str">
            <v>APLİK</v>
          </cell>
          <cell r="K1723" t="str">
            <v>HELSİNGÖR</v>
          </cell>
          <cell r="L1723" t="str">
            <v/>
          </cell>
          <cell r="M1723" t="str">
            <v>ÜRTM:15GÜN</v>
          </cell>
          <cell r="N1723" t="str">
            <v>HKA-24438</v>
          </cell>
          <cell r="O1723" t="str">
            <v>HEKA</v>
          </cell>
          <cell r="P1723" t="str">
            <v>ADET</v>
          </cell>
          <cell r="Q1723" t="str">
            <v>G9</v>
          </cell>
          <cell r="R1723" t="str">
            <v>METAL</v>
          </cell>
          <cell r="S1723" t="str">
            <v>ESKİTME</v>
          </cell>
          <cell r="T1723" t="str">
            <v>KABARCIKLI CAM</v>
          </cell>
          <cell r="U1723" t="str">
            <v>SOFT</v>
          </cell>
          <cell r="AD1723" t="str">
            <v>TEKLİ</v>
          </cell>
          <cell r="AE1723" t="str">
            <v>01</v>
          </cell>
          <cell r="AF1723">
            <v>-1</v>
          </cell>
          <cell r="AG1723" t="str">
            <v>ADET</v>
          </cell>
          <cell r="AJ1723">
            <v>7540</v>
          </cell>
          <cell r="AK1723" t="str">
            <v>TL</v>
          </cell>
          <cell r="AL1723">
            <v>1</v>
          </cell>
          <cell r="AM1723" t="str">
            <v>8684127514422</v>
          </cell>
          <cell r="AO1723">
            <v>0</v>
          </cell>
          <cell r="AQ1723">
            <v>28</v>
          </cell>
          <cell r="AR1723" t="str">
            <v>CM</v>
          </cell>
          <cell r="AS1723">
            <v>17</v>
          </cell>
          <cell r="AT1723" t="str">
            <v>CM</v>
          </cell>
          <cell r="AU1723">
            <v>0</v>
          </cell>
          <cell r="AW1723">
            <v>0</v>
          </cell>
        </row>
        <row r="1724">
          <cell r="B1724" t="str">
            <v>3YC4VZRL000-015</v>
          </cell>
          <cell r="C1724" t="str">
            <v>KABARACIKLI BAL YAMUK AVİZE CAMI 15 cm</v>
          </cell>
          <cell r="D1724" t="str">
            <v>BUBBLY AMBER TRAPEZOID PENDANT GLASS 15 cm</v>
          </cell>
          <cell r="E1724" t="str">
            <v xml:space="preserve">YAMUK KABARCIKLI CAM KABARCIKLI CAM YOK   </v>
          </cell>
          <cell r="F1724" t="str">
            <v/>
          </cell>
          <cell r="G1724" t="str">
            <v>ZPARCA</v>
          </cell>
          <cell r="H1724" t="str">
            <v/>
          </cell>
          <cell r="I1724" t="str">
            <v>İÇ</v>
          </cell>
          <cell r="J1724" t="str">
            <v>ZPARCA</v>
          </cell>
          <cell r="K1724" t="str">
            <v/>
          </cell>
          <cell r="L1724" t="str">
            <v/>
          </cell>
          <cell r="M1724" t="str">
            <v/>
          </cell>
          <cell r="N1724" t="str">
            <v>HKY-240003</v>
          </cell>
          <cell r="P1724" t="str">
            <v>ADET</v>
          </cell>
          <cell r="AF1724">
            <v>0</v>
          </cell>
          <cell r="AG1724" t="str">
            <v>ADET</v>
          </cell>
          <cell r="AL1724">
            <v>0</v>
          </cell>
          <cell r="AO1724">
            <v>0</v>
          </cell>
          <cell r="AQ1724">
            <v>0</v>
          </cell>
          <cell r="AS1724">
            <v>0</v>
          </cell>
          <cell r="AU1724">
            <v>0</v>
          </cell>
          <cell r="AW1724">
            <v>0</v>
          </cell>
        </row>
        <row r="1725">
          <cell r="B1725" t="str">
            <v>H1L2JMRNRY1-054</v>
          </cell>
          <cell r="C1725" t="str">
            <v>DEBRE KOYU ESKİTME YEŞİL PORSELEN ABAJUR</v>
          </cell>
          <cell r="D1725" t="str">
            <v>DEBRE RAW BRASS GREEN PORCELAIN LAMPSHADE</v>
          </cell>
          <cell r="E1725" t="str">
            <v xml:space="preserve">METAL PORSELEN KOYU ESKİTME YEŞİL   </v>
          </cell>
          <cell r="F1725" t="str">
            <v/>
          </cell>
          <cell r="G1725" t="str">
            <v>MASAABAJ</v>
          </cell>
          <cell r="H1725" t="str">
            <v/>
          </cell>
          <cell r="I1725" t="str">
            <v>İÇ</v>
          </cell>
          <cell r="J1725" t="str">
            <v>MASAABAJ</v>
          </cell>
          <cell r="K1725" t="str">
            <v>DEBRE</v>
          </cell>
          <cell r="L1725" t="str">
            <v/>
          </cell>
          <cell r="M1725" t="str">
            <v/>
          </cell>
          <cell r="N1725" t="str">
            <v>HKA-24268</v>
          </cell>
          <cell r="O1725" t="str">
            <v>HEKA</v>
          </cell>
          <cell r="P1725" t="str">
            <v>ADET</v>
          </cell>
          <cell r="Q1725" t="str">
            <v>E27</v>
          </cell>
          <cell r="R1725" t="str">
            <v>METAL</v>
          </cell>
          <cell r="S1725" t="str">
            <v>KOYU ESKİTME</v>
          </cell>
          <cell r="T1725" t="str">
            <v>PORSELEN</v>
          </cell>
          <cell r="U1725" t="str">
            <v>YEŞİL</v>
          </cell>
          <cell r="AD1725" t="str">
            <v>TEKLİ</v>
          </cell>
          <cell r="AE1725" t="str">
            <v>01</v>
          </cell>
          <cell r="AF1725">
            <v>0</v>
          </cell>
          <cell r="AG1725" t="str">
            <v>ADET</v>
          </cell>
          <cell r="AH1725">
            <v>80.75</v>
          </cell>
          <cell r="AI1725" t="str">
            <v>TL</v>
          </cell>
          <cell r="AJ1725">
            <v>6750</v>
          </cell>
          <cell r="AK1725" t="str">
            <v>TL</v>
          </cell>
          <cell r="AL1725">
            <v>1</v>
          </cell>
          <cell r="AM1725" t="str">
            <v>8684127514521</v>
          </cell>
          <cell r="AO1725">
            <v>1.7</v>
          </cell>
          <cell r="AP1725" t="str">
            <v>KG</v>
          </cell>
          <cell r="AQ1725">
            <v>54</v>
          </cell>
          <cell r="AR1725" t="str">
            <v>CM</v>
          </cell>
          <cell r="AS1725">
            <v>30</v>
          </cell>
          <cell r="AT1725" t="str">
            <v>CM</v>
          </cell>
          <cell r="AU1725">
            <v>0</v>
          </cell>
          <cell r="AW1725">
            <v>0</v>
          </cell>
        </row>
        <row r="1726">
          <cell r="B1726" t="str">
            <v>ADFLJRU0002-050</v>
          </cell>
          <cell r="C1726" t="str">
            <v>EYFEL GUMUS UCAK 50 CM</v>
          </cell>
          <cell r="D1726" t="str">
            <v>EYFEL SILVER AIRPLANE 50 CM</v>
          </cell>
          <cell r="E1726" t="str">
            <v xml:space="preserve">METAL YOK GÜMÜŞ YOK   </v>
          </cell>
          <cell r="F1726" t="str">
            <v/>
          </cell>
          <cell r="G1726" t="str">
            <v>AKSESUAR</v>
          </cell>
          <cell r="H1726" t="str">
            <v/>
          </cell>
          <cell r="I1726" t="str">
            <v>İÇ</v>
          </cell>
          <cell r="J1726" t="str">
            <v>AKSESUAR</v>
          </cell>
          <cell r="K1726" t="str">
            <v/>
          </cell>
          <cell r="L1726" t="str">
            <v/>
          </cell>
          <cell r="M1726" t="str">
            <v/>
          </cell>
          <cell r="N1726" t="str">
            <v>HAA-250053</v>
          </cell>
          <cell r="P1726" t="str">
            <v>ADET</v>
          </cell>
          <cell r="R1726" t="str">
            <v>METAL</v>
          </cell>
          <cell r="S1726" t="str">
            <v>GÜMÜŞ</v>
          </cell>
          <cell r="AD1726" t="str">
            <v>BİBLO</v>
          </cell>
          <cell r="AF1726">
            <v>0</v>
          </cell>
          <cell r="AG1726" t="str">
            <v>ADET</v>
          </cell>
          <cell r="AH1726">
            <v>3509</v>
          </cell>
          <cell r="AI1726" t="str">
            <v>TL</v>
          </cell>
          <cell r="AJ1726">
            <v>8422</v>
          </cell>
          <cell r="AK1726" t="str">
            <v>TL</v>
          </cell>
          <cell r="AL1726">
            <v>1</v>
          </cell>
          <cell r="AO1726">
            <v>0</v>
          </cell>
          <cell r="AQ1726">
            <v>0</v>
          </cell>
          <cell r="AS1726">
            <v>0</v>
          </cell>
          <cell r="AU1726">
            <v>0</v>
          </cell>
          <cell r="AW1726">
            <v>0</v>
          </cell>
        </row>
        <row r="1727">
          <cell r="B1727" t="str">
            <v>ASFLJRUECS6-027</v>
          </cell>
          <cell r="C1727" t="str">
            <v>GÜMÜŞ DÜNYA SAAT KÜÇÜK</v>
          </cell>
          <cell r="D1727" t="str">
            <v>SILVER WORLD CLOCK SMALL</v>
          </cell>
          <cell r="E1727" t="str">
            <v xml:space="preserve">METAL CAM  GÜMÜŞ ŞEFFAF   </v>
          </cell>
          <cell r="F1727" t="str">
            <v/>
          </cell>
          <cell r="G1727" t="str">
            <v>AKSESUAR</v>
          </cell>
          <cell r="H1727" t="str">
            <v/>
          </cell>
          <cell r="I1727" t="str">
            <v>İÇ</v>
          </cell>
          <cell r="J1727" t="str">
            <v>AKSESUAR</v>
          </cell>
          <cell r="K1727" t="str">
            <v/>
          </cell>
          <cell r="L1727" t="str">
            <v/>
          </cell>
          <cell r="M1727" t="str">
            <v/>
          </cell>
          <cell r="N1727" t="str">
            <v>HAA-250054</v>
          </cell>
          <cell r="P1727" t="str">
            <v>ADET</v>
          </cell>
          <cell r="R1727" t="str">
            <v>METAL</v>
          </cell>
          <cell r="S1727" t="str">
            <v>GÜMÜŞ</v>
          </cell>
          <cell r="T1727" t="str">
            <v>CAM</v>
          </cell>
          <cell r="U1727" t="str">
            <v>ŞEFFAF</v>
          </cell>
          <cell r="AD1727" t="str">
            <v>KLASİK</v>
          </cell>
          <cell r="AF1727">
            <v>0</v>
          </cell>
          <cell r="AG1727" t="str">
            <v>ADET</v>
          </cell>
          <cell r="AH1727">
            <v>1890</v>
          </cell>
          <cell r="AI1727" t="str">
            <v>TL</v>
          </cell>
          <cell r="AJ1727">
            <v>4536</v>
          </cell>
          <cell r="AK1727" t="str">
            <v>TL</v>
          </cell>
          <cell r="AL1727">
            <v>1</v>
          </cell>
          <cell r="AO1727">
            <v>0</v>
          </cell>
          <cell r="AQ1727">
            <v>0</v>
          </cell>
          <cell r="AS1727">
            <v>0</v>
          </cell>
          <cell r="AU1727">
            <v>0</v>
          </cell>
          <cell r="AW1727">
            <v>0</v>
          </cell>
        </row>
        <row r="1728">
          <cell r="B1728" t="str">
            <v>ADFMERY0002-013</v>
          </cell>
          <cell r="C1728" t="str">
            <v>YEŞİL CAM ORTA BOY TOP 13 cm</v>
          </cell>
          <cell r="D1728" t="str">
            <v>GLASS MEDIUM GREEN BALL 13 cm</v>
          </cell>
          <cell r="E1728" t="str">
            <v xml:space="preserve">CAM  YOK YEŞİL YOK   </v>
          </cell>
          <cell r="F1728" t="str">
            <v/>
          </cell>
          <cell r="G1728" t="str">
            <v>AKSESUAR</v>
          </cell>
          <cell r="H1728" t="str">
            <v/>
          </cell>
          <cell r="I1728" t="str">
            <v>İÇ</v>
          </cell>
          <cell r="J1728" t="str">
            <v>AKSESUAR</v>
          </cell>
          <cell r="K1728" t="str">
            <v/>
          </cell>
          <cell r="L1728" t="str">
            <v/>
          </cell>
          <cell r="M1728" t="str">
            <v/>
          </cell>
          <cell r="N1728" t="str">
            <v>HAA-250014</v>
          </cell>
          <cell r="P1728" t="str">
            <v>ADET</v>
          </cell>
          <cell r="R1728" t="str">
            <v>CAM</v>
          </cell>
          <cell r="S1728" t="str">
            <v>YEŞİL</v>
          </cell>
          <cell r="T1728" t="str">
            <v>YOK</v>
          </cell>
          <cell r="U1728" t="str">
            <v>YOK</v>
          </cell>
          <cell r="AD1728" t="str">
            <v>BİBLO</v>
          </cell>
          <cell r="AF1728">
            <v>1</v>
          </cell>
          <cell r="AG1728" t="str">
            <v>ADET</v>
          </cell>
          <cell r="AJ1728">
            <v>2028</v>
          </cell>
          <cell r="AK1728" t="str">
            <v>TL</v>
          </cell>
          <cell r="AL1728">
            <v>1</v>
          </cell>
          <cell r="AO1728">
            <v>0</v>
          </cell>
          <cell r="AQ1728">
            <v>0</v>
          </cell>
          <cell r="AS1728">
            <v>0</v>
          </cell>
          <cell r="AU1728">
            <v>0</v>
          </cell>
          <cell r="AW1728">
            <v>0</v>
          </cell>
        </row>
        <row r="1729">
          <cell r="B1729" t="str">
            <v>AGFMNRBJMG0-025</v>
          </cell>
          <cell r="C1729" t="str">
            <v>TIC TAC TOE OYUN YUVARLAK GOLD  25x25 cm</v>
          </cell>
          <cell r="D1729" t="str">
            <v>TIC TAC TOE GAME ROUND GOLD 25x25 cm</v>
          </cell>
          <cell r="E1729" t="str">
            <v xml:space="preserve">PORSELEN METAL BEYAZ GOLD   </v>
          </cell>
          <cell r="F1729" t="str">
            <v/>
          </cell>
          <cell r="G1729" t="str">
            <v>AKSESUAR</v>
          </cell>
          <cell r="H1729" t="str">
            <v/>
          </cell>
          <cell r="I1729" t="str">
            <v>İÇ</v>
          </cell>
          <cell r="J1729" t="str">
            <v>AKSESUAR</v>
          </cell>
          <cell r="K1729" t="str">
            <v/>
          </cell>
          <cell r="L1729" t="str">
            <v/>
          </cell>
          <cell r="M1729" t="str">
            <v/>
          </cell>
          <cell r="N1729" t="str">
            <v>HAA-250021</v>
          </cell>
          <cell r="P1729" t="str">
            <v>ADET</v>
          </cell>
          <cell r="R1729" t="str">
            <v>PORSELEN</v>
          </cell>
          <cell r="S1729" t="str">
            <v>BEYAZ</v>
          </cell>
          <cell r="T1729" t="str">
            <v>METAL</v>
          </cell>
          <cell r="U1729" t="str">
            <v>GOLD</v>
          </cell>
          <cell r="AF1729">
            <v>0</v>
          </cell>
          <cell r="AG1729" t="str">
            <v>ADET</v>
          </cell>
          <cell r="AJ1729">
            <v>4577</v>
          </cell>
          <cell r="AK1729" t="str">
            <v>TL</v>
          </cell>
          <cell r="AL1729">
            <v>1</v>
          </cell>
          <cell r="AO1729">
            <v>0</v>
          </cell>
          <cell r="AQ1729">
            <v>0</v>
          </cell>
          <cell r="AS1729">
            <v>0</v>
          </cell>
          <cell r="AU1729">
            <v>0</v>
          </cell>
          <cell r="AW1729">
            <v>0</v>
          </cell>
        </row>
        <row r="1730">
          <cell r="B1730" t="str">
            <v>AVFMERVJMN0-060</v>
          </cell>
          <cell r="C1730" t="str">
            <v>ANTİK NİKEL ÜÇLÜ CAM VAZO  60,5x23x26,5 cm</v>
          </cell>
          <cell r="D1730" t="str">
            <v>ANTIQUE NICKEL TRIPLE GLASS VASE 60,5x23x26,5 cm</v>
          </cell>
          <cell r="E1730" t="str">
            <v xml:space="preserve">CAM  METAL KAHVERENGİ NİKEL   </v>
          </cell>
          <cell r="F1730" t="str">
            <v/>
          </cell>
          <cell r="G1730" t="str">
            <v>AKSESUAR</v>
          </cell>
          <cell r="H1730" t="str">
            <v/>
          </cell>
          <cell r="I1730" t="str">
            <v>İÇ</v>
          </cell>
          <cell r="J1730" t="str">
            <v>AKSESUAR</v>
          </cell>
          <cell r="K1730" t="str">
            <v/>
          </cell>
          <cell r="L1730" t="str">
            <v/>
          </cell>
          <cell r="M1730" t="str">
            <v/>
          </cell>
          <cell r="N1730" t="str">
            <v>HAA-250028</v>
          </cell>
          <cell r="P1730" t="str">
            <v>ADET</v>
          </cell>
          <cell r="R1730" t="str">
            <v>CAM</v>
          </cell>
          <cell r="S1730" t="str">
            <v>KAHVERENGİ</v>
          </cell>
          <cell r="T1730" t="str">
            <v>METAL</v>
          </cell>
          <cell r="U1730" t="str">
            <v>NİKEL</v>
          </cell>
          <cell r="AF1730">
            <v>0</v>
          </cell>
          <cell r="AG1730" t="str">
            <v>ADET</v>
          </cell>
          <cell r="AJ1730">
            <v>9655</v>
          </cell>
          <cell r="AK1730" t="str">
            <v>TL</v>
          </cell>
          <cell r="AL1730">
            <v>1</v>
          </cell>
          <cell r="AO1730">
            <v>0</v>
          </cell>
          <cell r="AQ1730">
            <v>0</v>
          </cell>
          <cell r="AS1730">
            <v>0</v>
          </cell>
          <cell r="AU1730">
            <v>0</v>
          </cell>
          <cell r="AW1730">
            <v>0</v>
          </cell>
        </row>
        <row r="1731">
          <cell r="B1731" t="str">
            <v>ADFMJMEWRB0-100</v>
          </cell>
          <cell r="C1731" t="str">
            <v xml:space="preserve">ÜÇLÜ ESKİTME MERMER DEKORATİF TOPLAR </v>
          </cell>
          <cell r="D1731" t="str">
            <v>TRIPLE BRUSHED BRASS MARBLE DECORATIVE BALLS</v>
          </cell>
          <cell r="E1731" t="str">
            <v xml:space="preserve">METAL MERMER NİKEL BEYAZ   </v>
          </cell>
          <cell r="F1731" t="str">
            <v/>
          </cell>
          <cell r="G1731" t="str">
            <v>AKSESUAR</v>
          </cell>
          <cell r="H1731" t="str">
            <v/>
          </cell>
          <cell r="I1731" t="str">
            <v>İÇ</v>
          </cell>
          <cell r="J1731" t="str">
            <v>AKSESUAR</v>
          </cell>
          <cell r="K1731" t="str">
            <v/>
          </cell>
          <cell r="L1731" t="str">
            <v/>
          </cell>
          <cell r="M1731" t="str">
            <v/>
          </cell>
          <cell r="N1731" t="str">
            <v>HAA-250037</v>
          </cell>
          <cell r="P1731" t="str">
            <v>ADET</v>
          </cell>
          <cell r="R1731" t="str">
            <v>METAL</v>
          </cell>
          <cell r="S1731" t="str">
            <v>NİKEL</v>
          </cell>
          <cell r="T1731" t="str">
            <v>MERMER</v>
          </cell>
          <cell r="U1731" t="str">
            <v>BEYAZ</v>
          </cell>
          <cell r="AF1731">
            <v>1</v>
          </cell>
          <cell r="AG1731" t="str">
            <v>ADET</v>
          </cell>
          <cell r="AJ1731">
            <v>11543</v>
          </cell>
          <cell r="AK1731" t="str">
            <v>TL</v>
          </cell>
          <cell r="AL1731">
            <v>1</v>
          </cell>
          <cell r="AO1731">
            <v>0</v>
          </cell>
          <cell r="AQ1731">
            <v>0</v>
          </cell>
          <cell r="AS1731">
            <v>0</v>
          </cell>
          <cell r="AU1731">
            <v>0</v>
          </cell>
          <cell r="AW1731">
            <v>0</v>
          </cell>
        </row>
        <row r="1732">
          <cell r="B1732" t="str">
            <v>MBFRAAWHRBB-067</v>
          </cell>
          <cell r="C1732" t="str">
            <v>TAPIO WENGE AHŞAP BEYAZ BUKLE KUMAŞ BERJER</v>
          </cell>
          <cell r="D1732" t="str">
            <v>TAPIO WENGE WOOD WHITE LOOP FABRIC ARMCHAIR</v>
          </cell>
          <cell r="E1732" t="str">
            <v xml:space="preserve">AHŞAP KUMAŞ WENGE BEYAZ   </v>
          </cell>
          <cell r="F1732" t="str">
            <v/>
          </cell>
          <cell r="G1732" t="str">
            <v>MOBİLYA</v>
          </cell>
          <cell r="H1732" t="str">
            <v/>
          </cell>
          <cell r="I1732" t="str">
            <v>İÇ</v>
          </cell>
          <cell r="J1732" t="str">
            <v>MOBİLYA</v>
          </cell>
          <cell r="K1732" t="str">
            <v/>
          </cell>
          <cell r="L1732" t="str">
            <v/>
          </cell>
          <cell r="M1732" t="str">
            <v>ÜRTM:20GÜN</v>
          </cell>
          <cell r="N1732" t="str">
            <v>HKM-24004</v>
          </cell>
          <cell r="P1732" t="str">
            <v>ADET</v>
          </cell>
          <cell r="R1732" t="str">
            <v>AHŞAP</v>
          </cell>
          <cell r="S1732" t="str">
            <v>WENGE</v>
          </cell>
          <cell r="T1732" t="str">
            <v>KUMAŞ</v>
          </cell>
          <cell r="U1732" t="str">
            <v>BEYAZ</v>
          </cell>
          <cell r="AD1732" t="str">
            <v>BUKLE</v>
          </cell>
          <cell r="AF1732">
            <v>2</v>
          </cell>
          <cell r="AG1732" t="str">
            <v>ADET</v>
          </cell>
          <cell r="AJ1732">
            <v>32950</v>
          </cell>
          <cell r="AK1732" t="str">
            <v>TL</v>
          </cell>
          <cell r="AL1732">
            <v>1</v>
          </cell>
          <cell r="AO1732">
            <v>0</v>
          </cell>
          <cell r="AQ1732">
            <v>0</v>
          </cell>
          <cell r="AS1732">
            <v>0</v>
          </cell>
          <cell r="AU1732">
            <v>0</v>
          </cell>
          <cell r="AW1732">
            <v>0</v>
          </cell>
        </row>
        <row r="1733">
          <cell r="B1733" t="str">
            <v>MAFIURBJRG8-120</v>
          </cell>
          <cell r="C1733" t="str">
            <v xml:space="preserve">PERUN CALACATTA DESENLİ SERAMİK MASA </v>
          </cell>
          <cell r="D1733" t="str">
            <v>PERUN CALACATTA PATTERNED CERAMIC TABLE</v>
          </cell>
          <cell r="E1733" t="str">
            <v xml:space="preserve">SERAMİK METAL BEYAZ GRİ   </v>
          </cell>
          <cell r="F1733" t="str">
            <v/>
          </cell>
          <cell r="G1733" t="str">
            <v>MOBİLYA</v>
          </cell>
          <cell r="H1733" t="str">
            <v/>
          </cell>
          <cell r="I1733" t="str">
            <v>İÇ</v>
          </cell>
          <cell r="J1733" t="str">
            <v>MOBİLYA</v>
          </cell>
          <cell r="K1733" t="str">
            <v>PERUN</v>
          </cell>
          <cell r="L1733" t="str">
            <v/>
          </cell>
          <cell r="M1733" t="str">
            <v/>
          </cell>
          <cell r="N1733" t="str">
            <v>HKM-24011</v>
          </cell>
          <cell r="P1733" t="str">
            <v>ADET</v>
          </cell>
          <cell r="R1733" t="str">
            <v>SERAMİK</v>
          </cell>
          <cell r="S1733" t="str">
            <v>BEYAZ</v>
          </cell>
          <cell r="T1733" t="str">
            <v>METAL</v>
          </cell>
          <cell r="U1733" t="str">
            <v>GRİ</v>
          </cell>
          <cell r="AD1733" t="str">
            <v>DESENLİ</v>
          </cell>
          <cell r="AF1733">
            <v>1</v>
          </cell>
          <cell r="AG1733" t="str">
            <v>ADET</v>
          </cell>
          <cell r="AJ1733">
            <v>55000</v>
          </cell>
          <cell r="AK1733" t="str">
            <v>TL</v>
          </cell>
          <cell r="AL1733">
            <v>1</v>
          </cell>
          <cell r="AO1733">
            <v>0</v>
          </cell>
          <cell r="AQ1733">
            <v>0</v>
          </cell>
          <cell r="AS1733">
            <v>0</v>
          </cell>
          <cell r="AU1733">
            <v>0</v>
          </cell>
          <cell r="AW1733">
            <v>0</v>
          </cell>
        </row>
        <row r="1734">
          <cell r="B1734" t="str">
            <v>H1C3JMNZRNI-016</v>
          </cell>
          <cell r="C1734" t="str">
            <v>RİBE KABARCIKLI VİŞNE RENK TELLİ CAM NİKEL SARKIT</v>
          </cell>
          <cell r="D1734" t="str">
            <v>RİBE BUBBLY CHERRY COLOR GLASS NICKEL WALL LAMP</v>
          </cell>
          <cell r="E1734" t="str">
            <v xml:space="preserve">METAL KABARCIKLI CAM NİKEL VİŞNE RENGİ   </v>
          </cell>
          <cell r="F1734" t="str">
            <v/>
          </cell>
          <cell r="G1734" t="str">
            <v>AVİZE</v>
          </cell>
          <cell r="H1734" t="str">
            <v/>
          </cell>
          <cell r="I1734" t="str">
            <v>İÇ</v>
          </cell>
          <cell r="J1734" t="str">
            <v>AVİZE.SARK</v>
          </cell>
          <cell r="K1734" t="str">
            <v>RİBE</v>
          </cell>
          <cell r="L1734" t="str">
            <v/>
          </cell>
          <cell r="M1734" t="str">
            <v>ÜRTM 3 GÜN</v>
          </cell>
          <cell r="N1734" t="str">
            <v>HKA-24442</v>
          </cell>
          <cell r="O1734" t="str">
            <v>HEKA</v>
          </cell>
          <cell r="P1734" t="str">
            <v>ADET</v>
          </cell>
          <cell r="Q1734" t="str">
            <v>G9</v>
          </cell>
          <cell r="R1734" t="str">
            <v>METAL</v>
          </cell>
          <cell r="S1734" t="str">
            <v>NİKEL</v>
          </cell>
          <cell r="T1734" t="str">
            <v>KABARCIKLI CAM</v>
          </cell>
          <cell r="U1734" t="str">
            <v>VİŞNE RENGİ</v>
          </cell>
          <cell r="AD1734" t="str">
            <v>TELLİ</v>
          </cell>
          <cell r="AE1734" t="str">
            <v>01</v>
          </cell>
          <cell r="AF1734">
            <v>77</v>
          </cell>
          <cell r="AG1734" t="str">
            <v>ADET</v>
          </cell>
          <cell r="AJ1734">
            <v>4950</v>
          </cell>
          <cell r="AK1734" t="str">
            <v>TL</v>
          </cell>
          <cell r="AL1734">
            <v>1</v>
          </cell>
          <cell r="AM1734" t="str">
            <v>8684127514460</v>
          </cell>
          <cell r="AO1734">
            <v>0</v>
          </cell>
          <cell r="AQ1734">
            <v>16</v>
          </cell>
          <cell r="AR1734" t="str">
            <v>CM</v>
          </cell>
          <cell r="AS1734">
            <v>12</v>
          </cell>
          <cell r="AT1734" t="str">
            <v>CM</v>
          </cell>
          <cell r="AU1734">
            <v>0</v>
          </cell>
          <cell r="AW1734">
            <v>0</v>
          </cell>
        </row>
        <row r="1735">
          <cell r="B1735" t="str">
            <v>H1F2JMENRR1-166</v>
          </cell>
          <cell r="C1735" t="str">
            <v>KERAVA ESKİTME KREM RENK PORSELEN LAMBADER</v>
          </cell>
          <cell r="D1735" t="str">
            <v>KERAVA BRUSHED BRASS CREAM COLOR PORCELAIN FLOOR LAMP</v>
          </cell>
          <cell r="E1735" t="str">
            <v xml:space="preserve">METAL PORSELEN ESKİTME KREM   </v>
          </cell>
          <cell r="F1735" t="str">
            <v/>
          </cell>
          <cell r="G1735" t="str">
            <v>LAMBADER</v>
          </cell>
          <cell r="H1735" t="str">
            <v/>
          </cell>
          <cell r="I1735" t="str">
            <v>İÇ</v>
          </cell>
          <cell r="J1735" t="str">
            <v>LAMBADER</v>
          </cell>
          <cell r="K1735" t="str">
            <v>KERAVA</v>
          </cell>
          <cell r="L1735" t="str">
            <v/>
          </cell>
          <cell r="M1735" t="str">
            <v/>
          </cell>
          <cell r="N1735" t="str">
            <v>HKA-24273</v>
          </cell>
          <cell r="O1735" t="str">
            <v>HEKA</v>
          </cell>
          <cell r="P1735" t="str">
            <v>ADET</v>
          </cell>
          <cell r="Q1735" t="str">
            <v>E27</v>
          </cell>
          <cell r="R1735" t="str">
            <v>METAL</v>
          </cell>
          <cell r="S1735" t="str">
            <v>ESKİTME</v>
          </cell>
          <cell r="T1735" t="str">
            <v>PORSELEN</v>
          </cell>
          <cell r="U1735" t="str">
            <v>KREM</v>
          </cell>
          <cell r="AD1735" t="str">
            <v>TEKLİ</v>
          </cell>
          <cell r="AE1735" t="str">
            <v>01</v>
          </cell>
          <cell r="AF1735">
            <v>0</v>
          </cell>
          <cell r="AG1735" t="str">
            <v>ADET</v>
          </cell>
          <cell r="AH1735">
            <v>180.5</v>
          </cell>
          <cell r="AI1735" t="str">
            <v>CNY</v>
          </cell>
          <cell r="AJ1735">
            <v>15200</v>
          </cell>
          <cell r="AK1735" t="str">
            <v>TL</v>
          </cell>
          <cell r="AL1735">
            <v>1</v>
          </cell>
          <cell r="AM1735" t="str">
            <v>8684127514552</v>
          </cell>
          <cell r="AO1735">
            <v>0</v>
          </cell>
          <cell r="AP1735" t="str">
            <v>KG</v>
          </cell>
          <cell r="AQ1735">
            <v>160</v>
          </cell>
          <cell r="AR1735" t="str">
            <v>CM</v>
          </cell>
          <cell r="AS1735">
            <v>43</v>
          </cell>
          <cell r="AT1735" t="str">
            <v>CM</v>
          </cell>
          <cell r="AU1735">
            <v>0</v>
          </cell>
          <cell r="AW1735">
            <v>0</v>
          </cell>
        </row>
        <row r="1736">
          <cell r="B1736" t="str">
            <v>AVFLNRVJMG4-106</v>
          </cell>
          <cell r="C1736" t="str">
            <v>KAHVERENGİ GOLD AY KÜP 106 cm</v>
          </cell>
          <cell r="D1736" t="str">
            <v>BROWN GOLD MOON CUBE 106 cm</v>
          </cell>
          <cell r="E1736" t="str">
            <v xml:space="preserve">PORSELEN METAL KAHVERENGİ GOLD   </v>
          </cell>
          <cell r="F1736" t="str">
            <v/>
          </cell>
          <cell r="G1736" t="str">
            <v>AKSESUAR</v>
          </cell>
          <cell r="H1736" t="str">
            <v/>
          </cell>
          <cell r="I1736" t="str">
            <v>İÇ</v>
          </cell>
          <cell r="J1736" t="str">
            <v>İADE</v>
          </cell>
          <cell r="K1736" t="str">
            <v/>
          </cell>
          <cell r="L1736" t="str">
            <v/>
          </cell>
          <cell r="M1736" t="str">
            <v/>
          </cell>
          <cell r="N1736" t="str">
            <v>HAA-250047</v>
          </cell>
          <cell r="P1736" t="str">
            <v>ADET</v>
          </cell>
          <cell r="R1736" t="str">
            <v>PORSELEN</v>
          </cell>
          <cell r="S1736" t="str">
            <v>KAHVERENGİ</v>
          </cell>
          <cell r="T1736" t="str">
            <v>METAL</v>
          </cell>
          <cell r="U1736" t="str">
            <v>GOLD</v>
          </cell>
          <cell r="AD1736" t="str">
            <v>KÜP</v>
          </cell>
          <cell r="AF1736">
            <v>0</v>
          </cell>
          <cell r="AG1736" t="str">
            <v>ADET</v>
          </cell>
          <cell r="AH1736">
            <v>8690</v>
          </cell>
          <cell r="AI1736" t="str">
            <v>TL</v>
          </cell>
          <cell r="AJ1736">
            <v>20856</v>
          </cell>
          <cell r="AK1736" t="str">
            <v>TL</v>
          </cell>
          <cell r="AL1736">
            <v>1</v>
          </cell>
          <cell r="AO1736">
            <v>0</v>
          </cell>
          <cell r="AQ1736">
            <v>106</v>
          </cell>
          <cell r="AR1736" t="str">
            <v>CM</v>
          </cell>
          <cell r="AS1736">
            <v>0</v>
          </cell>
          <cell r="AU1736">
            <v>0</v>
          </cell>
          <cell r="AW1736">
            <v>0</v>
          </cell>
        </row>
        <row r="1737">
          <cell r="B1737" t="str">
            <v>H1C6JMEERFP-025</v>
          </cell>
          <cell r="C1737" t="str">
            <v>VİYANA FÜME GÖKTAŞI CAM SARKIT 25cm</v>
          </cell>
          <cell r="D1737" t="str">
            <v>VIYANA FÜME METEORITE GLASS PENDANT 25cm</v>
          </cell>
          <cell r="E1737" t="str">
            <v>METAL ESKİTME CAM FÜME</v>
          </cell>
          <cell r="F1737" t="str">
            <v>9405.11.90.00.00</v>
          </cell>
          <cell r="G1737" t="str">
            <v>AVİZE</v>
          </cell>
          <cell r="H1737" t="str">
            <v>T1A6231100-20</v>
          </cell>
          <cell r="I1737" t="str">
            <v>İÇ</v>
          </cell>
          <cell r="J1737" t="str">
            <v>AVİZE.SARK</v>
          </cell>
          <cell r="K1737" t="str">
            <v>VİYANA</v>
          </cell>
          <cell r="L1737" t="str">
            <v/>
          </cell>
          <cell r="M1737" t="str">
            <v/>
          </cell>
          <cell r="N1737" t="str">
            <v>HKA-24425</v>
          </cell>
          <cell r="O1737" t="str">
            <v>HEKA</v>
          </cell>
          <cell r="P1737" t="str">
            <v>ADET</v>
          </cell>
          <cell r="Q1737" t="str">
            <v>PERİ LED</v>
          </cell>
          <cell r="R1737" t="str">
            <v>METAL</v>
          </cell>
          <cell r="S1737" t="str">
            <v>ESKİTME</v>
          </cell>
          <cell r="T1737" t="str">
            <v>CAM</v>
          </cell>
          <cell r="U1737" t="str">
            <v>FÜME</v>
          </cell>
          <cell r="AD1737" t="str">
            <v>POLİGONAL</v>
          </cell>
          <cell r="AF1737">
            <v>100</v>
          </cell>
          <cell r="AG1737" t="str">
            <v>ADET</v>
          </cell>
          <cell r="AH1737">
            <v>75</v>
          </cell>
          <cell r="AI1737" t="str">
            <v>CNY</v>
          </cell>
          <cell r="AJ1737">
            <v>4275</v>
          </cell>
          <cell r="AK1737" t="str">
            <v>TL</v>
          </cell>
          <cell r="AL1737">
            <v>1</v>
          </cell>
          <cell r="AM1737" t="str">
            <v>8684127514781</v>
          </cell>
          <cell r="AO1737">
            <v>0</v>
          </cell>
          <cell r="AQ1737">
            <v>0</v>
          </cell>
          <cell r="AR1737" t="str">
            <v>CM</v>
          </cell>
          <cell r="AS1737">
            <v>0</v>
          </cell>
          <cell r="AT1737" t="str">
            <v>CM</v>
          </cell>
          <cell r="AU1737">
            <v>0</v>
          </cell>
          <cell r="AW1737">
            <v>0</v>
          </cell>
        </row>
        <row r="1738">
          <cell r="B1738" t="str">
            <v>AVFVJRB0005-029</v>
          </cell>
          <cell r="C1738" t="str">
            <v>SERAMİK MODERN VAZO 7x18x29 cm</v>
          </cell>
          <cell r="D1738" t="str">
            <v>CREMAIC MODERN VASE 7x18x29 cm</v>
          </cell>
          <cell r="E1738" t="str">
            <v xml:space="preserve">SERAMİK YOK BEYAZ YOK   </v>
          </cell>
          <cell r="F1738" t="str">
            <v/>
          </cell>
          <cell r="G1738" t="str">
            <v>AKSESUAR</v>
          </cell>
          <cell r="H1738" t="str">
            <v/>
          </cell>
          <cell r="I1738" t="str">
            <v>İÇ</v>
          </cell>
          <cell r="J1738" t="str">
            <v>AKSESUAR</v>
          </cell>
          <cell r="K1738" t="str">
            <v/>
          </cell>
          <cell r="L1738" t="str">
            <v/>
          </cell>
          <cell r="M1738" t="str">
            <v/>
          </cell>
          <cell r="N1738" t="str">
            <v>HAA-250042</v>
          </cell>
          <cell r="P1738" t="str">
            <v>ADET</v>
          </cell>
          <cell r="R1738" t="str">
            <v>SERAMİK</v>
          </cell>
          <cell r="S1738" t="str">
            <v>BEYAZ</v>
          </cell>
          <cell r="AD1738" t="str">
            <v>VAZO</v>
          </cell>
          <cell r="AF1738">
            <v>1</v>
          </cell>
          <cell r="AG1738" t="str">
            <v>ADET</v>
          </cell>
          <cell r="AJ1738">
            <v>2496</v>
          </cell>
          <cell r="AK1738" t="str">
            <v>TL</v>
          </cell>
          <cell r="AL1738">
            <v>1</v>
          </cell>
          <cell r="AO1738">
            <v>0</v>
          </cell>
          <cell r="AQ1738">
            <v>0</v>
          </cell>
          <cell r="AS1738">
            <v>0</v>
          </cell>
          <cell r="AU1738">
            <v>0</v>
          </cell>
          <cell r="AW1738">
            <v>0</v>
          </cell>
        </row>
        <row r="1739">
          <cell r="B1739" t="str">
            <v>ADFMJMGWRG7-053</v>
          </cell>
          <cell r="C1739" t="str">
            <v>GOLD BAMBU AYNA HEYKELİ 40x10x53 cm</v>
          </cell>
          <cell r="D1739" t="str">
            <v>BAMBOO GOLD MIRROR SCULPTURE  40x10x53 cm</v>
          </cell>
          <cell r="E1739" t="str">
            <v xml:space="preserve">METAL MERMER GOLD GRİ   </v>
          </cell>
          <cell r="F1739" t="str">
            <v/>
          </cell>
          <cell r="G1739" t="str">
            <v>AKSESUAR</v>
          </cell>
          <cell r="H1739" t="str">
            <v/>
          </cell>
          <cell r="I1739" t="str">
            <v>İÇ</v>
          </cell>
          <cell r="J1739" t="str">
            <v>AKSESUAR</v>
          </cell>
          <cell r="K1739" t="str">
            <v/>
          </cell>
          <cell r="L1739" t="str">
            <v/>
          </cell>
          <cell r="M1739" t="str">
            <v/>
          </cell>
          <cell r="N1739" t="str">
            <v>HAA-250011</v>
          </cell>
          <cell r="P1739" t="str">
            <v>ADET</v>
          </cell>
          <cell r="R1739" t="str">
            <v>METAL</v>
          </cell>
          <cell r="S1739" t="str">
            <v>GOLD</v>
          </cell>
          <cell r="T1739" t="str">
            <v>MERMER</v>
          </cell>
          <cell r="U1739" t="str">
            <v>GRİ</v>
          </cell>
          <cell r="AD1739" t="str">
            <v>HEYKEL</v>
          </cell>
          <cell r="AF1739">
            <v>0</v>
          </cell>
          <cell r="AG1739" t="str">
            <v>ADET</v>
          </cell>
          <cell r="AJ1739">
            <v>2658</v>
          </cell>
          <cell r="AK1739" t="str">
            <v>TL</v>
          </cell>
          <cell r="AL1739">
            <v>1</v>
          </cell>
          <cell r="AO1739">
            <v>0</v>
          </cell>
          <cell r="AQ1739">
            <v>0</v>
          </cell>
          <cell r="AS1739">
            <v>0</v>
          </cell>
          <cell r="AU1739">
            <v>0</v>
          </cell>
          <cell r="AW1739">
            <v>0</v>
          </cell>
        </row>
        <row r="1740">
          <cell r="B1740" t="str">
            <v>ADFMFRS0008-022</v>
          </cell>
          <cell r="C1740" t="str">
            <v>LONDRA ÜÇLÜ KREM RENGİ KİTAP KUTUSU</v>
          </cell>
          <cell r="D1740" t="str">
            <v>LONDON TRIPLE CREAM COLOR BOOK BOX</v>
          </cell>
          <cell r="E1740" t="str">
            <v xml:space="preserve">MUKAVVA YOK KREM YOK   </v>
          </cell>
          <cell r="F1740" t="str">
            <v/>
          </cell>
          <cell r="G1740" t="str">
            <v>AKSESUAR</v>
          </cell>
          <cell r="H1740" t="str">
            <v/>
          </cell>
          <cell r="I1740" t="str">
            <v>İÇ</v>
          </cell>
          <cell r="J1740" t="str">
            <v>AKSESUAR</v>
          </cell>
          <cell r="K1740" t="str">
            <v/>
          </cell>
          <cell r="L1740" t="str">
            <v/>
          </cell>
          <cell r="M1740" t="str">
            <v/>
          </cell>
          <cell r="N1740" t="str">
            <v>HAA-250024</v>
          </cell>
          <cell r="P1740" t="str">
            <v>ADET</v>
          </cell>
          <cell r="R1740" t="str">
            <v>MUKAVVA</v>
          </cell>
          <cell r="S1740" t="str">
            <v>KREM</v>
          </cell>
          <cell r="AD1740" t="str">
            <v>DESENLİ</v>
          </cell>
          <cell r="AF1740">
            <v>1</v>
          </cell>
          <cell r="AG1740" t="str">
            <v>ADET</v>
          </cell>
          <cell r="AJ1740">
            <v>2850</v>
          </cell>
          <cell r="AK1740" t="str">
            <v>TL</v>
          </cell>
          <cell r="AL1740">
            <v>1</v>
          </cell>
          <cell r="AO1740">
            <v>0</v>
          </cell>
          <cell r="AQ1740">
            <v>0</v>
          </cell>
          <cell r="AS1740">
            <v>0</v>
          </cell>
          <cell r="AU1740">
            <v>0</v>
          </cell>
          <cell r="AW1740">
            <v>0</v>
          </cell>
        </row>
        <row r="1741">
          <cell r="B1741" t="str">
            <v>ADFMERYERM2-063</v>
          </cell>
          <cell r="C1741" t="str">
            <v>YEŞİL MAVİ YAPRAK DEKOR BÜYÜK 13x8x63 cm</v>
          </cell>
          <cell r="D1741" t="str">
            <v>GREEN BLUE LEAF DECOR LARGE 13x8x63 cm</v>
          </cell>
          <cell r="E1741" t="str">
            <v xml:space="preserve">CAM  CAM  YEŞİL MAVİ   </v>
          </cell>
          <cell r="F1741" t="str">
            <v/>
          </cell>
          <cell r="G1741" t="str">
            <v>AKSESUAR</v>
          </cell>
          <cell r="H1741" t="str">
            <v/>
          </cell>
          <cell r="I1741" t="str">
            <v>İÇ</v>
          </cell>
          <cell r="J1741" t="str">
            <v>AKSESUAR</v>
          </cell>
          <cell r="K1741" t="str">
            <v/>
          </cell>
          <cell r="L1741" t="str">
            <v/>
          </cell>
          <cell r="M1741" t="str">
            <v/>
          </cell>
          <cell r="N1741" t="str">
            <v>HAA-250025</v>
          </cell>
          <cell r="P1741" t="str">
            <v>ADET</v>
          </cell>
          <cell r="R1741" t="str">
            <v>CAM</v>
          </cell>
          <cell r="S1741" t="str">
            <v>YEŞİL</v>
          </cell>
          <cell r="T1741" t="str">
            <v>CAM</v>
          </cell>
          <cell r="U1741" t="str">
            <v>MAVİ</v>
          </cell>
          <cell r="AD1741" t="str">
            <v>BİBLO</v>
          </cell>
          <cell r="AF1741">
            <v>0</v>
          </cell>
          <cell r="AG1741" t="str">
            <v>ADET</v>
          </cell>
          <cell r="AJ1741">
            <v>4120</v>
          </cell>
          <cell r="AK1741" t="str">
            <v>TL</v>
          </cell>
          <cell r="AL1741">
            <v>1</v>
          </cell>
          <cell r="AO1741">
            <v>0</v>
          </cell>
          <cell r="AQ1741">
            <v>0</v>
          </cell>
          <cell r="AS1741">
            <v>0</v>
          </cell>
          <cell r="AU1741">
            <v>0</v>
          </cell>
          <cell r="AW1741">
            <v>0</v>
          </cell>
        </row>
        <row r="1742">
          <cell r="B1742" t="str">
            <v>MBFRHRBA00B-080</v>
          </cell>
          <cell r="C1742" t="str">
            <v>MOIR BEYAZ BUKLE KUMAŞ BERJER 80x70x70 cm</v>
          </cell>
          <cell r="D1742" t="str">
            <v>WHITE LOOP FABRIC ARMCHAIR 80x70x70 cm</v>
          </cell>
          <cell r="E1742" t="str">
            <v xml:space="preserve">KUMAŞ AHŞAP BEYAZ YOK   </v>
          </cell>
          <cell r="F1742" t="str">
            <v/>
          </cell>
          <cell r="G1742" t="str">
            <v>MOBİLYA</v>
          </cell>
          <cell r="H1742" t="str">
            <v/>
          </cell>
          <cell r="I1742" t="str">
            <v>İÇ</v>
          </cell>
          <cell r="J1742" t="str">
            <v>MOBİLYA</v>
          </cell>
          <cell r="K1742" t="str">
            <v>MOIR</v>
          </cell>
          <cell r="L1742" t="str">
            <v/>
          </cell>
          <cell r="M1742" t="str">
            <v>ÜRTM:20GÜN</v>
          </cell>
          <cell r="N1742" t="str">
            <v>HKM-24001</v>
          </cell>
          <cell r="P1742" t="str">
            <v>ADET</v>
          </cell>
          <cell r="R1742" t="str">
            <v>KUMAŞ</v>
          </cell>
          <cell r="S1742" t="str">
            <v>BEYAZ</v>
          </cell>
          <cell r="T1742" t="str">
            <v>AHŞAP</v>
          </cell>
          <cell r="AD1742" t="str">
            <v>BUKLE</v>
          </cell>
          <cell r="AF1742">
            <v>2</v>
          </cell>
          <cell r="AG1742" t="str">
            <v>ADET</v>
          </cell>
          <cell r="AJ1742">
            <v>24750</v>
          </cell>
          <cell r="AK1742" t="str">
            <v>TL</v>
          </cell>
          <cell r="AL1742">
            <v>1</v>
          </cell>
          <cell r="AO1742">
            <v>0</v>
          </cell>
          <cell r="AQ1742">
            <v>0</v>
          </cell>
          <cell r="AS1742">
            <v>0</v>
          </cell>
          <cell r="AU1742">
            <v>0</v>
          </cell>
          <cell r="AW1742">
            <v>0</v>
          </cell>
        </row>
        <row r="1743">
          <cell r="B1743" t="str">
            <v>MPFIAACWRS0-060</v>
          </cell>
          <cell r="C1743" t="str">
            <v>MORS CEVİZ AĞACI SİYAH MERMER YAN SEHPA</v>
          </cell>
          <cell r="D1743" t="str">
            <v>PICUS WALNUT WOOD BLACK MARBLE SIDE TABLE</v>
          </cell>
          <cell r="E1743" t="str">
            <v xml:space="preserve">AHŞAP MERMER CEVİZ SİYAH   </v>
          </cell>
          <cell r="F1743" t="str">
            <v/>
          </cell>
          <cell r="G1743" t="str">
            <v>MOBİLYA</v>
          </cell>
          <cell r="H1743" t="str">
            <v/>
          </cell>
          <cell r="I1743" t="str">
            <v>İÇ</v>
          </cell>
          <cell r="J1743" t="str">
            <v>MOBİLYA</v>
          </cell>
          <cell r="K1743" t="str">
            <v>MORS</v>
          </cell>
          <cell r="L1743" t="str">
            <v/>
          </cell>
          <cell r="M1743" t="str">
            <v/>
          </cell>
          <cell r="N1743" t="str">
            <v>HKM-24015</v>
          </cell>
          <cell r="P1743" t="str">
            <v>ADET</v>
          </cell>
          <cell r="R1743" t="str">
            <v>AHŞAP</v>
          </cell>
          <cell r="S1743" t="str">
            <v>CEVİZ</v>
          </cell>
          <cell r="T1743" t="str">
            <v>MERMER</v>
          </cell>
          <cell r="U1743" t="str">
            <v>SİYAH</v>
          </cell>
          <cell r="AG1743" t="str">
            <v>ADET</v>
          </cell>
          <cell r="AL1743">
            <v>1</v>
          </cell>
          <cell r="AO1743">
            <v>0</v>
          </cell>
          <cell r="AQ1743">
            <v>0</v>
          </cell>
          <cell r="AS1743">
            <v>0</v>
          </cell>
          <cell r="AU1743">
            <v>0</v>
          </cell>
          <cell r="AW1743">
            <v>0</v>
          </cell>
        </row>
        <row r="1744">
          <cell r="B1744" t="str">
            <v>MAFGWRBJME0-200</v>
          </cell>
          <cell r="C1744" t="str">
            <v>LATONA BEYAZ MERMER ESKİTME DİKDÖRTGEN MASA</v>
          </cell>
          <cell r="D1744" t="str">
            <v>LATONA WHITE MARBLE BRUSHED BRASS  RECTANGULAR TABLE</v>
          </cell>
          <cell r="E1744" t="str">
            <v xml:space="preserve">MERMER METAL BEYAZ ESKİTME   </v>
          </cell>
          <cell r="F1744" t="str">
            <v/>
          </cell>
          <cell r="G1744" t="str">
            <v>MOBİLYA</v>
          </cell>
          <cell r="H1744" t="str">
            <v/>
          </cell>
          <cell r="I1744" t="str">
            <v>İÇ</v>
          </cell>
          <cell r="J1744" t="str">
            <v>MOBİLYA</v>
          </cell>
          <cell r="K1744" t="str">
            <v>LATONA</v>
          </cell>
          <cell r="L1744" t="str">
            <v/>
          </cell>
          <cell r="M1744" t="str">
            <v/>
          </cell>
          <cell r="N1744" t="str">
            <v>HKM-24017</v>
          </cell>
          <cell r="P1744" t="str">
            <v>ADET</v>
          </cell>
          <cell r="R1744" t="str">
            <v>MERMER</v>
          </cell>
          <cell r="S1744" t="str">
            <v>BEYAZ</v>
          </cell>
          <cell r="T1744" t="str">
            <v>METAL</v>
          </cell>
          <cell r="U1744" t="str">
            <v>ESKİTME</v>
          </cell>
          <cell r="AG1744" t="str">
            <v>ADET</v>
          </cell>
          <cell r="AJ1744">
            <v>44000</v>
          </cell>
          <cell r="AK1744" t="str">
            <v>TL</v>
          </cell>
          <cell r="AL1744">
            <v>1</v>
          </cell>
          <cell r="AO1744">
            <v>0</v>
          </cell>
          <cell r="AQ1744">
            <v>0</v>
          </cell>
          <cell r="AS1744">
            <v>0</v>
          </cell>
          <cell r="AU1744">
            <v>0</v>
          </cell>
          <cell r="AW1744">
            <v>0</v>
          </cell>
        </row>
        <row r="1745">
          <cell r="B1745" t="str">
            <v>ADFAYBJ0000-014</v>
          </cell>
          <cell r="C1745" t="str">
            <v>2 Lİ POLYESTER MOLEKÜL</v>
          </cell>
          <cell r="D1745" t="str">
            <v>DOUBLE POLYESTER MOLECULE</v>
          </cell>
          <cell r="E1745" t="str">
            <v xml:space="preserve">POLYESTER YOK BEJ YOK   </v>
          </cell>
          <cell r="F1745" t="str">
            <v/>
          </cell>
          <cell r="G1745" t="str">
            <v>AKSESUAR</v>
          </cell>
          <cell r="H1745" t="str">
            <v/>
          </cell>
          <cell r="I1745" t="str">
            <v>İÇ</v>
          </cell>
          <cell r="J1745" t="str">
            <v>AKSESUAR</v>
          </cell>
          <cell r="K1745" t="str">
            <v/>
          </cell>
          <cell r="L1745" t="str">
            <v/>
          </cell>
          <cell r="M1745" t="str">
            <v/>
          </cell>
          <cell r="N1745" t="str">
            <v>HAA-250007</v>
          </cell>
          <cell r="P1745" t="str">
            <v>ADET</v>
          </cell>
          <cell r="R1745" t="str">
            <v>POLYESTER</v>
          </cell>
          <cell r="S1745" t="str">
            <v>BEJ</v>
          </cell>
          <cell r="AF1745">
            <v>1</v>
          </cell>
          <cell r="AG1745" t="str">
            <v>ADET</v>
          </cell>
          <cell r="AJ1745">
            <v>2660</v>
          </cell>
          <cell r="AK1745" t="str">
            <v>TL</v>
          </cell>
          <cell r="AL1745">
            <v>1</v>
          </cell>
          <cell r="AO1745">
            <v>0</v>
          </cell>
          <cell r="AQ1745">
            <v>0</v>
          </cell>
          <cell r="AS1745">
            <v>0</v>
          </cell>
          <cell r="AU1745">
            <v>0</v>
          </cell>
          <cell r="AW1745">
            <v>0</v>
          </cell>
        </row>
        <row r="1746">
          <cell r="B1746" t="str">
            <v>ADFAJME0000-043</v>
          </cell>
          <cell r="C1746" t="str">
            <v>2 Lİ DEKORATİF VAZO</v>
          </cell>
          <cell r="D1746" t="str">
            <v>DOUBLE DECORATIVE VASE</v>
          </cell>
          <cell r="E1746" t="str">
            <v xml:space="preserve">METAL YOK ESKİTME YOK   </v>
          </cell>
          <cell r="F1746" t="str">
            <v/>
          </cell>
          <cell r="G1746" t="str">
            <v>AKSESUAR</v>
          </cell>
          <cell r="H1746" t="str">
            <v/>
          </cell>
          <cell r="I1746" t="str">
            <v>İÇ</v>
          </cell>
          <cell r="J1746" t="str">
            <v>AKSESUAR</v>
          </cell>
          <cell r="K1746" t="str">
            <v/>
          </cell>
          <cell r="L1746" t="str">
            <v/>
          </cell>
          <cell r="M1746" t="str">
            <v/>
          </cell>
          <cell r="N1746" t="str">
            <v>HAA-250050</v>
          </cell>
          <cell r="P1746" t="str">
            <v>ADET</v>
          </cell>
          <cell r="R1746" t="str">
            <v>METAL</v>
          </cell>
          <cell r="S1746" t="str">
            <v>ESKİTME</v>
          </cell>
          <cell r="AF1746">
            <v>0</v>
          </cell>
          <cell r="AG1746" t="str">
            <v>ADET</v>
          </cell>
          <cell r="AH1746">
            <v>3100</v>
          </cell>
          <cell r="AI1746" t="str">
            <v>TL</v>
          </cell>
          <cell r="AJ1746">
            <v>7440</v>
          </cell>
          <cell r="AK1746" t="str">
            <v>TL</v>
          </cell>
          <cell r="AL1746">
            <v>1</v>
          </cell>
          <cell r="AO1746">
            <v>0</v>
          </cell>
          <cell r="AQ1746">
            <v>0</v>
          </cell>
          <cell r="AS1746">
            <v>0</v>
          </cell>
          <cell r="AU1746">
            <v>0</v>
          </cell>
          <cell r="AW1746">
            <v>0</v>
          </cell>
        </row>
        <row r="1747">
          <cell r="B1747" t="str">
            <v>CİCEKSEPETİ.VADE</v>
          </cell>
          <cell r="C1747" t="str">
            <v>Vade Farkı</v>
          </cell>
          <cell r="D1747" t="str">
            <v/>
          </cell>
          <cell r="E1747" t="str">
            <v/>
          </cell>
          <cell r="F1747" t="str">
            <v/>
          </cell>
          <cell r="G1747" t="str">
            <v/>
          </cell>
          <cell r="H1747" t="str">
            <v/>
          </cell>
          <cell r="I1747" t="str">
            <v/>
          </cell>
          <cell r="J1747" t="str">
            <v/>
          </cell>
          <cell r="K1747" t="str">
            <v/>
          </cell>
          <cell r="L1747" t="str">
            <v/>
          </cell>
          <cell r="M1747" t="str">
            <v/>
          </cell>
          <cell r="N1747" t="str">
            <v/>
          </cell>
          <cell r="P1747" t="str">
            <v>ADET</v>
          </cell>
          <cell r="AG1747" t="str">
            <v>ADET</v>
          </cell>
          <cell r="AL1747">
            <v>0</v>
          </cell>
          <cell r="AO1747">
            <v>0</v>
          </cell>
          <cell r="AQ1747">
            <v>0</v>
          </cell>
          <cell r="AS1747">
            <v>0</v>
          </cell>
          <cell r="AU1747">
            <v>0</v>
          </cell>
          <cell r="AW1747">
            <v>0</v>
          </cell>
        </row>
        <row r="1748">
          <cell r="B1748" t="str">
            <v>H1C6WRBJME0-085</v>
          </cell>
          <cell r="C1748" t="str">
            <v>TALCA 19 LU BEYAZ MERMER ESKİTME SALON AVİZE</v>
          </cell>
          <cell r="D1748" t="str">
            <v>TALCA 19 WHITE MARBLE BRUSHED BRASS LIVING ROOM CHANDELIER</v>
          </cell>
          <cell r="E1748" t="str">
            <v xml:space="preserve">MERMER METAL BEYAZ ESKİTME   </v>
          </cell>
          <cell r="F1748" t="str">
            <v/>
          </cell>
          <cell r="G1748" t="str">
            <v>AVİZE</v>
          </cell>
          <cell r="H1748" t="str">
            <v/>
          </cell>
          <cell r="I1748" t="str">
            <v>İÇ</v>
          </cell>
          <cell r="J1748" t="str">
            <v>AVİZE</v>
          </cell>
          <cell r="K1748" t="str">
            <v>TALCA</v>
          </cell>
          <cell r="L1748" t="str">
            <v/>
          </cell>
          <cell r="M1748" t="str">
            <v/>
          </cell>
          <cell r="N1748" t="str">
            <v>HKA-24451</v>
          </cell>
          <cell r="O1748" t="str">
            <v>HEKA</v>
          </cell>
          <cell r="P1748" t="str">
            <v>ADET</v>
          </cell>
          <cell r="Q1748" t="str">
            <v>LED</v>
          </cell>
          <cell r="R1748" t="str">
            <v>MERMER</v>
          </cell>
          <cell r="S1748" t="str">
            <v>BEYAZ</v>
          </cell>
          <cell r="T1748" t="str">
            <v>METAL</v>
          </cell>
          <cell r="U1748" t="str">
            <v>ESKİTME</v>
          </cell>
          <cell r="AF1748">
            <v>1</v>
          </cell>
          <cell r="AG1748" t="str">
            <v>ADET</v>
          </cell>
          <cell r="AH1748">
            <v>5500</v>
          </cell>
          <cell r="AI1748" t="str">
            <v>CNY</v>
          </cell>
          <cell r="AJ1748">
            <v>297500</v>
          </cell>
          <cell r="AK1748" t="str">
            <v>TL</v>
          </cell>
          <cell r="AL1748">
            <v>1</v>
          </cell>
          <cell r="AM1748" t="str">
            <v>8684127514842</v>
          </cell>
          <cell r="AO1748">
            <v>0</v>
          </cell>
          <cell r="AQ1748">
            <v>0</v>
          </cell>
          <cell r="AS1748">
            <v>0</v>
          </cell>
          <cell r="AU1748">
            <v>0</v>
          </cell>
          <cell r="AW1748">
            <v>0</v>
          </cell>
        </row>
        <row r="1749">
          <cell r="B1749" t="str">
            <v>T1C2JMR000B-045</v>
          </cell>
          <cell r="C1749" t="str">
            <v>TEKER SARKIT 45 cm</v>
          </cell>
          <cell r="D1749" t="str">
            <v>WHEEL PENDANT 45 cm</v>
          </cell>
          <cell r="E1749" t="str">
            <v xml:space="preserve">METAL YOK KOYU ESKİTME YOK   </v>
          </cell>
          <cell r="F1749" t="str">
            <v/>
          </cell>
          <cell r="G1749" t="str">
            <v>AVİZE</v>
          </cell>
          <cell r="H1749" t="str">
            <v/>
          </cell>
          <cell r="I1749" t="str">
            <v>İÇ</v>
          </cell>
          <cell r="J1749" t="str">
            <v>AVİZE</v>
          </cell>
          <cell r="K1749" t="str">
            <v/>
          </cell>
          <cell r="L1749" t="str">
            <v/>
          </cell>
          <cell r="M1749" t="str">
            <v/>
          </cell>
          <cell r="N1749" t="str">
            <v/>
          </cell>
          <cell r="O1749" t="str">
            <v>ISHI</v>
          </cell>
          <cell r="P1749" t="str">
            <v>ADET</v>
          </cell>
          <cell r="AF1749">
            <v>0</v>
          </cell>
          <cell r="AG1749" t="str">
            <v>ADET</v>
          </cell>
          <cell r="AL1749">
            <v>1</v>
          </cell>
          <cell r="AO1749">
            <v>0</v>
          </cell>
          <cell r="AQ1749">
            <v>0</v>
          </cell>
          <cell r="AS1749">
            <v>0</v>
          </cell>
          <cell r="AU1749">
            <v>0</v>
          </cell>
          <cell r="AW1749">
            <v>0</v>
          </cell>
        </row>
        <row r="1750">
          <cell r="B1750" t="str">
            <v>S1C1JMGECS0-070</v>
          </cell>
          <cell r="C1750" t="str">
            <v>CZZ-02 SEKİZ SİLİNDİR CAMLI AVİZE</v>
          </cell>
          <cell r="D1750" t="str">
            <v/>
          </cell>
          <cell r="E1750" t="str">
            <v xml:space="preserve">METAL CAM  GOLD ŞEFFAF   </v>
          </cell>
          <cell r="F1750" t="str">
            <v/>
          </cell>
          <cell r="G1750" t="str">
            <v>AVİZE</v>
          </cell>
          <cell r="H1750" t="str">
            <v/>
          </cell>
          <cell r="I1750" t="str">
            <v>İÇ</v>
          </cell>
          <cell r="J1750" t="str">
            <v>AVİZE</v>
          </cell>
          <cell r="K1750" t="str">
            <v>CZZ-02</v>
          </cell>
          <cell r="L1750" t="str">
            <v/>
          </cell>
          <cell r="M1750" t="str">
            <v/>
          </cell>
          <cell r="N1750" t="str">
            <v>HKA-25002</v>
          </cell>
          <cell r="P1750" t="str">
            <v>ADET</v>
          </cell>
          <cell r="Q1750" t="str">
            <v>E14</v>
          </cell>
          <cell r="R1750" t="str">
            <v>METAL</v>
          </cell>
          <cell r="S1750" t="str">
            <v>GOLD</v>
          </cell>
          <cell r="T1750" t="str">
            <v>CAM</v>
          </cell>
          <cell r="U1750" t="str">
            <v>ŞEFFAF</v>
          </cell>
          <cell r="AG1750" t="str">
            <v>ADET</v>
          </cell>
          <cell r="AL1750">
            <v>1</v>
          </cell>
          <cell r="AO1750">
            <v>0</v>
          </cell>
          <cell r="AQ1750">
            <v>50</v>
          </cell>
          <cell r="AR1750" t="str">
            <v>CM</v>
          </cell>
          <cell r="AS1750">
            <v>70</v>
          </cell>
          <cell r="AT1750" t="str">
            <v>CM</v>
          </cell>
          <cell r="AU1750">
            <v>0</v>
          </cell>
          <cell r="AW1750">
            <v>0</v>
          </cell>
        </row>
        <row r="1751">
          <cell r="B1751" t="str">
            <v>H1F6JMEERB0-160</v>
          </cell>
          <cell r="C1751" t="str">
            <v>GANA İKİ BEYAZ BUZLU CAM ESKİTME LAMBADER</v>
          </cell>
          <cell r="D1751" t="str">
            <v>GANA TWO WHITE FROSTED GLASS BRUSHED BRASS FLOOR LAMP</v>
          </cell>
          <cell r="E1751" t="str">
            <v xml:space="preserve">METAL CAM  ESKİTME BEYAZ   </v>
          </cell>
          <cell r="F1751" t="str">
            <v/>
          </cell>
          <cell r="G1751" t="str">
            <v>LAMBADER</v>
          </cell>
          <cell r="H1751" t="str">
            <v/>
          </cell>
          <cell r="I1751" t="str">
            <v>İÇ</v>
          </cell>
          <cell r="J1751" t="str">
            <v>LAMBADER</v>
          </cell>
          <cell r="K1751" t="str">
            <v>GANA</v>
          </cell>
          <cell r="L1751" t="str">
            <v/>
          </cell>
          <cell r="M1751" t="str">
            <v/>
          </cell>
          <cell r="N1751" t="str">
            <v>HKA-24509</v>
          </cell>
          <cell r="O1751" t="str">
            <v>HEKA</v>
          </cell>
          <cell r="P1751" t="str">
            <v>ADET</v>
          </cell>
          <cell r="Q1751" t="str">
            <v>LED</v>
          </cell>
          <cell r="R1751" t="str">
            <v>METAL</v>
          </cell>
          <cell r="S1751" t="str">
            <v>ESKİTME</v>
          </cell>
          <cell r="T1751" t="str">
            <v>CAM</v>
          </cell>
          <cell r="U1751" t="str">
            <v>BEYAZ</v>
          </cell>
          <cell r="X1751" t="str">
            <v>220V</v>
          </cell>
          <cell r="Y1751" t="str">
            <v>8 WATT</v>
          </cell>
          <cell r="Z1751" t="str">
            <v>3000 K</v>
          </cell>
          <cell r="AF1751">
            <v>11</v>
          </cell>
          <cell r="AG1751" t="str">
            <v>ADET</v>
          </cell>
          <cell r="AH1751">
            <v>972</v>
          </cell>
          <cell r="AI1751" t="str">
            <v>CNY</v>
          </cell>
          <cell r="AJ1751">
            <v>59900</v>
          </cell>
          <cell r="AK1751" t="str">
            <v>TL</v>
          </cell>
          <cell r="AL1751">
            <v>1</v>
          </cell>
          <cell r="AM1751" t="str">
            <v>8684127514996</v>
          </cell>
          <cell r="AO1751">
            <v>20.3</v>
          </cell>
          <cell r="AP1751" t="str">
            <v>KG</v>
          </cell>
          <cell r="AQ1751">
            <v>160</v>
          </cell>
          <cell r="AR1751" t="str">
            <v>CM</v>
          </cell>
          <cell r="AS1751">
            <v>22</v>
          </cell>
          <cell r="AT1751" t="str">
            <v>CM</v>
          </cell>
          <cell r="AU1751">
            <v>0</v>
          </cell>
          <cell r="AW1751">
            <v>0</v>
          </cell>
        </row>
        <row r="1752">
          <cell r="B1752" t="str">
            <v>H1W6JMRWRB0-079</v>
          </cell>
          <cell r="C1752" t="str">
            <v xml:space="preserve">PONY AT SAÇI KOYU ESKİTME MERMER BÜYÜK APLİK </v>
          </cell>
          <cell r="D1752" t="str">
            <v>PONY HORSE HAIR MARBLE BURSHED BRASS LARGE WALL LAMP</v>
          </cell>
          <cell r="E1752" t="str">
            <v xml:space="preserve">METAL MERMER KOYU ESKİTME BEYAZ   </v>
          </cell>
          <cell r="F1752" t="str">
            <v/>
          </cell>
          <cell r="G1752" t="str">
            <v>APLİK</v>
          </cell>
          <cell r="H1752" t="str">
            <v/>
          </cell>
          <cell r="I1752" t="str">
            <v>İÇ</v>
          </cell>
          <cell r="J1752" t="str">
            <v>APLİK</v>
          </cell>
          <cell r="K1752" t="str">
            <v>PONY</v>
          </cell>
          <cell r="L1752" t="str">
            <v/>
          </cell>
          <cell r="M1752" t="str">
            <v>28.02.2026</v>
          </cell>
          <cell r="N1752" t="str">
            <v>HKA-24579</v>
          </cell>
          <cell r="O1752" t="str">
            <v>HEKA</v>
          </cell>
          <cell r="P1752" t="str">
            <v>ADET</v>
          </cell>
          <cell r="Q1752" t="str">
            <v>LED</v>
          </cell>
          <cell r="R1752" t="str">
            <v>METAL</v>
          </cell>
          <cell r="S1752" t="str">
            <v>KOYU ESKİTME</v>
          </cell>
          <cell r="T1752" t="str">
            <v>MERMER</v>
          </cell>
          <cell r="U1752" t="str">
            <v>BEYAZ</v>
          </cell>
          <cell r="X1752" t="str">
            <v>220V</v>
          </cell>
          <cell r="Y1752" t="str">
            <v>24 WATT</v>
          </cell>
          <cell r="Z1752" t="str">
            <v>3000 K</v>
          </cell>
          <cell r="AA1752" t="str">
            <v>DIMMSIZ</v>
          </cell>
          <cell r="AB1752" t="str">
            <v>1701-1800</v>
          </cell>
          <cell r="AF1752">
            <v>0</v>
          </cell>
          <cell r="AG1752" t="str">
            <v>ADET</v>
          </cell>
          <cell r="AH1752">
            <v>1039.5</v>
          </cell>
          <cell r="AI1752" t="str">
            <v>CNY</v>
          </cell>
          <cell r="AJ1752">
            <v>88900</v>
          </cell>
          <cell r="AK1752" t="str">
            <v>TL</v>
          </cell>
          <cell r="AL1752">
            <v>1</v>
          </cell>
          <cell r="AM1752" t="str">
            <v>8684127515061</v>
          </cell>
          <cell r="AO1752">
            <v>4.51</v>
          </cell>
          <cell r="AP1752" t="str">
            <v>KG</v>
          </cell>
          <cell r="AQ1752">
            <v>11</v>
          </cell>
          <cell r="AR1752" t="str">
            <v>CM</v>
          </cell>
          <cell r="AS1752">
            <v>16</v>
          </cell>
          <cell r="AT1752" t="str">
            <v>CM</v>
          </cell>
          <cell r="AU1752">
            <v>0</v>
          </cell>
          <cell r="AW1752">
            <v>0</v>
          </cell>
        </row>
        <row r="1753">
          <cell r="B1753" t="str">
            <v>H1C6JMEERB0-074</v>
          </cell>
          <cell r="C1753" t="str">
            <v>ZAMBİYA BEYAZ BUZLU CAM ESKİTME SİMİT AVİZE 74cm</v>
          </cell>
          <cell r="D1753" t="str">
            <v>ZAMBİYA WHITE FROSTED GLASS BRUSHED BRASS BAGEL CHANDELIER 74cm</v>
          </cell>
          <cell r="E1753" t="str">
            <v xml:space="preserve">METAL CAM  ESKİTME BUZLU   </v>
          </cell>
          <cell r="F1753" t="str">
            <v/>
          </cell>
          <cell r="G1753" t="str">
            <v>AVİZE</v>
          </cell>
          <cell r="H1753" t="str">
            <v/>
          </cell>
          <cell r="I1753" t="str">
            <v>İÇ</v>
          </cell>
          <cell r="J1753" t="str">
            <v>AVİZE</v>
          </cell>
          <cell r="K1753" t="str">
            <v>ZAMBİYA</v>
          </cell>
          <cell r="L1753" t="str">
            <v>Ç</v>
          </cell>
          <cell r="M1753" t="str">
            <v>28.02.2026</v>
          </cell>
          <cell r="N1753" t="str">
            <v>HKA-24518</v>
          </cell>
          <cell r="O1753" t="str">
            <v>HEKA</v>
          </cell>
          <cell r="P1753" t="str">
            <v>ADET</v>
          </cell>
          <cell r="Q1753" t="str">
            <v>LED</v>
          </cell>
          <cell r="R1753" t="str">
            <v>METAL</v>
          </cell>
          <cell r="S1753" t="str">
            <v>ESKİTME</v>
          </cell>
          <cell r="T1753" t="str">
            <v>CAM</v>
          </cell>
          <cell r="U1753" t="str">
            <v>BUZLU</v>
          </cell>
          <cell r="X1753" t="str">
            <v>220V</v>
          </cell>
          <cell r="Y1753" t="str">
            <v>18 WATT</v>
          </cell>
          <cell r="Z1753" t="str">
            <v>3000 K</v>
          </cell>
          <cell r="AA1753" t="str">
            <v>DIMMSIZ</v>
          </cell>
          <cell r="AF1753">
            <v>13</v>
          </cell>
          <cell r="AG1753" t="str">
            <v>ADET</v>
          </cell>
          <cell r="AH1753">
            <v>2043</v>
          </cell>
          <cell r="AI1753" t="str">
            <v>CNY</v>
          </cell>
          <cell r="AJ1753">
            <v>124900</v>
          </cell>
          <cell r="AK1753" t="str">
            <v>TL</v>
          </cell>
          <cell r="AL1753">
            <v>1</v>
          </cell>
          <cell r="AM1753" t="str">
            <v>8684127515139</v>
          </cell>
          <cell r="AO1753">
            <v>10.6</v>
          </cell>
          <cell r="AP1753" t="str">
            <v>KG</v>
          </cell>
          <cell r="AQ1753">
            <v>10</v>
          </cell>
          <cell r="AR1753" t="str">
            <v>CM</v>
          </cell>
          <cell r="AS1753">
            <v>74</v>
          </cell>
          <cell r="AT1753" t="str">
            <v>CM</v>
          </cell>
          <cell r="AU1753">
            <v>0</v>
          </cell>
          <cell r="AW1753">
            <v>0</v>
          </cell>
        </row>
        <row r="1754">
          <cell r="B1754" t="str">
            <v>H1C6WRBJME0-064</v>
          </cell>
          <cell r="C1754" t="str">
            <v>ALBİNA MERMER ESKİTME DİKEY SARKIT 64cm</v>
          </cell>
          <cell r="D1754" t="str">
            <v>ALBİNA MARBLE BRUSHED BRASS HORIZONTAL PENDANT 64cm</v>
          </cell>
          <cell r="E1754" t="str">
            <v>MERMER METAL BEYAZ ESKİTME</v>
          </cell>
          <cell r="F1754" t="str">
            <v/>
          </cell>
          <cell r="G1754" t="str">
            <v>AVİZE</v>
          </cell>
          <cell r="H1754" t="str">
            <v/>
          </cell>
          <cell r="I1754" t="str">
            <v>İÇ</v>
          </cell>
          <cell r="J1754" t="str">
            <v>AVİZE.SARK</v>
          </cell>
          <cell r="K1754" t="str">
            <v>ALBİNA</v>
          </cell>
          <cell r="L1754" t="str">
            <v/>
          </cell>
          <cell r="M1754" t="str">
            <v/>
          </cell>
          <cell r="N1754" t="str">
            <v>HKA-24535</v>
          </cell>
          <cell r="O1754" t="str">
            <v>HEKA</v>
          </cell>
          <cell r="P1754" t="str">
            <v>ADET</v>
          </cell>
          <cell r="Q1754" t="str">
            <v>LED</v>
          </cell>
          <cell r="R1754" t="str">
            <v>MERMER</v>
          </cell>
          <cell r="S1754" t="str">
            <v>BEYAZ</v>
          </cell>
          <cell r="T1754" t="str">
            <v>METAL</v>
          </cell>
          <cell r="U1754" t="str">
            <v>ESKİTME</v>
          </cell>
          <cell r="X1754" t="str">
            <v>220V</v>
          </cell>
          <cell r="Y1754" t="str">
            <v>10 WATT</v>
          </cell>
          <cell r="Z1754" t="str">
            <v>2500 K</v>
          </cell>
          <cell r="AA1754" t="str">
            <v>DIMMSIZ</v>
          </cell>
          <cell r="AB1754" t="str">
            <v>1201-1300</v>
          </cell>
          <cell r="AF1754">
            <v>150</v>
          </cell>
          <cell r="AG1754" t="str">
            <v>ADET</v>
          </cell>
          <cell r="AH1754">
            <v>260</v>
          </cell>
          <cell r="AI1754" t="str">
            <v>CNY</v>
          </cell>
          <cell r="AJ1754">
            <v>15900</v>
          </cell>
          <cell r="AK1754" t="str">
            <v>TL</v>
          </cell>
          <cell r="AL1754">
            <v>1</v>
          </cell>
          <cell r="AM1754" t="str">
            <v>8684127516365</v>
          </cell>
          <cell r="AO1754">
            <v>0.98</v>
          </cell>
          <cell r="AP1754" t="str">
            <v>KG</v>
          </cell>
          <cell r="AQ1754">
            <v>3.5</v>
          </cell>
          <cell r="AR1754" t="str">
            <v>CM</v>
          </cell>
          <cell r="AS1754">
            <v>3.5</v>
          </cell>
          <cell r="AT1754" t="str">
            <v>CM</v>
          </cell>
          <cell r="AU1754">
            <v>0</v>
          </cell>
          <cell r="AW1754">
            <v>0</v>
          </cell>
        </row>
        <row r="1755">
          <cell r="B1755" t="str">
            <v>H1C6JRGERF0-060</v>
          </cell>
          <cell r="C1755" t="str">
            <v>KAMERUN ALTI FÜME CAMLI GRİ SALON AVİZE 60cm</v>
          </cell>
          <cell r="D1755" t="str">
            <v>KAMERUN SIX SMOKED GLASS GREY LIVING ROOM CHANDELIER 60cm</v>
          </cell>
          <cell r="E1755" t="str">
            <v xml:space="preserve">METAL CAM  GRİ FÜME   </v>
          </cell>
          <cell r="F1755" t="str">
            <v/>
          </cell>
          <cell r="G1755" t="str">
            <v>AVİZE</v>
          </cell>
          <cell r="H1755" t="str">
            <v/>
          </cell>
          <cell r="I1755" t="str">
            <v>İÇ</v>
          </cell>
          <cell r="J1755" t="str">
            <v>AVİZE.AVİZ</v>
          </cell>
          <cell r="K1755" t="str">
            <v>KAMERUN</v>
          </cell>
          <cell r="L1755" t="str">
            <v/>
          </cell>
          <cell r="M1755" t="str">
            <v/>
          </cell>
          <cell r="N1755" t="str">
            <v>HKA-24492</v>
          </cell>
          <cell r="O1755" t="str">
            <v>HEKA</v>
          </cell>
          <cell r="P1755" t="str">
            <v>ADET</v>
          </cell>
          <cell r="Q1755" t="str">
            <v>LED</v>
          </cell>
          <cell r="R1755" t="str">
            <v>METAL</v>
          </cell>
          <cell r="S1755" t="str">
            <v>GRİ</v>
          </cell>
          <cell r="T1755" t="str">
            <v>CAM</v>
          </cell>
          <cell r="U1755" t="str">
            <v>FÜME</v>
          </cell>
          <cell r="X1755" t="str">
            <v>220V</v>
          </cell>
          <cell r="Y1755" t="str">
            <v>70 WATT</v>
          </cell>
          <cell r="AA1755" t="str">
            <v>DIMMSIZ</v>
          </cell>
          <cell r="AF1755">
            <v>1</v>
          </cell>
          <cell r="AG1755" t="str">
            <v>ADET</v>
          </cell>
          <cell r="AH1755">
            <v>660</v>
          </cell>
          <cell r="AI1755" t="str">
            <v>CNY</v>
          </cell>
          <cell r="AL1755">
            <v>1</v>
          </cell>
          <cell r="AM1755" t="str">
            <v>8684127515306</v>
          </cell>
          <cell r="AO1755">
            <v>0</v>
          </cell>
          <cell r="AP1755" t="str">
            <v>KG</v>
          </cell>
          <cell r="AQ1755">
            <v>8</v>
          </cell>
          <cell r="AR1755" t="str">
            <v>CM</v>
          </cell>
          <cell r="AS1755">
            <v>60</v>
          </cell>
          <cell r="AT1755" t="str">
            <v>CM</v>
          </cell>
          <cell r="AU1755">
            <v>0</v>
          </cell>
          <cell r="AW1755">
            <v>0</v>
          </cell>
        </row>
        <row r="1756">
          <cell r="B1756" t="str">
            <v>H1C6ERLERB0-027</v>
          </cell>
          <cell r="C1756" t="str">
            <v>SALVADOR BAL &amp; BEYAZ CAM ESKİTME SARKIT 27cm</v>
          </cell>
          <cell r="D1756" t="str">
            <v>SALVADOR AMBER &amp; WHITE GLASS BRUSHED BRASS PENDANT 27cm</v>
          </cell>
          <cell r="E1756" t="str">
            <v xml:space="preserve">CAM  CAM  BAL BEYAZ   </v>
          </cell>
          <cell r="F1756" t="str">
            <v/>
          </cell>
          <cell r="G1756" t="str">
            <v>AVİZE</v>
          </cell>
          <cell r="H1756" t="str">
            <v/>
          </cell>
          <cell r="I1756" t="str">
            <v>İÇ</v>
          </cell>
          <cell r="J1756" t="str">
            <v>AVİZE.SARK</v>
          </cell>
          <cell r="K1756" t="str">
            <v>SALVADOR</v>
          </cell>
          <cell r="L1756" t="str">
            <v>Ç</v>
          </cell>
          <cell r="M1756" t="str">
            <v/>
          </cell>
          <cell r="N1756" t="str">
            <v>HKA-24530</v>
          </cell>
          <cell r="O1756" t="str">
            <v>HEKA</v>
          </cell>
          <cell r="P1756" t="str">
            <v>ADET</v>
          </cell>
          <cell r="Q1756" t="str">
            <v>LED</v>
          </cell>
          <cell r="R1756" t="str">
            <v>CAM</v>
          </cell>
          <cell r="S1756" t="str">
            <v>BAL</v>
          </cell>
          <cell r="T1756" t="str">
            <v>CAM</v>
          </cell>
          <cell r="U1756" t="str">
            <v>BEYAZ</v>
          </cell>
          <cell r="X1756" t="str">
            <v>110V-220V</v>
          </cell>
          <cell r="Y1756" t="str">
            <v>10 WATT</v>
          </cell>
          <cell r="Z1756" t="str">
            <v>3000 K</v>
          </cell>
          <cell r="AA1756" t="str">
            <v>DIMMSIZ</v>
          </cell>
          <cell r="AB1756" t="str">
            <v>1901-2000</v>
          </cell>
          <cell r="AF1756">
            <v>0</v>
          </cell>
          <cell r="AG1756" t="str">
            <v>ADET</v>
          </cell>
          <cell r="AH1756">
            <v>340</v>
          </cell>
          <cell r="AI1756" t="str">
            <v>CNY</v>
          </cell>
          <cell r="AJ1756">
            <v>23950</v>
          </cell>
          <cell r="AK1756" t="str">
            <v>TL</v>
          </cell>
          <cell r="AL1756">
            <v>1</v>
          </cell>
          <cell r="AM1756" t="str">
            <v>8684127515375</v>
          </cell>
          <cell r="AO1756">
            <v>2.88</v>
          </cell>
          <cell r="AP1756" t="str">
            <v>KG</v>
          </cell>
          <cell r="AQ1756">
            <v>27</v>
          </cell>
          <cell r="AR1756" t="str">
            <v>CM</v>
          </cell>
          <cell r="AS1756">
            <v>34</v>
          </cell>
          <cell r="AT1756" t="str">
            <v>CM</v>
          </cell>
          <cell r="AU1756">
            <v>0</v>
          </cell>
          <cell r="AW1756">
            <v>0</v>
          </cell>
        </row>
        <row r="1757">
          <cell r="B1757" t="str">
            <v>H1C6ECSERB0-040</v>
          </cell>
          <cell r="C1757" t="str">
            <v>SALVADOR ŞEFFAF &amp; BEYAZ CAM ESKİTME SARKIT 40cm</v>
          </cell>
          <cell r="D1757" t="str">
            <v>SALVADOR CLEAR &amp; WHITE GLASS BRUSHED BRASS PENDANT 40cm</v>
          </cell>
          <cell r="E1757" t="str">
            <v xml:space="preserve">CAM  CAM  ŞEFFAF BEYAZ   </v>
          </cell>
          <cell r="F1757" t="str">
            <v/>
          </cell>
          <cell r="G1757" t="str">
            <v>AVİZE</v>
          </cell>
          <cell r="H1757" t="str">
            <v/>
          </cell>
          <cell r="I1757" t="str">
            <v>İÇ</v>
          </cell>
          <cell r="J1757" t="str">
            <v>AVİZE.SARK</v>
          </cell>
          <cell r="K1757" t="str">
            <v>SALVADOR</v>
          </cell>
          <cell r="L1757" t="str">
            <v>Ç</v>
          </cell>
          <cell r="M1757" t="str">
            <v/>
          </cell>
          <cell r="N1757" t="str">
            <v>HKA-24534</v>
          </cell>
          <cell r="O1757" t="str">
            <v>HEKA</v>
          </cell>
          <cell r="P1757" t="str">
            <v>ADET</v>
          </cell>
          <cell r="Q1757" t="str">
            <v>LED</v>
          </cell>
          <cell r="R1757" t="str">
            <v>CAM</v>
          </cell>
          <cell r="S1757" t="str">
            <v>ŞEFFAF</v>
          </cell>
          <cell r="T1757" t="str">
            <v>CAM</v>
          </cell>
          <cell r="U1757" t="str">
            <v>BEYAZ</v>
          </cell>
          <cell r="X1757" t="str">
            <v>110V-220V</v>
          </cell>
          <cell r="Y1757" t="str">
            <v>10 WATT</v>
          </cell>
          <cell r="Z1757" t="str">
            <v>3000 K</v>
          </cell>
          <cell r="AA1757" t="str">
            <v>DIMMSIZ</v>
          </cell>
          <cell r="AB1757" t="str">
            <v>1901-2000</v>
          </cell>
          <cell r="AF1757">
            <v>24</v>
          </cell>
          <cell r="AG1757" t="str">
            <v>ADET</v>
          </cell>
          <cell r="AH1757">
            <v>340</v>
          </cell>
          <cell r="AI1757" t="str">
            <v>CNY</v>
          </cell>
          <cell r="AJ1757">
            <v>23950</v>
          </cell>
          <cell r="AK1757" t="str">
            <v>TL</v>
          </cell>
          <cell r="AL1757">
            <v>1</v>
          </cell>
          <cell r="AM1757" t="str">
            <v>8684127515412</v>
          </cell>
          <cell r="AO1757">
            <v>2.91</v>
          </cell>
          <cell r="AP1757" t="str">
            <v>KG</v>
          </cell>
          <cell r="AQ1757">
            <v>27</v>
          </cell>
          <cell r="AR1757" t="str">
            <v>CM</v>
          </cell>
          <cell r="AS1757">
            <v>27</v>
          </cell>
          <cell r="AT1757" t="str">
            <v>CM</v>
          </cell>
          <cell r="AU1757">
            <v>0</v>
          </cell>
          <cell r="AW1757">
            <v>0</v>
          </cell>
        </row>
        <row r="1758">
          <cell r="B1758" t="str">
            <v>H1C6JMEWRB0-065</v>
          </cell>
          <cell r="C1758" t="str">
            <v>GİNE MERMER TOPLU ESKİTME SALON AVİZE 65cm</v>
          </cell>
          <cell r="D1758" t="str">
            <v>GİNE MARBLE BALLS BRUSHED BRASS LIVING ROOM CHANDELIER 65cm</v>
          </cell>
          <cell r="E1758" t="str">
            <v xml:space="preserve">METAL MERMER ESKİTME BEYAZ   </v>
          </cell>
          <cell r="F1758" t="str">
            <v/>
          </cell>
          <cell r="G1758" t="str">
            <v>AVİZE</v>
          </cell>
          <cell r="H1758" t="str">
            <v/>
          </cell>
          <cell r="I1758" t="str">
            <v>İÇ</v>
          </cell>
          <cell r="J1758" t="str">
            <v>AVİZE</v>
          </cell>
          <cell r="K1758" t="str">
            <v>GİNE</v>
          </cell>
          <cell r="L1758" t="str">
            <v/>
          </cell>
          <cell r="M1758" t="str">
            <v/>
          </cell>
          <cell r="N1758" t="str">
            <v>HKA-24465</v>
          </cell>
          <cell r="O1758" t="str">
            <v>HEKA</v>
          </cell>
          <cell r="P1758" t="str">
            <v>ADET</v>
          </cell>
          <cell r="Q1758" t="str">
            <v>LED</v>
          </cell>
          <cell r="R1758" t="str">
            <v>METAL</v>
          </cell>
          <cell r="S1758" t="str">
            <v>ESKİTME</v>
          </cell>
          <cell r="T1758" t="str">
            <v>MERMER</v>
          </cell>
          <cell r="U1758" t="str">
            <v>BEYAZ</v>
          </cell>
          <cell r="X1758" t="str">
            <v>110V-220V</v>
          </cell>
          <cell r="Y1758" t="str">
            <v>24 WATT</v>
          </cell>
          <cell r="Z1758" t="str">
            <v xml:space="preserve">2700 K </v>
          </cell>
          <cell r="AA1758" t="str">
            <v>DIMMSIZ</v>
          </cell>
          <cell r="AF1758">
            <v>11</v>
          </cell>
          <cell r="AG1758" t="str">
            <v>ADET</v>
          </cell>
          <cell r="AH1758">
            <v>776</v>
          </cell>
          <cell r="AI1758" t="str">
            <v>CNY</v>
          </cell>
          <cell r="AJ1758">
            <v>49000</v>
          </cell>
          <cell r="AK1758" t="str">
            <v>TL</v>
          </cell>
          <cell r="AL1758">
            <v>1</v>
          </cell>
          <cell r="AM1758" t="str">
            <v>8684127515481</v>
          </cell>
          <cell r="AO1758">
            <v>4.4000000000000004</v>
          </cell>
          <cell r="AP1758" t="str">
            <v>KG</v>
          </cell>
          <cell r="AQ1758">
            <v>22</v>
          </cell>
          <cell r="AR1758" t="str">
            <v>CM</v>
          </cell>
          <cell r="AS1758">
            <v>65</v>
          </cell>
          <cell r="AT1758" t="str">
            <v>CM</v>
          </cell>
          <cell r="AU1758">
            <v>0</v>
          </cell>
          <cell r="AW1758">
            <v>0</v>
          </cell>
        </row>
        <row r="1759">
          <cell r="B1759" t="str">
            <v>H1C6JMEWRFP-110</v>
          </cell>
          <cell r="C1759" t="str">
            <v>AZOR ÜÇLÜ MERMER ESKİTME SARKIT</v>
          </cell>
          <cell r="D1759" t="str">
            <v>AZOR TRIPLE MARBLE BRUSHED BRASS PENDANT</v>
          </cell>
          <cell r="E1759" t="str">
            <v xml:space="preserve">METAL MERMER ESKİTME FÜME   </v>
          </cell>
          <cell r="F1759" t="str">
            <v/>
          </cell>
          <cell r="G1759" t="str">
            <v>AVİZE</v>
          </cell>
          <cell r="H1759" t="str">
            <v/>
          </cell>
          <cell r="I1759" t="str">
            <v>İÇ</v>
          </cell>
          <cell r="J1759" t="str">
            <v>AVİZE</v>
          </cell>
          <cell r="K1759" t="str">
            <v>AZOR</v>
          </cell>
          <cell r="L1759" t="str">
            <v/>
          </cell>
          <cell r="M1759" t="str">
            <v/>
          </cell>
          <cell r="N1759" t="str">
            <v>HKA-24526</v>
          </cell>
          <cell r="O1759" t="str">
            <v>HEKA</v>
          </cell>
          <cell r="P1759" t="str">
            <v>ADET</v>
          </cell>
          <cell r="Q1759" t="str">
            <v>LED</v>
          </cell>
          <cell r="R1759" t="str">
            <v>METAL</v>
          </cell>
          <cell r="S1759" t="str">
            <v>ESKİTME</v>
          </cell>
          <cell r="T1759" t="str">
            <v>MERMER</v>
          </cell>
          <cell r="U1759" t="str">
            <v>BEYAZ</v>
          </cell>
          <cell r="X1759" t="str">
            <v>110V-220V</v>
          </cell>
          <cell r="Y1759" t="str">
            <v>12 WATT</v>
          </cell>
          <cell r="Z1759" t="str">
            <v xml:space="preserve">2700 K </v>
          </cell>
          <cell r="AA1759" t="str">
            <v>DIMMSIZ</v>
          </cell>
          <cell r="AB1759" t="str">
            <v>1101-1200</v>
          </cell>
          <cell r="AF1759">
            <v>20</v>
          </cell>
          <cell r="AG1759" t="str">
            <v>ADET</v>
          </cell>
          <cell r="AH1759">
            <v>321.2</v>
          </cell>
          <cell r="AI1759" t="str">
            <v>CNY</v>
          </cell>
          <cell r="AJ1759">
            <v>26900</v>
          </cell>
          <cell r="AK1759" t="str">
            <v>TL</v>
          </cell>
          <cell r="AL1759">
            <v>1</v>
          </cell>
          <cell r="AM1759" t="str">
            <v>8684127515559</v>
          </cell>
          <cell r="AO1759">
            <v>2.6</v>
          </cell>
          <cell r="AP1759" t="str">
            <v>KG</v>
          </cell>
          <cell r="AQ1759">
            <v>16</v>
          </cell>
          <cell r="AR1759" t="str">
            <v>CM</v>
          </cell>
          <cell r="AS1759">
            <v>19</v>
          </cell>
          <cell r="AT1759" t="str">
            <v>CM</v>
          </cell>
          <cell r="AU1759">
            <v>0</v>
          </cell>
          <cell r="AW1759">
            <v>0</v>
          </cell>
        </row>
        <row r="1760">
          <cell r="B1760" t="str">
            <v>H1C6JBJECS0-150</v>
          </cell>
          <cell r="C1760" t="str">
            <v>BERMUDA ŞEFFAF CAM BEJ YEMEK MASASI AVİZE 150cm</v>
          </cell>
          <cell r="D1760" t="str">
            <v>BERMUDA CLEAR GLASS BEIGE DINING ROOM 150cm</v>
          </cell>
          <cell r="E1760" t="str">
            <v xml:space="preserve">METAL CAM  BEJ ŞEFFAF   </v>
          </cell>
          <cell r="F1760" t="str">
            <v/>
          </cell>
          <cell r="G1760" t="str">
            <v>AVİZE</v>
          </cell>
          <cell r="H1760" t="str">
            <v/>
          </cell>
          <cell r="I1760" t="str">
            <v>İÇ</v>
          </cell>
          <cell r="J1760" t="str">
            <v>AVİZE.AVİZ</v>
          </cell>
          <cell r="K1760" t="str">
            <v>BERMUDA</v>
          </cell>
          <cell r="L1760" t="str">
            <v>Ç</v>
          </cell>
          <cell r="M1760" t="str">
            <v>20.04.2026</v>
          </cell>
          <cell r="N1760" t="str">
            <v>HKA-24590</v>
          </cell>
          <cell r="O1760" t="str">
            <v>HEKA</v>
          </cell>
          <cell r="P1760" t="str">
            <v>ADET</v>
          </cell>
          <cell r="Q1760" t="str">
            <v>LED</v>
          </cell>
          <cell r="R1760" t="str">
            <v>METAL</v>
          </cell>
          <cell r="S1760" t="str">
            <v>BEJ</v>
          </cell>
          <cell r="T1760" t="str">
            <v>CAM</v>
          </cell>
          <cell r="U1760" t="str">
            <v>ŞEFFAF</v>
          </cell>
          <cell r="X1760" t="str">
            <v>110V-220V</v>
          </cell>
          <cell r="Y1760" t="str">
            <v>18 WATT</v>
          </cell>
          <cell r="Z1760" t="str">
            <v>3000 K</v>
          </cell>
          <cell r="AA1760" t="str">
            <v>DIMMSIZ</v>
          </cell>
          <cell r="AB1760" t="str">
            <v>1601-1700</v>
          </cell>
          <cell r="AF1760">
            <v>3</v>
          </cell>
          <cell r="AG1760" t="str">
            <v>ADET</v>
          </cell>
          <cell r="AH1760">
            <v>900</v>
          </cell>
          <cell r="AI1760" t="str">
            <v>CNY</v>
          </cell>
          <cell r="AJ1760">
            <v>74900</v>
          </cell>
          <cell r="AK1760" t="str">
            <v>TL</v>
          </cell>
          <cell r="AL1760">
            <v>1</v>
          </cell>
          <cell r="AM1760" t="str">
            <v>8684127515641</v>
          </cell>
          <cell r="AO1760">
            <v>6.51</v>
          </cell>
          <cell r="AP1760" t="str">
            <v>KG</v>
          </cell>
          <cell r="AQ1760">
            <v>8</v>
          </cell>
          <cell r="AR1760" t="str">
            <v>CM</v>
          </cell>
          <cell r="AS1760">
            <v>8</v>
          </cell>
          <cell r="AT1760" t="str">
            <v>CM</v>
          </cell>
          <cell r="AU1760">
            <v>0</v>
          </cell>
          <cell r="AW1760">
            <v>0</v>
          </cell>
        </row>
        <row r="1761">
          <cell r="B1761" t="str">
            <v>ADFAJMK1CS0-030</v>
          </cell>
          <cell r="C1761" t="str">
            <v>2 Lİ KRİSTALLİ DENİZ TOPU GÜMÜŞ</v>
          </cell>
          <cell r="D1761" t="str">
            <v>DOUBLE CRYSTAL BEACH BALL SILVER</v>
          </cell>
          <cell r="E1761" t="str">
            <v xml:space="preserve">METAL KRİSTAL KROM ŞEFFAF   </v>
          </cell>
          <cell r="F1761" t="str">
            <v/>
          </cell>
          <cell r="G1761" t="str">
            <v>AKSESUAR</v>
          </cell>
          <cell r="H1761" t="str">
            <v/>
          </cell>
          <cell r="I1761" t="str">
            <v>İÇ</v>
          </cell>
          <cell r="J1761" t="str">
            <v>AKSESUAR</v>
          </cell>
          <cell r="K1761" t="str">
            <v/>
          </cell>
          <cell r="L1761" t="str">
            <v/>
          </cell>
          <cell r="M1761" t="str">
            <v/>
          </cell>
          <cell r="N1761" t="str">
            <v>HAA-250040</v>
          </cell>
          <cell r="P1761" t="str">
            <v>ADET</v>
          </cell>
          <cell r="R1761" t="str">
            <v>METAL</v>
          </cell>
          <cell r="S1761" t="str">
            <v>ESKİTME</v>
          </cell>
          <cell r="T1761" t="str">
            <v>KRİSTAL</v>
          </cell>
          <cell r="U1761" t="str">
            <v>ŞEFFAF</v>
          </cell>
          <cell r="AF1761">
            <v>1</v>
          </cell>
          <cell r="AG1761" t="str">
            <v>ADET</v>
          </cell>
          <cell r="AJ1761">
            <v>2765</v>
          </cell>
          <cell r="AK1761" t="str">
            <v>TL</v>
          </cell>
          <cell r="AL1761">
            <v>1</v>
          </cell>
          <cell r="AO1761">
            <v>0</v>
          </cell>
          <cell r="AQ1761">
            <v>0</v>
          </cell>
          <cell r="AS1761">
            <v>0</v>
          </cell>
          <cell r="AU1761">
            <v>0</v>
          </cell>
          <cell r="AW1761">
            <v>0</v>
          </cell>
        </row>
        <row r="1762">
          <cell r="B1762" t="str">
            <v>ADFAJME0000-070</v>
          </cell>
          <cell r="C1762" t="str">
            <v>2 Lİ METAL DEKORATİF FENER</v>
          </cell>
          <cell r="D1762" t="str">
            <v>DOUBLE METAL DECORATIVE LANTERN</v>
          </cell>
          <cell r="E1762" t="str">
            <v xml:space="preserve">METAL YOK ESKİTME YOK   </v>
          </cell>
          <cell r="F1762" t="str">
            <v/>
          </cell>
          <cell r="G1762" t="str">
            <v>AKSESUAR</v>
          </cell>
          <cell r="H1762" t="str">
            <v/>
          </cell>
          <cell r="I1762" t="str">
            <v>İÇ</v>
          </cell>
          <cell r="J1762" t="str">
            <v>AKSESUAR</v>
          </cell>
          <cell r="K1762" t="str">
            <v/>
          </cell>
          <cell r="L1762" t="str">
            <v/>
          </cell>
          <cell r="M1762" t="str">
            <v/>
          </cell>
          <cell r="N1762" t="str">
            <v>HAA-250051</v>
          </cell>
          <cell r="P1762" t="str">
            <v>ADET</v>
          </cell>
          <cell r="R1762" t="str">
            <v>METAL</v>
          </cell>
          <cell r="S1762" t="str">
            <v>ESKİTME</v>
          </cell>
          <cell r="AF1762">
            <v>0</v>
          </cell>
          <cell r="AG1762" t="str">
            <v>ADET</v>
          </cell>
          <cell r="AH1762">
            <v>2966.67</v>
          </cell>
          <cell r="AI1762" t="str">
            <v>TL</v>
          </cell>
          <cell r="AJ1762">
            <v>7192</v>
          </cell>
          <cell r="AK1762" t="str">
            <v>TL</v>
          </cell>
          <cell r="AL1762">
            <v>1</v>
          </cell>
          <cell r="AO1762">
            <v>0</v>
          </cell>
          <cell r="AQ1762">
            <v>0</v>
          </cell>
          <cell r="AS1762">
            <v>0</v>
          </cell>
          <cell r="AU1762">
            <v>0</v>
          </cell>
          <cell r="AW1762">
            <v>0</v>
          </cell>
        </row>
        <row r="1763">
          <cell r="B1763" t="str">
            <v>ADY0BCSJMK0-100</v>
          </cell>
          <cell r="C1763" t="str">
            <v>ŞEFFAF AKRİLİK LANGIRT MASASI</v>
          </cell>
          <cell r="D1763" t="str">
            <v>ACRYLIC TRANSPARENT FOOTBALL TABLE</v>
          </cell>
          <cell r="E1763" t="str">
            <v xml:space="preserve">AKRiLİK METAL ŞEFFAF KROM   </v>
          </cell>
          <cell r="F1763" t="str">
            <v/>
          </cell>
          <cell r="G1763" t="str">
            <v>AKSESUAR</v>
          </cell>
          <cell r="H1763" t="str">
            <v/>
          </cell>
          <cell r="I1763" t="str">
            <v>İÇ</v>
          </cell>
          <cell r="J1763" t="str">
            <v>AKSESUAR</v>
          </cell>
          <cell r="K1763" t="str">
            <v/>
          </cell>
          <cell r="L1763" t="str">
            <v/>
          </cell>
          <cell r="M1763" t="str">
            <v/>
          </cell>
          <cell r="N1763" t="str">
            <v>HAA-250001</v>
          </cell>
          <cell r="O1763" t="str">
            <v>HEKA</v>
          </cell>
          <cell r="P1763" t="str">
            <v>ADET</v>
          </cell>
          <cell r="R1763" t="str">
            <v>AKRİLİK</v>
          </cell>
          <cell r="S1763" t="str">
            <v>ŞEFFAF</v>
          </cell>
          <cell r="T1763" t="str">
            <v>METAL</v>
          </cell>
          <cell r="U1763" t="str">
            <v>KROM</v>
          </cell>
          <cell r="AF1763">
            <v>1</v>
          </cell>
          <cell r="AG1763" t="str">
            <v>ADET</v>
          </cell>
          <cell r="AH1763">
            <v>20000</v>
          </cell>
          <cell r="AI1763" t="str">
            <v>TL</v>
          </cell>
          <cell r="AJ1763">
            <v>249000</v>
          </cell>
          <cell r="AK1763" t="str">
            <v>TL</v>
          </cell>
          <cell r="AL1763">
            <v>1</v>
          </cell>
          <cell r="AO1763">
            <v>0</v>
          </cell>
          <cell r="AQ1763">
            <v>0</v>
          </cell>
          <cell r="AS1763">
            <v>0</v>
          </cell>
          <cell r="AU1763">
            <v>0</v>
          </cell>
          <cell r="AW1763">
            <v>0</v>
          </cell>
        </row>
        <row r="1764">
          <cell r="B1764" t="str">
            <v>ADY0CRYARV0-165</v>
          </cell>
          <cell r="C1764" t="str">
            <v>YEŞİL GRAMOFON -  MÜZİK ÇALAR</v>
          </cell>
          <cell r="D1764" t="str">
            <v>GREEN GRAMOPHONE - MUSIC PLAYER</v>
          </cell>
          <cell r="E1764" t="str">
            <v xml:space="preserve">ALUMİNYUM AHŞAP YEŞİL KAHVERENGİ   </v>
          </cell>
          <cell r="F1764" t="str">
            <v/>
          </cell>
          <cell r="G1764" t="str">
            <v>AKSESUAR</v>
          </cell>
          <cell r="H1764" t="str">
            <v/>
          </cell>
          <cell r="I1764" t="str">
            <v>İÇ</v>
          </cell>
          <cell r="J1764" t="str">
            <v>AKSESUAR</v>
          </cell>
          <cell r="K1764" t="str">
            <v/>
          </cell>
          <cell r="L1764" t="str">
            <v/>
          </cell>
          <cell r="M1764" t="str">
            <v/>
          </cell>
          <cell r="N1764" t="str">
            <v>HAA-250002</v>
          </cell>
          <cell r="O1764" t="str">
            <v>HEKA</v>
          </cell>
          <cell r="P1764" t="str">
            <v>ADET</v>
          </cell>
          <cell r="R1764" t="str">
            <v>ALUMİNYUM</v>
          </cell>
          <cell r="S1764" t="str">
            <v>YEŞİL</v>
          </cell>
          <cell r="T1764" t="str">
            <v>AHŞAP</v>
          </cell>
          <cell r="U1764" t="str">
            <v>KAHVERENGİ</v>
          </cell>
          <cell r="AF1764">
            <v>15</v>
          </cell>
          <cell r="AG1764" t="str">
            <v>ADET</v>
          </cell>
          <cell r="AH1764">
            <v>2000</v>
          </cell>
          <cell r="AI1764" t="str">
            <v>CNY</v>
          </cell>
          <cell r="AJ1764">
            <v>119000</v>
          </cell>
          <cell r="AK1764" t="str">
            <v>TL</v>
          </cell>
          <cell r="AL1764">
            <v>1</v>
          </cell>
          <cell r="AO1764">
            <v>0</v>
          </cell>
          <cell r="AQ1764">
            <v>0</v>
          </cell>
          <cell r="AS1764">
            <v>0</v>
          </cell>
          <cell r="AU1764">
            <v>0</v>
          </cell>
          <cell r="AW1764">
            <v>0</v>
          </cell>
        </row>
        <row r="1765">
          <cell r="B1765" t="str">
            <v>S1C1JRFECS0-080</v>
          </cell>
          <cell r="C1765" t="str">
            <v>CZZ-06 SEKİZLİ KOLLU KRİSTAL CAMLI AVİZE</v>
          </cell>
          <cell r="D1765" t="str">
            <v/>
          </cell>
          <cell r="E1765" t="str">
            <v xml:space="preserve">METAL CAM  FÜME ŞEFFAF     </v>
          </cell>
          <cell r="F1765" t="str">
            <v/>
          </cell>
          <cell r="G1765" t="str">
            <v>AVİZE</v>
          </cell>
          <cell r="H1765" t="str">
            <v/>
          </cell>
          <cell r="I1765" t="str">
            <v>İÇ</v>
          </cell>
          <cell r="J1765" t="str">
            <v>AVİZE</v>
          </cell>
          <cell r="K1765" t="str">
            <v>CZZ-06</v>
          </cell>
          <cell r="L1765" t="str">
            <v/>
          </cell>
          <cell r="M1765" t="str">
            <v/>
          </cell>
          <cell r="N1765" t="str">
            <v>HKA-25006</v>
          </cell>
          <cell r="P1765" t="str">
            <v>ADET</v>
          </cell>
          <cell r="Q1765" t="str">
            <v>E14</v>
          </cell>
          <cell r="R1765" t="str">
            <v>METAL</v>
          </cell>
          <cell r="S1765" t="str">
            <v>FÜME</v>
          </cell>
          <cell r="T1765" t="str">
            <v>CAM</v>
          </cell>
          <cell r="U1765" t="str">
            <v>ŞEFFAF</v>
          </cell>
          <cell r="AG1765" t="str">
            <v>ADET</v>
          </cell>
          <cell r="AL1765">
            <v>1</v>
          </cell>
          <cell r="AM1765"/>
          <cell r="AO1765">
            <v>0</v>
          </cell>
          <cell r="AQ1765">
            <v>70</v>
          </cell>
          <cell r="AR1765" t="str">
            <v>CM</v>
          </cell>
          <cell r="AS1765">
            <v>80</v>
          </cell>
          <cell r="AT1765" t="str">
            <v>CM</v>
          </cell>
          <cell r="AU1765">
            <v>0</v>
          </cell>
          <cell r="AW1765">
            <v>0</v>
          </cell>
        </row>
        <row r="1766">
          <cell r="B1766" t="str">
            <v>S1W6JMGECT0-050</v>
          </cell>
          <cell r="C1766" t="str">
            <v>CZZ-09 GOLD BORU APLİK 50cm</v>
          </cell>
          <cell r="D1766" t="str">
            <v/>
          </cell>
          <cell r="E1766" t="str">
            <v xml:space="preserve">METAL CAM  GOLD SOFT   </v>
          </cell>
          <cell r="F1766" t="str">
            <v/>
          </cell>
          <cell r="G1766" t="str">
            <v>APLİK</v>
          </cell>
          <cell r="H1766" t="str">
            <v/>
          </cell>
          <cell r="I1766" t="str">
            <v>İÇ</v>
          </cell>
          <cell r="J1766" t="str">
            <v>APLİK</v>
          </cell>
          <cell r="K1766" t="str">
            <v>CZZ-09</v>
          </cell>
          <cell r="L1766" t="str">
            <v/>
          </cell>
          <cell r="M1766" t="str">
            <v/>
          </cell>
          <cell r="N1766" t="str">
            <v>HKA-25009</v>
          </cell>
          <cell r="P1766" t="str">
            <v>ADET</v>
          </cell>
          <cell r="Q1766" t="str">
            <v>LED</v>
          </cell>
          <cell r="R1766" t="str">
            <v>METAL</v>
          </cell>
          <cell r="S1766" t="str">
            <v>GOLD</v>
          </cell>
          <cell r="T1766" t="str">
            <v>CAM</v>
          </cell>
          <cell r="U1766" t="str">
            <v>SOFT</v>
          </cell>
          <cell r="AG1766" t="str">
            <v>ADET</v>
          </cell>
          <cell r="AL1766">
            <v>1</v>
          </cell>
          <cell r="AO1766">
            <v>0</v>
          </cell>
          <cell r="AQ1766">
            <v>50</v>
          </cell>
          <cell r="AR1766" t="str">
            <v>CM</v>
          </cell>
          <cell r="AS1766">
            <v>5</v>
          </cell>
          <cell r="AT1766" t="str">
            <v>CM</v>
          </cell>
          <cell r="AU1766">
            <v>0</v>
          </cell>
          <cell r="AW1766">
            <v>0</v>
          </cell>
        </row>
        <row r="1767">
          <cell r="B1767" t="str">
            <v>H1C6JMEERB0-043</v>
          </cell>
          <cell r="C1767" t="str">
            <v>GANA İKİ BEYAZ BUZLU CAM ESKİTME SARKIT 43cm</v>
          </cell>
          <cell r="D1767" t="str">
            <v>GANA TWO WHITE FROSTED GLASS BRUSHED BRASS PENDANT 43cm</v>
          </cell>
          <cell r="E1767" t="str">
            <v xml:space="preserve">METAL CAM  ESKİTME BEYAZ   </v>
          </cell>
          <cell r="F1767" t="str">
            <v/>
          </cell>
          <cell r="G1767" t="str">
            <v>AVİZE</v>
          </cell>
          <cell r="H1767" t="str">
            <v/>
          </cell>
          <cell r="I1767" t="str">
            <v>İÇ</v>
          </cell>
          <cell r="J1767" t="str">
            <v>AVİZE</v>
          </cell>
          <cell r="K1767" t="str">
            <v>GANA</v>
          </cell>
          <cell r="L1767" t="str">
            <v/>
          </cell>
          <cell r="M1767" t="str">
            <v/>
          </cell>
          <cell r="N1767" t="str">
            <v>HKA-24504</v>
          </cell>
          <cell r="O1767" t="str">
            <v>HEKA</v>
          </cell>
          <cell r="P1767" t="str">
            <v>ADET</v>
          </cell>
          <cell r="Q1767" t="str">
            <v>LED</v>
          </cell>
          <cell r="R1767" t="str">
            <v>METAL</v>
          </cell>
          <cell r="S1767" t="str">
            <v>ESKİTME</v>
          </cell>
          <cell r="T1767" t="str">
            <v>CAM</v>
          </cell>
          <cell r="U1767" t="str">
            <v>BEYAZ</v>
          </cell>
          <cell r="X1767" t="str">
            <v>220V</v>
          </cell>
          <cell r="Y1767" t="str">
            <v>7 WATT</v>
          </cell>
          <cell r="Z1767" t="str">
            <v>3000 K</v>
          </cell>
          <cell r="AB1767" t="str">
            <v>1201-1300</v>
          </cell>
          <cell r="AF1767">
            <v>74</v>
          </cell>
          <cell r="AG1767" t="str">
            <v>ADET</v>
          </cell>
          <cell r="AH1767">
            <v>459</v>
          </cell>
          <cell r="AI1767" t="str">
            <v>CNY</v>
          </cell>
          <cell r="AJ1767">
            <v>26900</v>
          </cell>
          <cell r="AK1767" t="str">
            <v>TL</v>
          </cell>
          <cell r="AL1767">
            <v>1</v>
          </cell>
          <cell r="AM1767" t="str">
            <v>8684127514965</v>
          </cell>
          <cell r="AO1767">
            <v>5.3</v>
          </cell>
          <cell r="AP1767" t="str">
            <v>KG</v>
          </cell>
          <cell r="AQ1767">
            <v>15</v>
          </cell>
          <cell r="AR1767" t="str">
            <v>CM</v>
          </cell>
          <cell r="AS1767">
            <v>31</v>
          </cell>
          <cell r="AT1767" t="str">
            <v>CM</v>
          </cell>
          <cell r="AU1767">
            <v>0</v>
          </cell>
          <cell r="AW1767">
            <v>0</v>
          </cell>
        </row>
        <row r="1768">
          <cell r="B1768" t="str">
            <v>H1C6JMRWRB0-079</v>
          </cell>
          <cell r="C1768" t="str">
            <v>PONY AT SAÇI KOYU ESKİTME MERMER BÜYÜK SARKIT</v>
          </cell>
          <cell r="D1768" t="str">
            <v>PONY HORSE HAIR MARBLE BURSHED BRASS LARGE PENDANT</v>
          </cell>
          <cell r="E1768" t="str">
            <v xml:space="preserve">METAL MERMER KOYU ESKİTME BEYAZ   </v>
          </cell>
          <cell r="F1768" t="str">
            <v/>
          </cell>
          <cell r="G1768" t="str">
            <v>AVİZE</v>
          </cell>
          <cell r="H1768" t="str">
            <v/>
          </cell>
          <cell r="I1768" t="str">
            <v>İÇ</v>
          </cell>
          <cell r="J1768" t="str">
            <v>AVİZE</v>
          </cell>
          <cell r="K1768" t="str">
            <v>PONY</v>
          </cell>
          <cell r="L1768" t="str">
            <v/>
          </cell>
          <cell r="M1768" t="str">
            <v>28.02.2026</v>
          </cell>
          <cell r="N1768" t="str">
            <v>HKA-24576</v>
          </cell>
          <cell r="O1768" t="str">
            <v>HEKA</v>
          </cell>
          <cell r="P1768" t="str">
            <v>ADET</v>
          </cell>
          <cell r="Q1768" t="str">
            <v>LED</v>
          </cell>
          <cell r="R1768" t="str">
            <v>METAL</v>
          </cell>
          <cell r="S1768" t="str">
            <v>KOYU ESKİTME</v>
          </cell>
          <cell r="T1768" t="str">
            <v>MERMER</v>
          </cell>
          <cell r="U1768" t="str">
            <v>BEYAZ</v>
          </cell>
          <cell r="X1768" t="str">
            <v>220V</v>
          </cell>
          <cell r="Y1768" t="str">
            <v>24 WATT</v>
          </cell>
          <cell r="Z1768" t="str">
            <v>3000 K</v>
          </cell>
          <cell r="AA1768" t="str">
            <v>DIMMSIZ</v>
          </cell>
          <cell r="AB1768" t="str">
            <v>1701-1800</v>
          </cell>
          <cell r="AF1768">
            <v>1</v>
          </cell>
          <cell r="AG1768" t="str">
            <v>ADET</v>
          </cell>
          <cell r="AH1768">
            <v>1039.5</v>
          </cell>
          <cell r="AI1768" t="str">
            <v>CNY</v>
          </cell>
          <cell r="AJ1768">
            <v>88900</v>
          </cell>
          <cell r="AK1768" t="str">
            <v>TL</v>
          </cell>
          <cell r="AL1768">
            <v>1</v>
          </cell>
          <cell r="AM1768" t="str">
            <v>8684127515092</v>
          </cell>
          <cell r="AO1768">
            <v>4.6399999999999997</v>
          </cell>
          <cell r="AP1768" t="str">
            <v>KG</v>
          </cell>
          <cell r="AQ1768">
            <v>11</v>
          </cell>
          <cell r="AR1768" t="str">
            <v>CM</v>
          </cell>
          <cell r="AS1768">
            <v>16</v>
          </cell>
          <cell r="AT1768" t="str">
            <v>CM</v>
          </cell>
          <cell r="AU1768">
            <v>0</v>
          </cell>
          <cell r="AW1768">
            <v>0</v>
          </cell>
        </row>
        <row r="1769">
          <cell r="B1769" t="str">
            <v>H1C6JMRWRB0-052</v>
          </cell>
          <cell r="C1769" t="str">
            <v>PONY İKİLİ AT SAÇI K.ESKİTME MERMER KÜÇÜK SARKIT</v>
          </cell>
          <cell r="D1769" t="str">
            <v>PONY DUAL HORSE HAIR MARBLE RAW BRASS SMALL PENDANT</v>
          </cell>
          <cell r="E1769" t="str">
            <v xml:space="preserve">METAL MERMER KOYU ESKİTME BEYAZ   </v>
          </cell>
          <cell r="F1769" t="str">
            <v/>
          </cell>
          <cell r="G1769" t="str">
            <v>AVİZE</v>
          </cell>
          <cell r="H1769" t="str">
            <v/>
          </cell>
          <cell r="I1769" t="str">
            <v>İÇ</v>
          </cell>
          <cell r="J1769" t="str">
            <v>AVİZE</v>
          </cell>
          <cell r="K1769" t="str">
            <v>PONY</v>
          </cell>
          <cell r="L1769" t="str">
            <v/>
          </cell>
          <cell r="M1769" t="str">
            <v/>
          </cell>
          <cell r="N1769" t="str">
            <v>HKA-24575</v>
          </cell>
          <cell r="O1769" t="str">
            <v>HEKA</v>
          </cell>
          <cell r="P1769" t="str">
            <v>ADET</v>
          </cell>
          <cell r="Q1769" t="str">
            <v>LED</v>
          </cell>
          <cell r="R1769" t="str">
            <v>METAL</v>
          </cell>
          <cell r="S1769" t="str">
            <v>KOYU ESKİTME</v>
          </cell>
          <cell r="T1769" t="str">
            <v>MERMER</v>
          </cell>
          <cell r="U1769" t="str">
            <v>BEYAZ</v>
          </cell>
          <cell r="X1769" t="str">
            <v>220V</v>
          </cell>
          <cell r="Y1769" t="str">
            <v>24 WATT</v>
          </cell>
          <cell r="Z1769" t="str">
            <v>3000 K</v>
          </cell>
          <cell r="AA1769" t="str">
            <v>DIMMSIZ</v>
          </cell>
          <cell r="AB1769" t="str">
            <v>1001-1100</v>
          </cell>
          <cell r="AF1769">
            <v>5</v>
          </cell>
          <cell r="AG1769" t="str">
            <v>ADET</v>
          </cell>
          <cell r="AH1769">
            <v>1809.5</v>
          </cell>
          <cell r="AI1769" t="str">
            <v>CNY</v>
          </cell>
          <cell r="AJ1769">
            <v>149900</v>
          </cell>
          <cell r="AK1769" t="str">
            <v>TL</v>
          </cell>
          <cell r="AL1769">
            <v>1</v>
          </cell>
          <cell r="AM1769" t="str">
            <v>8684127515108</v>
          </cell>
          <cell r="AO1769">
            <v>6.12</v>
          </cell>
          <cell r="AP1769" t="str">
            <v>KG</v>
          </cell>
          <cell r="AQ1769">
            <v>3.5</v>
          </cell>
          <cell r="AR1769" t="str">
            <v>CM</v>
          </cell>
          <cell r="AS1769">
            <v>13</v>
          </cell>
          <cell r="AT1769" t="str">
            <v>CM</v>
          </cell>
          <cell r="AU1769">
            <v>0</v>
          </cell>
          <cell r="AW1769">
            <v>0</v>
          </cell>
        </row>
        <row r="1770">
          <cell r="B1770" t="str">
            <v>H1W6KRGPRBP-054</v>
          </cell>
          <cell r="C1770" t="str">
            <v>MARSİS 2 SIRALI PASLANMAZ PLATİN SALON LED AVİZE</v>
          </cell>
          <cell r="D1770" t="str">
            <v>MARSIS TWO ROW STAINLESS PLATINUM LIVING ROOM LED CHANDELIER</v>
          </cell>
          <cell r="E1770" t="str">
            <v xml:space="preserve">PASLANMAZ SİLİKON PLATİN BEYAZ   </v>
          </cell>
          <cell r="F1770" t="str">
            <v/>
          </cell>
          <cell r="G1770" t="str">
            <v>AVİZE</v>
          </cell>
          <cell r="H1770" t="str">
            <v/>
          </cell>
          <cell r="I1770" t="str">
            <v>İÇ</v>
          </cell>
          <cell r="J1770" t="str">
            <v>AVİZE.AVİZ</v>
          </cell>
          <cell r="K1770" t="str">
            <v>MARSİS</v>
          </cell>
          <cell r="L1770" t="str">
            <v/>
          </cell>
          <cell r="M1770" t="str">
            <v>28.02.2026</v>
          </cell>
          <cell r="N1770" t="str">
            <v>HKA-24478</v>
          </cell>
          <cell r="O1770" t="str">
            <v>HEKA</v>
          </cell>
          <cell r="P1770" t="str">
            <v>ADET</v>
          </cell>
          <cell r="Q1770" t="str">
            <v>LED</v>
          </cell>
          <cell r="R1770" t="str">
            <v>PASLANMAZ</v>
          </cell>
          <cell r="S1770" t="str">
            <v>PLATİN</v>
          </cell>
          <cell r="T1770" t="str">
            <v>SİLİKON</v>
          </cell>
          <cell r="U1770" t="str">
            <v>BEYAZ</v>
          </cell>
          <cell r="AD1770" t="str">
            <v>POLİGONAL</v>
          </cell>
          <cell r="AF1770">
            <v>1</v>
          </cell>
          <cell r="AG1770" t="str">
            <v>ADET</v>
          </cell>
          <cell r="AH1770">
            <v>1012</v>
          </cell>
          <cell r="AI1770" t="str">
            <v>CNY</v>
          </cell>
          <cell r="AJ1770">
            <v>59200</v>
          </cell>
          <cell r="AK1770" t="str">
            <v>TL</v>
          </cell>
          <cell r="AL1770">
            <v>1</v>
          </cell>
          <cell r="AM1770" t="str">
            <v>8684127515276</v>
          </cell>
          <cell r="AO1770">
            <v>5.7</v>
          </cell>
          <cell r="AP1770" t="str">
            <v>KG</v>
          </cell>
          <cell r="AQ1770">
            <v>77</v>
          </cell>
          <cell r="AR1770" t="str">
            <v>CM</v>
          </cell>
          <cell r="AS1770">
            <v>54</v>
          </cell>
          <cell r="AT1770" t="str">
            <v>CM</v>
          </cell>
          <cell r="AU1770">
            <v>0</v>
          </cell>
          <cell r="AW1770">
            <v>0</v>
          </cell>
        </row>
        <row r="1771">
          <cell r="B1771" t="str">
            <v>H1W6JMRWRB0-050</v>
          </cell>
          <cell r="C1771" t="str">
            <v xml:space="preserve">PONY AT SAÇI KOYU ESKİTME MERMER KÜÇÜK APLİK </v>
          </cell>
          <cell r="D1771" t="str">
            <v>PONY HORSE HAIR MARBLE BURSHED BRASS SMALL WALL LAMP</v>
          </cell>
          <cell r="E1771" t="str">
            <v xml:space="preserve">METAL MERMER KOYU ESKİTME BEYAZ   </v>
          </cell>
          <cell r="F1771" t="str">
            <v/>
          </cell>
          <cell r="G1771" t="str">
            <v>APLİK</v>
          </cell>
          <cell r="H1771" t="str">
            <v/>
          </cell>
          <cell r="I1771" t="str">
            <v>İÇ</v>
          </cell>
          <cell r="J1771" t="str">
            <v>APLİK</v>
          </cell>
          <cell r="K1771" t="str">
            <v>PONY</v>
          </cell>
          <cell r="L1771" t="str">
            <v/>
          </cell>
          <cell r="M1771" t="str">
            <v>28.02.2026</v>
          </cell>
          <cell r="N1771" t="str">
            <v>HKA-24578</v>
          </cell>
          <cell r="O1771" t="str">
            <v>HEKA</v>
          </cell>
          <cell r="P1771" t="str">
            <v>ADET</v>
          </cell>
          <cell r="Q1771" t="str">
            <v>LED</v>
          </cell>
          <cell r="R1771" t="str">
            <v>METAL</v>
          </cell>
          <cell r="S1771" t="str">
            <v>KOYU ESKİTME</v>
          </cell>
          <cell r="T1771" t="str">
            <v>MERMER</v>
          </cell>
          <cell r="U1771" t="str">
            <v>BEYAZ</v>
          </cell>
          <cell r="X1771" t="str">
            <v>220V</v>
          </cell>
          <cell r="Y1771" t="str">
            <v>7 WATT</v>
          </cell>
          <cell r="Z1771" t="str">
            <v>3000 K</v>
          </cell>
          <cell r="AA1771" t="str">
            <v>DIMMSIZ</v>
          </cell>
          <cell r="AB1771" t="str">
            <v>801-900</v>
          </cell>
          <cell r="AF1771">
            <v>1</v>
          </cell>
          <cell r="AG1771" t="str">
            <v>ADET</v>
          </cell>
          <cell r="AH1771">
            <v>756</v>
          </cell>
          <cell r="AI1771" t="str">
            <v>CNY</v>
          </cell>
          <cell r="AJ1771">
            <v>59900</v>
          </cell>
          <cell r="AK1771" t="str">
            <v>TL</v>
          </cell>
          <cell r="AL1771">
            <v>1</v>
          </cell>
          <cell r="AM1771" t="str">
            <v>8684127515283</v>
          </cell>
          <cell r="AO1771">
            <v>2.5499999999999998</v>
          </cell>
          <cell r="AP1771" t="str">
            <v>KG</v>
          </cell>
          <cell r="AQ1771">
            <v>10</v>
          </cell>
          <cell r="AR1771" t="str">
            <v>CM</v>
          </cell>
          <cell r="AS1771">
            <v>12.5</v>
          </cell>
          <cell r="AT1771" t="str">
            <v>CM</v>
          </cell>
          <cell r="AU1771">
            <v>0</v>
          </cell>
          <cell r="AW1771">
            <v>0</v>
          </cell>
        </row>
        <row r="1772">
          <cell r="B1772" t="str">
            <v>H1C6ERLJRS0-036</v>
          </cell>
          <cell r="C1772" t="str">
            <v>GAMBİA BAL CAM SİYAH SARKIT 36cm</v>
          </cell>
          <cell r="D1772" t="str">
            <v>GAMBİA AMBER GLASS BLACK PENDANT 36cm</v>
          </cell>
          <cell r="E1772" t="str">
            <v xml:space="preserve">CAM  METAL BAL SİYAH   </v>
          </cell>
          <cell r="F1772" t="str">
            <v/>
          </cell>
          <cell r="G1772" t="str">
            <v>AVİZE</v>
          </cell>
          <cell r="H1772" t="str">
            <v/>
          </cell>
          <cell r="I1772" t="str">
            <v>İÇ</v>
          </cell>
          <cell r="J1772" t="str">
            <v>AVİZE.SARK</v>
          </cell>
          <cell r="K1772" t="str">
            <v>GAMBİA</v>
          </cell>
          <cell r="L1772" t="str">
            <v>Ç</v>
          </cell>
          <cell r="M1772" t="str">
            <v>28.02.2026</v>
          </cell>
          <cell r="N1772" t="str">
            <v>HKA-24477</v>
          </cell>
          <cell r="O1772" t="str">
            <v>HEKA</v>
          </cell>
          <cell r="P1772" t="str">
            <v>ADET</v>
          </cell>
          <cell r="Q1772" t="str">
            <v>LED</v>
          </cell>
          <cell r="R1772" t="str">
            <v>CAM</v>
          </cell>
          <cell r="S1772" t="str">
            <v>BAL</v>
          </cell>
          <cell r="T1772" t="str">
            <v>METAL</v>
          </cell>
          <cell r="U1772" t="str">
            <v>SİYAH</v>
          </cell>
          <cell r="X1772" t="str">
            <v>110V-220V</v>
          </cell>
          <cell r="Y1772" t="str">
            <v>12 WATT</v>
          </cell>
          <cell r="Z1772" t="str">
            <v>2500 K</v>
          </cell>
          <cell r="AA1772" t="str">
            <v>DIMMSIZ</v>
          </cell>
          <cell r="AB1772" t="str">
            <v>1001-1100</v>
          </cell>
          <cell r="AF1772">
            <v>10</v>
          </cell>
          <cell r="AG1772" t="str">
            <v>ADET</v>
          </cell>
          <cell r="AH1772">
            <v>584</v>
          </cell>
          <cell r="AI1772" t="str">
            <v>CNY</v>
          </cell>
          <cell r="AJ1772">
            <v>34450</v>
          </cell>
          <cell r="AK1772" t="str">
            <v>TL</v>
          </cell>
          <cell r="AL1772">
            <v>1</v>
          </cell>
          <cell r="AM1772" t="str">
            <v>8684127515443</v>
          </cell>
          <cell r="AO1772">
            <v>4.32</v>
          </cell>
          <cell r="AP1772" t="str">
            <v>KG</v>
          </cell>
          <cell r="AQ1772">
            <v>25</v>
          </cell>
          <cell r="AR1772" t="str">
            <v>CM</v>
          </cell>
          <cell r="AS1772">
            <v>25</v>
          </cell>
          <cell r="AT1772" t="str">
            <v>CM</v>
          </cell>
          <cell r="AU1772">
            <v>0</v>
          </cell>
          <cell r="AW1772">
            <v>0</v>
          </cell>
        </row>
        <row r="1773">
          <cell r="B1773" t="str">
            <v>H1C6ERLJRS0-030</v>
          </cell>
          <cell r="C1773" t="str">
            <v>GAMBİA BAL CAM SİYAH SARKIT 30cm</v>
          </cell>
          <cell r="D1773" t="str">
            <v>GAMBİA AMBER GLASS BLACK PENDANT 30cm</v>
          </cell>
          <cell r="E1773" t="str">
            <v xml:space="preserve">CAM  METAL BAL SİYAH   </v>
          </cell>
          <cell r="F1773" t="str">
            <v/>
          </cell>
          <cell r="G1773" t="str">
            <v>AVİZE</v>
          </cell>
          <cell r="H1773" t="str">
            <v/>
          </cell>
          <cell r="I1773" t="str">
            <v>İÇ</v>
          </cell>
          <cell r="J1773" t="str">
            <v>AVİZE.SARK</v>
          </cell>
          <cell r="K1773" t="str">
            <v>GAMBİA</v>
          </cell>
          <cell r="L1773" t="str">
            <v/>
          </cell>
          <cell r="M1773" t="str">
            <v>28.02.2026</v>
          </cell>
          <cell r="N1773" t="str">
            <v>HKA-24476</v>
          </cell>
          <cell r="O1773" t="str">
            <v>HEKA</v>
          </cell>
          <cell r="P1773" t="str">
            <v>ADET</v>
          </cell>
          <cell r="Q1773" t="str">
            <v>LED</v>
          </cell>
          <cell r="R1773" t="str">
            <v>CAM</v>
          </cell>
          <cell r="S1773" t="str">
            <v>BAL</v>
          </cell>
          <cell r="T1773" t="str">
            <v>METAL</v>
          </cell>
          <cell r="U1773" t="str">
            <v>SİYAH</v>
          </cell>
          <cell r="X1773" t="str">
            <v>110V-220V</v>
          </cell>
          <cell r="Y1773" t="str">
            <v>11 WATT</v>
          </cell>
          <cell r="Z1773" t="str">
            <v>2500 K</v>
          </cell>
          <cell r="AA1773" t="str">
            <v>DIMMSIZ</v>
          </cell>
          <cell r="AB1773" t="str">
            <v>901-1000</v>
          </cell>
          <cell r="AF1773">
            <v>6</v>
          </cell>
          <cell r="AG1773" t="str">
            <v>ADET</v>
          </cell>
          <cell r="AH1773">
            <v>520</v>
          </cell>
          <cell r="AI1773" t="str">
            <v>CNY</v>
          </cell>
          <cell r="AJ1773">
            <v>30500</v>
          </cell>
          <cell r="AK1773" t="str">
            <v>TL</v>
          </cell>
          <cell r="AL1773">
            <v>1</v>
          </cell>
          <cell r="AM1773" t="str">
            <v>8684127515450</v>
          </cell>
          <cell r="AO1773">
            <v>3.73</v>
          </cell>
          <cell r="AP1773" t="str">
            <v>KG</v>
          </cell>
          <cell r="AQ1773">
            <v>21</v>
          </cell>
          <cell r="AR1773" t="str">
            <v>CM</v>
          </cell>
          <cell r="AS1773">
            <v>20</v>
          </cell>
          <cell r="AT1773" t="str">
            <v>CM</v>
          </cell>
          <cell r="AU1773">
            <v>0</v>
          </cell>
          <cell r="AW1773">
            <v>0</v>
          </cell>
        </row>
        <row r="1774">
          <cell r="B1774" t="str">
            <v>MRF0ERFJMG0-120</v>
          </cell>
          <cell r="C1774" t="str">
            <v>DIANA FÜME CAM METAL GOLD BACAK DRESUAR</v>
          </cell>
          <cell r="D1774" t="str">
            <v>DIANA SMOKY GLASS GOLD METAL LEG DRESSER</v>
          </cell>
          <cell r="E1774" t="str">
            <v>CAM  METAL FÜME GOLD</v>
          </cell>
          <cell r="F1774" t="str">
            <v/>
          </cell>
          <cell r="G1774" t="str">
            <v>MOBİLYA</v>
          </cell>
          <cell r="H1774" t="str">
            <v/>
          </cell>
          <cell r="I1774" t="str">
            <v>İÇ</v>
          </cell>
          <cell r="J1774" t="str">
            <v>MOBİLYA</v>
          </cell>
          <cell r="K1774" t="str">
            <v>DIANA</v>
          </cell>
          <cell r="L1774" t="str">
            <v/>
          </cell>
          <cell r="M1774" t="str">
            <v/>
          </cell>
          <cell r="N1774" t="str">
            <v>HKM-24018</v>
          </cell>
          <cell r="P1774" t="str">
            <v>ADET</v>
          </cell>
          <cell r="R1774" t="str">
            <v>CAM</v>
          </cell>
          <cell r="S1774" t="str">
            <v>FÜME</v>
          </cell>
          <cell r="T1774" t="str">
            <v>METAL</v>
          </cell>
          <cell r="U1774" t="str">
            <v>GOLD</v>
          </cell>
          <cell r="AG1774" t="str">
            <v>ADET</v>
          </cell>
          <cell r="AJ1774">
            <v>24300</v>
          </cell>
          <cell r="AK1774" t="str">
            <v>TL</v>
          </cell>
          <cell r="AL1774">
            <v>1</v>
          </cell>
          <cell r="AO1774">
            <v>0</v>
          </cell>
          <cell r="AQ1774">
            <v>78</v>
          </cell>
          <cell r="AR1774" t="str">
            <v>CM</v>
          </cell>
          <cell r="AS1774">
            <v>40</v>
          </cell>
          <cell r="AT1774" t="str">
            <v>CM</v>
          </cell>
          <cell r="AU1774">
            <v>0</v>
          </cell>
          <cell r="AW1774">
            <v>0</v>
          </cell>
        </row>
        <row r="1775">
          <cell r="B1775" t="str">
            <v>ADFAHBJ0000-027</v>
          </cell>
          <cell r="C1775" t="str">
            <v>DEGAS KUMAŞ KİTAP KUTU</v>
          </cell>
          <cell r="D1775" t="str">
            <v>DEGAS FABRIC BOOK BOX</v>
          </cell>
          <cell r="E1775" t="str">
            <v xml:space="preserve">KUMAŞ YOK BEJ YOK   </v>
          </cell>
          <cell r="F1775" t="str">
            <v/>
          </cell>
          <cell r="G1775" t="str">
            <v>AKSESUAR</v>
          </cell>
          <cell r="H1775" t="str">
            <v/>
          </cell>
          <cell r="I1775" t="str">
            <v>İÇ</v>
          </cell>
          <cell r="J1775" t="str">
            <v>AKSESUAR</v>
          </cell>
          <cell r="K1775" t="str">
            <v>DEGAS</v>
          </cell>
          <cell r="L1775" t="str">
            <v/>
          </cell>
          <cell r="M1775" t="str">
            <v/>
          </cell>
          <cell r="N1775" t="str">
            <v>HAA-250008</v>
          </cell>
          <cell r="P1775" t="str">
            <v>ADET</v>
          </cell>
          <cell r="R1775" t="str">
            <v>KUMAŞ</v>
          </cell>
          <cell r="S1775" t="str">
            <v>BEJ</v>
          </cell>
          <cell r="AF1775">
            <v>1</v>
          </cell>
          <cell r="AG1775" t="str">
            <v>ADET</v>
          </cell>
          <cell r="AJ1775">
            <v>396</v>
          </cell>
          <cell r="AK1775" t="str">
            <v>TL</v>
          </cell>
          <cell r="AL1775">
            <v>1</v>
          </cell>
          <cell r="AO1775">
            <v>0</v>
          </cell>
          <cell r="AQ1775">
            <v>0</v>
          </cell>
          <cell r="AS1775">
            <v>0</v>
          </cell>
          <cell r="AU1775">
            <v>0</v>
          </cell>
          <cell r="AW1775">
            <v>0</v>
          </cell>
        </row>
        <row r="1776">
          <cell r="B1776" t="str">
            <v>H1C6KMPECSR-145</v>
          </cell>
          <cell r="C1776" t="str">
            <v>BERLİN 5 Lİ PLATİN PASLANMAZ ŞEFFAF CAM Y.MASASI A</v>
          </cell>
          <cell r="D1776" t="str">
            <v>BERLİN 5 PLATINUM STEEL CLEAR GLASS DINING ROOM CHANDELIER</v>
          </cell>
          <cell r="E1776" t="str">
            <v xml:space="preserve">PASLANMAZ CAM  PLATİN ŞEFFAF   </v>
          </cell>
          <cell r="F1776" t="str">
            <v/>
          </cell>
          <cell r="G1776" t="str">
            <v>AVİZE</v>
          </cell>
          <cell r="H1776" t="str">
            <v/>
          </cell>
          <cell r="I1776" t="str">
            <v>İÇ</v>
          </cell>
          <cell r="J1776" t="str">
            <v>AVİZE</v>
          </cell>
          <cell r="K1776" t="str">
            <v>BERLİN</v>
          </cell>
          <cell r="L1776" t="str">
            <v>Ç</v>
          </cell>
          <cell r="M1776" t="str">
            <v>30.03.2026</v>
          </cell>
          <cell r="N1776" t="str">
            <v>HKA-24449</v>
          </cell>
          <cell r="O1776" t="str">
            <v>HEKA</v>
          </cell>
          <cell r="P1776" t="str">
            <v>ADET</v>
          </cell>
          <cell r="Q1776" t="str">
            <v>LED</v>
          </cell>
          <cell r="R1776" t="str">
            <v>PASLANMAZ</v>
          </cell>
          <cell r="S1776" t="str">
            <v>PLATİN</v>
          </cell>
          <cell r="T1776" t="str">
            <v>CAM</v>
          </cell>
          <cell r="U1776" t="str">
            <v>ŞEFFAF</v>
          </cell>
          <cell r="X1776" t="str">
            <v>110V-220V</v>
          </cell>
          <cell r="Z1776" t="str">
            <v>3000 K</v>
          </cell>
          <cell r="AF1776">
            <v>8</v>
          </cell>
          <cell r="AG1776" t="str">
            <v>ADET</v>
          </cell>
          <cell r="AH1776">
            <v>875</v>
          </cell>
          <cell r="AI1776" t="str">
            <v>CNY</v>
          </cell>
          <cell r="AJ1776">
            <v>54900</v>
          </cell>
          <cell r="AK1776" t="str">
            <v>TL</v>
          </cell>
          <cell r="AL1776">
            <v>1</v>
          </cell>
          <cell r="AM1776" t="str">
            <v>8684127514750</v>
          </cell>
          <cell r="AO1776">
            <v>0</v>
          </cell>
          <cell r="AQ1776">
            <v>0</v>
          </cell>
          <cell r="AR1776" t="str">
            <v>CM</v>
          </cell>
          <cell r="AS1776">
            <v>0</v>
          </cell>
          <cell r="AT1776" t="str">
            <v>CM</v>
          </cell>
          <cell r="AU1776">
            <v>0</v>
          </cell>
          <cell r="AW1776">
            <v>0</v>
          </cell>
        </row>
        <row r="1777">
          <cell r="B1777" t="str">
            <v>H1F2JMEWRY1-173</v>
          </cell>
          <cell r="C1777" t="str">
            <v>PONZAN YEŞİL MERMER ESKİTME LAMBADER</v>
          </cell>
          <cell r="D1777" t="str">
            <v>PONZAN GREEN MARBLE BURSHED BRASS FLOOR LAMP</v>
          </cell>
          <cell r="E1777" t="str">
            <v xml:space="preserve">METAL MERMER ESKİTME YEŞİL   </v>
          </cell>
          <cell r="F1777" t="str">
            <v/>
          </cell>
          <cell r="G1777" t="str">
            <v>LAMBADER</v>
          </cell>
          <cell r="H1777" t="str">
            <v/>
          </cell>
          <cell r="I1777" t="str">
            <v>İÇ</v>
          </cell>
          <cell r="J1777" t="str">
            <v>LAMBADER</v>
          </cell>
          <cell r="K1777" t="str">
            <v>PONZAN</v>
          </cell>
          <cell r="L1777" t="str">
            <v/>
          </cell>
          <cell r="M1777" t="str">
            <v/>
          </cell>
          <cell r="N1777" t="str">
            <v>HKA-24255</v>
          </cell>
          <cell r="O1777" t="str">
            <v>HEKA</v>
          </cell>
          <cell r="P1777" t="str">
            <v>ADET</v>
          </cell>
          <cell r="Q1777" t="str">
            <v>E27</v>
          </cell>
          <cell r="R1777" t="str">
            <v>METAL</v>
          </cell>
          <cell r="S1777" t="str">
            <v>ESKİTME</v>
          </cell>
          <cell r="T1777" t="str">
            <v>MERMER</v>
          </cell>
          <cell r="U1777" t="str">
            <v>YEŞİL</v>
          </cell>
          <cell r="AD1777" t="str">
            <v>TEKLİ</v>
          </cell>
          <cell r="AE1777" t="str">
            <v>01</v>
          </cell>
          <cell r="AF1777">
            <v>0</v>
          </cell>
          <cell r="AG1777" t="str">
            <v>ADET</v>
          </cell>
          <cell r="AH1777">
            <v>147</v>
          </cell>
          <cell r="AI1777" t="str">
            <v>CNY</v>
          </cell>
          <cell r="AJ1777">
            <v>11850</v>
          </cell>
          <cell r="AK1777" t="str">
            <v>TL</v>
          </cell>
          <cell r="AL1777">
            <v>1</v>
          </cell>
          <cell r="AM1777" t="str">
            <v>8684127514811</v>
          </cell>
          <cell r="AO1777">
            <v>0</v>
          </cell>
          <cell r="AP1777" t="str">
            <v>KG</v>
          </cell>
          <cell r="AQ1777">
            <v>0</v>
          </cell>
          <cell r="AR1777" t="str">
            <v>CM</v>
          </cell>
          <cell r="AS1777">
            <v>0</v>
          </cell>
          <cell r="AT1777" t="str">
            <v>CM</v>
          </cell>
          <cell r="AU1777">
            <v>0</v>
          </cell>
          <cell r="AW1777">
            <v>0</v>
          </cell>
        </row>
        <row r="1778">
          <cell r="B1778" t="str">
            <v>H1W4JMGWRB0-035</v>
          </cell>
          <cell r="C1778" t="str">
            <v xml:space="preserve">BRÜKSEL GOLD MERMER ORTA BOY APLİK </v>
          </cell>
          <cell r="D1778" t="str">
            <v>BRÜKSEL GOLD MARBLE MEDIUM WALL LAMP</v>
          </cell>
          <cell r="E1778" t="str">
            <v xml:space="preserve">METAL MERMER GOLD BEYAZ   </v>
          </cell>
          <cell r="F1778" t="str">
            <v/>
          </cell>
          <cell r="G1778" t="str">
            <v>APLİK</v>
          </cell>
          <cell r="H1778" t="str">
            <v/>
          </cell>
          <cell r="I1778" t="str">
            <v>İÇ</v>
          </cell>
          <cell r="J1778" t="str">
            <v>APLİK</v>
          </cell>
          <cell r="K1778" t="str">
            <v>BRÜKSEL</v>
          </cell>
          <cell r="L1778" t="str">
            <v/>
          </cell>
          <cell r="M1778" t="str">
            <v/>
          </cell>
          <cell r="N1778" t="str">
            <v>HKA-24603</v>
          </cell>
          <cell r="O1778" t="str">
            <v>HEKA</v>
          </cell>
          <cell r="P1778" t="str">
            <v>ADET</v>
          </cell>
          <cell r="Q1778" t="str">
            <v>G4</v>
          </cell>
          <cell r="R1778" t="str">
            <v>METAL</v>
          </cell>
          <cell r="S1778" t="str">
            <v>GOLD</v>
          </cell>
          <cell r="T1778" t="str">
            <v>MERMER</v>
          </cell>
          <cell r="U1778" t="str">
            <v>BEYAZ</v>
          </cell>
          <cell r="AE1778" t="str">
            <v>01</v>
          </cell>
          <cell r="AF1778">
            <v>87</v>
          </cell>
          <cell r="AG1778" t="str">
            <v>ADET</v>
          </cell>
          <cell r="AH1778">
            <v>95</v>
          </cell>
          <cell r="AI1778" t="str">
            <v>CNY</v>
          </cell>
          <cell r="AJ1778">
            <v>6980</v>
          </cell>
          <cell r="AK1778" t="str">
            <v>TL</v>
          </cell>
          <cell r="AL1778">
            <v>0</v>
          </cell>
          <cell r="AM1778" t="str">
            <v>8684127514941</v>
          </cell>
          <cell r="AO1778">
            <v>1</v>
          </cell>
          <cell r="AP1778" t="str">
            <v>KG</v>
          </cell>
          <cell r="AQ1778">
            <v>13</v>
          </cell>
          <cell r="AR1778" t="str">
            <v>CM</v>
          </cell>
          <cell r="AS1778">
            <v>21.5</v>
          </cell>
          <cell r="AT1778" t="str">
            <v>CM</v>
          </cell>
          <cell r="AU1778">
            <v>0</v>
          </cell>
          <cell r="AW1778">
            <v>0</v>
          </cell>
        </row>
        <row r="1779">
          <cell r="B1779" t="str">
            <v>T1F2JMR0000-000</v>
          </cell>
          <cell r="C1779" t="str">
            <v>HAM VERNİKLİ BİSİKLET</v>
          </cell>
          <cell r="D1779" t="str">
            <v>RAW VARNISHED BICYCLE</v>
          </cell>
          <cell r="E1779" t="str">
            <v xml:space="preserve">METAL YOK KOYU ESKİTME YOK   </v>
          </cell>
          <cell r="F1779" t="str">
            <v/>
          </cell>
          <cell r="G1779" t="str">
            <v>LAMBADER</v>
          </cell>
          <cell r="H1779" t="str">
            <v/>
          </cell>
          <cell r="I1779" t="str">
            <v>İÇ</v>
          </cell>
          <cell r="J1779" t="str">
            <v>LAMBADER</v>
          </cell>
          <cell r="K1779" t="str">
            <v/>
          </cell>
          <cell r="L1779" t="str">
            <v/>
          </cell>
          <cell r="M1779" t="str">
            <v/>
          </cell>
          <cell r="N1779" t="str">
            <v/>
          </cell>
          <cell r="P1779" t="str">
            <v>ADET</v>
          </cell>
          <cell r="AF1779">
            <v>0</v>
          </cell>
          <cell r="AG1779" t="str">
            <v>ADET</v>
          </cell>
          <cell r="AL1779">
            <v>1</v>
          </cell>
          <cell r="AO1779">
            <v>0</v>
          </cell>
          <cell r="AQ1779">
            <v>0</v>
          </cell>
          <cell r="AS1779">
            <v>0</v>
          </cell>
          <cell r="AU1779">
            <v>0</v>
          </cell>
          <cell r="AW1779">
            <v>0</v>
          </cell>
        </row>
        <row r="1780">
          <cell r="B1780" t="str">
            <v>S1C6JMGECS0-180</v>
          </cell>
          <cell r="C1780" t="str">
            <v>CZZ-01 KRİSTAL CAM TAŞLI LEDLİ AVİZE</v>
          </cell>
          <cell r="D1780" t="str">
            <v/>
          </cell>
          <cell r="E1780" t="str">
            <v>METAL CAM  GOLD ŞEFFAF</v>
          </cell>
          <cell r="F1780" t="str">
            <v/>
          </cell>
          <cell r="G1780" t="str">
            <v>AVİZE</v>
          </cell>
          <cell r="H1780" t="str">
            <v/>
          </cell>
          <cell r="I1780" t="str">
            <v>İÇ</v>
          </cell>
          <cell r="J1780" t="str">
            <v>AVİZE</v>
          </cell>
          <cell r="K1780" t="str">
            <v>CZZ-01</v>
          </cell>
          <cell r="L1780" t="str">
            <v/>
          </cell>
          <cell r="M1780" t="str">
            <v/>
          </cell>
          <cell r="N1780" t="str">
            <v>HKA-25001</v>
          </cell>
          <cell r="P1780" t="str">
            <v>ADET</v>
          </cell>
          <cell r="Q1780" t="str">
            <v>LED</v>
          </cell>
          <cell r="R1780" t="str">
            <v>METAL</v>
          </cell>
          <cell r="S1780" t="str">
            <v>GOLD</v>
          </cell>
          <cell r="T1780" t="str">
            <v>CAM</v>
          </cell>
          <cell r="U1780" t="str">
            <v>ŞEFFAF</v>
          </cell>
          <cell r="AG1780" t="str">
            <v>ADET</v>
          </cell>
          <cell r="AL1780">
            <v>1</v>
          </cell>
          <cell r="AO1780">
            <v>0</v>
          </cell>
          <cell r="AQ1780">
            <v>10</v>
          </cell>
          <cell r="AR1780" t="str">
            <v>CM</v>
          </cell>
          <cell r="AS1780">
            <v>180</v>
          </cell>
          <cell r="AT1780" t="str">
            <v>CM</v>
          </cell>
          <cell r="AU1780">
            <v>0</v>
          </cell>
          <cell r="AW1780">
            <v>0</v>
          </cell>
        </row>
        <row r="1781">
          <cell r="B1781" t="str">
            <v>H1C2JMEECB0-050</v>
          </cell>
          <cell r="C1781" t="str">
            <v>GANA BEYAZ BUZLU CAM ESKİTME AVİZE 50cm</v>
          </cell>
          <cell r="D1781" t="str">
            <v>GANA WHITE FROSTED GLASS BRUSHED BRASS CANDELIER 50cm</v>
          </cell>
          <cell r="E1781" t="str">
            <v xml:space="preserve">METAL CAM  ESKİTME BUZLU   </v>
          </cell>
          <cell r="F1781" t="str">
            <v/>
          </cell>
          <cell r="G1781" t="str">
            <v>AVİZE</v>
          </cell>
          <cell r="H1781" t="str">
            <v/>
          </cell>
          <cell r="I1781" t="str">
            <v>İÇ</v>
          </cell>
          <cell r="J1781" t="str">
            <v>AVİZE</v>
          </cell>
          <cell r="K1781" t="str">
            <v>GANA</v>
          </cell>
          <cell r="L1781" t="str">
            <v/>
          </cell>
          <cell r="M1781" t="str">
            <v/>
          </cell>
          <cell r="N1781" t="str">
            <v>HKA-24511</v>
          </cell>
          <cell r="O1781" t="str">
            <v>HEKA</v>
          </cell>
          <cell r="P1781" t="str">
            <v>ADET</v>
          </cell>
          <cell r="Q1781" t="str">
            <v>LED</v>
          </cell>
          <cell r="R1781" t="str">
            <v>METAL</v>
          </cell>
          <cell r="S1781" t="str">
            <v>ESKİTME</v>
          </cell>
          <cell r="T1781" t="str">
            <v>CAM</v>
          </cell>
          <cell r="U1781" t="str">
            <v>BUZLU</v>
          </cell>
          <cell r="X1781" t="str">
            <v>110V-220V</v>
          </cell>
          <cell r="AF1781">
            <v>1</v>
          </cell>
          <cell r="AG1781" t="str">
            <v>ADET</v>
          </cell>
          <cell r="AH1781">
            <v>1260</v>
          </cell>
          <cell r="AI1781" t="str">
            <v>CNY</v>
          </cell>
          <cell r="AJ1781">
            <v>74400</v>
          </cell>
          <cell r="AK1781" t="str">
            <v>TL</v>
          </cell>
          <cell r="AL1781">
            <v>1</v>
          </cell>
          <cell r="AM1781" t="str">
            <v>8684127515023</v>
          </cell>
          <cell r="AO1781">
            <v>9.4</v>
          </cell>
          <cell r="AP1781" t="str">
            <v>KG</v>
          </cell>
          <cell r="AQ1781">
            <v>24</v>
          </cell>
          <cell r="AR1781" t="str">
            <v>CM</v>
          </cell>
          <cell r="AS1781">
            <v>50</v>
          </cell>
          <cell r="AT1781" t="str">
            <v>CM</v>
          </cell>
          <cell r="AU1781">
            <v>0</v>
          </cell>
          <cell r="AW1781">
            <v>0</v>
          </cell>
        </row>
        <row r="1782">
          <cell r="B1782" t="str">
            <v>H1T6JMEECB0-042</v>
          </cell>
          <cell r="C1782" t="str">
            <v>ZAMBİYA BEYAZ BUZLU CAM ESKİTME MASA LAMBASI</v>
          </cell>
          <cell r="D1782" t="str">
            <v>ZAMBİYA WHITE FROSTED GLASS BRUSHED BRASS TABLE LAMP</v>
          </cell>
          <cell r="E1782" t="str">
            <v xml:space="preserve">METAL CAM  ESKİTME BUZLU   </v>
          </cell>
          <cell r="F1782" t="str">
            <v/>
          </cell>
          <cell r="G1782" t="str">
            <v>MASAABAJ</v>
          </cell>
          <cell r="H1782" t="str">
            <v/>
          </cell>
          <cell r="I1782" t="str">
            <v>İÇ</v>
          </cell>
          <cell r="J1782" t="str">
            <v>MASAABAJ</v>
          </cell>
          <cell r="K1782" t="str">
            <v>ZAMBİYA</v>
          </cell>
          <cell r="L1782" t="str">
            <v/>
          </cell>
          <cell r="M1782" t="str">
            <v/>
          </cell>
          <cell r="N1782" t="str">
            <v>HKA-24517</v>
          </cell>
          <cell r="O1782" t="str">
            <v>HEKA</v>
          </cell>
          <cell r="P1782" t="str">
            <v>ADET</v>
          </cell>
          <cell r="Q1782" t="str">
            <v>LED</v>
          </cell>
          <cell r="R1782" t="str">
            <v>METAL</v>
          </cell>
          <cell r="S1782" t="str">
            <v>ESKİTME</v>
          </cell>
          <cell r="T1782" t="str">
            <v>CAM</v>
          </cell>
          <cell r="U1782" t="str">
            <v>BUZLU</v>
          </cell>
          <cell r="X1782" t="str">
            <v>220V</v>
          </cell>
          <cell r="Y1782" t="str">
            <v>12 WATT</v>
          </cell>
          <cell r="Z1782" t="str">
            <v>3000 K</v>
          </cell>
          <cell r="AA1782" t="str">
            <v>DIMMSIZ</v>
          </cell>
          <cell r="AB1782" t="str">
            <v>401-500</v>
          </cell>
          <cell r="AF1782">
            <v>5</v>
          </cell>
          <cell r="AG1782" t="str">
            <v>ADET</v>
          </cell>
          <cell r="AH1782">
            <v>450</v>
          </cell>
          <cell r="AI1782" t="str">
            <v>CNY</v>
          </cell>
          <cell r="AJ1782">
            <v>29000</v>
          </cell>
          <cell r="AK1782" t="str">
            <v>TL</v>
          </cell>
          <cell r="AL1782">
            <v>1</v>
          </cell>
          <cell r="AM1782" t="str">
            <v>8684127515047</v>
          </cell>
          <cell r="AO1782">
            <v>4.75</v>
          </cell>
          <cell r="AP1782" t="str">
            <v>KG</v>
          </cell>
          <cell r="AQ1782">
            <v>21</v>
          </cell>
          <cell r="AR1782" t="str">
            <v>CM</v>
          </cell>
          <cell r="AS1782">
            <v>21</v>
          </cell>
          <cell r="AT1782" t="str">
            <v>CM</v>
          </cell>
          <cell r="AU1782">
            <v>0</v>
          </cell>
          <cell r="AW1782">
            <v>0</v>
          </cell>
        </row>
        <row r="1783">
          <cell r="B1783" t="str">
            <v>H1C6JMEERB0-120</v>
          </cell>
          <cell r="C1783" t="str">
            <v>ZAMBİYA BEYAZ BUZLU CAM ESKİTME YATAY SARKIT 120cm</v>
          </cell>
          <cell r="D1783" t="str">
            <v>ZAMBİYA WHITE FROSTED GLASS BRUSHED BRASS VERTICAL PENDANT 120cm</v>
          </cell>
          <cell r="E1783" t="str">
            <v xml:space="preserve">METAL CAM  ESKİTME BUZLU   </v>
          </cell>
          <cell r="F1783" t="str">
            <v/>
          </cell>
          <cell r="G1783" t="str">
            <v>AVİZE</v>
          </cell>
          <cell r="H1783" t="str">
            <v/>
          </cell>
          <cell r="I1783" t="str">
            <v>İÇ</v>
          </cell>
          <cell r="J1783" t="str">
            <v>AVİZE.SARK</v>
          </cell>
          <cell r="K1783" t="str">
            <v>ZAMBİYA</v>
          </cell>
          <cell r="L1783" t="str">
            <v/>
          </cell>
          <cell r="M1783" t="str">
            <v>28.02.2026</v>
          </cell>
          <cell r="N1783" t="str">
            <v>HKA-24513</v>
          </cell>
          <cell r="O1783" t="str">
            <v>HEKA</v>
          </cell>
          <cell r="P1783" t="str">
            <v>ADET</v>
          </cell>
          <cell r="Q1783" t="str">
            <v>LED</v>
          </cell>
          <cell r="R1783" t="str">
            <v>METAL</v>
          </cell>
          <cell r="S1783" t="str">
            <v>ESKİTME</v>
          </cell>
          <cell r="T1783" t="str">
            <v>CAM</v>
          </cell>
          <cell r="U1783" t="str">
            <v>BUZLU</v>
          </cell>
          <cell r="X1783" t="str">
            <v>220V</v>
          </cell>
          <cell r="Z1783" t="str">
            <v>3000 K</v>
          </cell>
          <cell r="AA1783" t="str">
            <v>DIMMSIZ</v>
          </cell>
          <cell r="AF1783">
            <v>7</v>
          </cell>
          <cell r="AG1783" t="str">
            <v>ADET</v>
          </cell>
          <cell r="AH1783">
            <v>1188</v>
          </cell>
          <cell r="AI1783" t="str">
            <v>CNY</v>
          </cell>
          <cell r="AJ1783">
            <v>99000</v>
          </cell>
          <cell r="AK1783" t="str">
            <v>TL</v>
          </cell>
          <cell r="AL1783">
            <v>1</v>
          </cell>
          <cell r="AM1783" t="str">
            <v>8684127515177</v>
          </cell>
          <cell r="AO1783">
            <v>10</v>
          </cell>
          <cell r="AP1783" t="str">
            <v>KG</v>
          </cell>
          <cell r="AQ1783">
            <v>10</v>
          </cell>
          <cell r="AR1783" t="str">
            <v>CM</v>
          </cell>
          <cell r="AS1783">
            <v>11</v>
          </cell>
          <cell r="AT1783" t="str">
            <v>CM</v>
          </cell>
          <cell r="AU1783">
            <v>0</v>
          </cell>
          <cell r="AW1783">
            <v>0</v>
          </cell>
        </row>
        <row r="1784">
          <cell r="B1784" t="str">
            <v>H1C6ERFWRB0-023</v>
          </cell>
          <cell r="C1784" t="str">
            <v>SEUL FÜME CAM BEYAZ MERMER  ESKİTME SARKIT 23cm</v>
          </cell>
          <cell r="D1784" t="str">
            <v>SEUL SMOKED GLASS WHITE MARBLE BRUSHED BRASS PENDANT 23cm</v>
          </cell>
          <cell r="E1784" t="str">
            <v xml:space="preserve">CAM  MERMER FÜME BEYAZ   </v>
          </cell>
          <cell r="F1784" t="str">
            <v/>
          </cell>
          <cell r="G1784" t="str">
            <v>AVİZE</v>
          </cell>
          <cell r="H1784" t="str">
            <v/>
          </cell>
          <cell r="I1784" t="str">
            <v>İÇ</v>
          </cell>
          <cell r="J1784" t="str">
            <v>AVİZE.SARK</v>
          </cell>
          <cell r="K1784" t="str">
            <v>SEUL</v>
          </cell>
          <cell r="L1784" t="str">
            <v/>
          </cell>
          <cell r="M1784" t="str">
            <v/>
          </cell>
          <cell r="N1784" t="str">
            <v>HKA-24566</v>
          </cell>
          <cell r="O1784" t="str">
            <v>HEKA</v>
          </cell>
          <cell r="P1784" t="str">
            <v>ADET</v>
          </cell>
          <cell r="Q1784" t="str">
            <v>LED</v>
          </cell>
          <cell r="R1784" t="str">
            <v>CAM</v>
          </cell>
          <cell r="S1784" t="str">
            <v>FÜME</v>
          </cell>
          <cell r="T1784" t="str">
            <v>MERMER</v>
          </cell>
          <cell r="U1784" t="str">
            <v>BEYAZ</v>
          </cell>
          <cell r="X1784" t="str">
            <v>110V-220V</v>
          </cell>
          <cell r="Y1784" t="str">
            <v>24 WATT</v>
          </cell>
          <cell r="Z1784" t="str">
            <v>3000 K</v>
          </cell>
          <cell r="AA1784" t="str">
            <v>DIMMSIZ</v>
          </cell>
          <cell r="AB1784" t="str">
            <v>1801-1900</v>
          </cell>
          <cell r="AF1784">
            <v>9</v>
          </cell>
          <cell r="AG1784" t="str">
            <v>ADET</v>
          </cell>
          <cell r="AH1784">
            <v>455</v>
          </cell>
          <cell r="AI1784" t="str">
            <v>CNY</v>
          </cell>
          <cell r="AJ1784">
            <v>31500</v>
          </cell>
          <cell r="AK1784" t="str">
            <v>TL</v>
          </cell>
          <cell r="AL1784">
            <v>1</v>
          </cell>
          <cell r="AM1784" t="str">
            <v>8684127515191</v>
          </cell>
          <cell r="AO1784">
            <v>3.47</v>
          </cell>
          <cell r="AP1784" t="str">
            <v>KG</v>
          </cell>
          <cell r="AQ1784">
            <v>30</v>
          </cell>
          <cell r="AR1784" t="str">
            <v>CM</v>
          </cell>
          <cell r="AS1784">
            <v>30</v>
          </cell>
          <cell r="AT1784" t="str">
            <v>CM</v>
          </cell>
          <cell r="AU1784">
            <v>0</v>
          </cell>
          <cell r="AW1784">
            <v>0</v>
          </cell>
        </row>
        <row r="1785">
          <cell r="B1785" t="str">
            <v>H1C6JMRWRB0-051</v>
          </cell>
          <cell r="C1785" t="str">
            <v>PONY AT SAÇI KOYU ESKİTME MERMER KÜÇÜK SARKIT</v>
          </cell>
          <cell r="D1785" t="str">
            <v>PONY HORSE HAIR MARBLE BURSHED BRASS SMALL PENDANT</v>
          </cell>
          <cell r="E1785" t="str">
            <v xml:space="preserve">METAL MERMER KOYU ESKİTME BEYAZ   </v>
          </cell>
          <cell r="F1785" t="str">
            <v/>
          </cell>
          <cell r="G1785" t="str">
            <v>AVİZE</v>
          </cell>
          <cell r="H1785" t="str">
            <v/>
          </cell>
          <cell r="I1785" t="str">
            <v>İÇ</v>
          </cell>
          <cell r="J1785" t="str">
            <v>AVİZE</v>
          </cell>
          <cell r="K1785" t="str">
            <v>PONY</v>
          </cell>
          <cell r="L1785" t="str">
            <v/>
          </cell>
          <cell r="M1785" t="str">
            <v/>
          </cell>
          <cell r="N1785" t="str">
            <v>HKA-24574</v>
          </cell>
          <cell r="O1785" t="str">
            <v>HEKA</v>
          </cell>
          <cell r="P1785" t="str">
            <v>ADET</v>
          </cell>
          <cell r="Q1785" t="str">
            <v>LED</v>
          </cell>
          <cell r="R1785" t="str">
            <v>METAL</v>
          </cell>
          <cell r="S1785" t="str">
            <v>KOYU ESKİTME</v>
          </cell>
          <cell r="T1785" t="str">
            <v>MERMER</v>
          </cell>
          <cell r="U1785" t="str">
            <v>BEYAZ</v>
          </cell>
          <cell r="X1785" t="str">
            <v>110V-220V</v>
          </cell>
          <cell r="Y1785" t="str">
            <v>7 WATT</v>
          </cell>
          <cell r="Z1785" t="str">
            <v xml:space="preserve">2700 K </v>
          </cell>
          <cell r="AA1785" t="str">
            <v>DIMMSIZ</v>
          </cell>
          <cell r="AB1785" t="str">
            <v>701-800</v>
          </cell>
          <cell r="AF1785">
            <v>4</v>
          </cell>
          <cell r="AG1785" t="str">
            <v>ADET</v>
          </cell>
          <cell r="AH1785">
            <v>756</v>
          </cell>
          <cell r="AI1785" t="str">
            <v>CNY</v>
          </cell>
          <cell r="AJ1785">
            <v>59900</v>
          </cell>
          <cell r="AK1785" t="str">
            <v>TL</v>
          </cell>
          <cell r="AL1785">
            <v>1</v>
          </cell>
          <cell r="AM1785" t="str">
            <v>8684127515214</v>
          </cell>
          <cell r="AO1785">
            <v>2.64</v>
          </cell>
          <cell r="AP1785" t="str">
            <v>KG</v>
          </cell>
          <cell r="AQ1785">
            <v>5.5</v>
          </cell>
          <cell r="AR1785" t="str">
            <v>CM</v>
          </cell>
          <cell r="AS1785">
            <v>12.5</v>
          </cell>
          <cell r="AT1785" t="str">
            <v>CM</v>
          </cell>
          <cell r="AU1785">
            <v>0</v>
          </cell>
          <cell r="AW1785">
            <v>0</v>
          </cell>
        </row>
        <row r="1786">
          <cell r="B1786" t="str">
            <v>H1W6JRGERF0-030</v>
          </cell>
          <cell r="C1786" t="str">
            <v>KAMERUN FÜME CAMLI GRİ APLİK</v>
          </cell>
          <cell r="D1786" t="str">
            <v>KAMERUN SMOKED GLASS GREY WALL LAMP</v>
          </cell>
          <cell r="E1786" t="str">
            <v xml:space="preserve">METAL CAM  GRİ FÜME   </v>
          </cell>
          <cell r="F1786" t="str">
            <v/>
          </cell>
          <cell r="G1786" t="str">
            <v>APLİK</v>
          </cell>
          <cell r="H1786" t="str">
            <v/>
          </cell>
          <cell r="I1786" t="str">
            <v>İÇ</v>
          </cell>
          <cell r="J1786" t="str">
            <v>APLİK</v>
          </cell>
          <cell r="K1786" t="str">
            <v>KAMERUN</v>
          </cell>
          <cell r="L1786" t="str">
            <v/>
          </cell>
          <cell r="M1786" t="str">
            <v/>
          </cell>
          <cell r="N1786" t="str">
            <v>HKA-24491</v>
          </cell>
          <cell r="O1786" t="str">
            <v>HEKA</v>
          </cell>
          <cell r="P1786" t="str">
            <v>ADET</v>
          </cell>
          <cell r="Q1786" t="str">
            <v>LED</v>
          </cell>
          <cell r="R1786" t="str">
            <v>METAL</v>
          </cell>
          <cell r="S1786" t="str">
            <v>GRİ</v>
          </cell>
          <cell r="T1786" t="str">
            <v>CAM</v>
          </cell>
          <cell r="U1786" t="str">
            <v>FÜME</v>
          </cell>
          <cell r="X1786" t="str">
            <v>220V</v>
          </cell>
          <cell r="Y1786" t="str">
            <v>12 WATT</v>
          </cell>
          <cell r="AA1786" t="str">
            <v>DIMMSIZ</v>
          </cell>
          <cell r="AF1786">
            <v>1</v>
          </cell>
          <cell r="AG1786" t="str">
            <v>ADET</v>
          </cell>
          <cell r="AH1786">
            <v>144</v>
          </cell>
          <cell r="AI1786" t="str">
            <v>CNY</v>
          </cell>
          <cell r="AJ1786">
            <v>12096</v>
          </cell>
          <cell r="AK1786" t="str">
            <v>TL</v>
          </cell>
          <cell r="AL1786">
            <v>1</v>
          </cell>
          <cell r="AM1786" t="str">
            <v>8684127515337</v>
          </cell>
          <cell r="AO1786">
            <v>1.03</v>
          </cell>
          <cell r="AP1786" t="str">
            <v>KG</v>
          </cell>
          <cell r="AQ1786">
            <v>12.5</v>
          </cell>
          <cell r="AR1786" t="str">
            <v>CM</v>
          </cell>
          <cell r="AS1786">
            <v>15</v>
          </cell>
          <cell r="AT1786" t="str">
            <v>CM</v>
          </cell>
          <cell r="AU1786">
            <v>0</v>
          </cell>
          <cell r="AW1786">
            <v>0</v>
          </cell>
        </row>
        <row r="1787">
          <cell r="B1787" t="str">
            <v>H1W6WRB0000-058</v>
          </cell>
          <cell r="C1787" t="str">
            <v>IGUAZU MERMER APLİK 58cm</v>
          </cell>
          <cell r="D1787" t="str">
            <v>IGUAZU MARBLE WALL LAMP 58cm</v>
          </cell>
          <cell r="E1787" t="str">
            <v xml:space="preserve">MERMER YOK BEYAZ YOK   </v>
          </cell>
          <cell r="F1787" t="str">
            <v/>
          </cell>
          <cell r="G1787" t="str">
            <v>APLİK</v>
          </cell>
          <cell r="H1787" t="str">
            <v/>
          </cell>
          <cell r="I1787" t="str">
            <v>İÇ</v>
          </cell>
          <cell r="J1787" t="str">
            <v>APLİK</v>
          </cell>
          <cell r="K1787" t="str">
            <v>IGUAZU</v>
          </cell>
          <cell r="L1787" t="str">
            <v>Ç</v>
          </cell>
          <cell r="M1787" t="str">
            <v>30.01.2026</v>
          </cell>
          <cell r="N1787" t="str">
            <v>HKA-24539</v>
          </cell>
          <cell r="O1787" t="str">
            <v>HEKA</v>
          </cell>
          <cell r="P1787" t="str">
            <v>ADET</v>
          </cell>
          <cell r="Q1787" t="str">
            <v>LED</v>
          </cell>
          <cell r="R1787" t="str">
            <v>MERMER</v>
          </cell>
          <cell r="S1787" t="str">
            <v>BEYAZ</v>
          </cell>
          <cell r="X1787" t="str">
            <v>220V</v>
          </cell>
          <cell r="Y1787" t="str">
            <v>24 WATT</v>
          </cell>
          <cell r="Z1787" t="str">
            <v xml:space="preserve">2700 K </v>
          </cell>
          <cell r="AA1787" t="str">
            <v>DIMMSIZ</v>
          </cell>
          <cell r="AB1787" t="str">
            <v>501-600</v>
          </cell>
          <cell r="AF1787">
            <v>24</v>
          </cell>
          <cell r="AG1787" t="str">
            <v>ADET</v>
          </cell>
          <cell r="AH1787">
            <v>330</v>
          </cell>
          <cell r="AI1787" t="str">
            <v>CNY</v>
          </cell>
          <cell r="AJ1787">
            <v>19700</v>
          </cell>
          <cell r="AK1787" t="str">
            <v>TL</v>
          </cell>
          <cell r="AL1787">
            <v>1</v>
          </cell>
          <cell r="AM1787" t="str">
            <v>8684127515900</v>
          </cell>
          <cell r="AO1787">
            <v>2.17</v>
          </cell>
          <cell r="AP1787" t="str">
            <v>KG</v>
          </cell>
          <cell r="AQ1787">
            <v>5</v>
          </cell>
          <cell r="AR1787" t="str">
            <v>CM</v>
          </cell>
          <cell r="AS1787">
            <v>5</v>
          </cell>
          <cell r="AT1787" t="str">
            <v>CM</v>
          </cell>
          <cell r="AU1787">
            <v>0</v>
          </cell>
          <cell r="AW1787">
            <v>0</v>
          </cell>
        </row>
        <row r="1788">
          <cell r="B1788" t="str">
            <v>H1W6ECTJME0-023</v>
          </cell>
          <cell r="C1788" t="str">
            <v>LINZ SOFT CAM ESKİTME APLİK</v>
          </cell>
          <cell r="D1788" t="str">
            <v>LINZ SOFT GLASS BRUSHED BRASS WALL LAMP</v>
          </cell>
          <cell r="E1788" t="str">
            <v xml:space="preserve">CAM  METAL SOFT ESKİTME   </v>
          </cell>
          <cell r="F1788" t="str">
            <v/>
          </cell>
          <cell r="G1788" t="str">
            <v>APLİK</v>
          </cell>
          <cell r="H1788" t="str">
            <v/>
          </cell>
          <cell r="I1788" t="str">
            <v>İÇ</v>
          </cell>
          <cell r="J1788" t="str">
            <v>APLİK</v>
          </cell>
          <cell r="K1788" t="str">
            <v>LINZ</v>
          </cell>
          <cell r="L1788" t="str">
            <v/>
          </cell>
          <cell r="M1788" t="str">
            <v/>
          </cell>
          <cell r="N1788" t="str">
            <v>HKA-24528</v>
          </cell>
          <cell r="O1788" t="str">
            <v>HEKA</v>
          </cell>
          <cell r="P1788" t="str">
            <v>ADET</v>
          </cell>
          <cell r="Q1788" t="str">
            <v>LED</v>
          </cell>
          <cell r="R1788" t="str">
            <v>METAL</v>
          </cell>
          <cell r="S1788" t="str">
            <v>ESKİTME</v>
          </cell>
          <cell r="T1788" t="str">
            <v>CAM</v>
          </cell>
          <cell r="U1788" t="str">
            <v>SOFT</v>
          </cell>
          <cell r="X1788" t="str">
            <v>110V-220V</v>
          </cell>
          <cell r="Y1788" t="str">
            <v>4 WATT</v>
          </cell>
          <cell r="Z1788" t="str">
            <v>3000 K</v>
          </cell>
          <cell r="AA1788" t="str">
            <v>DIMMSIZ</v>
          </cell>
          <cell r="AB1788" t="str">
            <v>401-500</v>
          </cell>
          <cell r="AF1788">
            <v>38</v>
          </cell>
          <cell r="AG1788" t="str">
            <v>ADET</v>
          </cell>
          <cell r="AH1788">
            <v>150</v>
          </cell>
          <cell r="AI1788" t="str">
            <v>TL</v>
          </cell>
          <cell r="AJ1788">
            <v>8950</v>
          </cell>
          <cell r="AK1788" t="str">
            <v>TL</v>
          </cell>
          <cell r="AL1788">
            <v>1</v>
          </cell>
          <cell r="AM1788" t="str">
            <v>8684127515924</v>
          </cell>
          <cell r="AO1788">
            <v>1.2</v>
          </cell>
          <cell r="AP1788" t="str">
            <v>KG</v>
          </cell>
          <cell r="AQ1788">
            <v>17</v>
          </cell>
          <cell r="AR1788" t="str">
            <v>CM</v>
          </cell>
          <cell r="AS1788">
            <v>23</v>
          </cell>
          <cell r="AT1788" t="str">
            <v>CM</v>
          </cell>
          <cell r="AU1788">
            <v>0</v>
          </cell>
          <cell r="AW1788">
            <v>0</v>
          </cell>
        </row>
        <row r="1789">
          <cell r="B1789" t="str">
            <v>H1W6WRBJMG0-066</v>
          </cell>
          <cell r="C1789" t="str">
            <v>GABON MERMER ESKİTME APLİK 66cm</v>
          </cell>
          <cell r="D1789" t="str">
            <v>GABON MARBLE BRUSHED BRASS WALL LAMP 66cm</v>
          </cell>
          <cell r="E1789" t="str">
            <v xml:space="preserve">MERMER METAL BEYAZ ESKİTME   </v>
          </cell>
          <cell r="F1789" t="str">
            <v/>
          </cell>
          <cell r="G1789" t="str">
            <v>APLİK</v>
          </cell>
          <cell r="H1789" t="str">
            <v/>
          </cell>
          <cell r="I1789" t="str">
            <v>İÇ</v>
          </cell>
          <cell r="J1789" t="str">
            <v>APLİK</v>
          </cell>
          <cell r="K1789" t="str">
            <v>GABON</v>
          </cell>
          <cell r="L1789" t="str">
            <v/>
          </cell>
          <cell r="M1789" t="str">
            <v>28.02.2026</v>
          </cell>
          <cell r="N1789" t="str">
            <v>HKA-24458</v>
          </cell>
          <cell r="O1789" t="str">
            <v>HEKA</v>
          </cell>
          <cell r="P1789" t="str">
            <v>ADET</v>
          </cell>
          <cell r="Q1789" t="str">
            <v>LED</v>
          </cell>
          <cell r="R1789" t="str">
            <v>MERMER</v>
          </cell>
          <cell r="S1789" t="str">
            <v>BEYAZ</v>
          </cell>
          <cell r="T1789" t="str">
            <v>METAL</v>
          </cell>
          <cell r="U1789" t="str">
            <v>ESKİTME</v>
          </cell>
          <cell r="X1789" t="str">
            <v>110V-220V</v>
          </cell>
          <cell r="Y1789" t="str">
            <v>12 WATT</v>
          </cell>
          <cell r="Z1789" t="str">
            <v>3000 K</v>
          </cell>
          <cell r="AA1789" t="str">
            <v>DIMMSIZ</v>
          </cell>
          <cell r="AB1789" t="str">
            <v>1601-1700</v>
          </cell>
          <cell r="AF1789">
            <v>4</v>
          </cell>
          <cell r="AG1789" t="str">
            <v>ADET</v>
          </cell>
          <cell r="AH1789">
            <v>512</v>
          </cell>
          <cell r="AI1789" t="str">
            <v>CNY</v>
          </cell>
          <cell r="AJ1789">
            <v>39000</v>
          </cell>
          <cell r="AK1789" t="str">
            <v>TL</v>
          </cell>
          <cell r="AL1789">
            <v>1</v>
          </cell>
          <cell r="AM1789" t="str">
            <v>8684127515993</v>
          </cell>
          <cell r="AO1789">
            <v>4.43</v>
          </cell>
          <cell r="AP1789" t="str">
            <v>KG</v>
          </cell>
          <cell r="AQ1789">
            <v>8</v>
          </cell>
          <cell r="AR1789" t="str">
            <v>CM</v>
          </cell>
          <cell r="AS1789">
            <v>11</v>
          </cell>
          <cell r="AT1789" t="str">
            <v>CM</v>
          </cell>
          <cell r="AU1789">
            <v>0</v>
          </cell>
          <cell r="AW1789">
            <v>0</v>
          </cell>
        </row>
        <row r="1790">
          <cell r="B1790" t="str">
            <v>H1T6WRBJMG0-059</v>
          </cell>
          <cell r="C1790" t="str">
            <v>GABON MERMER ESKİTME MASA LAMBASI</v>
          </cell>
          <cell r="D1790" t="str">
            <v>GABON MARBLE BRUSHED BRASS TABLE LAMP</v>
          </cell>
          <cell r="E1790" t="str">
            <v xml:space="preserve">MERMER METAL BEYAZ ESKİTME </v>
          </cell>
          <cell r="F1790" t="str">
            <v/>
          </cell>
          <cell r="G1790" t="str">
            <v>MASAABAJ</v>
          </cell>
          <cell r="H1790" t="str">
            <v/>
          </cell>
          <cell r="I1790" t="str">
            <v>İÇ</v>
          </cell>
          <cell r="J1790" t="str">
            <v>MASAABAJ</v>
          </cell>
          <cell r="K1790" t="str">
            <v>GABON</v>
          </cell>
          <cell r="L1790" t="str">
            <v/>
          </cell>
          <cell r="M1790" t="str">
            <v/>
          </cell>
          <cell r="N1790" t="str">
            <v>HKA-24460</v>
          </cell>
          <cell r="O1790" t="str">
            <v>HEKA</v>
          </cell>
          <cell r="P1790" t="str">
            <v>ADET</v>
          </cell>
          <cell r="Q1790" t="str">
            <v>LED</v>
          </cell>
          <cell r="R1790" t="str">
            <v>MERMER</v>
          </cell>
          <cell r="S1790" t="str">
            <v>BEYAZ</v>
          </cell>
          <cell r="T1790" t="str">
            <v>METAL</v>
          </cell>
          <cell r="U1790" t="str">
            <v>ESKİTME</v>
          </cell>
          <cell r="X1790" t="str">
            <v>110V-220V</v>
          </cell>
          <cell r="Y1790" t="str">
            <v>12 WATT</v>
          </cell>
          <cell r="Z1790" t="str">
            <v>3000 K</v>
          </cell>
          <cell r="AA1790" t="str">
            <v>DIMMSIZ</v>
          </cell>
          <cell r="AB1790" t="str">
            <v>1301-1400</v>
          </cell>
          <cell r="AF1790">
            <v>3</v>
          </cell>
          <cell r="AG1790" t="str">
            <v>ADET</v>
          </cell>
          <cell r="AH1790">
            <v>688</v>
          </cell>
          <cell r="AI1790" t="str">
            <v>CNY</v>
          </cell>
          <cell r="AJ1790">
            <v>47900</v>
          </cell>
          <cell r="AK1790" t="str">
            <v>TL</v>
          </cell>
          <cell r="AL1790">
            <v>1</v>
          </cell>
          <cell r="AM1790" t="str">
            <v>8684127516013</v>
          </cell>
          <cell r="AO1790">
            <v>8.1</v>
          </cell>
          <cell r="AP1790" t="str">
            <v>KG</v>
          </cell>
          <cell r="AQ1790">
            <v>18</v>
          </cell>
          <cell r="AR1790" t="str">
            <v>CM</v>
          </cell>
          <cell r="AS1790">
            <v>25.5</v>
          </cell>
          <cell r="AT1790" t="str">
            <v>CM</v>
          </cell>
          <cell r="AU1790">
            <v>0</v>
          </cell>
          <cell r="AW1790">
            <v>0</v>
          </cell>
        </row>
        <row r="1791">
          <cell r="B1791" t="str">
            <v>H1T6JMEERFC-038</v>
          </cell>
          <cell r="C1791" t="str">
            <v>NABLUS FÜME CAM ÇUBUKLU ESKİTME MASA LAMBASI</v>
          </cell>
          <cell r="D1791" t="str">
            <v>NABLUS SMOKY GLASS RODS BRUSHED BRASS TABLE LAMP</v>
          </cell>
          <cell r="E1791" t="str">
            <v>METAL CAM  ESKİTME FÜME</v>
          </cell>
          <cell r="F1791" t="str">
            <v/>
          </cell>
          <cell r="G1791" t="str">
            <v>MASAABAJ</v>
          </cell>
          <cell r="H1791" t="str">
            <v/>
          </cell>
          <cell r="I1791" t="str">
            <v>İÇ</v>
          </cell>
          <cell r="J1791" t="str">
            <v>MASAABAJ</v>
          </cell>
          <cell r="K1791" t="str">
            <v>NABLUS</v>
          </cell>
          <cell r="L1791" t="str">
            <v/>
          </cell>
          <cell r="M1791" t="str">
            <v>28.02.2026</v>
          </cell>
          <cell r="N1791" t="str">
            <v>HKA-24496</v>
          </cell>
          <cell r="O1791" t="str">
            <v>HEKA</v>
          </cell>
          <cell r="P1791" t="str">
            <v>ADET</v>
          </cell>
          <cell r="Q1791" t="str">
            <v>LED</v>
          </cell>
          <cell r="R1791" t="str">
            <v>METAL</v>
          </cell>
          <cell r="S1791" t="str">
            <v>ESKİTME</v>
          </cell>
          <cell r="T1791" t="str">
            <v>CAM</v>
          </cell>
          <cell r="U1791" t="str">
            <v>FÜME</v>
          </cell>
          <cell r="AF1791">
            <v>0</v>
          </cell>
          <cell r="AG1791" t="str">
            <v>ADET</v>
          </cell>
          <cell r="AH1791">
            <v>602</v>
          </cell>
          <cell r="AI1791" t="str">
            <v>CNY</v>
          </cell>
          <cell r="AJ1791">
            <v>38750</v>
          </cell>
          <cell r="AK1791" t="str">
            <v>TL</v>
          </cell>
          <cell r="AL1791">
            <v>1</v>
          </cell>
          <cell r="AM1791" t="str">
            <v>8684127516648</v>
          </cell>
          <cell r="AO1791">
            <v>0</v>
          </cell>
          <cell r="AQ1791">
            <v>0</v>
          </cell>
          <cell r="AS1791">
            <v>0</v>
          </cell>
          <cell r="AU1791">
            <v>0</v>
          </cell>
          <cell r="AW1791">
            <v>0</v>
          </cell>
        </row>
        <row r="1792">
          <cell r="B1792" t="str">
            <v>H1W6JMEERFC-065</v>
          </cell>
          <cell r="C1792" t="str">
            <v>NABLUS FÜME CAM ÇUBUKLU ESKİTME APLİK</v>
          </cell>
          <cell r="D1792" t="str">
            <v>NABLUS SMOKY GLASS RODS BRUSHED BRASS WALL LAMP</v>
          </cell>
          <cell r="E1792" t="str">
            <v xml:space="preserve">METAL CAM  ESKİTME FÜME  </v>
          </cell>
          <cell r="F1792" t="str">
            <v/>
          </cell>
          <cell r="G1792" t="str">
            <v>APLİK</v>
          </cell>
          <cell r="H1792" t="str">
            <v/>
          </cell>
          <cell r="I1792" t="str">
            <v>İÇ</v>
          </cell>
          <cell r="J1792" t="str">
            <v>APLİK</v>
          </cell>
          <cell r="K1792" t="str">
            <v>NABLUS</v>
          </cell>
          <cell r="L1792" t="str">
            <v/>
          </cell>
          <cell r="M1792" t="str">
            <v/>
          </cell>
          <cell r="N1792" t="str">
            <v>HKA-24498</v>
          </cell>
          <cell r="O1792" t="str">
            <v>HEKA</v>
          </cell>
          <cell r="P1792" t="str">
            <v>ADET</v>
          </cell>
          <cell r="Q1792" t="str">
            <v>LED</v>
          </cell>
          <cell r="R1792" t="str">
            <v>METAL</v>
          </cell>
          <cell r="S1792" t="str">
            <v>ESKİTME</v>
          </cell>
          <cell r="T1792" t="str">
            <v>CAM</v>
          </cell>
          <cell r="U1792" t="str">
            <v>FÜME</v>
          </cell>
          <cell r="AF1792">
            <v>14</v>
          </cell>
          <cell r="AG1792" t="str">
            <v>ADET</v>
          </cell>
          <cell r="AH1792">
            <v>448</v>
          </cell>
          <cell r="AI1792" t="str">
            <v>CNY</v>
          </cell>
          <cell r="AJ1792">
            <v>19750</v>
          </cell>
          <cell r="AK1792" t="str">
            <v>TL</v>
          </cell>
          <cell r="AL1792">
            <v>1</v>
          </cell>
          <cell r="AM1792" t="str">
            <v>8684127516624</v>
          </cell>
          <cell r="AO1792">
            <v>0</v>
          </cell>
          <cell r="AQ1792">
            <v>0</v>
          </cell>
          <cell r="AS1792">
            <v>0</v>
          </cell>
          <cell r="AU1792">
            <v>0</v>
          </cell>
          <cell r="AW1792">
            <v>0</v>
          </cell>
        </row>
        <row r="1793">
          <cell r="B1793" t="str">
            <v>H1C6JMEERFC-120</v>
          </cell>
          <cell r="C1793" t="str">
            <v>NABLUS FÜME CAM ÇUBUKLU ESKİTME Y.MASASI AVİZE</v>
          </cell>
          <cell r="D1793" t="str">
            <v>NABLUS SMOKY GLASS RODS BRUSHED BRASS DINING ROOM CHANDELIER</v>
          </cell>
          <cell r="E1793" t="str">
            <v xml:space="preserve">METAL CAM  ESKİTME FÜME  </v>
          </cell>
          <cell r="F1793" t="str">
            <v/>
          </cell>
          <cell r="G1793" t="str">
            <v>AVİZE</v>
          </cell>
          <cell r="H1793" t="str">
            <v/>
          </cell>
          <cell r="I1793" t="str">
            <v>İÇ</v>
          </cell>
          <cell r="J1793" t="str">
            <v>AVİZE.AVİZ</v>
          </cell>
          <cell r="K1793" t="str">
            <v>NABLUS</v>
          </cell>
          <cell r="L1793" t="str">
            <v/>
          </cell>
          <cell r="M1793" t="str">
            <v>28.02.2026</v>
          </cell>
          <cell r="N1793" t="str">
            <v>HKA-24503</v>
          </cell>
          <cell r="O1793" t="str">
            <v>HEKA</v>
          </cell>
          <cell r="P1793" t="str">
            <v>ADET</v>
          </cell>
          <cell r="Q1793" t="str">
            <v>LED</v>
          </cell>
          <cell r="R1793" t="str">
            <v>METAL</v>
          </cell>
          <cell r="S1793" t="str">
            <v>ESKİTME</v>
          </cell>
          <cell r="T1793" t="str">
            <v>CAM</v>
          </cell>
          <cell r="U1793" t="str">
            <v>FÜME</v>
          </cell>
          <cell r="AF1793">
            <v>1</v>
          </cell>
          <cell r="AG1793" t="str">
            <v>ADET</v>
          </cell>
          <cell r="AH1793">
            <v>1270.5</v>
          </cell>
          <cell r="AI1793" t="str">
            <v>CNY</v>
          </cell>
          <cell r="AJ1793">
            <v>84750</v>
          </cell>
          <cell r="AK1793" t="str">
            <v>TL</v>
          </cell>
          <cell r="AL1793">
            <v>1</v>
          </cell>
          <cell r="AM1793" t="str">
            <v>8684127516686</v>
          </cell>
          <cell r="AO1793">
            <v>0</v>
          </cell>
          <cell r="AQ1793">
            <v>0</v>
          </cell>
          <cell r="AS1793">
            <v>0</v>
          </cell>
          <cell r="AU1793">
            <v>0</v>
          </cell>
          <cell r="AW1793">
            <v>0</v>
          </cell>
        </row>
        <row r="1794">
          <cell r="B1794" t="str">
            <v>H1W6JMEWRBF-050</v>
          </cell>
          <cell r="C1794" t="str">
            <v>BENDER MERMER PLATİN APLİK</v>
          </cell>
          <cell r="D1794" t="str">
            <v>BENDER MARBLE PLATINUM WALL LAMP</v>
          </cell>
          <cell r="E1794" t="str">
            <v xml:space="preserve">METAL MERMER PLATİN BEYAZ   </v>
          </cell>
          <cell r="F1794" t="str">
            <v/>
          </cell>
          <cell r="G1794" t="str">
            <v>APLİK</v>
          </cell>
          <cell r="H1794" t="str">
            <v/>
          </cell>
          <cell r="I1794" t="str">
            <v>İÇ</v>
          </cell>
          <cell r="J1794" t="str">
            <v>APLİK</v>
          </cell>
          <cell r="K1794" t="str">
            <v>BENDER</v>
          </cell>
          <cell r="L1794" t="str">
            <v/>
          </cell>
          <cell r="M1794" t="str">
            <v/>
          </cell>
          <cell r="N1794" t="str">
            <v>HKA-24597</v>
          </cell>
          <cell r="O1794" t="str">
            <v>HEKA</v>
          </cell>
          <cell r="P1794" t="str">
            <v>ADET</v>
          </cell>
          <cell r="Q1794" t="str">
            <v>LED</v>
          </cell>
          <cell r="R1794" t="str">
            <v>METAL</v>
          </cell>
          <cell r="S1794" t="str">
            <v>PLATİN</v>
          </cell>
          <cell r="T1794" t="str">
            <v>MERMER</v>
          </cell>
          <cell r="U1794" t="str">
            <v>BEYAZ</v>
          </cell>
          <cell r="AF1794">
            <v>45</v>
          </cell>
          <cell r="AG1794" t="str">
            <v>ADET</v>
          </cell>
          <cell r="AH1794">
            <v>320</v>
          </cell>
          <cell r="AI1794" t="str">
            <v>CNY</v>
          </cell>
          <cell r="AJ1794">
            <v>29000</v>
          </cell>
          <cell r="AK1794" t="str">
            <v>TL</v>
          </cell>
          <cell r="AL1794">
            <v>1</v>
          </cell>
          <cell r="AM1794" t="str">
            <v>8684127516297</v>
          </cell>
          <cell r="AO1794">
            <v>0</v>
          </cell>
          <cell r="AQ1794">
            <v>0</v>
          </cell>
          <cell r="AS1794">
            <v>0</v>
          </cell>
          <cell r="AU1794">
            <v>0</v>
          </cell>
          <cell r="AW1794">
            <v>0</v>
          </cell>
        </row>
        <row r="1795">
          <cell r="B1795" t="str">
            <v>H1C6JMEWRFP-120</v>
          </cell>
          <cell r="C1795" t="str">
            <v>AZOR DÖRTLÜ MERMER ESKİTME SARKIT</v>
          </cell>
          <cell r="D1795" t="str">
            <v>AZOR BRUSHED BRASS QUATERNARY MARBLE PENDANT</v>
          </cell>
          <cell r="E1795" t="str">
            <v>METAL MERMER ESKİTME BEYAZ</v>
          </cell>
          <cell r="F1795" t="str">
            <v/>
          </cell>
          <cell r="G1795" t="str">
            <v>AVİZE</v>
          </cell>
          <cell r="H1795" t="str">
            <v/>
          </cell>
          <cell r="I1795" t="str">
            <v>İÇ</v>
          </cell>
          <cell r="J1795" t="str">
            <v>AVİZE</v>
          </cell>
          <cell r="K1795" t="str">
            <v>AZOR</v>
          </cell>
          <cell r="L1795" t="str">
            <v/>
          </cell>
          <cell r="M1795" t="str">
            <v/>
          </cell>
          <cell r="N1795" t="str">
            <v>HKA-25043</v>
          </cell>
          <cell r="O1795" t="str">
            <v>HEKA</v>
          </cell>
          <cell r="P1795" t="str">
            <v>ADET</v>
          </cell>
          <cell r="Q1795" t="str">
            <v>LED</v>
          </cell>
          <cell r="R1795" t="str">
            <v>METAL</v>
          </cell>
          <cell r="S1795" t="str">
            <v>ESKİTME</v>
          </cell>
          <cell r="T1795" t="str">
            <v>MERMER</v>
          </cell>
          <cell r="U1795" t="str">
            <v>BEYAZ</v>
          </cell>
          <cell r="X1795" t="str">
            <v>220V</v>
          </cell>
          <cell r="Y1795" t="str">
            <v>18 WATT</v>
          </cell>
          <cell r="Z1795" t="str">
            <v>2750 K</v>
          </cell>
          <cell r="AA1795" t="str">
            <v>DIMMSIZ</v>
          </cell>
          <cell r="AB1795" t="str">
            <v>801-900</v>
          </cell>
          <cell r="AD1795" t="str">
            <v>POLİGONAL</v>
          </cell>
          <cell r="AF1795">
            <v>1</v>
          </cell>
          <cell r="AG1795" t="str">
            <v>ADET</v>
          </cell>
          <cell r="AJ1795">
            <v>31900</v>
          </cell>
          <cell r="AK1795" t="str">
            <v>TL</v>
          </cell>
          <cell r="AL1795">
            <v>0</v>
          </cell>
          <cell r="AM1795" t="str">
            <v>8684127516556</v>
          </cell>
          <cell r="AO1795">
            <v>1.5</v>
          </cell>
          <cell r="AP1795" t="str">
            <v>KG</v>
          </cell>
          <cell r="AQ1795">
            <v>15</v>
          </cell>
          <cell r="AR1795" t="str">
            <v>CM</v>
          </cell>
          <cell r="AS1795">
            <v>15</v>
          </cell>
          <cell r="AT1795" t="str">
            <v>CM</v>
          </cell>
          <cell r="AU1795">
            <v>0</v>
          </cell>
          <cell r="AW1795">
            <v>0</v>
          </cell>
        </row>
        <row r="1796">
          <cell r="B1796" t="str">
            <v>H1W6JMEWRBP-060</v>
          </cell>
          <cell r="C1796" t="str">
            <v>UBUNTU ESKİTME MERMER APLİK</v>
          </cell>
          <cell r="D1796" t="str">
            <v>UBUNTU BRUSHED BRASS MARBLE WALL LAMP</v>
          </cell>
          <cell r="E1796" t="str">
            <v>METAL MERMER ESKİTME BEYAZ</v>
          </cell>
          <cell r="F1796" t="str">
            <v/>
          </cell>
          <cell r="G1796" t="str">
            <v>APLİK</v>
          </cell>
          <cell r="H1796" t="str">
            <v/>
          </cell>
          <cell r="I1796" t="str">
            <v>İÇ</v>
          </cell>
          <cell r="J1796" t="str">
            <v>APLİK</v>
          </cell>
          <cell r="K1796" t="str">
            <v>UBUNTU</v>
          </cell>
          <cell r="L1796" t="str">
            <v/>
          </cell>
          <cell r="M1796" t="str">
            <v/>
          </cell>
          <cell r="N1796" t="str">
            <v>HKA-25018</v>
          </cell>
          <cell r="O1796" t="str">
            <v>HEKA</v>
          </cell>
          <cell r="P1796" t="str">
            <v>ADET</v>
          </cell>
          <cell r="Q1796" t="str">
            <v>LED</v>
          </cell>
          <cell r="R1796" t="str">
            <v>METAL</v>
          </cell>
          <cell r="S1796" t="str">
            <v>ESKİTME</v>
          </cell>
          <cell r="T1796" t="str">
            <v>MERMER</v>
          </cell>
          <cell r="U1796" t="str">
            <v>BEYAZ</v>
          </cell>
          <cell r="AD1796" t="str">
            <v>POLİGONAL</v>
          </cell>
          <cell r="AF1796">
            <v>19</v>
          </cell>
          <cell r="AG1796" t="str">
            <v>ADET</v>
          </cell>
          <cell r="AH1796">
            <v>300</v>
          </cell>
          <cell r="AI1796" t="str">
            <v>CNY</v>
          </cell>
          <cell r="AJ1796">
            <v>19850</v>
          </cell>
          <cell r="AK1796" t="str">
            <v>TL</v>
          </cell>
          <cell r="AL1796">
            <v>1</v>
          </cell>
          <cell r="AM1796" t="str">
            <v>8684127516600</v>
          </cell>
          <cell r="AO1796">
            <v>0</v>
          </cell>
          <cell r="AQ1796">
            <v>0</v>
          </cell>
          <cell r="AS1796">
            <v>0</v>
          </cell>
          <cell r="AU1796">
            <v>0</v>
          </cell>
          <cell r="AW1796">
            <v>0</v>
          </cell>
        </row>
        <row r="1797">
          <cell r="B1797" t="str">
            <v>ATYNYREJRS0-060</v>
          </cell>
          <cell r="C1797" t="str">
            <v xml:space="preserve">NORA TABLO 60x80 cm </v>
          </cell>
          <cell r="D1797" t="str">
            <v xml:space="preserve">NORA TABLE 60x80 cm </v>
          </cell>
          <cell r="E1797" t="str">
            <v>POLYESTER METAL RESİM SİYAH</v>
          </cell>
          <cell r="F1797" t="str">
            <v/>
          </cell>
          <cell r="G1797" t="str">
            <v>AKSESUAR</v>
          </cell>
          <cell r="H1797" t="str">
            <v/>
          </cell>
          <cell r="I1797" t="str">
            <v>İÇ</v>
          </cell>
          <cell r="J1797" t="str">
            <v>AKSESUAR</v>
          </cell>
          <cell r="K1797" t="str">
            <v>NORA</v>
          </cell>
          <cell r="L1797" t="str">
            <v/>
          </cell>
          <cell r="M1797" t="str">
            <v/>
          </cell>
          <cell r="N1797" t="str">
            <v>HKM-250003</v>
          </cell>
          <cell r="O1797" t="str">
            <v>HEKA</v>
          </cell>
          <cell r="P1797" t="str">
            <v>ADET</v>
          </cell>
          <cell r="R1797" t="str">
            <v>POLYESTER</v>
          </cell>
          <cell r="S1797" t="str">
            <v xml:space="preserve">RESİM </v>
          </cell>
          <cell r="T1797" t="str">
            <v>METAL</v>
          </cell>
          <cell r="U1797" t="str">
            <v>SİYAH</v>
          </cell>
          <cell r="AF1797">
            <v>9</v>
          </cell>
          <cell r="AG1797" t="str">
            <v>ADET</v>
          </cell>
          <cell r="AH1797">
            <v>150</v>
          </cell>
          <cell r="AI1797" t="str">
            <v>CNY</v>
          </cell>
          <cell r="AJ1797">
            <v>4950</v>
          </cell>
          <cell r="AK1797" t="str">
            <v>TL</v>
          </cell>
          <cell r="AL1797">
            <v>1</v>
          </cell>
          <cell r="AO1797">
            <v>0</v>
          </cell>
          <cell r="AQ1797">
            <v>0</v>
          </cell>
          <cell r="AS1797">
            <v>0</v>
          </cell>
          <cell r="AU1797">
            <v>0</v>
          </cell>
          <cell r="AW1797">
            <v>0</v>
          </cell>
        </row>
        <row r="1798">
          <cell r="B1798" t="str">
            <v>ATYTYREJRS0-060</v>
          </cell>
          <cell r="C1798" t="str">
            <v xml:space="preserve">VİTA TABLO 60x80 cm </v>
          </cell>
          <cell r="D1798" t="str">
            <v xml:space="preserve">VİTA TABLE 60x80 cm </v>
          </cell>
          <cell r="E1798" t="str">
            <v>POLYESTER METAL RESİM SİYAH</v>
          </cell>
          <cell r="F1798" t="str">
            <v/>
          </cell>
          <cell r="G1798" t="str">
            <v>AKSESUAR</v>
          </cell>
          <cell r="H1798" t="str">
            <v/>
          </cell>
          <cell r="I1798" t="str">
            <v>İÇ</v>
          </cell>
          <cell r="J1798" t="str">
            <v>AKSESUAR</v>
          </cell>
          <cell r="K1798" t="str">
            <v>VİTA</v>
          </cell>
          <cell r="L1798" t="str">
            <v/>
          </cell>
          <cell r="M1798" t="str">
            <v/>
          </cell>
          <cell r="N1798" t="str">
            <v>HKM-250005</v>
          </cell>
          <cell r="O1798" t="str">
            <v>HEKA</v>
          </cell>
          <cell r="P1798" t="str">
            <v>ADET</v>
          </cell>
          <cell r="R1798" t="str">
            <v>POLYESTER</v>
          </cell>
          <cell r="S1798" t="str">
            <v xml:space="preserve">RESİM </v>
          </cell>
          <cell r="T1798" t="str">
            <v>METAL</v>
          </cell>
          <cell r="U1798" t="str">
            <v>SİYAH</v>
          </cell>
          <cell r="AF1798">
            <v>9</v>
          </cell>
          <cell r="AG1798" t="str">
            <v>ADET</v>
          </cell>
          <cell r="AH1798">
            <v>150</v>
          </cell>
          <cell r="AI1798" t="str">
            <v>CNY</v>
          </cell>
          <cell r="AJ1798">
            <v>4950</v>
          </cell>
          <cell r="AK1798" t="str">
            <v>TL</v>
          </cell>
          <cell r="AL1798">
            <v>1</v>
          </cell>
          <cell r="AO1798">
            <v>0</v>
          </cell>
          <cell r="AQ1798">
            <v>0</v>
          </cell>
          <cell r="AS1798">
            <v>0</v>
          </cell>
          <cell r="AU1798">
            <v>0</v>
          </cell>
          <cell r="AW1798">
            <v>0</v>
          </cell>
        </row>
        <row r="1799">
          <cell r="B1799" t="str">
            <v>AVYHECT0003-028</v>
          </cell>
          <cell r="C1799" t="str">
            <v>LATTE STONE CAM VAZO 28x18CM</v>
          </cell>
          <cell r="D1799" t="str">
            <v>LATTE STONE GLASS VASE 28x18CM</v>
          </cell>
          <cell r="E1799" t="str">
            <v>CAM  YOK SOFT YOK</v>
          </cell>
          <cell r="F1799" t="str">
            <v/>
          </cell>
          <cell r="G1799" t="str">
            <v>AKSESUAR</v>
          </cell>
          <cell r="H1799" t="str">
            <v/>
          </cell>
          <cell r="I1799" t="str">
            <v>İÇ</v>
          </cell>
          <cell r="J1799" t="str">
            <v>AKSESUAR</v>
          </cell>
          <cell r="K1799" t="str">
            <v>HEKA</v>
          </cell>
          <cell r="L1799" t="str">
            <v/>
          </cell>
          <cell r="M1799" t="str">
            <v/>
          </cell>
          <cell r="N1799" t="str">
            <v>HKA-250023</v>
          </cell>
          <cell r="O1799" t="str">
            <v>HEKA</v>
          </cell>
          <cell r="P1799" t="str">
            <v>ADET</v>
          </cell>
          <cell r="R1799" t="str">
            <v>CAM</v>
          </cell>
          <cell r="S1799" t="str">
            <v>SOFT</v>
          </cell>
          <cell r="T1799" t="str">
            <v>YOK</v>
          </cell>
          <cell r="U1799" t="str">
            <v>YOK</v>
          </cell>
          <cell r="AD1799" t="str">
            <v>KASE</v>
          </cell>
          <cell r="AF1799">
            <v>0</v>
          </cell>
          <cell r="AG1799" t="str">
            <v>ADET</v>
          </cell>
          <cell r="AH1799">
            <v>949</v>
          </cell>
          <cell r="AI1799" t="str">
            <v>TL</v>
          </cell>
          <cell r="AJ1799">
            <v>2277.6</v>
          </cell>
          <cell r="AK1799" t="str">
            <v>TL</v>
          </cell>
          <cell r="AL1799">
            <v>1</v>
          </cell>
          <cell r="AO1799">
            <v>0</v>
          </cell>
          <cell r="AQ1799">
            <v>28</v>
          </cell>
          <cell r="AR1799" t="str">
            <v>CM</v>
          </cell>
          <cell r="AS1799">
            <v>28</v>
          </cell>
          <cell r="AT1799" t="str">
            <v>CM</v>
          </cell>
          <cell r="AU1799">
            <v>0</v>
          </cell>
          <cell r="AW1799">
            <v>0</v>
          </cell>
        </row>
        <row r="1800">
          <cell r="B1800" t="str">
            <v>S1W6JRVLCB0-032</v>
          </cell>
          <cell r="C1800" t="str">
            <v>CZZ-12 BUZLU PLEKSİ KAHVRENGİ APLİK</v>
          </cell>
          <cell r="D1800" t="str">
            <v>CZZ-12 FROSTED PLEXI BROWN WALL LAMP</v>
          </cell>
          <cell r="E1800" t="str">
            <v xml:space="preserve">METAL PLEKSİ KAHVERENGİ BUZLU   </v>
          </cell>
          <cell r="F1800" t="str">
            <v/>
          </cell>
          <cell r="G1800" t="str">
            <v>APLİK</v>
          </cell>
          <cell r="H1800" t="str">
            <v/>
          </cell>
          <cell r="I1800" t="str">
            <v>İÇ</v>
          </cell>
          <cell r="J1800" t="str">
            <v>APLİK</v>
          </cell>
          <cell r="K1800" t="str">
            <v>CZZ-12</v>
          </cell>
          <cell r="L1800" t="str">
            <v/>
          </cell>
          <cell r="M1800" t="str">
            <v/>
          </cell>
          <cell r="N1800" t="str">
            <v>HKA-25012</v>
          </cell>
          <cell r="O1800" t="str">
            <v>HEKA</v>
          </cell>
          <cell r="P1800" t="str">
            <v>ADET</v>
          </cell>
          <cell r="Q1800" t="str">
            <v>LED</v>
          </cell>
          <cell r="R1800" t="str">
            <v>METAL</v>
          </cell>
          <cell r="S1800" t="str">
            <v>ESKİTME</v>
          </cell>
          <cell r="T1800" t="str">
            <v>PLEKSİ</v>
          </cell>
          <cell r="U1800" t="str">
            <v>BUZLU</v>
          </cell>
          <cell r="X1800" t="str">
            <v>220V</v>
          </cell>
          <cell r="Y1800" t="str">
            <v>7 WATT</v>
          </cell>
          <cell r="Z1800" t="str">
            <v>3000 K</v>
          </cell>
          <cell r="AA1800" t="str">
            <v>DIMMSIZ</v>
          </cell>
          <cell r="AB1800" t="str">
            <v>201-300</v>
          </cell>
          <cell r="AG1800" t="str">
            <v>ADET</v>
          </cell>
          <cell r="AL1800">
            <v>1</v>
          </cell>
          <cell r="AO1800">
            <v>1.7</v>
          </cell>
          <cell r="AP1800" t="str">
            <v>KG</v>
          </cell>
          <cell r="AQ1800">
            <v>5</v>
          </cell>
          <cell r="AR1800" t="str">
            <v>CM</v>
          </cell>
          <cell r="AS1800">
            <v>32</v>
          </cell>
          <cell r="AT1800" t="str">
            <v>CM</v>
          </cell>
          <cell r="AU1800">
            <v>0</v>
          </cell>
          <cell r="AW1800">
            <v>0</v>
          </cell>
        </row>
        <row r="1801">
          <cell r="B1801" t="str">
            <v>S1W6JMEECS0-017</v>
          </cell>
          <cell r="C1801" t="str">
            <v>CZZ-14 GÖMME ESKİTME SPOT LED APLİK</v>
          </cell>
          <cell r="D1801" t="str">
            <v>CZZ-14 RECESSED BRUSHED BRASS SPOT LED WALL LAMP</v>
          </cell>
          <cell r="E1801" t="str">
            <v xml:space="preserve">METAL CAM  ESKİTME ŞEFFAF   </v>
          </cell>
          <cell r="F1801" t="str">
            <v/>
          </cell>
          <cell r="G1801" t="str">
            <v>APLİK</v>
          </cell>
          <cell r="H1801" t="str">
            <v/>
          </cell>
          <cell r="I1801" t="str">
            <v>İÇ</v>
          </cell>
          <cell r="J1801" t="str">
            <v>APLİK</v>
          </cell>
          <cell r="K1801" t="str">
            <v>CZZ-14</v>
          </cell>
          <cell r="L1801" t="str">
            <v/>
          </cell>
          <cell r="M1801" t="str">
            <v/>
          </cell>
          <cell r="N1801" t="str">
            <v>HKA-25014</v>
          </cell>
          <cell r="O1801" t="str">
            <v>HEKA</v>
          </cell>
          <cell r="P1801" t="str">
            <v>ADET</v>
          </cell>
          <cell r="Q1801" t="str">
            <v>LED</v>
          </cell>
          <cell r="R1801" t="str">
            <v>METAL</v>
          </cell>
          <cell r="S1801" t="str">
            <v>ESKİTME</v>
          </cell>
          <cell r="T1801" t="str">
            <v>CAM</v>
          </cell>
          <cell r="U1801" t="str">
            <v>ŞEFFAF</v>
          </cell>
          <cell r="X1801" t="str">
            <v>220V</v>
          </cell>
          <cell r="Y1801" t="str">
            <v>2 WATT</v>
          </cell>
          <cell r="Z1801" t="str">
            <v>3200 K</v>
          </cell>
          <cell r="AA1801" t="str">
            <v>DIMMSIZ</v>
          </cell>
          <cell r="AB1801" t="str">
            <v>301-400</v>
          </cell>
          <cell r="AG1801" t="str">
            <v>ADET</v>
          </cell>
          <cell r="AL1801">
            <v>1</v>
          </cell>
          <cell r="AO1801">
            <v>0.37</v>
          </cell>
          <cell r="AP1801" t="str">
            <v>KG</v>
          </cell>
          <cell r="AQ1801">
            <v>15</v>
          </cell>
          <cell r="AR1801" t="str">
            <v>CM</v>
          </cell>
          <cell r="AS1801">
            <v>7</v>
          </cell>
          <cell r="AT1801" t="str">
            <v>CM</v>
          </cell>
          <cell r="AU1801">
            <v>0</v>
          </cell>
          <cell r="AW1801">
            <v>0</v>
          </cell>
        </row>
        <row r="1802">
          <cell r="B1802" t="str">
            <v>H1C6KMPWRB0-048</v>
          </cell>
          <cell r="C1802" t="str">
            <v xml:space="preserve">REGİNA PLATİN MERMER SARKIT </v>
          </cell>
          <cell r="D1802" t="str">
            <v>REGİNA PLATINUM MARBLE PENDANT LAMP</v>
          </cell>
          <cell r="E1802" t="str">
            <v xml:space="preserve">PASLANMAZ MERMER PLATİN BEYAZ   </v>
          </cell>
          <cell r="F1802" t="str">
            <v/>
          </cell>
          <cell r="G1802" t="str">
            <v>AVİZE</v>
          </cell>
          <cell r="H1802" t="str">
            <v/>
          </cell>
          <cell r="I1802" t="str">
            <v>İÇ</v>
          </cell>
          <cell r="J1802" t="str">
            <v>AVİZE</v>
          </cell>
          <cell r="K1802" t="str">
            <v>REGİNA</v>
          </cell>
          <cell r="L1802" t="str">
            <v/>
          </cell>
          <cell r="M1802" t="str">
            <v/>
          </cell>
          <cell r="N1802" t="str">
            <v>HKA-24488</v>
          </cell>
          <cell r="O1802" t="str">
            <v>HEKA</v>
          </cell>
          <cell r="P1802" t="str">
            <v>ADET</v>
          </cell>
          <cell r="Q1802" t="str">
            <v>LED</v>
          </cell>
          <cell r="R1802" t="str">
            <v>PASLANMAZ</v>
          </cell>
          <cell r="S1802" t="str">
            <v>PLATİN</v>
          </cell>
          <cell r="T1802" t="str">
            <v>MERMER</v>
          </cell>
          <cell r="U1802" t="str">
            <v>BEYAZ</v>
          </cell>
          <cell r="AF1802">
            <v>1</v>
          </cell>
          <cell r="AG1802" t="str">
            <v>ADET</v>
          </cell>
          <cell r="AH1802">
            <v>688</v>
          </cell>
          <cell r="AI1802" t="str">
            <v>CNY</v>
          </cell>
          <cell r="AJ1802">
            <v>57792</v>
          </cell>
          <cell r="AK1802" t="str">
            <v>TL</v>
          </cell>
          <cell r="AL1802">
            <v>1</v>
          </cell>
          <cell r="AM1802" t="str">
            <v>8684127516136</v>
          </cell>
          <cell r="AO1802">
            <v>0</v>
          </cell>
          <cell r="AQ1802">
            <v>0</v>
          </cell>
          <cell r="AS1802">
            <v>0</v>
          </cell>
          <cell r="AU1802">
            <v>0</v>
          </cell>
          <cell r="AW1802">
            <v>0</v>
          </cell>
        </row>
        <row r="1803">
          <cell r="B1803" t="str">
            <v>H1S5CM3000L-090</v>
          </cell>
          <cell r="C1803" t="str">
            <v>BELLA MAT KROM DÜZ SPOT 60X90 mm</v>
          </cell>
          <cell r="D1803" t="str">
            <v>BELLA MATTE CHROME PLAIN SPOTLIGHT 60X90 mm</v>
          </cell>
          <cell r="E1803" t="str">
            <v xml:space="preserve">ALUMİNYUM YOK MAT KROM YOK   </v>
          </cell>
          <cell r="F1803" t="str">
            <v>9405.19.90.00.00</v>
          </cell>
          <cell r="G1803" t="str">
            <v>TEKNİK</v>
          </cell>
          <cell r="H1803" t="str">
            <v>T1S5A300X0-09</v>
          </cell>
          <cell r="I1803" t="str">
            <v>İÇ</v>
          </cell>
          <cell r="J1803" t="str">
            <v>TEKNİK</v>
          </cell>
          <cell r="K1803" t="str">
            <v>BELLA</v>
          </cell>
          <cell r="L1803" t="str">
            <v/>
          </cell>
          <cell r="M1803" t="str">
            <v/>
          </cell>
          <cell r="N1803" t="str">
            <v>BELLA-9</v>
          </cell>
          <cell r="O1803" t="str">
            <v>HEKA</v>
          </cell>
          <cell r="P1803" t="str">
            <v>ADET</v>
          </cell>
          <cell r="Q1803" t="str">
            <v>GU10</v>
          </cell>
          <cell r="R1803" t="str">
            <v>ALUMİNYUM</v>
          </cell>
          <cell r="S1803" t="str">
            <v>MAT KROM</v>
          </cell>
          <cell r="T1803" t="str">
            <v>YOK</v>
          </cell>
          <cell r="U1803" t="str">
            <v>YOK</v>
          </cell>
          <cell r="AD1803" t="str">
            <v>DÜZ</v>
          </cell>
          <cell r="AE1803" t="str">
            <v>01</v>
          </cell>
          <cell r="AF1803">
            <v>299</v>
          </cell>
          <cell r="AG1803" t="str">
            <v>ADET</v>
          </cell>
          <cell r="AH1803">
            <v>19.5</v>
          </cell>
          <cell r="AI1803" t="str">
            <v>CNY</v>
          </cell>
          <cell r="AJ1803">
            <v>1249</v>
          </cell>
          <cell r="AK1803" t="str">
            <v>TL</v>
          </cell>
          <cell r="AL1803">
            <v>1</v>
          </cell>
          <cell r="AM1803" t="str">
            <v>8684127516150</v>
          </cell>
          <cell r="AO1803">
            <v>0</v>
          </cell>
          <cell r="AQ1803">
            <v>90</v>
          </cell>
          <cell r="AR1803" t="str">
            <v>CM</v>
          </cell>
          <cell r="AS1803">
            <v>60</v>
          </cell>
          <cell r="AT1803" t="str">
            <v>CM</v>
          </cell>
          <cell r="AU1803">
            <v>0</v>
          </cell>
          <cell r="AW1803">
            <v>0</v>
          </cell>
        </row>
        <row r="1804">
          <cell r="B1804" t="str">
            <v>H1L00000000-001</v>
          </cell>
          <cell r="C1804" t="str">
            <v>ÖZEL TASARIM MOBİLYA</v>
          </cell>
          <cell r="D1804" t="str">
            <v>CUSTOM DESIGN ACCESORY</v>
          </cell>
          <cell r="E1804" t="str">
            <v/>
          </cell>
          <cell r="F1804" t="str">
            <v/>
          </cell>
          <cell r="G1804" t="str">
            <v>AKSESUAR</v>
          </cell>
          <cell r="H1804" t="str">
            <v/>
          </cell>
          <cell r="I1804" t="str">
            <v>İÇ</v>
          </cell>
          <cell r="J1804" t="str">
            <v>AKSESUAR</v>
          </cell>
          <cell r="K1804" t="str">
            <v/>
          </cell>
          <cell r="L1804" t="str">
            <v/>
          </cell>
          <cell r="M1804" t="str">
            <v>ÖZEL TASAR</v>
          </cell>
          <cell r="N1804" t="str">
            <v/>
          </cell>
          <cell r="O1804" t="str">
            <v>HEKA</v>
          </cell>
          <cell r="P1804" t="str">
            <v>ADET</v>
          </cell>
          <cell r="AF1804">
            <v>0</v>
          </cell>
          <cell r="AG1804" t="str">
            <v>ADET</v>
          </cell>
          <cell r="AL1804">
            <v>0</v>
          </cell>
          <cell r="AO1804">
            <v>0</v>
          </cell>
          <cell r="AQ1804">
            <v>0</v>
          </cell>
          <cell r="AS1804">
            <v>0</v>
          </cell>
          <cell r="AU1804">
            <v>0</v>
          </cell>
          <cell r="AW1804">
            <v>0</v>
          </cell>
        </row>
        <row r="1805">
          <cell r="B1805" t="str">
            <v>H1W6JMPWRBE-042</v>
          </cell>
          <cell r="C1805" t="str">
            <v>TERMESSOS BEYAZ MERMERLİ PLATİN APLİK 17x42cm</v>
          </cell>
          <cell r="D1805" t="str">
            <v>TERMESSOS WHITE MARBLE PLATINUM WALL LAMP 17x42cm</v>
          </cell>
          <cell r="E1805" t="str">
            <v xml:space="preserve">METAL MERMER PLATIN BEYAZ   </v>
          </cell>
          <cell r="F1805" t="str">
            <v>9405.11.90.00.00</v>
          </cell>
          <cell r="G1805" t="str">
            <v>APLİK</v>
          </cell>
          <cell r="H1805" t="str">
            <v/>
          </cell>
          <cell r="I1805" t="str">
            <v>İÇ</v>
          </cell>
          <cell r="J1805" t="str">
            <v>APLİK</v>
          </cell>
          <cell r="K1805" t="str">
            <v>TERMESSOS</v>
          </cell>
          <cell r="L1805" t="str">
            <v/>
          </cell>
          <cell r="M1805" t="str">
            <v/>
          </cell>
          <cell r="N1805" t="str">
            <v>HKA-25036</v>
          </cell>
          <cell r="O1805" t="str">
            <v>HEKA</v>
          </cell>
          <cell r="P1805" t="str">
            <v>ADET</v>
          </cell>
          <cell r="Q1805" t="str">
            <v>LED</v>
          </cell>
          <cell r="R1805" t="str">
            <v>METAL</v>
          </cell>
          <cell r="S1805" t="str">
            <v>PLATİN</v>
          </cell>
          <cell r="T1805" t="str">
            <v>MERMER</v>
          </cell>
          <cell r="U1805" t="str">
            <v>BEYAZ</v>
          </cell>
          <cell r="AD1805" t="str">
            <v>DAİRE</v>
          </cell>
          <cell r="AF1805">
            <v>36</v>
          </cell>
          <cell r="AG1805" t="str">
            <v>ADET</v>
          </cell>
          <cell r="AH1805">
            <v>160</v>
          </cell>
          <cell r="AI1805" t="str">
            <v>CNY</v>
          </cell>
          <cell r="AJ1805">
            <v>13300</v>
          </cell>
          <cell r="AK1805" t="str">
            <v>TL</v>
          </cell>
          <cell r="AL1805">
            <v>1</v>
          </cell>
          <cell r="AM1805" t="str">
            <v>8684127516389</v>
          </cell>
          <cell r="AO1805">
            <v>0</v>
          </cell>
          <cell r="AQ1805">
            <v>0</v>
          </cell>
          <cell r="AS1805">
            <v>0</v>
          </cell>
          <cell r="AU1805">
            <v>0</v>
          </cell>
          <cell r="AW1805">
            <v>0</v>
          </cell>
        </row>
        <row r="1806">
          <cell r="B1806" t="str">
            <v>ADYHZCT0000-055</v>
          </cell>
          <cell r="C1806" t="str">
            <v>ANTİK RESİN DUVAR DEKORU 55x10x83CM</v>
          </cell>
          <cell r="D1806" t="str">
            <v>ANTIQUE RESIN WALL DECOR 55x10x83CM</v>
          </cell>
          <cell r="E1806" t="str">
            <v>POLİÜRETAN YOK SOFT YOK</v>
          </cell>
          <cell r="F1806" t="str">
            <v/>
          </cell>
          <cell r="G1806" t="str">
            <v>AKSESUAR</v>
          </cell>
          <cell r="H1806" t="str">
            <v/>
          </cell>
          <cell r="I1806" t="str">
            <v>İÇ</v>
          </cell>
          <cell r="J1806" t="str">
            <v>AKSESUAR</v>
          </cell>
          <cell r="K1806" t="str">
            <v>HEKA</v>
          </cell>
          <cell r="L1806" t="str">
            <v/>
          </cell>
          <cell r="M1806" t="str">
            <v/>
          </cell>
          <cell r="N1806" t="str">
            <v>HKA-250007</v>
          </cell>
          <cell r="O1806" t="str">
            <v>HEKA</v>
          </cell>
          <cell r="P1806" t="str">
            <v>ADET</v>
          </cell>
          <cell r="R1806" t="str">
            <v>POLİÜRETAN</v>
          </cell>
          <cell r="S1806" t="str">
            <v>SOFT</v>
          </cell>
          <cell r="T1806" t="str">
            <v>YOK</v>
          </cell>
          <cell r="U1806" t="str">
            <v>YOK</v>
          </cell>
          <cell r="AF1806">
            <v>0</v>
          </cell>
          <cell r="AG1806" t="str">
            <v>ADET</v>
          </cell>
          <cell r="AH1806">
            <v>4549</v>
          </cell>
          <cell r="AI1806" t="str">
            <v>TL</v>
          </cell>
          <cell r="AJ1806">
            <v>10917.6</v>
          </cell>
          <cell r="AK1806" t="str">
            <v>TL</v>
          </cell>
          <cell r="AL1806">
            <v>1</v>
          </cell>
          <cell r="AO1806">
            <v>0</v>
          </cell>
          <cell r="AQ1806">
            <v>83</v>
          </cell>
          <cell r="AR1806" t="str">
            <v>CM</v>
          </cell>
          <cell r="AS1806">
            <v>55</v>
          </cell>
          <cell r="AT1806" t="str">
            <v>CM</v>
          </cell>
          <cell r="AU1806">
            <v>0</v>
          </cell>
          <cell r="AW1806">
            <v>0</v>
          </cell>
        </row>
        <row r="1807">
          <cell r="B1807" t="str">
            <v>ADYHJRGJMP0-093</v>
          </cell>
          <cell r="C1807" t="str">
            <v>BRONZ KREM DEKOR KÜP OBJE 26x93CM</v>
          </cell>
          <cell r="D1807" t="str">
            <v>BRONZE CREAM DECOR CUBE OBJECT 26x93CM</v>
          </cell>
          <cell r="E1807" t="str">
            <v>METAL METAL GRİ PLATİN</v>
          </cell>
          <cell r="F1807" t="str">
            <v/>
          </cell>
          <cell r="G1807" t="str">
            <v>AKSESUAR</v>
          </cell>
          <cell r="H1807" t="str">
            <v/>
          </cell>
          <cell r="I1807" t="str">
            <v>İÇ</v>
          </cell>
          <cell r="J1807" t="str">
            <v>AKSESUAR</v>
          </cell>
          <cell r="K1807" t="str">
            <v>HEKA</v>
          </cell>
          <cell r="L1807" t="str">
            <v/>
          </cell>
          <cell r="M1807" t="str">
            <v/>
          </cell>
          <cell r="N1807" t="str">
            <v>HKA-250009</v>
          </cell>
          <cell r="O1807" t="str">
            <v>HEKA</v>
          </cell>
          <cell r="P1807" t="str">
            <v>ADET</v>
          </cell>
          <cell r="R1807" t="str">
            <v>METAL</v>
          </cell>
          <cell r="S1807" t="str">
            <v>GRİ</v>
          </cell>
          <cell r="T1807" t="str">
            <v>METAL</v>
          </cell>
          <cell r="U1807" t="str">
            <v>PLATİN</v>
          </cell>
          <cell r="AF1807">
            <v>1</v>
          </cell>
          <cell r="AG1807" t="str">
            <v>ADET</v>
          </cell>
          <cell r="AH1807">
            <v>5639</v>
          </cell>
          <cell r="AI1807" t="str">
            <v>TL</v>
          </cell>
          <cell r="AJ1807">
            <v>13533.6</v>
          </cell>
          <cell r="AK1807" t="str">
            <v>TL</v>
          </cell>
          <cell r="AL1807">
            <v>1</v>
          </cell>
          <cell r="AO1807">
            <v>0</v>
          </cell>
          <cell r="AQ1807">
            <v>26</v>
          </cell>
          <cell r="AR1807" t="str">
            <v>CM</v>
          </cell>
          <cell r="AS1807">
            <v>26</v>
          </cell>
          <cell r="AT1807" t="str">
            <v>CM</v>
          </cell>
          <cell r="AU1807">
            <v>0</v>
          </cell>
          <cell r="AW1807">
            <v>0</v>
          </cell>
        </row>
        <row r="1808">
          <cell r="B1808" t="str">
            <v>AVYHERL0005-019</v>
          </cell>
          <cell r="C1808" t="str">
            <v>SPİRE KAHVE CAM VAZO 19x29CM</v>
          </cell>
          <cell r="D1808" t="str">
            <v>SPIRE BROWN GLASS VASE 19x29CM</v>
          </cell>
          <cell r="E1808" t="str">
            <v>CAM  YOK BAL YOK</v>
          </cell>
          <cell r="F1808" t="str">
            <v/>
          </cell>
          <cell r="G1808" t="str">
            <v>AKSESUAR</v>
          </cell>
          <cell r="H1808" t="str">
            <v/>
          </cell>
          <cell r="I1808" t="str">
            <v>İÇ</v>
          </cell>
          <cell r="J1808" t="str">
            <v>AKSESUAR</v>
          </cell>
          <cell r="K1808" t="str">
            <v>HEKA</v>
          </cell>
          <cell r="L1808" t="str">
            <v/>
          </cell>
          <cell r="M1808" t="str">
            <v/>
          </cell>
          <cell r="N1808" t="str">
            <v>HKA-250014</v>
          </cell>
          <cell r="O1808" t="str">
            <v>HEKA</v>
          </cell>
          <cell r="P1808" t="str">
            <v>ADET</v>
          </cell>
          <cell r="R1808" t="str">
            <v>CAM</v>
          </cell>
          <cell r="S1808" t="str">
            <v>BAL</v>
          </cell>
          <cell r="T1808" t="str">
            <v>YOK</v>
          </cell>
          <cell r="U1808" t="str">
            <v>YOK</v>
          </cell>
          <cell r="AD1808" t="str">
            <v>VAZO</v>
          </cell>
          <cell r="AF1808">
            <v>1</v>
          </cell>
          <cell r="AG1808" t="str">
            <v>ADET</v>
          </cell>
          <cell r="AH1808">
            <v>2599</v>
          </cell>
          <cell r="AI1808" t="str">
            <v>TL</v>
          </cell>
          <cell r="AJ1808">
            <v>6237.6</v>
          </cell>
          <cell r="AK1808" t="str">
            <v>TL</v>
          </cell>
          <cell r="AL1808">
            <v>1</v>
          </cell>
          <cell r="AO1808">
            <v>0</v>
          </cell>
          <cell r="AQ1808">
            <v>19</v>
          </cell>
          <cell r="AR1808" t="str">
            <v>CM</v>
          </cell>
          <cell r="AS1808">
            <v>19</v>
          </cell>
          <cell r="AT1808" t="str">
            <v>CM</v>
          </cell>
          <cell r="AU1808">
            <v>0</v>
          </cell>
          <cell r="AW1808">
            <v>0</v>
          </cell>
        </row>
        <row r="1809">
          <cell r="B1809" t="str">
            <v>ADYHZCT0002-025</v>
          </cell>
          <cell r="C1809" t="str">
            <v>GOLD MERCAN 25x36CM</v>
          </cell>
          <cell r="D1809" t="str">
            <v>GOLD CORAL 25x36CM</v>
          </cell>
          <cell r="E1809" t="str">
            <v>POLİÜRETAN YOK SOFT YOK</v>
          </cell>
          <cell r="F1809" t="str">
            <v/>
          </cell>
          <cell r="G1809" t="str">
            <v>AKSESUAR</v>
          </cell>
          <cell r="H1809" t="str">
            <v/>
          </cell>
          <cell r="I1809" t="str">
            <v/>
          </cell>
          <cell r="J1809" t="str">
            <v>AKSESUAR</v>
          </cell>
          <cell r="K1809" t="str">
            <v>HEKA</v>
          </cell>
          <cell r="L1809" t="str">
            <v/>
          </cell>
          <cell r="M1809" t="str">
            <v/>
          </cell>
          <cell r="N1809" t="str">
            <v>HKA-250016</v>
          </cell>
          <cell r="O1809" t="str">
            <v>HEKA</v>
          </cell>
          <cell r="P1809" t="str">
            <v>ADET</v>
          </cell>
          <cell r="R1809" t="str">
            <v>POLİÜRETAN</v>
          </cell>
          <cell r="S1809" t="str">
            <v>SOFT</v>
          </cell>
          <cell r="T1809" t="str">
            <v>YOK</v>
          </cell>
          <cell r="U1809" t="str">
            <v>YOK</v>
          </cell>
          <cell r="AD1809" t="str">
            <v>BİBLO</v>
          </cell>
          <cell r="AF1809">
            <v>1</v>
          </cell>
          <cell r="AG1809" t="str">
            <v>ADET</v>
          </cell>
          <cell r="AH1809">
            <v>919</v>
          </cell>
          <cell r="AI1809" t="str">
            <v>TL</v>
          </cell>
          <cell r="AJ1809">
            <v>2205.6</v>
          </cell>
          <cell r="AK1809" t="str">
            <v>TL</v>
          </cell>
          <cell r="AL1809">
            <v>1</v>
          </cell>
          <cell r="AO1809">
            <v>0</v>
          </cell>
          <cell r="AQ1809">
            <v>25</v>
          </cell>
          <cell r="AR1809" t="str">
            <v>CM</v>
          </cell>
          <cell r="AS1809">
            <v>25</v>
          </cell>
          <cell r="AT1809" t="str">
            <v>CM</v>
          </cell>
          <cell r="AU1809">
            <v>0</v>
          </cell>
          <cell r="AW1809">
            <v>0</v>
          </cell>
        </row>
        <row r="1810">
          <cell r="B1810" t="str">
            <v>ATYHERBHRU0-120</v>
          </cell>
          <cell r="C1810" t="str">
            <v>GÜMÜŞ KABARTMALI TABLO 90x120CM</v>
          </cell>
          <cell r="D1810" t="str">
            <v>SILVER EMBOSSED TABLE 90x120CM</v>
          </cell>
          <cell r="E1810" t="str">
            <v>CAM  KUMAŞ BEYAZ GÜMÜŞ</v>
          </cell>
          <cell r="F1810" t="str">
            <v/>
          </cell>
          <cell r="G1810" t="str">
            <v>AKSESUAR</v>
          </cell>
          <cell r="H1810" t="str">
            <v/>
          </cell>
          <cell r="I1810" t="str">
            <v>İÇ</v>
          </cell>
          <cell r="J1810" t="str">
            <v>AKSESUAR</v>
          </cell>
          <cell r="K1810" t="str">
            <v>HEKA</v>
          </cell>
          <cell r="L1810" t="str">
            <v/>
          </cell>
          <cell r="M1810" t="str">
            <v/>
          </cell>
          <cell r="N1810" t="str">
            <v>HKA-250018</v>
          </cell>
          <cell r="O1810" t="str">
            <v>HEKA</v>
          </cell>
          <cell r="P1810" t="str">
            <v>ADET</v>
          </cell>
          <cell r="R1810" t="str">
            <v>CAM</v>
          </cell>
          <cell r="S1810" t="str">
            <v>BEYAZ</v>
          </cell>
          <cell r="T1810" t="str">
            <v>KUMAŞ</v>
          </cell>
          <cell r="U1810" t="str">
            <v>GÜMÜŞ</v>
          </cell>
          <cell r="AF1810">
            <v>1</v>
          </cell>
          <cell r="AG1810" t="str">
            <v>ADET</v>
          </cell>
          <cell r="AH1810">
            <v>6790</v>
          </cell>
          <cell r="AI1810" t="str">
            <v>TL</v>
          </cell>
          <cell r="AJ1810">
            <v>16296</v>
          </cell>
          <cell r="AK1810" t="str">
            <v>TL</v>
          </cell>
          <cell r="AL1810">
            <v>1</v>
          </cell>
          <cell r="AO1810">
            <v>0</v>
          </cell>
          <cell r="AQ1810">
            <v>0</v>
          </cell>
          <cell r="AS1810">
            <v>90</v>
          </cell>
          <cell r="AT1810" t="str">
            <v>CM</v>
          </cell>
          <cell r="AU1810">
            <v>0</v>
          </cell>
          <cell r="AW1810">
            <v>0</v>
          </cell>
        </row>
        <row r="1811">
          <cell r="B1811" t="str">
            <v>H1C6JMPWRFD-127</v>
          </cell>
          <cell r="C1811" t="str">
            <v>PONTE MERMER PLATİN Y.MASASI AVİZE 127CM</v>
          </cell>
          <cell r="D1811" t="str">
            <v>PONTE MARBLE PLATINUM DINNING ROOM CHANDELIER 127CM</v>
          </cell>
          <cell r="E1811" t="str">
            <v>METAL MERMER PLATİN BEYAZ</v>
          </cell>
          <cell r="F1811" t="str">
            <v/>
          </cell>
          <cell r="G1811" t="str">
            <v>AVİZE</v>
          </cell>
          <cell r="H1811" t="str">
            <v/>
          </cell>
          <cell r="I1811" t="str">
            <v>İÇ</v>
          </cell>
          <cell r="J1811" t="str">
            <v>AVİZE</v>
          </cell>
          <cell r="K1811" t="str">
            <v>PONTE</v>
          </cell>
          <cell r="L1811" t="str">
            <v/>
          </cell>
          <cell r="M1811" t="str">
            <v/>
          </cell>
          <cell r="N1811" t="str">
            <v>HKA-25048</v>
          </cell>
          <cell r="O1811" t="str">
            <v>HEKA</v>
          </cell>
          <cell r="P1811" t="str">
            <v>ADET</v>
          </cell>
          <cell r="Q1811" t="str">
            <v>LED</v>
          </cell>
          <cell r="R1811" t="str">
            <v>METAL</v>
          </cell>
          <cell r="S1811" t="str">
            <v>PLATİN</v>
          </cell>
          <cell r="T1811" t="str">
            <v>MERMER</v>
          </cell>
          <cell r="U1811" t="str">
            <v>BEYAZ</v>
          </cell>
          <cell r="Y1811" t="str">
            <v>60 WATT</v>
          </cell>
          <cell r="Z1811" t="str">
            <v>3000 K</v>
          </cell>
          <cell r="AA1811" t="str">
            <v>DIMMLI</v>
          </cell>
          <cell r="AD1811" t="str">
            <v>DİKDÖRTGEN</v>
          </cell>
          <cell r="AE1811" t="str">
            <v>01</v>
          </cell>
          <cell r="AF1811">
            <v>25</v>
          </cell>
          <cell r="AG1811" t="str">
            <v>ADET</v>
          </cell>
          <cell r="AH1811">
            <v>8167.5</v>
          </cell>
          <cell r="AI1811" t="str">
            <v>TL</v>
          </cell>
          <cell r="AL1811">
            <v>1</v>
          </cell>
          <cell r="AM1811" t="str">
            <v>8684127516754</v>
          </cell>
          <cell r="AO1811">
            <v>0</v>
          </cell>
          <cell r="AQ1811">
            <v>0</v>
          </cell>
          <cell r="AS1811">
            <v>0</v>
          </cell>
          <cell r="AU1811">
            <v>0</v>
          </cell>
          <cell r="AW1811">
            <v>0</v>
          </cell>
        </row>
        <row r="1812">
          <cell r="B1812" t="str">
            <v>H1W6JMELRBH-038</v>
          </cell>
          <cell r="C1812" t="str">
            <v>CARTE ESKİTME LED APLİK 38cm</v>
          </cell>
          <cell r="D1812" t="str">
            <v>CARTE BRUSHED BRASS  LED WALL LAMP 38cm</v>
          </cell>
          <cell r="E1812" t="str">
            <v>METAL PLEKSİ ESKİTME BEYAZ</v>
          </cell>
          <cell r="F1812" t="str">
            <v/>
          </cell>
          <cell r="G1812" t="str">
            <v>APLİK</v>
          </cell>
          <cell r="H1812" t="str">
            <v/>
          </cell>
          <cell r="I1812" t="str">
            <v>İÇ</v>
          </cell>
          <cell r="J1812" t="str">
            <v>APLİK</v>
          </cell>
          <cell r="K1812" t="str">
            <v>CARTE</v>
          </cell>
          <cell r="L1812" t="str">
            <v/>
          </cell>
          <cell r="M1812" t="str">
            <v>15.01.2026</v>
          </cell>
          <cell r="N1812" t="str">
            <v>HKA-25050</v>
          </cell>
          <cell r="O1812" t="str">
            <v>HEKA</v>
          </cell>
          <cell r="P1812" t="str">
            <v>ADET</v>
          </cell>
          <cell r="Q1812" t="str">
            <v>LED</v>
          </cell>
          <cell r="R1812" t="str">
            <v>METAL</v>
          </cell>
          <cell r="S1812" t="str">
            <v>ESKİTME</v>
          </cell>
          <cell r="T1812" t="str">
            <v>PLEKSİ</v>
          </cell>
          <cell r="U1812" t="str">
            <v>BEYAZ</v>
          </cell>
          <cell r="Y1812" t="str">
            <v>8 WATT</v>
          </cell>
          <cell r="Z1812" t="str">
            <v>3000 K</v>
          </cell>
          <cell r="AA1812" t="str">
            <v>DIMMSIZ</v>
          </cell>
          <cell r="AD1812" t="str">
            <v>HAREKETLİ</v>
          </cell>
          <cell r="AE1812" t="str">
            <v>01</v>
          </cell>
          <cell r="AF1812">
            <v>100</v>
          </cell>
          <cell r="AG1812" t="str">
            <v>ADET</v>
          </cell>
          <cell r="AH1812">
            <v>485</v>
          </cell>
          <cell r="AI1812" t="str">
            <v>TL</v>
          </cell>
          <cell r="AL1812">
            <v>1</v>
          </cell>
          <cell r="AM1812" t="str">
            <v>8684127516778</v>
          </cell>
          <cell r="AO1812">
            <v>0</v>
          </cell>
          <cell r="AQ1812">
            <v>0</v>
          </cell>
          <cell r="AS1812">
            <v>0</v>
          </cell>
          <cell r="AU1812">
            <v>0</v>
          </cell>
          <cell r="AW1812">
            <v>0</v>
          </cell>
        </row>
        <row r="1813">
          <cell r="B1813" t="str">
            <v>H1W6JMELRBH-037</v>
          </cell>
          <cell r="C1813" t="str">
            <v>ARNE  ESKİTME LED APLİK 37CM</v>
          </cell>
          <cell r="D1813" t="str">
            <v>ARNE BRUSHED BRASS LED WALL LAMP 37CM</v>
          </cell>
          <cell r="E1813" t="str">
            <v>METAL PLEKSİ ESKİTME BEYAZ</v>
          </cell>
          <cell r="F1813" t="str">
            <v/>
          </cell>
          <cell r="G1813" t="str">
            <v>APLİK</v>
          </cell>
          <cell r="H1813" t="str">
            <v/>
          </cell>
          <cell r="I1813" t="str">
            <v>İÇ</v>
          </cell>
          <cell r="J1813" t="str">
            <v>APLİK</v>
          </cell>
          <cell r="K1813" t="str">
            <v>ARNE</v>
          </cell>
          <cell r="L1813" t="str">
            <v/>
          </cell>
          <cell r="M1813" t="str">
            <v/>
          </cell>
          <cell r="N1813" t="str">
            <v>HKA-25055</v>
          </cell>
          <cell r="O1813" t="str">
            <v>HEKA</v>
          </cell>
          <cell r="P1813" t="str">
            <v>ADET</v>
          </cell>
          <cell r="Q1813" t="str">
            <v>LED</v>
          </cell>
          <cell r="R1813" t="str">
            <v>METAL</v>
          </cell>
          <cell r="S1813" t="str">
            <v>ESKİTME</v>
          </cell>
          <cell r="T1813" t="str">
            <v>PLEKSİ</v>
          </cell>
          <cell r="U1813" t="str">
            <v>BEYAZ</v>
          </cell>
          <cell r="Z1813" t="str">
            <v>3000 K</v>
          </cell>
          <cell r="AA1813" t="str">
            <v>DIMMSIZ</v>
          </cell>
          <cell r="AD1813" t="str">
            <v>HAREKETLİ</v>
          </cell>
          <cell r="AE1813" t="str">
            <v>01</v>
          </cell>
          <cell r="AF1813">
            <v>100</v>
          </cell>
          <cell r="AG1813" t="str">
            <v>ADET</v>
          </cell>
          <cell r="AH1813">
            <v>53.35</v>
          </cell>
          <cell r="AI1813" t="str">
            <v>CNY</v>
          </cell>
          <cell r="AL1813">
            <v>1</v>
          </cell>
          <cell r="AM1813" t="str">
            <v>8684127516822</v>
          </cell>
          <cell r="AO1813">
            <v>0</v>
          </cell>
          <cell r="AQ1813">
            <v>0</v>
          </cell>
          <cell r="AS1813">
            <v>0</v>
          </cell>
          <cell r="AU1813">
            <v>0</v>
          </cell>
          <cell r="AW1813">
            <v>0</v>
          </cell>
        </row>
        <row r="1814">
          <cell r="B1814" t="str">
            <v>CN1E1C3M2E8Q0X2</v>
          </cell>
          <cell r="C1814" t="str">
            <v>Heka 2'li LED Filament Rustik Ampul Kıvrık Uç 6W E</v>
          </cell>
          <cell r="D1814" t="str">
            <v>Beyaz</v>
          </cell>
          <cell r="E1814" t="str">
            <v/>
          </cell>
          <cell r="F1814" t="str">
            <v/>
          </cell>
          <cell r="G1814" t="str">
            <v/>
          </cell>
          <cell r="H1814" t="str">
            <v/>
          </cell>
          <cell r="I1814" t="str">
            <v/>
          </cell>
          <cell r="J1814" t="str">
            <v/>
          </cell>
          <cell r="K1814" t="str">
            <v/>
          </cell>
          <cell r="L1814" t="str">
            <v/>
          </cell>
          <cell r="M1814" t="str">
            <v/>
          </cell>
          <cell r="N1814" t="str">
            <v/>
          </cell>
          <cell r="P1814" t="str">
            <v>ADET</v>
          </cell>
          <cell r="AG1814" t="str">
            <v>ADET</v>
          </cell>
          <cell r="AL1814">
            <v>0</v>
          </cell>
          <cell r="AO1814">
            <v>0</v>
          </cell>
          <cell r="AQ1814">
            <v>0</v>
          </cell>
          <cell r="AS1814">
            <v>0</v>
          </cell>
          <cell r="AU1814">
            <v>0</v>
          </cell>
          <cell r="AW1814">
            <v>0</v>
          </cell>
        </row>
        <row r="1815">
          <cell r="B1815" t="str">
            <v>S1W2JMGHRR0-044</v>
          </cell>
          <cell r="C1815" t="str">
            <v>CZZ-07 ÇİFT KOLLU ŞAPKALI APLİK</v>
          </cell>
          <cell r="D1815" t="str">
            <v/>
          </cell>
          <cell r="E1815" t="str">
            <v xml:space="preserve">METAL KUMAŞ GOLD KREM   </v>
          </cell>
          <cell r="F1815" t="str">
            <v/>
          </cell>
          <cell r="G1815" t="str">
            <v>APLİK</v>
          </cell>
          <cell r="H1815" t="str">
            <v/>
          </cell>
          <cell r="I1815" t="str">
            <v>İÇ</v>
          </cell>
          <cell r="J1815" t="str">
            <v>APLİK</v>
          </cell>
          <cell r="K1815" t="str">
            <v>CZZ-07</v>
          </cell>
          <cell r="L1815" t="str">
            <v/>
          </cell>
          <cell r="M1815" t="str">
            <v/>
          </cell>
          <cell r="N1815" t="str">
            <v>HKA-25007</v>
          </cell>
          <cell r="P1815" t="str">
            <v>ADET</v>
          </cell>
          <cell r="Q1815" t="str">
            <v>E27</v>
          </cell>
          <cell r="R1815" t="str">
            <v>METAL</v>
          </cell>
          <cell r="S1815" t="str">
            <v>GOLD</v>
          </cell>
          <cell r="T1815" t="str">
            <v>KUMAŞ</v>
          </cell>
          <cell r="U1815" t="str">
            <v>KREM</v>
          </cell>
          <cell r="AG1815" t="str">
            <v>ADET</v>
          </cell>
          <cell r="AL1815">
            <v>1</v>
          </cell>
          <cell r="AO1815">
            <v>0</v>
          </cell>
          <cell r="AQ1815">
            <v>30</v>
          </cell>
          <cell r="AR1815" t="str">
            <v>CM</v>
          </cell>
          <cell r="AS1815">
            <v>44</v>
          </cell>
          <cell r="AT1815" t="str">
            <v>CM</v>
          </cell>
          <cell r="AU1815">
            <v>0</v>
          </cell>
          <cell r="AW1815">
            <v>0</v>
          </cell>
        </row>
        <row r="1816">
          <cell r="B1816" t="str">
            <v>S1C6JMEECT0-250</v>
          </cell>
          <cell r="C1816" t="str">
            <v>CZZ-08 YİRMİ SEKİZ SOFT KÜRE CAMLI HAKLA AVİZE</v>
          </cell>
          <cell r="D1816" t="str">
            <v/>
          </cell>
          <cell r="E1816" t="str">
            <v xml:space="preserve">METAL CAM  ESKİTME SOFT     </v>
          </cell>
          <cell r="F1816" t="str">
            <v/>
          </cell>
          <cell r="G1816" t="str">
            <v>AVİZE</v>
          </cell>
          <cell r="H1816" t="str">
            <v/>
          </cell>
          <cell r="I1816" t="str">
            <v>İÇ</v>
          </cell>
          <cell r="J1816" t="str">
            <v>AVİZE</v>
          </cell>
          <cell r="K1816" t="str">
            <v>CZZ-08</v>
          </cell>
          <cell r="L1816" t="str">
            <v/>
          </cell>
          <cell r="M1816" t="str">
            <v/>
          </cell>
          <cell r="N1816" t="str">
            <v>HKA-25008</v>
          </cell>
          <cell r="P1816" t="str">
            <v>ADET</v>
          </cell>
          <cell r="Q1816" t="str">
            <v>LED</v>
          </cell>
          <cell r="R1816" t="str">
            <v>METAL</v>
          </cell>
          <cell r="S1816" t="str">
            <v>ESKİTME</v>
          </cell>
          <cell r="T1816" t="str">
            <v>CAM</v>
          </cell>
          <cell r="U1816" t="str">
            <v>SOFT</v>
          </cell>
          <cell r="AG1816" t="str">
            <v>ADET</v>
          </cell>
          <cell r="AL1816">
            <v>1</v>
          </cell>
          <cell r="AO1816">
            <v>0</v>
          </cell>
          <cell r="AQ1816">
            <v>8</v>
          </cell>
          <cell r="AR1816" t="str">
            <v>CM</v>
          </cell>
          <cell r="AS1816">
            <v>250</v>
          </cell>
          <cell r="AT1816" t="str">
            <v>CM</v>
          </cell>
          <cell r="AU1816">
            <v>0</v>
          </cell>
          <cell r="AW1816">
            <v>0</v>
          </cell>
        </row>
        <row r="1817">
          <cell r="B1817" t="str">
            <v>H1T6ERFWRB0-025</v>
          </cell>
          <cell r="C1817" t="str">
            <v>SEUL FÜME CAM BEYAZ MERMER ESKİTME MASA LAMBASI</v>
          </cell>
          <cell r="D1817" t="str">
            <v>SEUL SMOKED GLASS WHITE MARBLE BRUSHED BRASS TABLE LAMP</v>
          </cell>
          <cell r="E1817" t="str">
            <v xml:space="preserve">CAM  MERMER FÜME BEYAZ   </v>
          </cell>
          <cell r="F1817" t="str">
            <v/>
          </cell>
          <cell r="G1817" t="str">
            <v>MASAABAJ</v>
          </cell>
          <cell r="H1817" t="str">
            <v/>
          </cell>
          <cell r="I1817" t="str">
            <v>İÇ</v>
          </cell>
          <cell r="J1817" t="str">
            <v>MASAABAJ</v>
          </cell>
          <cell r="K1817" t="str">
            <v>SEUL</v>
          </cell>
          <cell r="L1817" t="str">
            <v>Y</v>
          </cell>
          <cell r="M1817" t="str">
            <v/>
          </cell>
          <cell r="N1817" t="str">
            <v>HKA-24570</v>
          </cell>
          <cell r="O1817" t="str">
            <v>HEKA</v>
          </cell>
          <cell r="P1817" t="str">
            <v>ADET</v>
          </cell>
          <cell r="Q1817" t="str">
            <v>LED</v>
          </cell>
          <cell r="R1817" t="str">
            <v>CAM</v>
          </cell>
          <cell r="S1817" t="str">
            <v>FÜME</v>
          </cell>
          <cell r="T1817" t="str">
            <v>MERMER</v>
          </cell>
          <cell r="U1817" t="str">
            <v>BEYAZ</v>
          </cell>
          <cell r="X1817" t="str">
            <v>110V-220V</v>
          </cell>
          <cell r="Y1817" t="str">
            <v>24 WATT</v>
          </cell>
          <cell r="Z1817" t="str">
            <v xml:space="preserve">2700 K </v>
          </cell>
          <cell r="AA1817" t="str">
            <v>DIMMSIZ</v>
          </cell>
          <cell r="AB1817" t="str">
            <v>301-400</v>
          </cell>
          <cell r="AF1817">
            <v>0</v>
          </cell>
          <cell r="AG1817" t="str">
            <v>ADET</v>
          </cell>
          <cell r="AH1817">
            <v>455</v>
          </cell>
          <cell r="AI1817" t="str">
            <v>CNY</v>
          </cell>
          <cell r="AJ1817">
            <v>31500</v>
          </cell>
          <cell r="AK1817" t="str">
            <v>TL</v>
          </cell>
          <cell r="AL1817">
            <v>1</v>
          </cell>
          <cell r="AM1817" t="str">
            <v>8684127515115</v>
          </cell>
          <cell r="AO1817">
            <v>3.2</v>
          </cell>
          <cell r="AP1817" t="str">
            <v>KG</v>
          </cell>
          <cell r="AQ1817">
            <v>24.5</v>
          </cell>
          <cell r="AR1817" t="str">
            <v>CM</v>
          </cell>
          <cell r="AS1817">
            <v>30</v>
          </cell>
          <cell r="AT1817" t="str">
            <v>CM</v>
          </cell>
          <cell r="AU1817">
            <v>0</v>
          </cell>
          <cell r="AW1817">
            <v>0</v>
          </cell>
        </row>
        <row r="1818">
          <cell r="B1818" t="str">
            <v>H1T6ERFWRB0-037</v>
          </cell>
          <cell r="C1818" t="str">
            <v>SEUL İKİ FÜME CAM BEYAZ MERMER ESKİTME MASA LAMBAS</v>
          </cell>
          <cell r="D1818" t="str">
            <v>SEUL TWO SMOKED GLASS WHITE MARBLE BRUSHED BRASS TABLE LAMP</v>
          </cell>
          <cell r="E1818" t="str">
            <v xml:space="preserve">CAM  MERMER FÜME BEYAZ   </v>
          </cell>
          <cell r="F1818" t="str">
            <v/>
          </cell>
          <cell r="G1818" t="str">
            <v>MASAABAJ</v>
          </cell>
          <cell r="H1818" t="str">
            <v/>
          </cell>
          <cell r="I1818" t="str">
            <v>İÇ</v>
          </cell>
          <cell r="J1818" t="str">
            <v>MASAABAJ</v>
          </cell>
          <cell r="K1818" t="str">
            <v>SEUL</v>
          </cell>
          <cell r="L1818" t="str">
            <v/>
          </cell>
          <cell r="M1818" t="str">
            <v/>
          </cell>
          <cell r="N1818" t="str">
            <v>HKA-24571</v>
          </cell>
          <cell r="O1818" t="str">
            <v>HEKA</v>
          </cell>
          <cell r="P1818" t="str">
            <v>ADET</v>
          </cell>
          <cell r="Q1818" t="str">
            <v>LED</v>
          </cell>
          <cell r="R1818" t="str">
            <v>CAM</v>
          </cell>
          <cell r="S1818" t="str">
            <v>FÜME</v>
          </cell>
          <cell r="T1818" t="str">
            <v>MERMER</v>
          </cell>
          <cell r="U1818" t="str">
            <v>BEYAZ</v>
          </cell>
          <cell r="X1818" t="str">
            <v>110V-220V</v>
          </cell>
          <cell r="Y1818" t="str">
            <v>24 WATT</v>
          </cell>
          <cell r="Z1818" t="str">
            <v xml:space="preserve">2700 K </v>
          </cell>
          <cell r="AA1818" t="str">
            <v>DIMMSIZ</v>
          </cell>
          <cell r="AB1818" t="str">
            <v>501-600</v>
          </cell>
          <cell r="AF1818">
            <v>1</v>
          </cell>
          <cell r="AG1818" t="str">
            <v>ADET</v>
          </cell>
          <cell r="AH1818">
            <v>609</v>
          </cell>
          <cell r="AI1818" t="str">
            <v>CNY</v>
          </cell>
          <cell r="AJ1818">
            <v>39500</v>
          </cell>
          <cell r="AK1818" t="str">
            <v>TL</v>
          </cell>
          <cell r="AL1818">
            <v>1</v>
          </cell>
          <cell r="AM1818" t="str">
            <v>8684127515122</v>
          </cell>
          <cell r="AO1818">
            <v>4.9000000000000004</v>
          </cell>
          <cell r="AP1818" t="str">
            <v>KG</v>
          </cell>
          <cell r="AQ1818">
            <v>30</v>
          </cell>
          <cell r="AR1818" t="str">
            <v>CM</v>
          </cell>
          <cell r="AS1818">
            <v>30</v>
          </cell>
          <cell r="AT1818" t="str">
            <v>CM</v>
          </cell>
          <cell r="AU1818">
            <v>0</v>
          </cell>
          <cell r="AW1818">
            <v>0</v>
          </cell>
        </row>
        <row r="1819">
          <cell r="B1819" t="str">
            <v>H1W6KRGPRBP-038</v>
          </cell>
          <cell r="C1819" t="str">
            <v>MARSİS PASLANMAZ PLATİN KÜÇÜK LED APLİK</v>
          </cell>
          <cell r="D1819" t="str">
            <v>MARSIS STAINLESS PLATINUM SMALL LED WALL LAMP</v>
          </cell>
          <cell r="E1819" t="str">
            <v>PASLANMAZ SİLİKON PLATİN BEYAZ</v>
          </cell>
          <cell r="F1819" t="str">
            <v/>
          </cell>
          <cell r="G1819" t="str">
            <v>APLİK</v>
          </cell>
          <cell r="H1819" t="str">
            <v/>
          </cell>
          <cell r="I1819" t="str">
            <v>İÇ</v>
          </cell>
          <cell r="J1819" t="str">
            <v>APLİK</v>
          </cell>
          <cell r="K1819" t="str">
            <v>MARSİS</v>
          </cell>
          <cell r="L1819" t="str">
            <v/>
          </cell>
          <cell r="M1819" t="str">
            <v/>
          </cell>
          <cell r="N1819" t="str">
            <v>HKA-24480</v>
          </cell>
          <cell r="O1819" t="str">
            <v>HEKA</v>
          </cell>
          <cell r="P1819" t="str">
            <v>ADET</v>
          </cell>
          <cell r="Q1819" t="str">
            <v>LED</v>
          </cell>
          <cell r="R1819" t="str">
            <v>PASLANMAZ</v>
          </cell>
          <cell r="S1819" t="str">
            <v>PLATİN</v>
          </cell>
          <cell r="T1819" t="str">
            <v>SİLİKON</v>
          </cell>
          <cell r="U1819" t="str">
            <v>BEYAZ</v>
          </cell>
          <cell r="AD1819" t="str">
            <v>POLİGONAL</v>
          </cell>
          <cell r="AF1819">
            <v>24</v>
          </cell>
          <cell r="AG1819" t="str">
            <v>ADET</v>
          </cell>
          <cell r="AH1819">
            <v>424</v>
          </cell>
          <cell r="AI1819" t="str">
            <v>CNY</v>
          </cell>
          <cell r="AJ1819">
            <v>25200</v>
          </cell>
          <cell r="AK1819" t="str">
            <v>TL</v>
          </cell>
          <cell r="AL1819">
            <v>1</v>
          </cell>
          <cell r="AM1819" t="str">
            <v>8684127515269</v>
          </cell>
          <cell r="AO1819">
            <v>1.3</v>
          </cell>
          <cell r="AP1819" t="str">
            <v>KG</v>
          </cell>
          <cell r="AQ1819">
            <v>5</v>
          </cell>
          <cell r="AR1819" t="str">
            <v>CM</v>
          </cell>
          <cell r="AS1819">
            <v>26</v>
          </cell>
          <cell r="AT1819" t="str">
            <v>CM</v>
          </cell>
          <cell r="AU1819">
            <v>0</v>
          </cell>
          <cell r="AW1819">
            <v>0</v>
          </cell>
        </row>
        <row r="1820">
          <cell r="B1820" t="str">
            <v>H1W6KRGPRBP-070</v>
          </cell>
          <cell r="C1820" t="str">
            <v>MARSİS 3 SIRALI PASLANMAZ PLATİN SALON LED AVİZE</v>
          </cell>
          <cell r="D1820" t="str">
            <v>MARSIS THREE ROW STAINLESS PLATINUM LIVING ROOM LED CHANDELIER</v>
          </cell>
          <cell r="E1820" t="str">
            <v xml:space="preserve">PASLANMAZ SİLİKON PLATİN BEYAZ   </v>
          </cell>
          <cell r="F1820" t="str">
            <v/>
          </cell>
          <cell r="G1820" t="str">
            <v>AVİZE</v>
          </cell>
          <cell r="H1820" t="str">
            <v/>
          </cell>
          <cell r="I1820" t="str">
            <v>İÇ</v>
          </cell>
          <cell r="J1820" t="str">
            <v>AVİZE.AVİZ</v>
          </cell>
          <cell r="K1820" t="str">
            <v>MARSİS</v>
          </cell>
          <cell r="L1820" t="str">
            <v>Ç</v>
          </cell>
          <cell r="M1820" t="str">
            <v/>
          </cell>
          <cell r="N1820" t="str">
            <v>HKA-24479</v>
          </cell>
          <cell r="O1820" t="str">
            <v>HEKA</v>
          </cell>
          <cell r="P1820" t="str">
            <v>ADET</v>
          </cell>
          <cell r="Q1820" t="str">
            <v>LED</v>
          </cell>
          <cell r="R1820" t="str">
            <v>PASLANMAZ</v>
          </cell>
          <cell r="S1820" t="str">
            <v>PLATİN</v>
          </cell>
          <cell r="T1820" t="str">
            <v>SİLİKON</v>
          </cell>
          <cell r="U1820" t="str">
            <v>BEYAZ</v>
          </cell>
          <cell r="Z1820" t="str">
            <v>3000 K</v>
          </cell>
          <cell r="AB1820" t="str">
            <v>1301-1400</v>
          </cell>
          <cell r="AD1820" t="str">
            <v>POLİGONAL</v>
          </cell>
          <cell r="AF1820">
            <v>12</v>
          </cell>
          <cell r="AG1820" t="str">
            <v>ADET</v>
          </cell>
          <cell r="AH1820">
            <v>1656</v>
          </cell>
          <cell r="AI1820" t="str">
            <v>CNY</v>
          </cell>
          <cell r="AJ1820">
            <v>98750</v>
          </cell>
          <cell r="AK1820" t="str">
            <v>TL</v>
          </cell>
          <cell r="AL1820">
            <v>1</v>
          </cell>
          <cell r="AM1820" t="str">
            <v>8684127516341</v>
          </cell>
          <cell r="AO1820">
            <v>9</v>
          </cell>
          <cell r="AP1820" t="str">
            <v>KG</v>
          </cell>
          <cell r="AQ1820">
            <v>100</v>
          </cell>
          <cell r="AR1820" t="str">
            <v>CM</v>
          </cell>
          <cell r="AS1820">
            <v>70</v>
          </cell>
          <cell r="AT1820" t="str">
            <v>CM</v>
          </cell>
          <cell r="AU1820">
            <v>0</v>
          </cell>
          <cell r="AW1820">
            <v>0</v>
          </cell>
        </row>
        <row r="1821">
          <cell r="B1821" t="str">
            <v>H1W6ERFWRB0-036</v>
          </cell>
          <cell r="C1821" t="str">
            <v>SEUL İKİ FÜME CAM BEYAZ MERMER ESKİTME SARKIT</v>
          </cell>
          <cell r="D1821" t="str">
            <v>SEUL TWO SMOKED GLASS WHITE MARBLE BRUSHED BRASS PENDANT</v>
          </cell>
          <cell r="E1821" t="str">
            <v xml:space="preserve">CAM  MERMER FÜME BEYAZ   </v>
          </cell>
          <cell r="F1821" t="str">
            <v/>
          </cell>
          <cell r="G1821" t="str">
            <v>AVİZE</v>
          </cell>
          <cell r="H1821" t="str">
            <v/>
          </cell>
          <cell r="I1821" t="str">
            <v>İÇ</v>
          </cell>
          <cell r="J1821" t="str">
            <v>AVİZE.SARK</v>
          </cell>
          <cell r="K1821" t="str">
            <v>SEUL</v>
          </cell>
          <cell r="L1821" t="str">
            <v/>
          </cell>
          <cell r="M1821" t="str">
            <v/>
          </cell>
          <cell r="N1821" t="str">
            <v>HKA-24568</v>
          </cell>
          <cell r="O1821" t="str">
            <v>HEKA</v>
          </cell>
          <cell r="P1821" t="str">
            <v>ADET</v>
          </cell>
          <cell r="Q1821" t="str">
            <v>LED</v>
          </cell>
          <cell r="R1821" t="str">
            <v>CAM</v>
          </cell>
          <cell r="S1821" t="str">
            <v>FÜME</v>
          </cell>
          <cell r="T1821" t="str">
            <v>MERMER</v>
          </cell>
          <cell r="U1821" t="str">
            <v>BEYAZ</v>
          </cell>
          <cell r="X1821" t="str">
            <v>110V-220V</v>
          </cell>
          <cell r="Y1821" t="str">
            <v>24 WATT</v>
          </cell>
          <cell r="Z1821" t="str">
            <v>3000 K</v>
          </cell>
          <cell r="AA1821" t="str">
            <v>DIMMSIZ</v>
          </cell>
          <cell r="AB1821" t="str">
            <v>1001-1100</v>
          </cell>
          <cell r="AF1821">
            <v>2</v>
          </cell>
          <cell r="AG1821" t="str">
            <v>ADET</v>
          </cell>
          <cell r="AH1821">
            <v>609</v>
          </cell>
          <cell r="AI1821" t="str">
            <v>CNY</v>
          </cell>
          <cell r="AJ1821">
            <v>39500</v>
          </cell>
          <cell r="AK1821" t="str">
            <v>TL</v>
          </cell>
          <cell r="AL1821">
            <v>1</v>
          </cell>
          <cell r="AM1821" t="str">
            <v>8684127515429</v>
          </cell>
          <cell r="AO1821">
            <v>5.71</v>
          </cell>
          <cell r="AP1821" t="str">
            <v>KG</v>
          </cell>
          <cell r="AQ1821">
            <v>36.5</v>
          </cell>
          <cell r="AR1821" t="str">
            <v>CM</v>
          </cell>
          <cell r="AS1821">
            <v>29</v>
          </cell>
          <cell r="AT1821" t="str">
            <v>CM</v>
          </cell>
          <cell r="AU1821">
            <v>0</v>
          </cell>
          <cell r="AW1821">
            <v>0</v>
          </cell>
        </row>
        <row r="1822">
          <cell r="B1822" t="str">
            <v>H1W6ERLJRS0-036</v>
          </cell>
          <cell r="C1822" t="str">
            <v>GAMBİA BAL CAM SİYAH APLİK 36cm</v>
          </cell>
          <cell r="D1822" t="str">
            <v>GAMBİA AMBER GLASS BLACK WALL LAMP 36cm</v>
          </cell>
          <cell r="E1822" t="str">
            <v xml:space="preserve">CAM  METAL BAL SİYAH   </v>
          </cell>
          <cell r="F1822" t="str">
            <v/>
          </cell>
          <cell r="G1822" t="str">
            <v>APLİK</v>
          </cell>
          <cell r="H1822" t="str">
            <v/>
          </cell>
          <cell r="I1822" t="str">
            <v>İÇ</v>
          </cell>
          <cell r="J1822" t="str">
            <v>APLİK</v>
          </cell>
          <cell r="K1822" t="str">
            <v>GAMBİA</v>
          </cell>
          <cell r="L1822" t="str">
            <v/>
          </cell>
          <cell r="M1822" t="str">
            <v>28.02.2026</v>
          </cell>
          <cell r="N1822" t="str">
            <v>HKA-24470</v>
          </cell>
          <cell r="O1822" t="str">
            <v>HEKA</v>
          </cell>
          <cell r="P1822" t="str">
            <v>ADET</v>
          </cell>
          <cell r="Q1822" t="str">
            <v>LED</v>
          </cell>
          <cell r="R1822" t="str">
            <v>CAM</v>
          </cell>
          <cell r="S1822" t="str">
            <v>BAL</v>
          </cell>
          <cell r="T1822" t="str">
            <v>METAL</v>
          </cell>
          <cell r="U1822" t="str">
            <v>SİYAH</v>
          </cell>
          <cell r="X1822" t="str">
            <v>110V-220V</v>
          </cell>
          <cell r="Y1822" t="str">
            <v>24 WATT</v>
          </cell>
          <cell r="Z1822" t="str">
            <v>2500 K</v>
          </cell>
          <cell r="AA1822" t="str">
            <v>DIMMSIZ</v>
          </cell>
          <cell r="AB1822" t="str">
            <v>1001-1100</v>
          </cell>
          <cell r="AF1822">
            <v>1</v>
          </cell>
          <cell r="AG1822" t="str">
            <v>ADET</v>
          </cell>
          <cell r="AH1822">
            <v>584</v>
          </cell>
          <cell r="AI1822" t="str">
            <v>CNY</v>
          </cell>
          <cell r="AJ1822">
            <v>34450</v>
          </cell>
          <cell r="AK1822" t="str">
            <v>TL</v>
          </cell>
          <cell r="AL1822">
            <v>1</v>
          </cell>
          <cell r="AM1822" t="str">
            <v>8684127515436</v>
          </cell>
          <cell r="AO1822">
            <v>4.71</v>
          </cell>
          <cell r="AP1822" t="str">
            <v>KG</v>
          </cell>
          <cell r="AQ1822">
            <v>24</v>
          </cell>
          <cell r="AR1822" t="str">
            <v>CM</v>
          </cell>
          <cell r="AS1822">
            <v>27</v>
          </cell>
          <cell r="AT1822" t="str">
            <v>CM</v>
          </cell>
          <cell r="AU1822">
            <v>0</v>
          </cell>
          <cell r="AW1822">
            <v>0</v>
          </cell>
        </row>
        <row r="1823">
          <cell r="B1823" t="str">
            <v>H1C6JBJECS0-120</v>
          </cell>
          <cell r="C1823" t="str">
            <v>BERMUDA ŞEFFAF CAM BEJ YEMEK MASASI AVİZE 120cm</v>
          </cell>
          <cell r="D1823" t="str">
            <v>BERMUDA CLEAR GLASS BEIGE DINING ROOM 120cm</v>
          </cell>
          <cell r="E1823" t="str">
            <v xml:space="preserve">METAL CAM  BEJ ŞEFFAF   </v>
          </cell>
          <cell r="F1823" t="str">
            <v/>
          </cell>
          <cell r="G1823" t="str">
            <v>AVİZE</v>
          </cell>
          <cell r="H1823" t="str">
            <v/>
          </cell>
          <cell r="I1823" t="str">
            <v>İÇ</v>
          </cell>
          <cell r="J1823" t="str">
            <v>AVİZE.AVİZ</v>
          </cell>
          <cell r="K1823" t="str">
            <v>BERMUDA</v>
          </cell>
          <cell r="L1823" t="str">
            <v>Ç</v>
          </cell>
          <cell r="M1823" t="str">
            <v>20.04.2026</v>
          </cell>
          <cell r="N1823" t="str">
            <v>HKA-24589</v>
          </cell>
          <cell r="O1823" t="str">
            <v>HEKA</v>
          </cell>
          <cell r="P1823" t="str">
            <v>ADET</v>
          </cell>
          <cell r="Q1823" t="str">
            <v>LED</v>
          </cell>
          <cell r="R1823" t="str">
            <v>METAL</v>
          </cell>
          <cell r="S1823" t="str">
            <v>BEJ</v>
          </cell>
          <cell r="T1823" t="str">
            <v>CAM</v>
          </cell>
          <cell r="U1823" t="str">
            <v>ŞEFFAF</v>
          </cell>
          <cell r="X1823" t="str">
            <v>110V-220V</v>
          </cell>
          <cell r="Y1823" t="str">
            <v>18 WATT</v>
          </cell>
          <cell r="Z1823" t="str">
            <v>3000 K</v>
          </cell>
          <cell r="AA1823" t="str">
            <v>DIMMSIZ</v>
          </cell>
          <cell r="AB1823" t="str">
            <v>1201-1300</v>
          </cell>
          <cell r="AF1823">
            <v>2</v>
          </cell>
          <cell r="AG1823" t="str">
            <v>ADET</v>
          </cell>
          <cell r="AH1823">
            <v>765</v>
          </cell>
          <cell r="AI1823" t="str">
            <v>CNY</v>
          </cell>
          <cell r="AJ1823">
            <v>59900</v>
          </cell>
          <cell r="AK1823" t="str">
            <v>TL</v>
          </cell>
          <cell r="AL1823">
            <v>1</v>
          </cell>
          <cell r="AM1823" t="str">
            <v>8684127515634</v>
          </cell>
          <cell r="AO1823">
            <v>5.51</v>
          </cell>
          <cell r="AP1823" t="str">
            <v>KG</v>
          </cell>
          <cell r="AQ1823">
            <v>8</v>
          </cell>
          <cell r="AR1823" t="str">
            <v>CM</v>
          </cell>
          <cell r="AS1823">
            <v>8</v>
          </cell>
          <cell r="AT1823" t="str">
            <v>CM</v>
          </cell>
          <cell r="AU1823">
            <v>0</v>
          </cell>
          <cell r="AW1823">
            <v>0</v>
          </cell>
        </row>
        <row r="1824">
          <cell r="B1824" t="str">
            <v>S1W6JRVLRB0-056</v>
          </cell>
          <cell r="C1824" t="str">
            <v>CZZ-10 BEYAZ PLEKSİ KAHVERENGİ APLİK</v>
          </cell>
          <cell r="D1824" t="str">
            <v>CZZ-10 WHITE PLEXI BROWN WALL LAMP</v>
          </cell>
          <cell r="E1824" t="str">
            <v xml:space="preserve">METAL PLEKSİ KAHVERENGİ BEYAZ   </v>
          </cell>
          <cell r="F1824" t="str">
            <v/>
          </cell>
          <cell r="G1824" t="str">
            <v>APLİK</v>
          </cell>
          <cell r="H1824" t="str">
            <v/>
          </cell>
          <cell r="I1824" t="str">
            <v>İÇ</v>
          </cell>
          <cell r="J1824" t="str">
            <v>APLİK</v>
          </cell>
          <cell r="K1824" t="str">
            <v>CZZ-10</v>
          </cell>
          <cell r="L1824" t="str">
            <v/>
          </cell>
          <cell r="M1824" t="str">
            <v/>
          </cell>
          <cell r="N1824" t="str">
            <v>HKA-25010</v>
          </cell>
          <cell r="P1824" t="str">
            <v>ADET</v>
          </cell>
          <cell r="AG1824" t="str">
            <v>ADET</v>
          </cell>
          <cell r="AL1824">
            <v>1</v>
          </cell>
          <cell r="AO1824">
            <v>1.21</v>
          </cell>
          <cell r="AP1824" t="str">
            <v>KG</v>
          </cell>
          <cell r="AQ1824">
            <v>19.5</v>
          </cell>
          <cell r="AR1824" t="str">
            <v>CM</v>
          </cell>
          <cell r="AS1824">
            <v>22</v>
          </cell>
          <cell r="AT1824" t="str">
            <v>CM</v>
          </cell>
          <cell r="AU1824">
            <v>0</v>
          </cell>
          <cell r="AW1824">
            <v>0</v>
          </cell>
        </row>
        <row r="1825">
          <cell r="B1825" t="str">
            <v>H1W6JRGERFM-028</v>
          </cell>
          <cell r="C1825" t="str">
            <v>KABİL İKİLİ FÜME CAM ANTRASİT APLİK 28cm</v>
          </cell>
          <cell r="D1825" t="str">
            <v>KABİL DOUBLE SMOKY GLASS ANTHRACITE WALL LAMP 28cm</v>
          </cell>
          <cell r="E1825" t="str">
            <v xml:space="preserve">METAL CAM  ANTRASİT FÜME   </v>
          </cell>
          <cell r="F1825" t="str">
            <v/>
          </cell>
          <cell r="G1825" t="str">
            <v>APLİK</v>
          </cell>
          <cell r="H1825" t="str">
            <v/>
          </cell>
          <cell r="I1825" t="str">
            <v>İÇ</v>
          </cell>
          <cell r="J1825" t="str">
            <v>APLİK</v>
          </cell>
          <cell r="K1825" t="str">
            <v>KABİL</v>
          </cell>
          <cell r="L1825" t="str">
            <v/>
          </cell>
          <cell r="M1825" t="str">
            <v>28.02.2026</v>
          </cell>
          <cell r="N1825" t="str">
            <v>HKA-24562</v>
          </cell>
          <cell r="O1825" t="str">
            <v>HEKA</v>
          </cell>
          <cell r="P1825" t="str">
            <v>ADET</v>
          </cell>
          <cell r="Q1825" t="str">
            <v>LED</v>
          </cell>
          <cell r="R1825" t="str">
            <v>METAL</v>
          </cell>
          <cell r="S1825" t="str">
            <v>ANTRASİT</v>
          </cell>
          <cell r="T1825" t="str">
            <v>CAM</v>
          </cell>
          <cell r="U1825" t="str">
            <v>FÜME</v>
          </cell>
          <cell r="X1825" t="str">
            <v>110V-220V</v>
          </cell>
          <cell r="Y1825" t="str">
            <v>8 WATT</v>
          </cell>
          <cell r="Z1825" t="str">
            <v>3000 K</v>
          </cell>
          <cell r="AA1825" t="str">
            <v>DIMMSIZ</v>
          </cell>
          <cell r="AB1825" t="str">
            <v>401-500</v>
          </cell>
          <cell r="AF1825">
            <v>14</v>
          </cell>
          <cell r="AG1825" t="str">
            <v>ADET</v>
          </cell>
          <cell r="AH1825">
            <v>301</v>
          </cell>
          <cell r="AI1825" t="str">
            <v>CNY</v>
          </cell>
          <cell r="AJ1825">
            <v>24900</v>
          </cell>
          <cell r="AK1825" t="str">
            <v>TL</v>
          </cell>
          <cell r="AL1825">
            <v>1</v>
          </cell>
          <cell r="AM1825" t="str">
            <v>8684127515771</v>
          </cell>
          <cell r="AO1825">
            <v>2.06</v>
          </cell>
          <cell r="AP1825" t="str">
            <v>KG</v>
          </cell>
          <cell r="AQ1825">
            <v>16</v>
          </cell>
          <cell r="AR1825" t="str">
            <v>CM</v>
          </cell>
          <cell r="AS1825">
            <v>24</v>
          </cell>
          <cell r="AT1825" t="str">
            <v>CM</v>
          </cell>
          <cell r="AU1825">
            <v>0</v>
          </cell>
          <cell r="AW1825">
            <v>0</v>
          </cell>
        </row>
        <row r="1826">
          <cell r="B1826" t="str">
            <v>H1W6JRGERF1-028</v>
          </cell>
          <cell r="C1826" t="str">
            <v>KABİL TEKLİ FÜME CAM ANTRASİT APLİK 28cm</v>
          </cell>
          <cell r="D1826" t="str">
            <v>KABİL SINGLE SMOKY GLASS ANTHRACITE WALL LAMP 28cm</v>
          </cell>
          <cell r="E1826" t="str">
            <v xml:space="preserve">METAL CAM  ANTRASİT FÜME   </v>
          </cell>
          <cell r="F1826" t="str">
            <v/>
          </cell>
          <cell r="G1826" t="str">
            <v>APLİK</v>
          </cell>
          <cell r="H1826" t="str">
            <v/>
          </cell>
          <cell r="I1826" t="str">
            <v>İÇ</v>
          </cell>
          <cell r="J1826" t="str">
            <v>APLİK</v>
          </cell>
          <cell r="K1826" t="str">
            <v>KABİL</v>
          </cell>
          <cell r="L1826" t="str">
            <v/>
          </cell>
          <cell r="M1826" t="str">
            <v>28.02.2026</v>
          </cell>
          <cell r="N1826" t="str">
            <v>HKA-24561</v>
          </cell>
          <cell r="O1826" t="str">
            <v>HEKA</v>
          </cell>
          <cell r="P1826" t="str">
            <v>ADET</v>
          </cell>
          <cell r="Q1826" t="str">
            <v>LED</v>
          </cell>
          <cell r="R1826" t="str">
            <v>METAL</v>
          </cell>
          <cell r="S1826" t="str">
            <v>ANTRASİT</v>
          </cell>
          <cell r="T1826" t="str">
            <v>CAM</v>
          </cell>
          <cell r="U1826" t="str">
            <v>FÜME</v>
          </cell>
          <cell r="X1826" t="str">
            <v>110V-220V</v>
          </cell>
          <cell r="Y1826" t="str">
            <v>7 WATT</v>
          </cell>
          <cell r="Z1826" t="str">
            <v>3000 K</v>
          </cell>
          <cell r="AA1826" t="str">
            <v>DIMMSIZ</v>
          </cell>
          <cell r="AB1826" t="str">
            <v>301-400</v>
          </cell>
          <cell r="AF1826">
            <v>1</v>
          </cell>
          <cell r="AG1826" t="str">
            <v>ADET</v>
          </cell>
          <cell r="AH1826">
            <v>150.5</v>
          </cell>
          <cell r="AI1826" t="str">
            <v>CNY</v>
          </cell>
          <cell r="AJ1826">
            <v>12450</v>
          </cell>
          <cell r="AK1826" t="str">
            <v>TL</v>
          </cell>
          <cell r="AL1826">
            <v>1</v>
          </cell>
          <cell r="AM1826" t="str">
            <v>8684127515801</v>
          </cell>
          <cell r="AO1826">
            <v>1.1499999999999999</v>
          </cell>
          <cell r="AP1826" t="str">
            <v>KG</v>
          </cell>
          <cell r="AQ1826">
            <v>12</v>
          </cell>
          <cell r="AR1826" t="str">
            <v>CM</v>
          </cell>
          <cell r="AS1826">
            <v>18</v>
          </cell>
          <cell r="AT1826" t="str">
            <v>CM</v>
          </cell>
          <cell r="AU1826">
            <v>0</v>
          </cell>
          <cell r="AW1826">
            <v>0</v>
          </cell>
        </row>
        <row r="1827">
          <cell r="B1827" t="str">
            <v>ADFAJMEECS0-013</v>
          </cell>
          <cell r="C1827" t="str">
            <v>MOLEKÜL DEKOR ESKİTME OBJE</v>
          </cell>
          <cell r="D1827" t="str">
            <v>MOLECULE DECOR OLD OBJECT</v>
          </cell>
          <cell r="E1827" t="str">
            <v xml:space="preserve">METAL CAM  ESKİTME ŞEFFAF   </v>
          </cell>
          <cell r="F1827" t="str">
            <v/>
          </cell>
          <cell r="G1827" t="str">
            <v>AKSESUAR</v>
          </cell>
          <cell r="H1827" t="str">
            <v/>
          </cell>
          <cell r="I1827" t="str">
            <v>İÇ</v>
          </cell>
          <cell r="J1827" t="str">
            <v>AKSESUAR</v>
          </cell>
          <cell r="K1827" t="str">
            <v/>
          </cell>
          <cell r="L1827" t="str">
            <v/>
          </cell>
          <cell r="M1827" t="str">
            <v/>
          </cell>
          <cell r="N1827" t="str">
            <v>HAA-250045</v>
          </cell>
          <cell r="P1827" t="str">
            <v>ADET</v>
          </cell>
          <cell r="R1827" t="str">
            <v>METAL</v>
          </cell>
          <cell r="S1827" t="str">
            <v>SİYAH</v>
          </cell>
          <cell r="T1827" t="str">
            <v>CAM</v>
          </cell>
          <cell r="U1827" t="str">
            <v>ŞEFFAF</v>
          </cell>
          <cell r="AF1827">
            <v>0</v>
          </cell>
          <cell r="AG1827" t="str">
            <v>ADET</v>
          </cell>
          <cell r="AJ1827">
            <v>1500</v>
          </cell>
          <cell r="AK1827" t="str">
            <v>TL</v>
          </cell>
          <cell r="AL1827">
            <v>1</v>
          </cell>
          <cell r="AO1827">
            <v>0</v>
          </cell>
          <cell r="AQ1827">
            <v>0</v>
          </cell>
          <cell r="AS1827">
            <v>0</v>
          </cell>
          <cell r="AU1827">
            <v>0</v>
          </cell>
          <cell r="AW1827">
            <v>0</v>
          </cell>
        </row>
        <row r="1828">
          <cell r="B1828" t="str">
            <v>ADFAURY0008-012</v>
          </cell>
          <cell r="C1828" t="str">
            <v>3 LÜ DEKORATİF OBJE</v>
          </cell>
          <cell r="D1828" t="str">
            <v>TRIPLE DECORATIVE OBJECT</v>
          </cell>
          <cell r="E1828" t="str">
            <v xml:space="preserve">SERAMİK YOK YEŞİL YOK   </v>
          </cell>
          <cell r="F1828" t="str">
            <v/>
          </cell>
          <cell r="G1828" t="str">
            <v>AKSESUAR</v>
          </cell>
          <cell r="H1828" t="str">
            <v/>
          </cell>
          <cell r="I1828" t="str">
            <v>İÇ</v>
          </cell>
          <cell r="J1828" t="str">
            <v>AKSESUAR</v>
          </cell>
          <cell r="K1828" t="str">
            <v/>
          </cell>
          <cell r="L1828" t="str">
            <v/>
          </cell>
          <cell r="M1828" t="str">
            <v/>
          </cell>
          <cell r="N1828" t="str">
            <v>HAA-250048</v>
          </cell>
          <cell r="P1828" t="str">
            <v>ADET</v>
          </cell>
          <cell r="R1828" t="str">
            <v>SERAMİK</v>
          </cell>
          <cell r="S1828" t="str">
            <v>YEŞİL</v>
          </cell>
          <cell r="AD1828" t="str">
            <v>DESENLİ</v>
          </cell>
          <cell r="AF1828">
            <v>0</v>
          </cell>
          <cell r="AG1828" t="str">
            <v>ADET</v>
          </cell>
          <cell r="AJ1828">
            <v>1150</v>
          </cell>
          <cell r="AK1828" t="str">
            <v>TL</v>
          </cell>
          <cell r="AL1828">
            <v>1</v>
          </cell>
          <cell r="AO1828">
            <v>0</v>
          </cell>
          <cell r="AQ1828">
            <v>0</v>
          </cell>
          <cell r="AS1828">
            <v>0</v>
          </cell>
          <cell r="AU1828">
            <v>0</v>
          </cell>
          <cell r="AW1828">
            <v>0</v>
          </cell>
        </row>
        <row r="1829">
          <cell r="B1829" t="str">
            <v>H1F6JMKECBU-217</v>
          </cell>
          <cell r="C1829" t="str">
            <v>NUBLE ŞEFFAF BUZLU CAM KROM METAL LAMBADER</v>
          </cell>
          <cell r="D1829" t="str">
            <v>NUBLE CLEAR FROSTED GLASS CHROME FLOOR LAMP</v>
          </cell>
          <cell r="E1829" t="str">
            <v xml:space="preserve">METAL CAM  KROM BUZLU   </v>
          </cell>
          <cell r="F1829" t="str">
            <v/>
          </cell>
          <cell r="G1829" t="str">
            <v>LAMBADER</v>
          </cell>
          <cell r="H1829" t="str">
            <v/>
          </cell>
          <cell r="I1829" t="str">
            <v>İÇ</v>
          </cell>
          <cell r="J1829" t="str">
            <v>LAMBADER</v>
          </cell>
          <cell r="K1829" t="str">
            <v>NUBLE</v>
          </cell>
          <cell r="L1829" t="str">
            <v/>
          </cell>
          <cell r="M1829" t="str">
            <v/>
          </cell>
          <cell r="N1829" t="str">
            <v>HKA-24454</v>
          </cell>
          <cell r="O1829" t="str">
            <v>HEKA</v>
          </cell>
          <cell r="P1829" t="str">
            <v>ADET</v>
          </cell>
          <cell r="Q1829" t="str">
            <v>LED</v>
          </cell>
          <cell r="R1829" t="str">
            <v>METAL</v>
          </cell>
          <cell r="S1829" t="str">
            <v>KROM</v>
          </cell>
          <cell r="T1829" t="str">
            <v>CAM</v>
          </cell>
          <cell r="U1829" t="str">
            <v>BUZLU</v>
          </cell>
          <cell r="AD1829" t="str">
            <v>ÜÇGEN</v>
          </cell>
          <cell r="AF1829">
            <v>1</v>
          </cell>
          <cell r="AG1829" t="str">
            <v>ADET</v>
          </cell>
          <cell r="AH1829">
            <v>750</v>
          </cell>
          <cell r="AI1829" t="str">
            <v>CNY</v>
          </cell>
          <cell r="AJ1829">
            <v>52950</v>
          </cell>
          <cell r="AK1829" t="str">
            <v>TL</v>
          </cell>
          <cell r="AL1829">
            <v>1</v>
          </cell>
          <cell r="AM1829" t="str">
            <v>8684127514866</v>
          </cell>
          <cell r="AO1829">
            <v>0</v>
          </cell>
          <cell r="AQ1829">
            <v>0</v>
          </cell>
          <cell r="AS1829">
            <v>0</v>
          </cell>
          <cell r="AU1829">
            <v>0</v>
          </cell>
          <cell r="AW1829">
            <v>0</v>
          </cell>
        </row>
        <row r="1830">
          <cell r="B1830" t="str">
            <v>CM1G2P3T2I970</v>
          </cell>
          <cell r="C1830" t="str">
            <v>ERD-306 MISIR ŞEFFAF 10W ÜÇ RENKLİ E14 LED AMPUL</v>
          </cell>
          <cell r="D1830" t="str">
            <v>ERD-306 CORN CLEAR 10W THREE COLOR E14 LED BULB</v>
          </cell>
          <cell r="E1830" t="str">
            <v xml:space="preserve">SMD LED ÜÇ RENKLİ PLASTİK 220v   </v>
          </cell>
          <cell r="F1830" t="str">
            <v/>
          </cell>
          <cell r="G1830" t="str">
            <v>AMPUL</v>
          </cell>
          <cell r="H1830" t="str">
            <v/>
          </cell>
          <cell r="I1830" t="str">
            <v>İÇ</v>
          </cell>
          <cell r="J1830" t="str">
            <v>AMPUL</v>
          </cell>
          <cell r="K1830" t="str">
            <v>ERD-306</v>
          </cell>
          <cell r="L1830" t="str">
            <v/>
          </cell>
          <cell r="M1830" t="str">
            <v/>
          </cell>
          <cell r="N1830" t="str">
            <v>ERD-306</v>
          </cell>
          <cell r="O1830" t="str">
            <v>HEKA</v>
          </cell>
          <cell r="P1830" t="str">
            <v>ADET</v>
          </cell>
          <cell r="Q1830" t="str">
            <v>E14</v>
          </cell>
          <cell r="R1830" t="str">
            <v>PLASTİK</v>
          </cell>
          <cell r="S1830" t="str">
            <v>ŞEFFAF</v>
          </cell>
          <cell r="V1830" t="str">
            <v>G</v>
          </cell>
          <cell r="W1830" t="str">
            <v>SMD LED</v>
          </cell>
          <cell r="X1830" t="str">
            <v>220V</v>
          </cell>
          <cell r="Y1830" t="str">
            <v>10 WATT</v>
          </cell>
          <cell r="Z1830" t="str">
            <v>3000-4000-6500K</v>
          </cell>
          <cell r="AA1830" t="str">
            <v>DIMMLI</v>
          </cell>
          <cell r="AB1830" t="str">
            <v>901-1000</v>
          </cell>
          <cell r="AC1830" t="str">
            <v>MISIR</v>
          </cell>
          <cell r="AF1830">
            <v>15471</v>
          </cell>
          <cell r="AG1830" t="str">
            <v>ADET</v>
          </cell>
          <cell r="AH1830">
            <v>3</v>
          </cell>
          <cell r="AI1830" t="str">
            <v>CNY</v>
          </cell>
          <cell r="AJ1830">
            <v>2.4</v>
          </cell>
          <cell r="AK1830" t="str">
            <v>USD</v>
          </cell>
          <cell r="AL1830">
            <v>1</v>
          </cell>
          <cell r="AM1830" t="str">
            <v>8684127514897</v>
          </cell>
          <cell r="AN1830" t="str">
            <v>8684127514903</v>
          </cell>
          <cell r="AO1830">
            <v>0</v>
          </cell>
          <cell r="AQ1830">
            <v>2.8</v>
          </cell>
          <cell r="AR1830" t="str">
            <v>CM</v>
          </cell>
          <cell r="AS1830">
            <v>2.8</v>
          </cell>
          <cell r="AT1830" t="str">
            <v>CM</v>
          </cell>
          <cell r="AU1830">
            <v>0</v>
          </cell>
          <cell r="AW1830">
            <v>0</v>
          </cell>
        </row>
        <row r="1831">
          <cell r="B1831" t="str">
            <v>T1W2JMR0000-130</v>
          </cell>
          <cell r="C1831" t="str">
            <v>HAM VERNİKLİ 6 LI SU BORUSU APLİK 130x55 cm</v>
          </cell>
          <cell r="D1831" t="str">
            <v>RAW VARNISHED 6-BULB WATER PIPE WALL LAMP 130x55 cm</v>
          </cell>
          <cell r="E1831" t="str">
            <v xml:space="preserve">METAL YOK KOYU ESKİTME YOK   </v>
          </cell>
          <cell r="F1831" t="str">
            <v/>
          </cell>
          <cell r="G1831" t="str">
            <v>APLİK</v>
          </cell>
          <cell r="H1831" t="str">
            <v/>
          </cell>
          <cell r="I1831" t="str">
            <v>İÇ</v>
          </cell>
          <cell r="J1831" t="str">
            <v>APLİK</v>
          </cell>
          <cell r="K1831" t="str">
            <v/>
          </cell>
          <cell r="L1831" t="str">
            <v/>
          </cell>
          <cell r="M1831" t="str">
            <v/>
          </cell>
          <cell r="N1831" t="str">
            <v/>
          </cell>
          <cell r="P1831" t="str">
            <v>ADET</v>
          </cell>
          <cell r="AF1831">
            <v>0</v>
          </cell>
          <cell r="AG1831" t="str">
            <v>ADET</v>
          </cell>
          <cell r="AL1831">
            <v>1</v>
          </cell>
          <cell r="AO1831">
            <v>0</v>
          </cell>
          <cell r="AQ1831">
            <v>0</v>
          </cell>
          <cell r="AS1831">
            <v>0</v>
          </cell>
          <cell r="AU1831">
            <v>0</v>
          </cell>
          <cell r="AW1831">
            <v>0</v>
          </cell>
        </row>
        <row r="1832">
          <cell r="B1832" t="str">
            <v>S1C6JRT0000-060</v>
          </cell>
          <cell r="C1832" t="str">
            <v>CZZ-04 DÖRT BAŞLIKLI SARKIT</v>
          </cell>
          <cell r="D1832" t="str">
            <v/>
          </cell>
          <cell r="E1832" t="str">
            <v xml:space="preserve">METAL YOK TURUNCU YOK   </v>
          </cell>
          <cell r="F1832" t="str">
            <v/>
          </cell>
          <cell r="G1832" t="str">
            <v>AVİZE</v>
          </cell>
          <cell r="H1832" t="str">
            <v/>
          </cell>
          <cell r="I1832" t="str">
            <v>İÇ</v>
          </cell>
          <cell r="J1832" t="str">
            <v>AVİZE</v>
          </cell>
          <cell r="K1832" t="str">
            <v>CZZ-04</v>
          </cell>
          <cell r="L1832" t="str">
            <v/>
          </cell>
          <cell r="M1832" t="str">
            <v/>
          </cell>
          <cell r="N1832" t="str">
            <v>HKA-25004</v>
          </cell>
          <cell r="P1832" t="str">
            <v>ADET</v>
          </cell>
          <cell r="Q1832" t="str">
            <v>LED</v>
          </cell>
          <cell r="R1832" t="str">
            <v>METAL</v>
          </cell>
          <cell r="S1832" t="str">
            <v>GOLD</v>
          </cell>
          <cell r="T1832" t="str">
            <v>METAL</v>
          </cell>
          <cell r="U1832" t="str">
            <v>SİYAH</v>
          </cell>
          <cell r="AG1832" t="str">
            <v>ADET</v>
          </cell>
          <cell r="AL1832">
            <v>1</v>
          </cell>
          <cell r="AO1832">
            <v>0</v>
          </cell>
          <cell r="AQ1832">
            <v>37.5</v>
          </cell>
          <cell r="AR1832" t="str">
            <v>CM</v>
          </cell>
          <cell r="AS1832">
            <v>60</v>
          </cell>
          <cell r="AT1832" t="str">
            <v>CM</v>
          </cell>
          <cell r="AU1832">
            <v>0</v>
          </cell>
          <cell r="AW1832">
            <v>0</v>
          </cell>
        </row>
        <row r="1833">
          <cell r="B1833" t="str">
            <v>H1C6JMEERB0-032</v>
          </cell>
          <cell r="C1833" t="str">
            <v>GANA İKİ BEYAZ BUZLU CAM ESKİTME SARKIT 32cm</v>
          </cell>
          <cell r="D1833" t="str">
            <v>GANA TWO WHITE FROSTED GLASS BRUSHED BRASS PENDANT 32cm</v>
          </cell>
          <cell r="E1833" t="str">
            <v xml:space="preserve">METAL CAM  ESKİTME BEYAZ   </v>
          </cell>
          <cell r="F1833" t="str">
            <v/>
          </cell>
          <cell r="G1833" t="str">
            <v>AVİZE</v>
          </cell>
          <cell r="H1833" t="str">
            <v/>
          </cell>
          <cell r="I1833" t="str">
            <v>İÇ</v>
          </cell>
          <cell r="J1833" t="str">
            <v>AVİZE</v>
          </cell>
          <cell r="K1833" t="str">
            <v>GANA</v>
          </cell>
          <cell r="L1833" t="str">
            <v/>
          </cell>
          <cell r="M1833" t="str">
            <v/>
          </cell>
          <cell r="N1833" t="str">
            <v>HKA-24505</v>
          </cell>
          <cell r="O1833" t="str">
            <v>HEKA</v>
          </cell>
          <cell r="P1833" t="str">
            <v>ADET</v>
          </cell>
          <cell r="Q1833" t="str">
            <v>LED</v>
          </cell>
          <cell r="R1833" t="str">
            <v>METAL</v>
          </cell>
          <cell r="S1833" t="str">
            <v>ESKİTME</v>
          </cell>
          <cell r="T1833" t="str">
            <v>CAM</v>
          </cell>
          <cell r="U1833" t="str">
            <v>BEYAZ</v>
          </cell>
          <cell r="X1833" t="str">
            <v>220V</v>
          </cell>
          <cell r="Y1833" t="str">
            <v>6 WATT</v>
          </cell>
          <cell r="Z1833" t="str">
            <v>3000 K</v>
          </cell>
          <cell r="AB1833" t="str">
            <v>901-1000</v>
          </cell>
          <cell r="AF1833">
            <v>42</v>
          </cell>
          <cell r="AG1833" t="str">
            <v>ADET</v>
          </cell>
          <cell r="AH1833">
            <v>315</v>
          </cell>
          <cell r="AI1833" t="str">
            <v>CNY</v>
          </cell>
          <cell r="AJ1833">
            <v>17900</v>
          </cell>
          <cell r="AK1833" t="str">
            <v>TL</v>
          </cell>
          <cell r="AL1833">
            <v>1</v>
          </cell>
          <cell r="AM1833" t="str">
            <v>8684127514972</v>
          </cell>
          <cell r="AO1833">
            <v>2.6</v>
          </cell>
          <cell r="AP1833" t="str">
            <v>KG</v>
          </cell>
          <cell r="AQ1833">
            <v>14</v>
          </cell>
          <cell r="AR1833" t="str">
            <v>CM</v>
          </cell>
          <cell r="AS1833">
            <v>23</v>
          </cell>
          <cell r="AT1833" t="str">
            <v>CM</v>
          </cell>
          <cell r="AU1833">
            <v>0</v>
          </cell>
          <cell r="AW1833">
            <v>0</v>
          </cell>
        </row>
        <row r="1834">
          <cell r="B1834" t="str">
            <v>H1C6ERFWRB0-059</v>
          </cell>
          <cell r="C1834" t="str">
            <v>SEUL FÜME CAM BEYAZ MERMER  ESKİTME YATAY SARKIT</v>
          </cell>
          <cell r="D1834" t="str">
            <v>SEUL SMOKED GLASS WHITE MARBLE BRUSHED HORİZONTAL BRASS PENDANT</v>
          </cell>
          <cell r="E1834" t="str">
            <v xml:space="preserve">CAM  MERMER FÜME BEYAZ   </v>
          </cell>
          <cell r="F1834" t="str">
            <v/>
          </cell>
          <cell r="G1834" t="str">
            <v>AVİZE</v>
          </cell>
          <cell r="H1834" t="str">
            <v/>
          </cell>
          <cell r="I1834" t="str">
            <v>İÇ</v>
          </cell>
          <cell r="J1834" t="str">
            <v>AVİZE.SARK</v>
          </cell>
          <cell r="K1834" t="str">
            <v>SEUL</v>
          </cell>
          <cell r="L1834" t="str">
            <v/>
          </cell>
          <cell r="M1834" t="str">
            <v/>
          </cell>
          <cell r="N1834" t="str">
            <v>HKA-24573</v>
          </cell>
          <cell r="O1834" t="str">
            <v>HEKA</v>
          </cell>
          <cell r="P1834" t="str">
            <v>ADET</v>
          </cell>
          <cell r="Q1834" t="str">
            <v>LED</v>
          </cell>
          <cell r="R1834" t="str">
            <v>CAM</v>
          </cell>
          <cell r="S1834" t="str">
            <v>FÜME</v>
          </cell>
          <cell r="T1834" t="str">
            <v>MERMER</v>
          </cell>
          <cell r="U1834" t="str">
            <v>BEYAZ</v>
          </cell>
          <cell r="X1834" t="str">
            <v>220V</v>
          </cell>
          <cell r="Y1834" t="str">
            <v>24 WATT</v>
          </cell>
          <cell r="Z1834" t="str">
            <v xml:space="preserve">2700 K </v>
          </cell>
          <cell r="AA1834" t="str">
            <v>DIMMSIZ</v>
          </cell>
          <cell r="AB1834" t="str">
            <v>801-900</v>
          </cell>
          <cell r="AF1834">
            <v>32</v>
          </cell>
          <cell r="AG1834" t="str">
            <v>ADET</v>
          </cell>
          <cell r="AH1834">
            <v>437.5</v>
          </cell>
          <cell r="AI1834" t="str">
            <v>CNY</v>
          </cell>
          <cell r="AJ1834">
            <v>35700</v>
          </cell>
          <cell r="AK1834" t="str">
            <v>TL</v>
          </cell>
          <cell r="AL1834">
            <v>1</v>
          </cell>
          <cell r="AM1834" t="str">
            <v>8684127515085</v>
          </cell>
          <cell r="AO1834">
            <v>3.77</v>
          </cell>
          <cell r="AP1834" t="str">
            <v>KG</v>
          </cell>
          <cell r="AQ1834">
            <v>14</v>
          </cell>
          <cell r="AR1834" t="str">
            <v>CM</v>
          </cell>
          <cell r="AS1834">
            <v>14</v>
          </cell>
          <cell r="AT1834" t="str">
            <v>CM</v>
          </cell>
          <cell r="AU1834">
            <v>0</v>
          </cell>
          <cell r="AW1834">
            <v>0</v>
          </cell>
        </row>
        <row r="1835">
          <cell r="B1835" t="str">
            <v>H1C6JMEERB0-083</v>
          </cell>
          <cell r="C1835" t="str">
            <v>ZAMBİYA BEYAZ BUZLU CAM ESKİTME DİKEY SARKIT 80cm</v>
          </cell>
          <cell r="D1835" t="str">
            <v>ZAMBİYA WHITE FROSTED GLASS BRUSHED BRASS HORIZONTAL PENDANT 80cm</v>
          </cell>
          <cell r="E1835" t="str">
            <v xml:space="preserve">METAL CAM  ESKİTME BUZLU   </v>
          </cell>
          <cell r="F1835" t="str">
            <v/>
          </cell>
          <cell r="G1835" t="str">
            <v>AVİZE</v>
          </cell>
          <cell r="H1835" t="str">
            <v/>
          </cell>
          <cell r="I1835" t="str">
            <v>İÇ</v>
          </cell>
          <cell r="J1835" t="str">
            <v>AVİZE.SARK</v>
          </cell>
          <cell r="K1835" t="str">
            <v>ZAMBİYA</v>
          </cell>
          <cell r="L1835" t="str">
            <v/>
          </cell>
          <cell r="M1835" t="str">
            <v>28.02.2026</v>
          </cell>
          <cell r="N1835" t="str">
            <v>HKA-24514</v>
          </cell>
          <cell r="O1835" t="str">
            <v>HEKA</v>
          </cell>
          <cell r="P1835" t="str">
            <v>ADET</v>
          </cell>
          <cell r="Q1835" t="str">
            <v>LED</v>
          </cell>
          <cell r="R1835" t="str">
            <v>METAL</v>
          </cell>
          <cell r="S1835" t="str">
            <v>ESKİTME</v>
          </cell>
          <cell r="T1835" t="str">
            <v>CAM</v>
          </cell>
          <cell r="U1835" t="str">
            <v>BUZLU</v>
          </cell>
          <cell r="X1835" t="str">
            <v>220V</v>
          </cell>
          <cell r="Y1835" t="str">
            <v>24 WATT</v>
          </cell>
          <cell r="Z1835" t="str">
            <v>3000 K</v>
          </cell>
          <cell r="AA1835" t="str">
            <v>DIMMSIZ</v>
          </cell>
          <cell r="AF1835">
            <v>9</v>
          </cell>
          <cell r="AG1835" t="str">
            <v>ADET</v>
          </cell>
          <cell r="AH1835">
            <v>612</v>
          </cell>
          <cell r="AI1835" t="str">
            <v>CNY</v>
          </cell>
          <cell r="AJ1835">
            <v>59000</v>
          </cell>
          <cell r="AK1835" t="str">
            <v>TL</v>
          </cell>
          <cell r="AL1835">
            <v>1</v>
          </cell>
          <cell r="AM1835" t="str">
            <v>8684127519014</v>
          </cell>
          <cell r="AO1835">
            <v>7.2</v>
          </cell>
          <cell r="AP1835" t="str">
            <v>KG</v>
          </cell>
          <cell r="AQ1835">
            <v>10</v>
          </cell>
          <cell r="AR1835" t="str">
            <v>CM</v>
          </cell>
          <cell r="AS1835">
            <v>12</v>
          </cell>
          <cell r="AT1835" t="str">
            <v>CM</v>
          </cell>
          <cell r="AU1835">
            <v>0</v>
          </cell>
          <cell r="AW1835">
            <v>0</v>
          </cell>
        </row>
        <row r="1836">
          <cell r="B1836" t="str">
            <v>H1C6JMRWRB0-080</v>
          </cell>
          <cell r="C1836" t="str">
            <v>PONY İKİLİ AT SAÇI K.ESKİTME MERMER BÜYÜK SARKIT</v>
          </cell>
          <cell r="D1836" t="str">
            <v>PONY DUAL HORSE HAIR MARBLE RAW BRASS BIG PENDANT</v>
          </cell>
          <cell r="E1836" t="str">
            <v xml:space="preserve">METAL MERMER KOYU ESKİTME BEYAZ   </v>
          </cell>
          <cell r="F1836" t="str">
            <v/>
          </cell>
          <cell r="G1836" t="str">
            <v>AVİZE</v>
          </cell>
          <cell r="H1836" t="str">
            <v/>
          </cell>
          <cell r="I1836" t="str">
            <v>İÇ</v>
          </cell>
          <cell r="J1836" t="str">
            <v>AVİZE.SARK</v>
          </cell>
          <cell r="K1836" t="str">
            <v>PONY</v>
          </cell>
          <cell r="L1836" t="str">
            <v/>
          </cell>
          <cell r="M1836" t="str">
            <v/>
          </cell>
          <cell r="N1836" t="str">
            <v>HKA-24577</v>
          </cell>
          <cell r="O1836" t="str">
            <v>HEKA</v>
          </cell>
          <cell r="P1836" t="str">
            <v>ADET</v>
          </cell>
          <cell r="Q1836" t="str">
            <v>LED</v>
          </cell>
          <cell r="R1836" t="str">
            <v>METAL</v>
          </cell>
          <cell r="S1836" t="str">
            <v>KOYU ESKİTME</v>
          </cell>
          <cell r="T1836" t="str">
            <v>MERMER</v>
          </cell>
          <cell r="U1836" t="str">
            <v>BEYAZ</v>
          </cell>
          <cell r="X1836" t="str">
            <v>110V-220V</v>
          </cell>
          <cell r="Y1836" t="str">
            <v>24 WATT</v>
          </cell>
          <cell r="Z1836" t="str">
            <v>3000 K</v>
          </cell>
          <cell r="AA1836" t="str">
            <v>DIMMSIZ</v>
          </cell>
          <cell r="AB1836" t="str">
            <v>1301-1400</v>
          </cell>
          <cell r="AF1836">
            <v>4</v>
          </cell>
          <cell r="AG1836" t="str">
            <v>ADET</v>
          </cell>
          <cell r="AH1836">
            <v>2510.1999999999998</v>
          </cell>
          <cell r="AI1836" t="str">
            <v>CNY</v>
          </cell>
          <cell r="AJ1836">
            <v>199000</v>
          </cell>
          <cell r="AK1836" t="str">
            <v>TL</v>
          </cell>
          <cell r="AL1836">
            <v>1</v>
          </cell>
          <cell r="AM1836" t="str">
            <v>8684127515221</v>
          </cell>
          <cell r="AO1836">
            <v>12.1</v>
          </cell>
          <cell r="AP1836" t="str">
            <v>KG</v>
          </cell>
          <cell r="AQ1836">
            <v>7</v>
          </cell>
          <cell r="AR1836" t="str">
            <v>CM</v>
          </cell>
          <cell r="AS1836">
            <v>16</v>
          </cell>
          <cell r="AT1836" t="str">
            <v>CM</v>
          </cell>
          <cell r="AU1836">
            <v>0</v>
          </cell>
          <cell r="AW1836">
            <v>0</v>
          </cell>
        </row>
        <row r="1837">
          <cell r="B1837" t="str">
            <v>H1C6JRGERF0-150</v>
          </cell>
          <cell r="C1837" t="str">
            <v>KAMERUN FÜME CAMLI GRİ YEMEK MASASI AVİZE 150cm</v>
          </cell>
          <cell r="D1837" t="str">
            <v>KAMERUN SMOKED GLASS GREY DINING ROOM CHANDELIER 150cm</v>
          </cell>
          <cell r="E1837" t="str">
            <v xml:space="preserve">METAL CAM  GRİ FÜME   </v>
          </cell>
          <cell r="F1837" t="str">
            <v/>
          </cell>
          <cell r="G1837" t="str">
            <v>AVİZE</v>
          </cell>
          <cell r="H1837" t="str">
            <v/>
          </cell>
          <cell r="I1837" t="str">
            <v>İÇ</v>
          </cell>
          <cell r="J1837" t="str">
            <v>AVİZE.AVİZ</v>
          </cell>
          <cell r="K1837" t="str">
            <v>KAMERUN</v>
          </cell>
          <cell r="L1837" t="str">
            <v/>
          </cell>
          <cell r="M1837" t="str">
            <v/>
          </cell>
          <cell r="N1837" t="str">
            <v>HKA-24495</v>
          </cell>
          <cell r="O1837" t="str">
            <v>HEKA</v>
          </cell>
          <cell r="P1837" t="str">
            <v>ADET</v>
          </cell>
          <cell r="Q1837" t="str">
            <v>LED</v>
          </cell>
          <cell r="R1837" t="str">
            <v>METAL</v>
          </cell>
          <cell r="S1837" t="str">
            <v>GRİ</v>
          </cell>
          <cell r="T1837" t="str">
            <v>CAM</v>
          </cell>
          <cell r="U1837" t="str">
            <v>FÜME</v>
          </cell>
          <cell r="X1837" t="str">
            <v>220V</v>
          </cell>
          <cell r="Y1837" t="str">
            <v>60 WATT</v>
          </cell>
          <cell r="AA1837" t="str">
            <v>DIMMSIZ</v>
          </cell>
          <cell r="AF1837">
            <v>1</v>
          </cell>
          <cell r="AG1837" t="str">
            <v>ADET</v>
          </cell>
          <cell r="AH1837">
            <v>660</v>
          </cell>
          <cell r="AI1837" t="str">
            <v>CNY</v>
          </cell>
          <cell r="AL1837">
            <v>1</v>
          </cell>
          <cell r="AM1837" t="str">
            <v>8684127515320</v>
          </cell>
          <cell r="AO1837">
            <v>4.9000000000000004</v>
          </cell>
          <cell r="AP1837" t="str">
            <v>KG</v>
          </cell>
          <cell r="AQ1837">
            <v>8</v>
          </cell>
          <cell r="AR1837" t="str">
            <v>CM</v>
          </cell>
          <cell r="AS1837">
            <v>14</v>
          </cell>
          <cell r="AT1837" t="str">
            <v>CM</v>
          </cell>
          <cell r="AU1837">
            <v>0</v>
          </cell>
          <cell r="AW1837">
            <v>0</v>
          </cell>
        </row>
        <row r="1838">
          <cell r="B1838" t="str">
            <v>H1C6ERFERB0-040</v>
          </cell>
          <cell r="C1838" t="str">
            <v>SALVADOR FÜME &amp; BEYAZ CAM PLATİN SARKIT 40cm</v>
          </cell>
          <cell r="D1838" t="str">
            <v>SALVADOR SMOKY &amp; WHITE GLASS PLATINUM PENDANT 40cm</v>
          </cell>
          <cell r="E1838" t="str">
            <v xml:space="preserve">CAM  CAM  FÜME BEYAZ   </v>
          </cell>
          <cell r="F1838" t="str">
            <v/>
          </cell>
          <cell r="G1838" t="str">
            <v>AVİZE</v>
          </cell>
          <cell r="H1838" t="str">
            <v/>
          </cell>
          <cell r="I1838" t="str">
            <v>İÇ</v>
          </cell>
          <cell r="J1838" t="str">
            <v>AVİZE.SARK</v>
          </cell>
          <cell r="K1838" t="str">
            <v>SALVADOR</v>
          </cell>
          <cell r="L1838" t="str">
            <v>Ç</v>
          </cell>
          <cell r="M1838" t="str">
            <v/>
          </cell>
          <cell r="N1838" t="str">
            <v>HKA-24533</v>
          </cell>
          <cell r="O1838" t="str">
            <v>HEKA</v>
          </cell>
          <cell r="P1838" t="str">
            <v>ADET</v>
          </cell>
          <cell r="Q1838" t="str">
            <v>LED</v>
          </cell>
          <cell r="R1838" t="str">
            <v>CAM</v>
          </cell>
          <cell r="S1838" t="str">
            <v>FÜME</v>
          </cell>
          <cell r="T1838" t="str">
            <v>CAM</v>
          </cell>
          <cell r="U1838" t="str">
            <v>BEYAZ</v>
          </cell>
          <cell r="X1838" t="str">
            <v>110V-220V</v>
          </cell>
          <cell r="Y1838" t="str">
            <v>10 WATT</v>
          </cell>
          <cell r="Z1838" t="str">
            <v>3000 K</v>
          </cell>
          <cell r="AA1838" t="str">
            <v>DIMMSIZ</v>
          </cell>
          <cell r="AB1838" t="str">
            <v>1901-2000</v>
          </cell>
          <cell r="AF1838">
            <v>19</v>
          </cell>
          <cell r="AG1838" t="str">
            <v>ADET</v>
          </cell>
          <cell r="AH1838">
            <v>340</v>
          </cell>
          <cell r="AI1838" t="str">
            <v>CNY</v>
          </cell>
          <cell r="AJ1838">
            <v>23950</v>
          </cell>
          <cell r="AK1838" t="str">
            <v>TL</v>
          </cell>
          <cell r="AL1838">
            <v>1</v>
          </cell>
          <cell r="AM1838" t="str">
            <v>8684127515399</v>
          </cell>
          <cell r="AO1838">
            <v>2.91</v>
          </cell>
          <cell r="AP1838" t="str">
            <v>KG</v>
          </cell>
          <cell r="AQ1838">
            <v>27</v>
          </cell>
          <cell r="AR1838" t="str">
            <v>CM</v>
          </cell>
          <cell r="AS1838">
            <v>27</v>
          </cell>
          <cell r="AT1838" t="str">
            <v>CM</v>
          </cell>
          <cell r="AU1838">
            <v>0</v>
          </cell>
          <cell r="AW1838">
            <v>0</v>
          </cell>
        </row>
        <row r="1839">
          <cell r="B1839" t="str">
            <v>H1C6ERLJRS0-026</v>
          </cell>
          <cell r="C1839" t="str">
            <v>GAMBİA BAL CAM SİYAH SARKIT 26cm</v>
          </cell>
          <cell r="D1839" t="str">
            <v>GAMBİA AMBER GLASS BLACK PENDANT 26cm</v>
          </cell>
          <cell r="E1839" t="str">
            <v xml:space="preserve">CAM  METAL BAL SİYAH   </v>
          </cell>
          <cell r="F1839" t="str">
            <v/>
          </cell>
          <cell r="G1839" t="str">
            <v>AVİZE</v>
          </cell>
          <cell r="H1839" t="str">
            <v/>
          </cell>
          <cell r="I1839" t="str">
            <v>İÇ</v>
          </cell>
          <cell r="J1839" t="str">
            <v>AVİZE.SARK</v>
          </cell>
          <cell r="K1839" t="str">
            <v>GAMBİA</v>
          </cell>
          <cell r="L1839" t="str">
            <v>Ç</v>
          </cell>
          <cell r="M1839" t="str">
            <v>28.02.2026</v>
          </cell>
          <cell r="N1839" t="str">
            <v>HKA-24475</v>
          </cell>
          <cell r="O1839" t="str">
            <v>HEKA</v>
          </cell>
          <cell r="P1839" t="str">
            <v>ADET</v>
          </cell>
          <cell r="Q1839" t="str">
            <v>LED</v>
          </cell>
          <cell r="R1839" t="str">
            <v>CAM</v>
          </cell>
          <cell r="S1839" t="str">
            <v>BAL</v>
          </cell>
          <cell r="T1839" t="str">
            <v>METAL</v>
          </cell>
          <cell r="U1839" t="str">
            <v>SİYAH</v>
          </cell>
          <cell r="X1839" t="str">
            <v>110V-220V</v>
          </cell>
          <cell r="Y1839" t="str">
            <v>8 WATT</v>
          </cell>
          <cell r="Z1839" t="str">
            <v>2500 K</v>
          </cell>
          <cell r="AA1839" t="str">
            <v>DIMMSIZ</v>
          </cell>
          <cell r="AB1839" t="str">
            <v>701-800</v>
          </cell>
          <cell r="AF1839">
            <v>4</v>
          </cell>
          <cell r="AG1839" t="str">
            <v>ADET</v>
          </cell>
          <cell r="AH1839">
            <v>448</v>
          </cell>
          <cell r="AI1839" t="str">
            <v>CNY</v>
          </cell>
          <cell r="AJ1839">
            <v>26500</v>
          </cell>
          <cell r="AK1839" t="str">
            <v>TL</v>
          </cell>
          <cell r="AL1839">
            <v>1</v>
          </cell>
          <cell r="AM1839" t="str">
            <v>8684127515467</v>
          </cell>
          <cell r="AO1839">
            <v>2.5</v>
          </cell>
          <cell r="AP1839" t="str">
            <v>KG</v>
          </cell>
          <cell r="AQ1839">
            <v>21</v>
          </cell>
          <cell r="AR1839" t="str">
            <v>CM</v>
          </cell>
          <cell r="AS1839">
            <v>18</v>
          </cell>
          <cell r="AT1839" t="str">
            <v>CM</v>
          </cell>
          <cell r="AU1839">
            <v>0</v>
          </cell>
          <cell r="AW1839">
            <v>0</v>
          </cell>
        </row>
        <row r="1840">
          <cell r="B1840" t="str">
            <v>H1W6JMELRBH-062</v>
          </cell>
          <cell r="C1840" t="str">
            <v>ARNE  ESKİTME LED APLİK 62CM</v>
          </cell>
          <cell r="D1840" t="str">
            <v>ARNE BRUSHED BRASS LED WALL LAMP 62CM</v>
          </cell>
          <cell r="E1840" t="str">
            <v>METAL PLEKSİ ESKİTME BEYAZ</v>
          </cell>
          <cell r="F1840" t="str">
            <v/>
          </cell>
          <cell r="G1840" t="str">
            <v>APLİK</v>
          </cell>
          <cell r="H1840" t="str">
            <v/>
          </cell>
          <cell r="I1840" t="str">
            <v>İÇ</v>
          </cell>
          <cell r="J1840" t="str">
            <v>APLİK</v>
          </cell>
          <cell r="K1840" t="str">
            <v>ARNE</v>
          </cell>
          <cell r="L1840" t="str">
            <v/>
          </cell>
          <cell r="M1840" t="str">
            <v/>
          </cell>
          <cell r="N1840" t="str">
            <v>HKA-25057</v>
          </cell>
          <cell r="O1840" t="str">
            <v>HEKA</v>
          </cell>
          <cell r="P1840" t="str">
            <v>ADET</v>
          </cell>
          <cell r="Q1840" t="str">
            <v>LED</v>
          </cell>
          <cell r="R1840" t="str">
            <v>METAL</v>
          </cell>
          <cell r="S1840" t="str">
            <v>ESKİTME</v>
          </cell>
          <cell r="T1840" t="str">
            <v>PLEKSİ</v>
          </cell>
          <cell r="U1840" t="str">
            <v>BEYAZ</v>
          </cell>
          <cell r="Z1840" t="str">
            <v>3000 K</v>
          </cell>
          <cell r="AA1840" t="str">
            <v>DIMMSIZ</v>
          </cell>
          <cell r="AD1840" t="str">
            <v>HAREKETLİ</v>
          </cell>
          <cell r="AE1840" t="str">
            <v>01</v>
          </cell>
          <cell r="AF1840">
            <v>50</v>
          </cell>
          <cell r="AG1840" t="str">
            <v>ADET</v>
          </cell>
          <cell r="AH1840">
            <v>92.15</v>
          </cell>
          <cell r="AI1840" t="str">
            <v>CNY</v>
          </cell>
          <cell r="AL1840">
            <v>1</v>
          </cell>
          <cell r="AM1840" t="str">
            <v>8684127516846</v>
          </cell>
          <cell r="AO1840">
            <v>0</v>
          </cell>
          <cell r="AQ1840">
            <v>0</v>
          </cell>
          <cell r="AS1840">
            <v>0</v>
          </cell>
          <cell r="AU1840">
            <v>0</v>
          </cell>
          <cell r="AW1840">
            <v>0</v>
          </cell>
        </row>
        <row r="1841">
          <cell r="B1841" t="str">
            <v>H1C6RMEWRFV-060</v>
          </cell>
          <cell r="C1841" t="str">
            <v>ALBATRE PİRİNÇ DÖKÜMLÜ MERMERLİ SARKIT 60 cm</v>
          </cell>
          <cell r="D1841" t="str">
            <v>ALBATRE BRASS CASTING MARBLE PENDANT 60CM</v>
          </cell>
          <cell r="E1841" t="str">
            <v>PRİNÇ MERMER ESKİTME BEYAZ</v>
          </cell>
          <cell r="F1841" t="str">
            <v/>
          </cell>
          <cell r="G1841" t="str">
            <v>AVİZE</v>
          </cell>
          <cell r="H1841" t="str">
            <v/>
          </cell>
          <cell r="I1841" t="str">
            <v>İÇ</v>
          </cell>
          <cell r="J1841" t="str">
            <v>AVİZE.SARK</v>
          </cell>
          <cell r="K1841" t="str">
            <v>ALBATRE</v>
          </cell>
          <cell r="L1841" t="str">
            <v/>
          </cell>
          <cell r="M1841" t="str">
            <v/>
          </cell>
          <cell r="N1841" t="str">
            <v>HKA-25091</v>
          </cell>
          <cell r="O1841" t="str">
            <v>HEKA</v>
          </cell>
          <cell r="P1841" t="str">
            <v>ADET</v>
          </cell>
          <cell r="Q1841" t="str">
            <v>LED</v>
          </cell>
          <cell r="R1841" t="str">
            <v>PİRİNÇ</v>
          </cell>
          <cell r="S1841" t="str">
            <v>ESKİTME</v>
          </cell>
          <cell r="T1841" t="str">
            <v>MERMER</v>
          </cell>
          <cell r="U1841" t="str">
            <v>BEYAZ</v>
          </cell>
          <cell r="AD1841" t="str">
            <v>YAMUK</v>
          </cell>
          <cell r="AF1841">
            <v>10</v>
          </cell>
          <cell r="AG1841" t="str">
            <v>ADET</v>
          </cell>
          <cell r="AH1841">
            <v>1637</v>
          </cell>
          <cell r="AI1841" t="str">
            <v>CNY</v>
          </cell>
          <cell r="AL1841">
            <v>1</v>
          </cell>
          <cell r="AM1841" t="str">
            <v>8684127517065</v>
          </cell>
          <cell r="AO1841">
            <v>0</v>
          </cell>
          <cell r="AQ1841">
            <v>24</v>
          </cell>
          <cell r="AR1841" t="str">
            <v>CM</v>
          </cell>
          <cell r="AS1841">
            <v>28</v>
          </cell>
          <cell r="AT1841" t="str">
            <v>CM</v>
          </cell>
          <cell r="AU1841">
            <v>0</v>
          </cell>
          <cell r="AW1841">
            <v>0</v>
          </cell>
        </row>
        <row r="1842">
          <cell r="B1842" t="str">
            <v>H1C6KMEWRF0-172</v>
          </cell>
          <cell r="C1842" t="str">
            <v>MİRACLE ESKİTME MERMER SARKIT</v>
          </cell>
          <cell r="D1842" t="str">
            <v>MİRACLE MARBLE BRUSHES BRASS PENDANT</v>
          </cell>
          <cell r="E1842" t="str">
            <v>PASLANMAZ MERMER ESKİTME BEYAZ</v>
          </cell>
          <cell r="F1842" t="str">
            <v/>
          </cell>
          <cell r="G1842" t="str">
            <v>AVİZE</v>
          </cell>
          <cell r="H1842" t="str">
            <v/>
          </cell>
          <cell r="I1842" t="str">
            <v>İÇ</v>
          </cell>
          <cell r="J1842" t="str">
            <v>AVİZE.SARK</v>
          </cell>
          <cell r="K1842" t="str">
            <v>MİRACLE</v>
          </cell>
          <cell r="L1842" t="str">
            <v/>
          </cell>
          <cell r="M1842" t="str">
            <v/>
          </cell>
          <cell r="N1842" t="str">
            <v>HKA-25093</v>
          </cell>
          <cell r="O1842" t="str">
            <v>HEKA</v>
          </cell>
          <cell r="P1842" t="str">
            <v>ADET</v>
          </cell>
          <cell r="Q1842" t="str">
            <v>LED</v>
          </cell>
          <cell r="R1842" t="str">
            <v>PASLANMAZ</v>
          </cell>
          <cell r="S1842" t="str">
            <v>ESKİTME</v>
          </cell>
          <cell r="T1842" t="str">
            <v>MERMER</v>
          </cell>
          <cell r="U1842" t="str">
            <v>BEYAZ</v>
          </cell>
          <cell r="AA1842" t="str">
            <v>DIMMSIZ</v>
          </cell>
          <cell r="AE1842" t="str">
            <v>01</v>
          </cell>
          <cell r="AF1842">
            <v>10</v>
          </cell>
          <cell r="AG1842" t="str">
            <v>ADET</v>
          </cell>
          <cell r="AH1842">
            <v>2450</v>
          </cell>
          <cell r="AI1842" t="str">
            <v>CNY</v>
          </cell>
          <cell r="AL1842">
            <v>1</v>
          </cell>
          <cell r="AM1842" t="str">
            <v>8684127517089</v>
          </cell>
          <cell r="AO1842">
            <v>0</v>
          </cell>
          <cell r="AQ1842">
            <v>0</v>
          </cell>
          <cell r="AS1842">
            <v>48</v>
          </cell>
          <cell r="AT1842" t="str">
            <v>CM</v>
          </cell>
          <cell r="AU1842">
            <v>0</v>
          </cell>
          <cell r="AW1842">
            <v>0</v>
          </cell>
        </row>
        <row r="1843">
          <cell r="B1843" t="str">
            <v>H1C6CANBRB0-069</v>
          </cell>
          <cell r="C1843" t="str">
            <v>STELLA MAT NİKEL ALUMİNYUM SALON AVİZE 69CM</v>
          </cell>
          <cell r="D1843" t="str">
            <v>STELLA MATTE NICKEL ALUMINUM LIVING ROOM CHANDELIER 69CM</v>
          </cell>
          <cell r="E1843" t="str">
            <v>ALUMİNYUM AKRiLİK MAT NİKEL BEYAZ</v>
          </cell>
          <cell r="F1843" t="str">
            <v/>
          </cell>
          <cell r="G1843" t="str">
            <v>AVİZE</v>
          </cell>
          <cell r="H1843" t="str">
            <v/>
          </cell>
          <cell r="I1843" t="str">
            <v>İÇ</v>
          </cell>
          <cell r="J1843" t="str">
            <v>AVİZE</v>
          </cell>
          <cell r="K1843" t="str">
            <v>STELLA</v>
          </cell>
          <cell r="L1843" t="str">
            <v/>
          </cell>
          <cell r="M1843" t="str">
            <v/>
          </cell>
          <cell r="N1843" t="str">
            <v>HKA-25101</v>
          </cell>
          <cell r="O1843" t="str">
            <v>HEKA</v>
          </cell>
          <cell r="P1843" t="str">
            <v>ADET</v>
          </cell>
          <cell r="Q1843" t="str">
            <v>LED</v>
          </cell>
          <cell r="R1843" t="str">
            <v>ALUMİNYUM</v>
          </cell>
          <cell r="S1843" t="str">
            <v>MAT NİKEL</v>
          </cell>
          <cell r="T1843" t="str">
            <v>AKRİLİK</v>
          </cell>
          <cell r="U1843" t="str">
            <v>BEYAZ</v>
          </cell>
          <cell r="AA1843" t="str">
            <v>DIMMSIZ</v>
          </cell>
          <cell r="AE1843" t="str">
            <v>01</v>
          </cell>
          <cell r="AF1843">
            <v>15</v>
          </cell>
          <cell r="AG1843" t="str">
            <v>ADET</v>
          </cell>
          <cell r="AH1843">
            <v>1224</v>
          </cell>
          <cell r="AI1843" t="str">
            <v>CNY</v>
          </cell>
          <cell r="AL1843">
            <v>1</v>
          </cell>
          <cell r="AM1843" t="str">
            <v>8684127518253</v>
          </cell>
          <cell r="AO1843">
            <v>0</v>
          </cell>
          <cell r="AQ1843">
            <v>69</v>
          </cell>
          <cell r="AR1843" t="str">
            <v>CM</v>
          </cell>
          <cell r="AS1843">
            <v>69</v>
          </cell>
          <cell r="AT1843" t="str">
            <v>CM</v>
          </cell>
          <cell r="AU1843">
            <v>0</v>
          </cell>
          <cell r="AW1843">
            <v>0</v>
          </cell>
        </row>
        <row r="1844">
          <cell r="B1844" t="str">
            <v>H1S6CME000H-017</v>
          </cell>
          <cell r="C1844" t="str">
            <v>RİGO ESKİTME DÜZ SPOT 7X17 CM</v>
          </cell>
          <cell r="D1844" t="str">
            <v>RİGO BRUSHED BRASS PLAIN SPOTLIGHT 7X17 CM</v>
          </cell>
          <cell r="E1844" t="str">
            <v>ALUMİNYUM YOK ESKİTME YOK</v>
          </cell>
          <cell r="F1844" t="str">
            <v/>
          </cell>
          <cell r="G1844" t="str">
            <v>OKUMA APLİKLERİ</v>
          </cell>
          <cell r="H1844" t="str">
            <v/>
          </cell>
          <cell r="I1844" t="str">
            <v>İÇ</v>
          </cell>
          <cell r="J1844" t="str">
            <v>OKUMA APLİ</v>
          </cell>
          <cell r="K1844" t="str">
            <v>RİGO</v>
          </cell>
          <cell r="L1844" t="str">
            <v>Y</v>
          </cell>
          <cell r="M1844" t="str">
            <v/>
          </cell>
          <cell r="N1844" t="str">
            <v>HKA-25159</v>
          </cell>
          <cell r="O1844" t="str">
            <v>HEKA</v>
          </cell>
          <cell r="P1844" t="str">
            <v>ADET</v>
          </cell>
          <cell r="Q1844" t="str">
            <v>LED</v>
          </cell>
          <cell r="R1844" t="str">
            <v>ALUMİNYUM</v>
          </cell>
          <cell r="S1844" t="str">
            <v>ESKİTME</v>
          </cell>
          <cell r="T1844" t="str">
            <v>YOK</v>
          </cell>
          <cell r="U1844" t="str">
            <v>YOK</v>
          </cell>
          <cell r="Z1844" t="str">
            <v>3000 K</v>
          </cell>
          <cell r="AA1844" t="str">
            <v>DIMMSIZ</v>
          </cell>
          <cell r="AD1844" t="str">
            <v>HAREKETLİ</v>
          </cell>
          <cell r="AE1844" t="str">
            <v>01</v>
          </cell>
          <cell r="AF1844">
            <v>2000</v>
          </cell>
          <cell r="AG1844" t="str">
            <v>ADET</v>
          </cell>
          <cell r="AH1844">
            <v>24.25</v>
          </cell>
          <cell r="AI1844" t="str">
            <v>CNY</v>
          </cell>
          <cell r="AJ1844">
            <v>44</v>
          </cell>
          <cell r="AK1844" t="str">
            <v>USD</v>
          </cell>
          <cell r="AL1844">
            <v>1</v>
          </cell>
          <cell r="AM1844" t="str">
            <v>8684127517171</v>
          </cell>
          <cell r="AO1844">
            <v>0</v>
          </cell>
          <cell r="AQ1844">
            <v>3</v>
          </cell>
          <cell r="AR1844" t="str">
            <v>CM</v>
          </cell>
          <cell r="AS1844">
            <v>7</v>
          </cell>
          <cell r="AT1844" t="str">
            <v>CM</v>
          </cell>
          <cell r="AU1844">
            <v>0</v>
          </cell>
          <cell r="AW1844">
            <v>0</v>
          </cell>
        </row>
        <row r="1845">
          <cell r="B1845" t="str">
            <v>H1C6JMEERF1-030</v>
          </cell>
          <cell r="C1845" t="str">
            <v>SKYLİNE TEKLİ FÜME CAM SARKIT 30cm</v>
          </cell>
          <cell r="D1845" t="str">
            <v>SYKLINE SINGLE LIGHT SMOKY GLASS PENDANT 30cm</v>
          </cell>
          <cell r="E1845" t="str">
            <v>METAL CAM ESKİTME FÜME</v>
          </cell>
          <cell r="F1845" t="str">
            <v/>
          </cell>
          <cell r="G1845" t="str">
            <v>AVİZE</v>
          </cell>
          <cell r="H1845" t="str">
            <v/>
          </cell>
          <cell r="I1845" t="str">
            <v>İÇ</v>
          </cell>
          <cell r="J1845" t="str">
            <v>AVİZE.SARK</v>
          </cell>
          <cell r="K1845" t="str">
            <v>SKYLİNE</v>
          </cell>
          <cell r="L1845" t="str">
            <v/>
          </cell>
          <cell r="M1845" t="str">
            <v>30.01.2026</v>
          </cell>
          <cell r="N1845" t="str">
            <v>HKA-25113</v>
          </cell>
          <cell r="O1845" t="str">
            <v>HEKA</v>
          </cell>
          <cell r="P1845" t="str">
            <v>ADET</v>
          </cell>
          <cell r="Q1845" t="str">
            <v>LED</v>
          </cell>
          <cell r="R1845" t="str">
            <v>METAL</v>
          </cell>
          <cell r="S1845" t="str">
            <v>ESKİTME</v>
          </cell>
          <cell r="T1845" t="str">
            <v>CAM</v>
          </cell>
          <cell r="U1845" t="str">
            <v>FÜME</v>
          </cell>
          <cell r="AA1845" t="str">
            <v>DIMMSIZ</v>
          </cell>
          <cell r="AD1845" t="str">
            <v>TEKLİ</v>
          </cell>
          <cell r="AE1845" t="str">
            <v>01</v>
          </cell>
          <cell r="AF1845">
            <v>7</v>
          </cell>
          <cell r="AG1845" t="str">
            <v>ADET</v>
          </cell>
          <cell r="AH1845">
            <v>209</v>
          </cell>
          <cell r="AI1845" t="str">
            <v>CNY</v>
          </cell>
          <cell r="AL1845">
            <v>1</v>
          </cell>
          <cell r="AM1845" t="str">
            <v>8684127517393</v>
          </cell>
          <cell r="AO1845">
            <v>0</v>
          </cell>
          <cell r="AQ1845">
            <v>2</v>
          </cell>
          <cell r="AR1845" t="str">
            <v>CM</v>
          </cell>
          <cell r="AS1845">
            <v>30</v>
          </cell>
          <cell r="AT1845" t="str">
            <v>CM</v>
          </cell>
          <cell r="AU1845">
            <v>0</v>
          </cell>
          <cell r="AW1845">
            <v>0</v>
          </cell>
        </row>
        <row r="1846">
          <cell r="B1846" t="str">
            <v>H1C6JMEERT1-030</v>
          </cell>
          <cell r="C1846" t="str">
            <v>SKYLİNE TEKLİ TURUNCU CAM SARKIT 30cm</v>
          </cell>
          <cell r="D1846" t="str">
            <v>SYKLINE SINGLE ORANGE GLASS PENDANT 30cm</v>
          </cell>
          <cell r="E1846" t="str">
            <v>METAL CAM ESKİTME TURUNCU</v>
          </cell>
          <cell r="F1846" t="str">
            <v/>
          </cell>
          <cell r="G1846" t="str">
            <v>AVİZE</v>
          </cell>
          <cell r="H1846" t="str">
            <v/>
          </cell>
          <cell r="I1846" t="str">
            <v>İÇ</v>
          </cell>
          <cell r="J1846" t="str">
            <v>AVİZE.SARK</v>
          </cell>
          <cell r="K1846" t="str">
            <v>SKYLİNE</v>
          </cell>
          <cell r="L1846" t="str">
            <v/>
          </cell>
          <cell r="M1846" t="str">
            <v/>
          </cell>
          <cell r="N1846" t="str">
            <v>HKA-25115</v>
          </cell>
          <cell r="O1846" t="str">
            <v>HEKA</v>
          </cell>
          <cell r="P1846" t="str">
            <v>ADET</v>
          </cell>
          <cell r="Q1846" t="str">
            <v>LED</v>
          </cell>
          <cell r="R1846" t="str">
            <v>METAL</v>
          </cell>
          <cell r="S1846" t="str">
            <v>ESKİTME</v>
          </cell>
          <cell r="T1846" t="str">
            <v>CAM</v>
          </cell>
          <cell r="U1846" t="str">
            <v>TURUNCU</v>
          </cell>
          <cell r="AA1846" t="str">
            <v>DIMMSIZ</v>
          </cell>
          <cell r="AD1846" t="str">
            <v>TEKLİ</v>
          </cell>
          <cell r="AE1846" t="str">
            <v>01</v>
          </cell>
          <cell r="AF1846">
            <v>25</v>
          </cell>
          <cell r="AG1846" t="str">
            <v>ADET</v>
          </cell>
          <cell r="AH1846">
            <v>209</v>
          </cell>
          <cell r="AI1846" t="str">
            <v>CNY</v>
          </cell>
          <cell r="AL1846">
            <v>1</v>
          </cell>
          <cell r="AM1846" t="str">
            <v>8684127517416</v>
          </cell>
          <cell r="AO1846">
            <v>0</v>
          </cell>
          <cell r="AQ1846">
            <v>0</v>
          </cell>
          <cell r="AS1846">
            <v>0</v>
          </cell>
          <cell r="AU1846">
            <v>0</v>
          </cell>
          <cell r="AW1846">
            <v>0</v>
          </cell>
        </row>
        <row r="1847">
          <cell r="B1847" t="str">
            <v>H1C6JMEERT1-040</v>
          </cell>
          <cell r="C1847" t="str">
            <v>SKYLİNE TEKLİ TURUNCU CAM SARKIT 40cm</v>
          </cell>
          <cell r="D1847" t="str">
            <v>SYKLINE SINGLE ORANGE GLASS PENDANT 40cm</v>
          </cell>
          <cell r="E1847" t="str">
            <v>METAL CAM ESKİTME TURUNCU</v>
          </cell>
          <cell r="F1847" t="str">
            <v/>
          </cell>
          <cell r="G1847" t="str">
            <v>AVİZE</v>
          </cell>
          <cell r="H1847" t="str">
            <v/>
          </cell>
          <cell r="I1847" t="str">
            <v>İÇ</v>
          </cell>
          <cell r="J1847" t="str">
            <v>AVİZE.SARK</v>
          </cell>
          <cell r="K1847" t="str">
            <v>SKYLİNE</v>
          </cell>
          <cell r="L1847" t="str">
            <v/>
          </cell>
          <cell r="M1847" t="str">
            <v/>
          </cell>
          <cell r="N1847" t="str">
            <v>HKA-25122</v>
          </cell>
          <cell r="O1847" t="str">
            <v>HEKA</v>
          </cell>
          <cell r="P1847" t="str">
            <v>ADET</v>
          </cell>
          <cell r="Q1847" t="str">
            <v>LED</v>
          </cell>
          <cell r="R1847" t="str">
            <v>METAL</v>
          </cell>
          <cell r="S1847" t="str">
            <v>ESKİTME</v>
          </cell>
          <cell r="T1847" t="str">
            <v>CAM</v>
          </cell>
          <cell r="U1847" t="str">
            <v>TURUNCU</v>
          </cell>
          <cell r="AA1847" t="str">
            <v>DIMMSIZ</v>
          </cell>
          <cell r="AD1847" t="str">
            <v>TEKLİ</v>
          </cell>
          <cell r="AE1847" t="str">
            <v>01</v>
          </cell>
          <cell r="AF1847">
            <v>15</v>
          </cell>
          <cell r="AG1847" t="str">
            <v>ADET</v>
          </cell>
          <cell r="AH1847">
            <v>268</v>
          </cell>
          <cell r="AI1847" t="str">
            <v>CNY</v>
          </cell>
          <cell r="AL1847">
            <v>1</v>
          </cell>
          <cell r="AM1847" t="str">
            <v>8684127517485</v>
          </cell>
          <cell r="AO1847">
            <v>0</v>
          </cell>
          <cell r="AQ1847">
            <v>2</v>
          </cell>
          <cell r="AR1847" t="str">
            <v>CM</v>
          </cell>
          <cell r="AS1847">
            <v>40</v>
          </cell>
          <cell r="AT1847" t="str">
            <v>CM</v>
          </cell>
          <cell r="AU1847">
            <v>0</v>
          </cell>
          <cell r="AW1847">
            <v>0</v>
          </cell>
        </row>
        <row r="1848">
          <cell r="B1848" t="str">
            <v>H1C6JMEERL1-050</v>
          </cell>
          <cell r="C1848" t="str">
            <v>SKYLİNE TEKLİ BAL CAM SARKIT 50cm</v>
          </cell>
          <cell r="D1848" t="str">
            <v>SYKLINE SINGLE AMBER GLASS PENDANT 50cm</v>
          </cell>
          <cell r="E1848" t="str">
            <v>METAL CAM ESKİTME BAL</v>
          </cell>
          <cell r="F1848" t="str">
            <v/>
          </cell>
          <cell r="G1848" t="str">
            <v>AVİZE</v>
          </cell>
          <cell r="H1848" t="str">
            <v/>
          </cell>
          <cell r="I1848" t="str">
            <v/>
          </cell>
          <cell r="J1848" t="str">
            <v>AVİZE.SARK</v>
          </cell>
          <cell r="K1848" t="str">
            <v>SKYLİNE</v>
          </cell>
          <cell r="L1848" t="str">
            <v/>
          </cell>
          <cell r="M1848" t="str">
            <v/>
          </cell>
          <cell r="N1848" t="str">
            <v>HKA-25124</v>
          </cell>
          <cell r="O1848" t="str">
            <v>HEKA</v>
          </cell>
          <cell r="P1848" t="str">
            <v>ADET</v>
          </cell>
          <cell r="Q1848" t="str">
            <v>LED</v>
          </cell>
          <cell r="R1848" t="str">
            <v>METAL</v>
          </cell>
          <cell r="S1848" t="str">
            <v>ESKİTME</v>
          </cell>
          <cell r="T1848" t="str">
            <v>CAM</v>
          </cell>
          <cell r="U1848" t="str">
            <v>BAL</v>
          </cell>
          <cell r="AA1848" t="str">
            <v>DIMMSIZ</v>
          </cell>
          <cell r="AD1848" t="str">
            <v>TEKLİ</v>
          </cell>
          <cell r="AE1848" t="str">
            <v>01</v>
          </cell>
          <cell r="AG1848" t="str">
            <v>ADET</v>
          </cell>
          <cell r="AL1848">
            <v>1</v>
          </cell>
          <cell r="AM1848" t="str">
            <v>8684127517508</v>
          </cell>
          <cell r="AO1848">
            <v>0</v>
          </cell>
          <cell r="AQ1848">
            <v>2</v>
          </cell>
          <cell r="AR1848" t="str">
            <v>CM</v>
          </cell>
          <cell r="AS1848">
            <v>50</v>
          </cell>
          <cell r="AT1848" t="str">
            <v>CM</v>
          </cell>
          <cell r="AU1848">
            <v>0</v>
          </cell>
          <cell r="AW1848">
            <v>0</v>
          </cell>
        </row>
        <row r="1849">
          <cell r="B1849" t="str">
            <v>H1C6XBJERFY-044</v>
          </cell>
          <cell r="C1849" t="str">
            <v>SİENA TEKLİ KÜRE FÜME CAM SARKIT 44CM</v>
          </cell>
          <cell r="D1849" t="str">
            <v xml:space="preserve">SİENA SINGLE GLOBE SMOKY GLASS PENDANT 44CM </v>
          </cell>
          <cell r="E1849" t="str">
            <v>TRAVERTEN CAM BEJ FÜME</v>
          </cell>
          <cell r="F1849" t="str">
            <v/>
          </cell>
          <cell r="G1849" t="str">
            <v>AVİZE</v>
          </cell>
          <cell r="H1849" t="str">
            <v/>
          </cell>
          <cell r="I1849" t="str">
            <v>İÇ</v>
          </cell>
          <cell r="J1849" t="str">
            <v>AVİZE.SARK</v>
          </cell>
          <cell r="K1849" t="str">
            <v>SİENA</v>
          </cell>
          <cell r="L1849" t="str">
            <v>Y</v>
          </cell>
          <cell r="M1849" t="str">
            <v>20.04.2026</v>
          </cell>
          <cell r="N1849" t="str">
            <v>HKA-25023</v>
          </cell>
          <cell r="O1849" t="str">
            <v>HEKA</v>
          </cell>
          <cell r="P1849" t="str">
            <v>ADET</v>
          </cell>
          <cell r="Q1849" t="str">
            <v>LED</v>
          </cell>
          <cell r="R1849" t="str">
            <v>TRAVERTEN</v>
          </cell>
          <cell r="S1849" t="str">
            <v>BEJ</v>
          </cell>
          <cell r="T1849" t="str">
            <v>CAM</v>
          </cell>
          <cell r="U1849" t="str">
            <v>FÜME</v>
          </cell>
          <cell r="AA1849" t="str">
            <v>DIMMSIZ</v>
          </cell>
          <cell r="AF1849">
            <v>40</v>
          </cell>
          <cell r="AG1849" t="str">
            <v>ADET</v>
          </cell>
          <cell r="AH1849">
            <v>143</v>
          </cell>
          <cell r="AI1849" t="str">
            <v>CNY</v>
          </cell>
          <cell r="AJ1849">
            <v>8950</v>
          </cell>
          <cell r="AK1849" t="str">
            <v>TL</v>
          </cell>
          <cell r="AL1849">
            <v>1</v>
          </cell>
          <cell r="AM1849" t="str">
            <v>8684127518918</v>
          </cell>
          <cell r="AO1849">
            <v>0</v>
          </cell>
          <cell r="AQ1849">
            <v>20</v>
          </cell>
          <cell r="AR1849" t="str">
            <v>CM</v>
          </cell>
          <cell r="AS1849">
            <v>20</v>
          </cell>
          <cell r="AT1849" t="str">
            <v>CM</v>
          </cell>
          <cell r="AU1849">
            <v>0</v>
          </cell>
          <cell r="AW1849">
            <v>0</v>
          </cell>
        </row>
        <row r="1850">
          <cell r="B1850" t="str">
            <v>H1C6XBJERF0-062</v>
          </cell>
          <cell r="C1850" t="str">
            <v>SİENA İKİLİ FÜME CAM SARKIT 62CM</v>
          </cell>
          <cell r="D1850" t="str">
            <v>SİENA DOUBLE SMOKY GLASS PENDANT 62CM</v>
          </cell>
          <cell r="E1850" t="str">
            <v>TRAVERTEN CAM BEJ FÜME</v>
          </cell>
          <cell r="F1850" t="str">
            <v/>
          </cell>
          <cell r="G1850" t="str">
            <v>AVİZE</v>
          </cell>
          <cell r="H1850" t="str">
            <v/>
          </cell>
          <cell r="I1850" t="str">
            <v>İÇ</v>
          </cell>
          <cell r="J1850" t="str">
            <v>AVİZE.SARK</v>
          </cell>
          <cell r="K1850" t="str">
            <v>SİENA</v>
          </cell>
          <cell r="L1850" t="str">
            <v>Y</v>
          </cell>
          <cell r="M1850" t="str">
            <v>20.04.2026</v>
          </cell>
          <cell r="N1850" t="str">
            <v>HKA-25025</v>
          </cell>
          <cell r="O1850" t="str">
            <v>HEKA</v>
          </cell>
          <cell r="P1850" t="str">
            <v>ADET</v>
          </cell>
          <cell r="Q1850" t="str">
            <v>LED</v>
          </cell>
          <cell r="R1850" t="str">
            <v>TRAVERTEN</v>
          </cell>
          <cell r="S1850" t="str">
            <v>BEJ</v>
          </cell>
          <cell r="T1850" t="str">
            <v>CAM</v>
          </cell>
          <cell r="U1850" t="str">
            <v>FÜME</v>
          </cell>
          <cell r="AA1850" t="str">
            <v>DIMMSIZ</v>
          </cell>
          <cell r="AF1850">
            <v>25</v>
          </cell>
          <cell r="AG1850" t="str">
            <v>ADET</v>
          </cell>
          <cell r="AH1850">
            <v>168</v>
          </cell>
          <cell r="AI1850" t="str">
            <v>CNY</v>
          </cell>
          <cell r="AJ1850">
            <v>10450</v>
          </cell>
          <cell r="AK1850" t="str">
            <v>TL</v>
          </cell>
          <cell r="AL1850">
            <v>1</v>
          </cell>
          <cell r="AM1850" t="str">
            <v>8684127517751</v>
          </cell>
          <cell r="AO1850">
            <v>0</v>
          </cell>
          <cell r="AQ1850">
            <v>20</v>
          </cell>
          <cell r="AR1850" t="str">
            <v>CM</v>
          </cell>
          <cell r="AS1850">
            <v>20</v>
          </cell>
          <cell r="AT1850" t="str">
            <v>CM</v>
          </cell>
          <cell r="AU1850">
            <v>0</v>
          </cell>
          <cell r="AW1850">
            <v>0</v>
          </cell>
        </row>
        <row r="1851">
          <cell r="B1851" t="str">
            <v>H1C6XMEERL0-050</v>
          </cell>
          <cell r="C1851" t="str">
            <v>SİENA TEKLİ BAL CAM SARKIT 50CM</v>
          </cell>
          <cell r="D1851" t="str">
            <v>SİENA SINGLE AMBER GLASS PENDANT 50CM</v>
          </cell>
          <cell r="E1851" t="str">
            <v>TRAVERTEN CAM ESKİTME BAL</v>
          </cell>
          <cell r="F1851" t="str">
            <v/>
          </cell>
          <cell r="G1851" t="str">
            <v>AVİZE</v>
          </cell>
          <cell r="H1851" t="str">
            <v/>
          </cell>
          <cell r="I1851" t="str">
            <v>İÇ</v>
          </cell>
          <cell r="J1851" t="str">
            <v>AVİZE.SARK</v>
          </cell>
          <cell r="K1851" t="str">
            <v>SİENA</v>
          </cell>
          <cell r="L1851" t="str">
            <v>Y</v>
          </cell>
          <cell r="M1851" t="str">
            <v>20.04.2026</v>
          </cell>
          <cell r="N1851" t="str">
            <v>HKA-25030</v>
          </cell>
          <cell r="O1851" t="str">
            <v>HEKA</v>
          </cell>
          <cell r="P1851" t="str">
            <v>ADET</v>
          </cell>
          <cell r="Q1851" t="str">
            <v>LED</v>
          </cell>
          <cell r="R1851" t="str">
            <v>TRAVERTEN</v>
          </cell>
          <cell r="S1851" t="str">
            <v>ESKİTME</v>
          </cell>
          <cell r="T1851" t="str">
            <v>CAM</v>
          </cell>
          <cell r="U1851" t="str">
            <v>BAL</v>
          </cell>
          <cell r="AA1851" t="str">
            <v>DIMMSIZ</v>
          </cell>
          <cell r="AF1851">
            <v>0</v>
          </cell>
          <cell r="AG1851" t="str">
            <v>ADET</v>
          </cell>
          <cell r="AH1851">
            <v>158</v>
          </cell>
          <cell r="AI1851" t="str">
            <v>CNY</v>
          </cell>
          <cell r="AJ1851">
            <v>9950</v>
          </cell>
          <cell r="AK1851" t="str">
            <v>TL</v>
          </cell>
          <cell r="AL1851">
            <v>1</v>
          </cell>
          <cell r="AM1851" t="str">
            <v>8684127517805</v>
          </cell>
          <cell r="AO1851">
            <v>0</v>
          </cell>
          <cell r="AQ1851">
            <v>20</v>
          </cell>
          <cell r="AR1851" t="str">
            <v>CM</v>
          </cell>
          <cell r="AS1851">
            <v>20</v>
          </cell>
          <cell r="AT1851" t="str">
            <v>CM</v>
          </cell>
          <cell r="AU1851">
            <v>0</v>
          </cell>
          <cell r="AW1851">
            <v>0</v>
          </cell>
        </row>
        <row r="1852">
          <cell r="B1852" t="str">
            <v>H1C6KMPERV0-020</v>
          </cell>
          <cell r="C1852" t="str">
            <v>ARİETTA KAHVERENGİ KRİSTAL PLATİN SARKIT 20CM</v>
          </cell>
          <cell r="D1852" t="str">
            <v>ARİETTA BROWN CRYSTAL PLATINUM PENDANT 20CM</v>
          </cell>
          <cell r="E1852" t="str">
            <v>PASLANMAZ CAM PLATİN KAHVERENGİ</v>
          </cell>
          <cell r="F1852" t="str">
            <v/>
          </cell>
          <cell r="G1852" t="str">
            <v>AVİZE</v>
          </cell>
          <cell r="H1852" t="str">
            <v/>
          </cell>
          <cell r="I1852" t="str">
            <v>İÇ</v>
          </cell>
          <cell r="J1852" t="str">
            <v>AVİZE.SARK</v>
          </cell>
          <cell r="K1852" t="str">
            <v>ARİETTA</v>
          </cell>
          <cell r="L1852" t="str">
            <v/>
          </cell>
          <cell r="M1852" t="str">
            <v/>
          </cell>
          <cell r="N1852" t="str">
            <v>HKA-25082</v>
          </cell>
          <cell r="O1852" t="str">
            <v>HEKA</v>
          </cell>
          <cell r="P1852" t="str">
            <v>ADET</v>
          </cell>
          <cell r="Q1852" t="str">
            <v>LED</v>
          </cell>
          <cell r="R1852" t="str">
            <v>PASLANMAZ</v>
          </cell>
          <cell r="S1852" t="str">
            <v>PLATİN</v>
          </cell>
          <cell r="T1852" t="str">
            <v>CAM</v>
          </cell>
          <cell r="U1852" t="str">
            <v>KAHVERENGİ</v>
          </cell>
          <cell r="Z1852" t="str">
            <v>3000 K</v>
          </cell>
          <cell r="AA1852" t="str">
            <v>DIMMSIZ</v>
          </cell>
          <cell r="AE1852" t="str">
            <v>01</v>
          </cell>
          <cell r="AF1852">
            <v>40</v>
          </cell>
          <cell r="AG1852" t="str">
            <v>ADET</v>
          </cell>
          <cell r="AH1852">
            <v>284.89999999999998</v>
          </cell>
          <cell r="AI1852" t="str">
            <v>CNY</v>
          </cell>
          <cell r="AL1852">
            <v>1</v>
          </cell>
          <cell r="AM1852" t="str">
            <v>8684127518024</v>
          </cell>
          <cell r="AO1852">
            <v>0</v>
          </cell>
          <cell r="AQ1852">
            <v>20</v>
          </cell>
          <cell r="AR1852" t="str">
            <v>CM</v>
          </cell>
          <cell r="AS1852">
            <v>20</v>
          </cell>
          <cell r="AT1852" t="str">
            <v>CM</v>
          </cell>
          <cell r="AU1852">
            <v>0</v>
          </cell>
          <cell r="AW1852">
            <v>0</v>
          </cell>
        </row>
        <row r="1853">
          <cell r="B1853" t="str">
            <v>H1C6ERFWRB0-036</v>
          </cell>
          <cell r="C1853" t="str">
            <v>SEUL FÜME CAM BEYAZ MERMER  ESKİTME SARKIT 36cm</v>
          </cell>
          <cell r="D1853" t="str">
            <v>SEUL SMOKED GLASS WHITE MARBLE BRUSHED BRASS PENDANT 36cm</v>
          </cell>
          <cell r="E1853" t="str">
            <v xml:space="preserve">CAM  MERMER FÜME BEYAZ   </v>
          </cell>
          <cell r="F1853" t="str">
            <v/>
          </cell>
          <cell r="G1853" t="str">
            <v>AVİZE</v>
          </cell>
          <cell r="H1853" t="str">
            <v/>
          </cell>
          <cell r="I1853" t="str">
            <v>İÇ</v>
          </cell>
          <cell r="J1853" t="str">
            <v>AVİZE.SARK</v>
          </cell>
          <cell r="K1853" t="str">
            <v>SEUL</v>
          </cell>
          <cell r="L1853" t="str">
            <v/>
          </cell>
          <cell r="M1853" t="str">
            <v/>
          </cell>
          <cell r="N1853" t="str">
            <v>HKA-24567</v>
          </cell>
          <cell r="O1853" t="str">
            <v>HEKA</v>
          </cell>
          <cell r="P1853" t="str">
            <v>ADET</v>
          </cell>
          <cell r="Q1853" t="str">
            <v>LED</v>
          </cell>
          <cell r="R1853" t="str">
            <v>CAM</v>
          </cell>
          <cell r="S1853" t="str">
            <v>FÜME</v>
          </cell>
          <cell r="T1853" t="str">
            <v>MERMER</v>
          </cell>
          <cell r="U1853" t="str">
            <v>BEYAZ</v>
          </cell>
          <cell r="X1853" t="str">
            <v>110V-220V</v>
          </cell>
          <cell r="Y1853" t="str">
            <v>24 WATT</v>
          </cell>
          <cell r="Z1853" t="str">
            <v>3000 K</v>
          </cell>
          <cell r="AA1853" t="str">
            <v>DIMMSIZ</v>
          </cell>
          <cell r="AB1853" t="str">
            <v>1901-2000</v>
          </cell>
          <cell r="AF1853">
            <v>19</v>
          </cell>
          <cell r="AG1853" t="str">
            <v>ADET</v>
          </cell>
          <cell r="AH1853">
            <v>532</v>
          </cell>
          <cell r="AI1853" t="str">
            <v>CNY</v>
          </cell>
          <cell r="AJ1853">
            <v>35500</v>
          </cell>
          <cell r="AK1853" t="str">
            <v>TL</v>
          </cell>
          <cell r="AL1853">
            <v>1</v>
          </cell>
          <cell r="AM1853" t="str">
            <v>8684127515184</v>
          </cell>
          <cell r="AO1853">
            <v>3.85</v>
          </cell>
          <cell r="AP1853" t="str">
            <v>KG</v>
          </cell>
          <cell r="AQ1853">
            <v>30</v>
          </cell>
          <cell r="AR1853" t="str">
            <v>CM</v>
          </cell>
          <cell r="AS1853">
            <v>30</v>
          </cell>
          <cell r="AT1853" t="str">
            <v>CM</v>
          </cell>
          <cell r="AU1853">
            <v>0</v>
          </cell>
          <cell r="AW1853">
            <v>0</v>
          </cell>
        </row>
        <row r="1854">
          <cell r="B1854" t="str">
            <v>H1C6ERFWRB0-056</v>
          </cell>
          <cell r="C1854" t="str">
            <v>SEUL FÜME CAM BEYAZ MERMER  ESKİTME SARKIT 56cm</v>
          </cell>
          <cell r="D1854" t="str">
            <v>SEUL SMOKED GLASS WHITE MARBLE BRUSHED BRASS PENDANT 56cm</v>
          </cell>
          <cell r="E1854" t="str">
            <v xml:space="preserve">CAM  MERMER FÜME BEYAZ   </v>
          </cell>
          <cell r="F1854" t="str">
            <v/>
          </cell>
          <cell r="G1854" t="str">
            <v>AVİZE</v>
          </cell>
          <cell r="H1854" t="str">
            <v/>
          </cell>
          <cell r="I1854" t="str">
            <v>İÇ</v>
          </cell>
          <cell r="J1854" t="str">
            <v>AVİZE.SARK</v>
          </cell>
          <cell r="K1854" t="str">
            <v>SEUL</v>
          </cell>
          <cell r="L1854" t="str">
            <v/>
          </cell>
          <cell r="M1854" t="str">
            <v/>
          </cell>
          <cell r="N1854" t="str">
            <v>HKA-24569</v>
          </cell>
          <cell r="O1854" t="str">
            <v>HEKA</v>
          </cell>
          <cell r="P1854" t="str">
            <v>ADET</v>
          </cell>
          <cell r="Q1854" t="str">
            <v>LED</v>
          </cell>
          <cell r="R1854" t="str">
            <v>CAM</v>
          </cell>
          <cell r="S1854" t="str">
            <v>FÜME</v>
          </cell>
          <cell r="T1854" t="str">
            <v>MERMER</v>
          </cell>
          <cell r="U1854" t="str">
            <v>BEYAZ</v>
          </cell>
          <cell r="X1854" t="str">
            <v>110V-220V</v>
          </cell>
          <cell r="Y1854" t="str">
            <v>36 WATT</v>
          </cell>
          <cell r="Z1854" t="str">
            <v>3000 K</v>
          </cell>
          <cell r="AA1854" t="str">
            <v>DIMMSIZ</v>
          </cell>
          <cell r="AB1854" t="str">
            <v>1901-2000</v>
          </cell>
          <cell r="AF1854">
            <v>32</v>
          </cell>
          <cell r="AG1854" t="str">
            <v>ADET</v>
          </cell>
          <cell r="AH1854">
            <v>742</v>
          </cell>
          <cell r="AI1854" t="str">
            <v>CNY</v>
          </cell>
          <cell r="AJ1854">
            <v>46450</v>
          </cell>
          <cell r="AK1854" t="str">
            <v>TL</v>
          </cell>
          <cell r="AL1854">
            <v>1</v>
          </cell>
          <cell r="AM1854" t="str">
            <v>8684127515207</v>
          </cell>
          <cell r="AO1854">
            <v>7.91</v>
          </cell>
          <cell r="AP1854" t="str">
            <v>KG</v>
          </cell>
          <cell r="AQ1854">
            <v>30</v>
          </cell>
          <cell r="AR1854" t="str">
            <v>CM</v>
          </cell>
          <cell r="AS1854">
            <v>30</v>
          </cell>
          <cell r="AT1854" t="str">
            <v>CM</v>
          </cell>
          <cell r="AU1854">
            <v>0</v>
          </cell>
          <cell r="AW1854">
            <v>0</v>
          </cell>
        </row>
        <row r="1855">
          <cell r="B1855" t="str">
            <v>H1W6ERLJRS0-026</v>
          </cell>
          <cell r="C1855" t="str">
            <v>GAMBİA BAL CAM SİYAH APLİK 26cm</v>
          </cell>
          <cell r="D1855" t="str">
            <v>GAMBİA AMBER GLASS BLACK WALL LAMP 26cm</v>
          </cell>
          <cell r="E1855" t="str">
            <v xml:space="preserve">CAM  METAL BAL SİYAH   </v>
          </cell>
          <cell r="F1855" t="str">
            <v/>
          </cell>
          <cell r="G1855" t="str">
            <v>APLİK</v>
          </cell>
          <cell r="H1855" t="str">
            <v/>
          </cell>
          <cell r="I1855" t="str">
            <v>İÇ</v>
          </cell>
          <cell r="J1855" t="str">
            <v>APLİK</v>
          </cell>
          <cell r="K1855" t="str">
            <v>GAMBİA</v>
          </cell>
          <cell r="L1855" t="str">
            <v/>
          </cell>
          <cell r="M1855" t="str">
            <v>28.02.2026</v>
          </cell>
          <cell r="N1855" t="str">
            <v>HKA-24468</v>
          </cell>
          <cell r="O1855" t="str">
            <v>HEKA</v>
          </cell>
          <cell r="P1855" t="str">
            <v>ADET</v>
          </cell>
          <cell r="Q1855" t="str">
            <v>LED</v>
          </cell>
          <cell r="R1855" t="str">
            <v>CAM</v>
          </cell>
          <cell r="S1855" t="str">
            <v>BAL</v>
          </cell>
          <cell r="T1855" t="str">
            <v>METAL</v>
          </cell>
          <cell r="U1855" t="str">
            <v>SİYAH</v>
          </cell>
          <cell r="X1855" t="str">
            <v>110V-220V</v>
          </cell>
          <cell r="Y1855" t="str">
            <v>9 WATT</v>
          </cell>
          <cell r="Z1855" t="str">
            <v>2500 K</v>
          </cell>
          <cell r="AA1855" t="str">
            <v>DIMMSIZ</v>
          </cell>
          <cell r="AB1855" t="str">
            <v>801-900</v>
          </cell>
          <cell r="AF1855">
            <v>2</v>
          </cell>
          <cell r="AG1855" t="str">
            <v>ADET</v>
          </cell>
          <cell r="AH1855">
            <v>448</v>
          </cell>
          <cell r="AI1855" t="str">
            <v>CNY</v>
          </cell>
          <cell r="AJ1855">
            <v>26500</v>
          </cell>
          <cell r="AK1855" t="str">
            <v>TL</v>
          </cell>
          <cell r="AL1855">
            <v>1</v>
          </cell>
          <cell r="AM1855" t="str">
            <v>8684127515344</v>
          </cell>
          <cell r="AO1855">
            <v>2.9</v>
          </cell>
          <cell r="AP1855" t="str">
            <v>KG</v>
          </cell>
          <cell r="AQ1855">
            <v>18</v>
          </cell>
          <cell r="AR1855" t="str">
            <v>CM</v>
          </cell>
          <cell r="AS1855">
            <v>24</v>
          </cell>
          <cell r="AT1855" t="str">
            <v>CM</v>
          </cell>
          <cell r="AU1855">
            <v>0</v>
          </cell>
          <cell r="AW1855">
            <v>0</v>
          </cell>
        </row>
        <row r="1856">
          <cell r="B1856" t="str">
            <v>H1C6ECSERB0-027</v>
          </cell>
          <cell r="C1856" t="str">
            <v>SALVADOR ŞEFFAF &amp; BEYAZ CAM ESKİTME SARKIT 27cm</v>
          </cell>
          <cell r="D1856" t="str">
            <v>SALVADOR CLEAR &amp; WHITE GLASS BRUSHED BRASS PENDANT 27cm</v>
          </cell>
          <cell r="E1856" t="str">
            <v xml:space="preserve">CAM  CAM  ŞEFFAF BEYAZ   </v>
          </cell>
          <cell r="F1856" t="str">
            <v/>
          </cell>
          <cell r="G1856" t="str">
            <v>AVİZE</v>
          </cell>
          <cell r="H1856" t="str">
            <v/>
          </cell>
          <cell r="I1856" t="str">
            <v>İÇ</v>
          </cell>
          <cell r="J1856" t="str">
            <v>AVİZE.SARK</v>
          </cell>
          <cell r="K1856" t="str">
            <v>SALVADOR</v>
          </cell>
          <cell r="L1856" t="str">
            <v/>
          </cell>
          <cell r="M1856" t="str">
            <v/>
          </cell>
          <cell r="N1856" t="str">
            <v>HKA-24531</v>
          </cell>
          <cell r="O1856" t="str">
            <v>HEKA</v>
          </cell>
          <cell r="P1856" t="str">
            <v>ADET</v>
          </cell>
          <cell r="Q1856" t="str">
            <v>LED</v>
          </cell>
          <cell r="R1856" t="str">
            <v>CAM</v>
          </cell>
          <cell r="S1856" t="str">
            <v>ŞEFFAF</v>
          </cell>
          <cell r="T1856" t="str">
            <v>CAM</v>
          </cell>
          <cell r="U1856" t="str">
            <v>BEYAZ</v>
          </cell>
          <cell r="X1856" t="str">
            <v>110V-220V</v>
          </cell>
          <cell r="Y1856" t="str">
            <v>10 WATT</v>
          </cell>
          <cell r="Z1856" t="str">
            <v>3000 K</v>
          </cell>
          <cell r="AA1856" t="str">
            <v>DIMMSIZ</v>
          </cell>
          <cell r="AB1856" t="str">
            <v>1901-2000</v>
          </cell>
          <cell r="AF1856">
            <v>6</v>
          </cell>
          <cell r="AG1856" t="str">
            <v>ADET</v>
          </cell>
          <cell r="AH1856">
            <v>340</v>
          </cell>
          <cell r="AI1856" t="str">
            <v>CNY</v>
          </cell>
          <cell r="AJ1856">
            <v>23950</v>
          </cell>
          <cell r="AK1856" t="str">
            <v>TL</v>
          </cell>
          <cell r="AL1856">
            <v>1</v>
          </cell>
          <cell r="AM1856" t="str">
            <v>8684127515368</v>
          </cell>
          <cell r="AO1856">
            <v>2.88</v>
          </cell>
          <cell r="AP1856" t="str">
            <v>KG</v>
          </cell>
          <cell r="AQ1856">
            <v>27</v>
          </cell>
          <cell r="AR1856" t="str">
            <v>CM</v>
          </cell>
          <cell r="AS1856">
            <v>34</v>
          </cell>
          <cell r="AT1856" t="str">
            <v>CM</v>
          </cell>
          <cell r="AU1856">
            <v>0</v>
          </cell>
          <cell r="AW1856">
            <v>0</v>
          </cell>
        </row>
        <row r="1857">
          <cell r="B1857" t="str">
            <v>H1W6JMEWRBZ-103</v>
          </cell>
          <cell r="C1857" t="str">
            <v>GİNE MERMER TOPLU ESKİTME APLİK 103cm</v>
          </cell>
          <cell r="D1857" t="str">
            <v>GİNE MARBLE BALLS BRUSHED BRASS WALL LAMP 103cm</v>
          </cell>
          <cell r="E1857" t="str">
            <v xml:space="preserve">METAL MERMER ESKİTME BEYAZ   </v>
          </cell>
          <cell r="F1857" t="str">
            <v/>
          </cell>
          <cell r="G1857" t="str">
            <v>APLİK</v>
          </cell>
          <cell r="H1857" t="str">
            <v/>
          </cell>
          <cell r="I1857" t="str">
            <v>İÇ</v>
          </cell>
          <cell r="J1857" t="str">
            <v>APLİK</v>
          </cell>
          <cell r="K1857" t="str">
            <v>GİNE</v>
          </cell>
          <cell r="L1857" t="str">
            <v/>
          </cell>
          <cell r="M1857" t="str">
            <v/>
          </cell>
          <cell r="N1857" t="str">
            <v>HKA-24463</v>
          </cell>
          <cell r="O1857" t="str">
            <v>HEKA</v>
          </cell>
          <cell r="P1857" t="str">
            <v>ADET</v>
          </cell>
          <cell r="Q1857" t="str">
            <v>LED</v>
          </cell>
          <cell r="R1857" t="str">
            <v>METAL</v>
          </cell>
          <cell r="S1857" t="str">
            <v>ESKİTME</v>
          </cell>
          <cell r="T1857" t="str">
            <v>MERMER</v>
          </cell>
          <cell r="U1857" t="str">
            <v>BEYAZ</v>
          </cell>
          <cell r="X1857" t="str">
            <v>110V-220V</v>
          </cell>
          <cell r="Y1857" t="str">
            <v>9 WATT</v>
          </cell>
          <cell r="Z1857" t="str">
            <v xml:space="preserve">2700 K </v>
          </cell>
          <cell r="AA1857" t="str">
            <v>DIMMSIZ</v>
          </cell>
          <cell r="AB1857" t="str">
            <v>1901-2000</v>
          </cell>
          <cell r="AF1857">
            <v>12</v>
          </cell>
          <cell r="AG1857" t="str">
            <v>ADET</v>
          </cell>
          <cell r="AH1857">
            <v>424</v>
          </cell>
          <cell r="AI1857" t="str">
            <v>CNY</v>
          </cell>
          <cell r="AJ1857">
            <v>29000</v>
          </cell>
          <cell r="AK1857" t="str">
            <v>TL</v>
          </cell>
          <cell r="AL1857">
            <v>1</v>
          </cell>
          <cell r="AM1857" t="str">
            <v>8684127515511</v>
          </cell>
          <cell r="AO1857">
            <v>1.78</v>
          </cell>
          <cell r="AP1857" t="str">
            <v>KG</v>
          </cell>
          <cell r="AQ1857">
            <v>16</v>
          </cell>
          <cell r="AR1857" t="str">
            <v>CM</v>
          </cell>
          <cell r="AS1857">
            <v>12</v>
          </cell>
          <cell r="AT1857" t="str">
            <v>CM</v>
          </cell>
          <cell r="AU1857">
            <v>0</v>
          </cell>
          <cell r="AW1857">
            <v>0</v>
          </cell>
        </row>
        <row r="1858">
          <cell r="B1858" t="str">
            <v>H1W6JRGERF1-032</v>
          </cell>
          <cell r="C1858" t="str">
            <v>KABİL TEKLİ FÜME CAM ANTRASİT APLİK 32cm</v>
          </cell>
          <cell r="D1858" t="str">
            <v>KABİL SINGLE SMOKY GLASS ANTHRACITE WALL LAMP 32cm</v>
          </cell>
          <cell r="E1858" t="str">
            <v xml:space="preserve">METAL CAM  ANTRASİT FÜME   </v>
          </cell>
          <cell r="F1858" t="str">
            <v/>
          </cell>
          <cell r="G1858" t="str">
            <v>APLİK</v>
          </cell>
          <cell r="H1858" t="str">
            <v/>
          </cell>
          <cell r="I1858" t="str">
            <v>İÇ</v>
          </cell>
          <cell r="J1858" t="str">
            <v>APLİK</v>
          </cell>
          <cell r="K1858" t="str">
            <v>KABİL</v>
          </cell>
          <cell r="L1858" t="str">
            <v/>
          </cell>
          <cell r="M1858" t="str">
            <v>28.02.2026</v>
          </cell>
          <cell r="N1858" t="str">
            <v>HKA-24565</v>
          </cell>
          <cell r="O1858" t="str">
            <v>HEKA</v>
          </cell>
          <cell r="P1858" t="str">
            <v>ADET</v>
          </cell>
          <cell r="Q1858" t="str">
            <v>LED</v>
          </cell>
          <cell r="R1858" t="str">
            <v>METAL</v>
          </cell>
          <cell r="S1858" t="str">
            <v>ANTRASİT</v>
          </cell>
          <cell r="T1858" t="str">
            <v>CAM</v>
          </cell>
          <cell r="U1858" t="str">
            <v>FÜME</v>
          </cell>
          <cell r="X1858" t="str">
            <v>220V</v>
          </cell>
          <cell r="Y1858" t="str">
            <v>18 WATT</v>
          </cell>
          <cell r="Z1858" t="str">
            <v>3000 K</v>
          </cell>
          <cell r="AA1858" t="str">
            <v>DIMMSIZ</v>
          </cell>
          <cell r="AB1858" t="str">
            <v>801-900</v>
          </cell>
          <cell r="AF1858">
            <v>10</v>
          </cell>
          <cell r="AG1858" t="str">
            <v>ADET</v>
          </cell>
          <cell r="AH1858">
            <v>301</v>
          </cell>
          <cell r="AI1858" t="str">
            <v>CNY</v>
          </cell>
          <cell r="AJ1858">
            <v>24900</v>
          </cell>
          <cell r="AK1858" t="str">
            <v>TL</v>
          </cell>
          <cell r="AL1858">
            <v>1</v>
          </cell>
          <cell r="AM1858" t="str">
            <v>8684127515535</v>
          </cell>
          <cell r="AO1858">
            <v>2</v>
          </cell>
          <cell r="AP1858" t="str">
            <v>KG</v>
          </cell>
          <cell r="AQ1858">
            <v>21</v>
          </cell>
          <cell r="AR1858" t="str">
            <v>CM</v>
          </cell>
          <cell r="AS1858">
            <v>16</v>
          </cell>
          <cell r="AT1858" t="str">
            <v>CM</v>
          </cell>
          <cell r="AU1858">
            <v>0</v>
          </cell>
          <cell r="AW1858">
            <v>0</v>
          </cell>
        </row>
        <row r="1859">
          <cell r="B1859" t="str">
            <v>H1C6JMEJMR0-68</v>
          </cell>
          <cell r="C1859" t="str">
            <v>TUGELA ÜÇ KOLLU KOYU ESKİTME SARKIT 68cm</v>
          </cell>
          <cell r="D1859" t="str">
            <v>TUGELA THREE-ARMED RAW BRASS PENDANT 68cm</v>
          </cell>
          <cell r="E1859" t="str">
            <v xml:space="preserve">METAL METAL ESKİTME KOYU ESKİTME   </v>
          </cell>
          <cell r="F1859" t="str">
            <v/>
          </cell>
          <cell r="G1859" t="str">
            <v>AVİZE</v>
          </cell>
          <cell r="H1859" t="str">
            <v/>
          </cell>
          <cell r="I1859" t="str">
            <v>İÇ</v>
          </cell>
          <cell r="J1859" t="str">
            <v>AVİZE.SARK</v>
          </cell>
          <cell r="K1859" t="str">
            <v>TUGELA</v>
          </cell>
          <cell r="L1859" t="str">
            <v/>
          </cell>
          <cell r="M1859" t="str">
            <v/>
          </cell>
          <cell r="N1859" t="str">
            <v>HKA-24580</v>
          </cell>
          <cell r="O1859" t="str">
            <v>HEKA</v>
          </cell>
          <cell r="P1859" t="str">
            <v>ADET</v>
          </cell>
          <cell r="Q1859" t="str">
            <v>LED</v>
          </cell>
          <cell r="R1859" t="str">
            <v>METAL</v>
          </cell>
          <cell r="S1859" t="str">
            <v>ESKİTME</v>
          </cell>
          <cell r="T1859" t="str">
            <v>METAL</v>
          </cell>
          <cell r="U1859" t="str">
            <v>KOYU ESKİTME</v>
          </cell>
          <cell r="X1859" t="str">
            <v>110V-220V</v>
          </cell>
          <cell r="Y1859" t="str">
            <v>24 WATT</v>
          </cell>
          <cell r="AF1859">
            <v>8</v>
          </cell>
          <cell r="AG1859" t="str">
            <v>ADET</v>
          </cell>
          <cell r="AH1859">
            <v>983</v>
          </cell>
          <cell r="AI1859" t="str">
            <v>CNY</v>
          </cell>
          <cell r="AJ1859">
            <v>84950</v>
          </cell>
          <cell r="AK1859" t="str">
            <v>TL</v>
          </cell>
          <cell r="AL1859">
            <v>1</v>
          </cell>
          <cell r="AM1859" t="str">
            <v>8684127515702</v>
          </cell>
          <cell r="AO1859">
            <v>4.5</v>
          </cell>
          <cell r="AP1859" t="str">
            <v>KG</v>
          </cell>
          <cell r="AQ1859">
            <v>6.5</v>
          </cell>
          <cell r="AR1859" t="str">
            <v>CM</v>
          </cell>
          <cell r="AS1859">
            <v>145</v>
          </cell>
          <cell r="AT1859" t="str">
            <v>CM</v>
          </cell>
          <cell r="AU1859">
            <v>0</v>
          </cell>
          <cell r="AW1859">
            <v>0</v>
          </cell>
        </row>
        <row r="1860">
          <cell r="B1860" t="str">
            <v>H1WAMME0000-030</v>
          </cell>
          <cell r="C1860" t="str">
            <v>BOLİVYA REÇİNE KORUMALI KOYU ESKİTME APLİK</v>
          </cell>
          <cell r="D1860" t="str">
            <v>BOLİVYA RESIN PROTECTED RAW BRASS WALL LAMP</v>
          </cell>
          <cell r="E1860" t="str">
            <v xml:space="preserve">POLİKARBON YOK ESKİTME YOK   </v>
          </cell>
          <cell r="F1860" t="str">
            <v/>
          </cell>
          <cell r="G1860" t="str">
            <v>APLİK</v>
          </cell>
          <cell r="H1860" t="str">
            <v/>
          </cell>
          <cell r="I1860" t="str">
            <v>İÇ</v>
          </cell>
          <cell r="J1860" t="str">
            <v>APLİK</v>
          </cell>
          <cell r="K1860" t="str">
            <v>BOLİVYA</v>
          </cell>
          <cell r="L1860" t="str">
            <v/>
          </cell>
          <cell r="M1860" t="str">
            <v/>
          </cell>
          <cell r="N1860" t="str">
            <v>HKA-24600</v>
          </cell>
          <cell r="O1860" t="str">
            <v>HEKA</v>
          </cell>
          <cell r="P1860" t="str">
            <v>ADET</v>
          </cell>
          <cell r="Q1860" t="str">
            <v>E14</v>
          </cell>
          <cell r="R1860" t="str">
            <v>POLİKARBON</v>
          </cell>
          <cell r="S1860" t="str">
            <v>ESKİTME</v>
          </cell>
          <cell r="X1860" t="str">
            <v>110V-220V</v>
          </cell>
          <cell r="AE1860" t="str">
            <v>01</v>
          </cell>
          <cell r="AF1860">
            <v>25</v>
          </cell>
          <cell r="AG1860" t="str">
            <v>ADET</v>
          </cell>
          <cell r="AH1860">
            <v>137.44999999999999</v>
          </cell>
          <cell r="AI1860" t="str">
            <v>CNY</v>
          </cell>
          <cell r="AJ1860">
            <v>8900</v>
          </cell>
          <cell r="AK1860" t="str">
            <v>TL</v>
          </cell>
          <cell r="AL1860">
            <v>1</v>
          </cell>
          <cell r="AM1860" t="str">
            <v>8684127516051</v>
          </cell>
          <cell r="AO1860">
            <v>1.1000000000000001</v>
          </cell>
          <cell r="AP1860" t="str">
            <v>KG</v>
          </cell>
          <cell r="AQ1860">
            <v>13.5</v>
          </cell>
          <cell r="AR1860" t="str">
            <v>CM</v>
          </cell>
          <cell r="AS1860">
            <v>18</v>
          </cell>
          <cell r="AT1860" t="str">
            <v>CM</v>
          </cell>
          <cell r="AU1860">
            <v>0</v>
          </cell>
          <cell r="AW1860">
            <v>0</v>
          </cell>
        </row>
        <row r="1861">
          <cell r="B1861" t="str">
            <v>H1F6ERFWRB0-120</v>
          </cell>
          <cell r="C1861" t="str">
            <v>SEUL DÖRT FÜME CAM MERMER ESKİTME LAMBADER</v>
          </cell>
          <cell r="D1861" t="str">
            <v>SEUL FOUR SMOKED GLASS MARBLE BRUSHED BRASS FLOOR LAMP</v>
          </cell>
          <cell r="E1861" t="str">
            <v xml:space="preserve">CAM  MERMER FÜME BEYAZ   </v>
          </cell>
          <cell r="F1861" t="str">
            <v/>
          </cell>
          <cell r="G1861" t="str">
            <v>LAMBADER</v>
          </cell>
          <cell r="H1861" t="str">
            <v/>
          </cell>
          <cell r="I1861" t="str">
            <v>İÇ</v>
          </cell>
          <cell r="J1861" t="str">
            <v>LAMBADER</v>
          </cell>
          <cell r="K1861" t="str">
            <v>SEUL</v>
          </cell>
          <cell r="L1861" t="str">
            <v/>
          </cell>
          <cell r="M1861" t="str">
            <v/>
          </cell>
          <cell r="N1861" t="str">
            <v>HKA-24588</v>
          </cell>
          <cell r="O1861" t="str">
            <v>HEKA</v>
          </cell>
          <cell r="P1861" t="str">
            <v>ADET</v>
          </cell>
          <cell r="Q1861" t="str">
            <v>LED</v>
          </cell>
          <cell r="R1861" t="str">
            <v>CAM</v>
          </cell>
          <cell r="S1861" t="str">
            <v>FÜME</v>
          </cell>
          <cell r="T1861" t="str">
            <v>MERMER</v>
          </cell>
          <cell r="U1861" t="str">
            <v>BEYAZ</v>
          </cell>
          <cell r="X1861" t="str">
            <v>110V-220V</v>
          </cell>
          <cell r="Y1861" t="str">
            <v>42 WATT</v>
          </cell>
          <cell r="AA1861" t="str">
            <v>DIMMSIZ</v>
          </cell>
          <cell r="AF1861">
            <v>3</v>
          </cell>
          <cell r="AG1861" t="str">
            <v>ADET</v>
          </cell>
          <cell r="AH1861">
            <v>1932</v>
          </cell>
          <cell r="AI1861" t="str">
            <v>CNY</v>
          </cell>
          <cell r="AJ1861">
            <v>124500</v>
          </cell>
          <cell r="AK1861" t="str">
            <v>TL</v>
          </cell>
          <cell r="AL1861">
            <v>1</v>
          </cell>
          <cell r="AM1861" t="str">
            <v>8684127515856</v>
          </cell>
          <cell r="AO1861">
            <v>18.829999999999998</v>
          </cell>
          <cell r="AP1861" t="str">
            <v>KG</v>
          </cell>
          <cell r="AQ1861">
            <v>30</v>
          </cell>
          <cell r="AR1861" t="str">
            <v>CM</v>
          </cell>
          <cell r="AS1861">
            <v>30</v>
          </cell>
          <cell r="AT1861" t="str">
            <v>CM</v>
          </cell>
          <cell r="AU1861">
            <v>0</v>
          </cell>
          <cell r="AW1861">
            <v>0</v>
          </cell>
        </row>
        <row r="1862">
          <cell r="B1862" t="str">
            <v>H1C5JMGECS0-130</v>
          </cell>
          <cell r="C1862" t="str">
            <v>MANİLA ŞEFFAF CAM GOLD SALON AVİZE</v>
          </cell>
          <cell r="D1862" t="str">
            <v>MANİLA CLEAR GLASS GOLD LIVING ROOM CHANDELIER</v>
          </cell>
          <cell r="E1862" t="str">
            <v xml:space="preserve">METAL CAM  GOLD ŞEFFAF   </v>
          </cell>
          <cell r="F1862" t="str">
            <v/>
          </cell>
          <cell r="G1862" t="str">
            <v>AVİZE</v>
          </cell>
          <cell r="H1862" t="str">
            <v/>
          </cell>
          <cell r="I1862" t="str">
            <v>İÇ</v>
          </cell>
          <cell r="J1862" t="str">
            <v>AVİZE.AVİZ</v>
          </cell>
          <cell r="K1862" t="str">
            <v>MANİLA</v>
          </cell>
          <cell r="L1862" t="str">
            <v/>
          </cell>
          <cell r="M1862" t="str">
            <v/>
          </cell>
          <cell r="N1862" t="str">
            <v>HKA-24594</v>
          </cell>
          <cell r="O1862" t="str">
            <v>HEKA</v>
          </cell>
          <cell r="P1862" t="str">
            <v>ADET</v>
          </cell>
          <cell r="Q1862" t="str">
            <v>GU10</v>
          </cell>
          <cell r="R1862" t="str">
            <v>METAL</v>
          </cell>
          <cell r="S1862" t="str">
            <v>GOLD</v>
          </cell>
          <cell r="T1862" t="str">
            <v>CAM</v>
          </cell>
          <cell r="U1862" t="str">
            <v>ŞEFFAF</v>
          </cell>
          <cell r="X1862" t="str">
            <v>110V-220V</v>
          </cell>
          <cell r="AF1862">
            <v>7</v>
          </cell>
          <cell r="AG1862" t="str">
            <v>ADET</v>
          </cell>
          <cell r="AH1862">
            <v>1809</v>
          </cell>
          <cell r="AI1862" t="str">
            <v>CNY</v>
          </cell>
          <cell r="AJ1862">
            <v>119900</v>
          </cell>
          <cell r="AK1862" t="str">
            <v>TL</v>
          </cell>
          <cell r="AL1862">
            <v>1</v>
          </cell>
          <cell r="AM1862" t="str">
            <v>8684127515870</v>
          </cell>
          <cell r="AO1862">
            <v>10.7</v>
          </cell>
          <cell r="AP1862" t="str">
            <v>KG</v>
          </cell>
          <cell r="AQ1862">
            <v>84</v>
          </cell>
          <cell r="AR1862" t="str">
            <v>CM</v>
          </cell>
          <cell r="AS1862">
            <v>87</v>
          </cell>
          <cell r="AT1862" t="str">
            <v>CM</v>
          </cell>
          <cell r="AU1862">
            <v>0</v>
          </cell>
          <cell r="AW1862">
            <v>0</v>
          </cell>
        </row>
        <row r="1863">
          <cell r="B1863" t="str">
            <v>H1F6WRBJMG0-170</v>
          </cell>
          <cell r="C1863" t="str">
            <v>GABON MERMER ESKİTME LAMBADER</v>
          </cell>
          <cell r="D1863" t="str">
            <v>GABON MARBLE BRUSHED BRASS FLOOR LAMP</v>
          </cell>
          <cell r="E1863" t="str">
            <v xml:space="preserve">MERMER METAL BEYAZ ESKİTME   </v>
          </cell>
          <cell r="F1863" t="str">
            <v/>
          </cell>
          <cell r="G1863" t="str">
            <v>LAMBADER</v>
          </cell>
          <cell r="H1863" t="str">
            <v/>
          </cell>
          <cell r="I1863" t="str">
            <v>İÇ</v>
          </cell>
          <cell r="J1863" t="str">
            <v>LAMBADER</v>
          </cell>
          <cell r="K1863" t="str">
            <v>GABON</v>
          </cell>
          <cell r="L1863" t="str">
            <v/>
          </cell>
          <cell r="M1863" t="str">
            <v/>
          </cell>
          <cell r="N1863" t="str">
            <v>HKA-24461</v>
          </cell>
          <cell r="O1863" t="str">
            <v>HEKA</v>
          </cell>
          <cell r="P1863" t="str">
            <v>ADET</v>
          </cell>
          <cell r="Q1863" t="str">
            <v>LED</v>
          </cell>
          <cell r="R1863" t="str">
            <v>MERMER</v>
          </cell>
          <cell r="S1863" t="str">
            <v>BEYAZ</v>
          </cell>
          <cell r="T1863" t="str">
            <v>METAL</v>
          </cell>
          <cell r="U1863" t="str">
            <v>ESKİTME</v>
          </cell>
          <cell r="X1863" t="str">
            <v>110V-220V</v>
          </cell>
          <cell r="Y1863" t="str">
            <v>24 WATT</v>
          </cell>
          <cell r="Z1863" t="str">
            <v xml:space="preserve">2700 K </v>
          </cell>
          <cell r="AA1863" t="str">
            <v>DIMMSIZ</v>
          </cell>
          <cell r="AB1863" t="str">
            <v>1901-2000</v>
          </cell>
          <cell r="AF1863">
            <v>9</v>
          </cell>
          <cell r="AG1863" t="str">
            <v>ADET</v>
          </cell>
          <cell r="AH1863">
            <v>1216</v>
          </cell>
          <cell r="AI1863" t="str">
            <v>CNY</v>
          </cell>
          <cell r="AJ1863">
            <v>94300</v>
          </cell>
          <cell r="AK1863" t="str">
            <v>TL</v>
          </cell>
          <cell r="AL1863">
            <v>1</v>
          </cell>
          <cell r="AM1863" t="str">
            <v>8684127516020</v>
          </cell>
          <cell r="AO1863">
            <v>16</v>
          </cell>
          <cell r="AP1863" t="str">
            <v>KG</v>
          </cell>
          <cell r="AQ1863">
            <v>9</v>
          </cell>
          <cell r="AR1863" t="str">
            <v>CM</v>
          </cell>
          <cell r="AS1863">
            <v>13</v>
          </cell>
          <cell r="AT1863" t="str">
            <v>CM</v>
          </cell>
          <cell r="AU1863">
            <v>0</v>
          </cell>
          <cell r="AW1863">
            <v>0</v>
          </cell>
        </row>
        <row r="1864">
          <cell r="B1864" t="str">
            <v>H1W6JME0000-033</v>
          </cell>
          <cell r="C1864" t="str">
            <v>ESVATİNİ ESKİTME APLİK</v>
          </cell>
          <cell r="D1864" t="str">
            <v>ESVATİNİ BRUSHED BRASS WALL LAMP</v>
          </cell>
          <cell r="E1864" t="str">
            <v xml:space="preserve">METAL YOK ESKİTME YOK   </v>
          </cell>
          <cell r="F1864" t="str">
            <v/>
          </cell>
          <cell r="G1864" t="str">
            <v>APLİK</v>
          </cell>
          <cell r="H1864" t="str">
            <v/>
          </cell>
          <cell r="I1864" t="str">
            <v>İÇ</v>
          </cell>
          <cell r="J1864" t="str">
            <v>APLİK</v>
          </cell>
          <cell r="K1864" t="str">
            <v>ESVATİNİ</v>
          </cell>
          <cell r="L1864" t="str">
            <v/>
          </cell>
          <cell r="M1864" t="str">
            <v>15.02.2026</v>
          </cell>
          <cell r="N1864" t="str">
            <v>HKA-24596</v>
          </cell>
          <cell r="O1864" t="str">
            <v>HEKA</v>
          </cell>
          <cell r="P1864" t="str">
            <v>ADET</v>
          </cell>
          <cell r="Q1864" t="str">
            <v>LED</v>
          </cell>
          <cell r="R1864" t="str">
            <v>METAL</v>
          </cell>
          <cell r="S1864" t="str">
            <v>ESKİTME</v>
          </cell>
          <cell r="X1864" t="str">
            <v>110V-220V</v>
          </cell>
          <cell r="Y1864" t="str">
            <v>3 WATT</v>
          </cell>
          <cell r="Z1864" t="str">
            <v>3000 K</v>
          </cell>
          <cell r="AA1864" t="str">
            <v>DIMMSIZ</v>
          </cell>
          <cell r="AB1864" t="str">
            <v>101-200</v>
          </cell>
          <cell r="AF1864">
            <v>76</v>
          </cell>
          <cell r="AG1864" t="str">
            <v>ADET</v>
          </cell>
          <cell r="AH1864">
            <v>125</v>
          </cell>
          <cell r="AI1864" t="str">
            <v>CNY</v>
          </cell>
          <cell r="AJ1864">
            <v>9750</v>
          </cell>
          <cell r="AK1864" t="str">
            <v>TL</v>
          </cell>
          <cell r="AL1864">
            <v>1</v>
          </cell>
          <cell r="AM1864" t="str">
            <v>8684127516044</v>
          </cell>
          <cell r="AO1864">
            <v>0.83</v>
          </cell>
          <cell r="AP1864" t="str">
            <v>KG</v>
          </cell>
          <cell r="AQ1864">
            <v>2.5</v>
          </cell>
          <cell r="AR1864" t="str">
            <v>CM</v>
          </cell>
          <cell r="AS1864">
            <v>13</v>
          </cell>
          <cell r="AT1864" t="str">
            <v>CM</v>
          </cell>
          <cell r="AU1864">
            <v>0</v>
          </cell>
          <cell r="AW1864">
            <v>0</v>
          </cell>
        </row>
        <row r="1865">
          <cell r="B1865" t="str">
            <v>H1T6ERLJRS0-038</v>
          </cell>
          <cell r="C1865" t="str">
            <v>GAMBİA BAL CAM SİYAH MASA LAMBASI 38cm</v>
          </cell>
          <cell r="D1865" t="str">
            <v>GAMBİA AMBER GLASS BLACK TABLE LAMP 38cm</v>
          </cell>
          <cell r="E1865" t="str">
            <v xml:space="preserve">CAM  METAL BAL SİYAH   </v>
          </cell>
          <cell r="F1865" t="str">
            <v/>
          </cell>
          <cell r="G1865" t="str">
            <v>MASAABAJ</v>
          </cell>
          <cell r="H1865" t="str">
            <v/>
          </cell>
          <cell r="I1865" t="str">
            <v>İÇ</v>
          </cell>
          <cell r="J1865" t="str">
            <v>MASAABAJ</v>
          </cell>
          <cell r="K1865" t="str">
            <v>GAMBİA</v>
          </cell>
          <cell r="L1865" t="str">
            <v/>
          </cell>
          <cell r="M1865" t="str">
            <v>28.02.2026</v>
          </cell>
          <cell r="N1865" t="str">
            <v>HKA-24474</v>
          </cell>
          <cell r="O1865" t="str">
            <v>HEKA</v>
          </cell>
          <cell r="P1865" t="str">
            <v>ADET</v>
          </cell>
          <cell r="Q1865" t="str">
            <v>LED</v>
          </cell>
          <cell r="R1865" t="str">
            <v>CAM</v>
          </cell>
          <cell r="S1865" t="str">
            <v>BAL</v>
          </cell>
          <cell r="T1865" t="str">
            <v>METAL</v>
          </cell>
          <cell r="U1865" t="str">
            <v>SİYAH</v>
          </cell>
          <cell r="X1865" t="str">
            <v>110V-220V</v>
          </cell>
          <cell r="Y1865" t="str">
            <v>24 WATT</v>
          </cell>
          <cell r="Z1865" t="str">
            <v>2500 K</v>
          </cell>
          <cell r="AA1865" t="str">
            <v>DIMMSIZ</v>
          </cell>
          <cell r="AB1865" t="str">
            <v>1201-1300</v>
          </cell>
          <cell r="AF1865">
            <v>3</v>
          </cell>
          <cell r="AG1865" t="str">
            <v>ADET</v>
          </cell>
          <cell r="AH1865">
            <v>584</v>
          </cell>
          <cell r="AI1865" t="str">
            <v>CNY</v>
          </cell>
          <cell r="AJ1865">
            <v>34450</v>
          </cell>
          <cell r="AK1865" t="str">
            <v>TL</v>
          </cell>
          <cell r="AL1865">
            <v>1</v>
          </cell>
          <cell r="AM1865" t="str">
            <v>8684127515689</v>
          </cell>
          <cell r="AO1865">
            <v>4.7699999999999996</v>
          </cell>
          <cell r="AP1865" t="str">
            <v>KG</v>
          </cell>
          <cell r="AQ1865">
            <v>27</v>
          </cell>
          <cell r="AR1865" t="str">
            <v>CM</v>
          </cell>
          <cell r="AS1865">
            <v>25</v>
          </cell>
          <cell r="AT1865" t="str">
            <v>CM</v>
          </cell>
          <cell r="AU1865">
            <v>0</v>
          </cell>
          <cell r="AW1865">
            <v>0</v>
          </cell>
        </row>
        <row r="1866">
          <cell r="B1866" t="str">
            <v>H1WAJMEECB0-035</v>
          </cell>
          <cell r="C1866" t="str">
            <v>BELİZE BUZLU CAM REÇİNE KORUMALI KAHVERENGİ APLİK</v>
          </cell>
          <cell r="D1866" t="str">
            <v>BELİZE FROSTED GLASS RESIN PROTECTED BROWN WALL LAMP</v>
          </cell>
          <cell r="E1866" t="str">
            <v xml:space="preserve">METAL CAM KAHVERENGİ BUZLU   </v>
          </cell>
          <cell r="F1866" t="str">
            <v/>
          </cell>
          <cell r="G1866" t="str">
            <v>APLİK</v>
          </cell>
          <cell r="H1866" t="str">
            <v/>
          </cell>
          <cell r="I1866" t="str">
            <v>İÇ</v>
          </cell>
          <cell r="J1866" t="str">
            <v>APLİK</v>
          </cell>
          <cell r="K1866" t="str">
            <v>BELİZE</v>
          </cell>
          <cell r="L1866" t="str">
            <v/>
          </cell>
          <cell r="M1866" t="str">
            <v/>
          </cell>
          <cell r="N1866" t="str">
            <v>HKA-24598</v>
          </cell>
          <cell r="O1866" t="str">
            <v>HEKA</v>
          </cell>
          <cell r="P1866" t="str">
            <v>ADET</v>
          </cell>
          <cell r="Q1866" t="str">
            <v>E14</v>
          </cell>
          <cell r="R1866" t="str">
            <v>METAL</v>
          </cell>
          <cell r="S1866" t="str">
            <v>KAHVERENGİ</v>
          </cell>
          <cell r="T1866" t="str">
            <v>CAM</v>
          </cell>
          <cell r="U1866" t="str">
            <v>BUZLU</v>
          </cell>
          <cell r="X1866" t="str">
            <v>110V-220V</v>
          </cell>
          <cell r="AE1866" t="str">
            <v>01</v>
          </cell>
          <cell r="AF1866">
            <v>16</v>
          </cell>
          <cell r="AG1866" t="str">
            <v>ADET</v>
          </cell>
          <cell r="AH1866">
            <v>273.60000000000002</v>
          </cell>
          <cell r="AI1866" t="str">
            <v>CNY</v>
          </cell>
          <cell r="AJ1866">
            <v>16900</v>
          </cell>
          <cell r="AK1866" t="str">
            <v>TL</v>
          </cell>
          <cell r="AL1866">
            <v>1</v>
          </cell>
          <cell r="AM1866" t="str">
            <v>8684127515757</v>
          </cell>
          <cell r="AO1866">
            <v>1.84</v>
          </cell>
          <cell r="AP1866" t="str">
            <v>KG</v>
          </cell>
          <cell r="AQ1866">
            <v>9</v>
          </cell>
          <cell r="AR1866" t="str">
            <v>CM</v>
          </cell>
          <cell r="AS1866">
            <v>35</v>
          </cell>
          <cell r="AT1866" t="str">
            <v>CM</v>
          </cell>
          <cell r="AU1866">
            <v>0</v>
          </cell>
          <cell r="AW1866">
            <v>0</v>
          </cell>
        </row>
        <row r="1867">
          <cell r="B1867" t="str">
            <v>H1F6KMEPRBP-145</v>
          </cell>
          <cell r="C1867" t="str">
            <v>MARSİS PASLANMAZ ESKİTME LAMBADER</v>
          </cell>
          <cell r="D1867" t="str">
            <v>MARSIS STAINLESS BRUSHED BRASS FLOOR LAMP</v>
          </cell>
          <cell r="E1867" t="str">
            <v xml:space="preserve">PASLANMAZ SİLİKON ESKİTME BEYAZ   </v>
          </cell>
          <cell r="F1867" t="str">
            <v/>
          </cell>
          <cell r="G1867" t="str">
            <v>LAMBADER</v>
          </cell>
          <cell r="H1867" t="str">
            <v/>
          </cell>
          <cell r="I1867" t="str">
            <v>İÇ</v>
          </cell>
          <cell r="J1867" t="str">
            <v>LAMBADER</v>
          </cell>
          <cell r="K1867" t="str">
            <v>MARSİS</v>
          </cell>
          <cell r="L1867" t="str">
            <v/>
          </cell>
          <cell r="M1867" t="str">
            <v/>
          </cell>
          <cell r="N1867" t="str">
            <v>HKA-24482</v>
          </cell>
          <cell r="O1867" t="str">
            <v>HEKA</v>
          </cell>
          <cell r="P1867" t="str">
            <v>ADET</v>
          </cell>
          <cell r="Q1867" t="str">
            <v>LED</v>
          </cell>
          <cell r="R1867" t="str">
            <v>PASLANMAZ</v>
          </cell>
          <cell r="S1867" t="str">
            <v>ESKİTME</v>
          </cell>
          <cell r="T1867" t="str">
            <v>SİLİKON</v>
          </cell>
          <cell r="U1867" t="str">
            <v>BEYAZ</v>
          </cell>
          <cell r="X1867" t="str">
            <v>110V-220V</v>
          </cell>
          <cell r="AD1867" t="str">
            <v>POLİGONAL</v>
          </cell>
          <cell r="AF1867">
            <v>11</v>
          </cell>
          <cell r="AG1867" t="str">
            <v>ADET</v>
          </cell>
          <cell r="AH1867">
            <v>916</v>
          </cell>
          <cell r="AI1867" t="str">
            <v>CNY</v>
          </cell>
          <cell r="AJ1867">
            <v>54900</v>
          </cell>
          <cell r="AK1867" t="str">
            <v>TL</v>
          </cell>
          <cell r="AL1867">
            <v>1</v>
          </cell>
          <cell r="AM1867" t="str">
            <v>8684127515825</v>
          </cell>
          <cell r="AO1867">
            <v>11.06</v>
          </cell>
          <cell r="AP1867" t="str">
            <v>KG</v>
          </cell>
          <cell r="AQ1867">
            <v>32</v>
          </cell>
          <cell r="AR1867" t="str">
            <v>CM</v>
          </cell>
          <cell r="AS1867">
            <v>32</v>
          </cell>
          <cell r="AT1867" t="str">
            <v>CM</v>
          </cell>
          <cell r="AU1867">
            <v>0</v>
          </cell>
          <cell r="AW1867">
            <v>0</v>
          </cell>
        </row>
        <row r="1868">
          <cell r="B1868" t="str">
            <v>H1W6WRB0000-045</v>
          </cell>
          <cell r="C1868" t="str">
            <v>IGUAZU MERMER APLİK 45cm</v>
          </cell>
          <cell r="D1868" t="str">
            <v>IGUAZU MARBLE WALL LAMP 45cm</v>
          </cell>
          <cell r="E1868" t="str">
            <v xml:space="preserve">MERMER YOK BEYAZ YOK   </v>
          </cell>
          <cell r="F1868" t="str">
            <v/>
          </cell>
          <cell r="G1868" t="str">
            <v>APLİK</v>
          </cell>
          <cell r="H1868" t="str">
            <v/>
          </cell>
          <cell r="I1868" t="str">
            <v>İÇ</v>
          </cell>
          <cell r="J1868" t="str">
            <v>APLİK</v>
          </cell>
          <cell r="K1868" t="str">
            <v>IGUAZU</v>
          </cell>
          <cell r="L1868" t="str">
            <v>Ç</v>
          </cell>
          <cell r="M1868" t="str">
            <v>30.01.2026</v>
          </cell>
          <cell r="N1868" t="str">
            <v>HKA-24538</v>
          </cell>
          <cell r="O1868" t="str">
            <v>HEKA</v>
          </cell>
          <cell r="P1868" t="str">
            <v>ADET</v>
          </cell>
          <cell r="Q1868" t="str">
            <v>LED</v>
          </cell>
          <cell r="R1868" t="str">
            <v>MERMER</v>
          </cell>
          <cell r="S1868" t="str">
            <v>BEYAZ</v>
          </cell>
          <cell r="X1868" t="str">
            <v>220V</v>
          </cell>
          <cell r="Y1868" t="str">
            <v>24 WATT</v>
          </cell>
          <cell r="Z1868" t="str">
            <v xml:space="preserve">2700 K </v>
          </cell>
          <cell r="AA1868" t="str">
            <v>DIMMSIZ</v>
          </cell>
          <cell r="AB1868" t="str">
            <v>301-400</v>
          </cell>
          <cell r="AF1868">
            <v>3</v>
          </cell>
          <cell r="AG1868" t="str">
            <v>ADET</v>
          </cell>
          <cell r="AH1868">
            <v>210</v>
          </cell>
          <cell r="AI1868" t="str">
            <v>CNY</v>
          </cell>
          <cell r="AJ1868">
            <v>13400</v>
          </cell>
          <cell r="AK1868" t="str">
            <v>TL</v>
          </cell>
          <cell r="AL1868">
            <v>1</v>
          </cell>
          <cell r="AM1868" t="str">
            <v>8684127515894</v>
          </cell>
          <cell r="AO1868">
            <v>1.52</v>
          </cell>
          <cell r="AP1868" t="str">
            <v>KG</v>
          </cell>
          <cell r="AQ1868">
            <v>5</v>
          </cell>
          <cell r="AR1868" t="str">
            <v>CM</v>
          </cell>
          <cell r="AS1868">
            <v>5</v>
          </cell>
          <cell r="AT1868" t="str">
            <v>CM</v>
          </cell>
          <cell r="AU1868">
            <v>0</v>
          </cell>
          <cell r="AW1868">
            <v>0</v>
          </cell>
        </row>
        <row r="1869">
          <cell r="B1869" t="str">
            <v>H1C6VRSERF0-120</v>
          </cell>
          <cell r="C1869" t="str">
            <v>KİNŞASA SİYAH DERİ DÖRT FÜME CAM PLAFONYER</v>
          </cell>
          <cell r="D1869" t="str">
            <v>KİNŞASA BLACK LEATHER FOUR SMOKED GLASS PLAFONIER</v>
          </cell>
          <cell r="E1869" t="str">
            <v xml:space="preserve">DERİ CAM  SİYAH FÜME   </v>
          </cell>
          <cell r="F1869" t="str">
            <v/>
          </cell>
          <cell r="G1869" t="str">
            <v>AVİZE</v>
          </cell>
          <cell r="H1869" t="str">
            <v/>
          </cell>
          <cell r="I1869" t="str">
            <v>İÇ</v>
          </cell>
          <cell r="J1869" t="str">
            <v>AVİZE.PLF</v>
          </cell>
          <cell r="K1869" t="str">
            <v>KİNŞASA</v>
          </cell>
          <cell r="L1869" t="str">
            <v/>
          </cell>
          <cell r="M1869" t="str">
            <v/>
          </cell>
          <cell r="N1869" t="str">
            <v>HKA-24557</v>
          </cell>
          <cell r="O1869" t="str">
            <v>HEKA</v>
          </cell>
          <cell r="P1869" t="str">
            <v>ADET</v>
          </cell>
          <cell r="Q1869" t="str">
            <v>LED</v>
          </cell>
          <cell r="R1869" t="str">
            <v>DERİ</v>
          </cell>
          <cell r="S1869" t="str">
            <v>SİYAH</v>
          </cell>
          <cell r="T1869" t="str">
            <v>CAM</v>
          </cell>
          <cell r="U1869" t="str">
            <v>FÜME</v>
          </cell>
          <cell r="X1869" t="str">
            <v>110V-220V</v>
          </cell>
          <cell r="Y1869" t="str">
            <v>18 WATT</v>
          </cell>
          <cell r="Z1869" t="str">
            <v xml:space="preserve">2700 K </v>
          </cell>
          <cell r="AA1869" t="str">
            <v>DIMMSIZ</v>
          </cell>
          <cell r="AB1869" t="str">
            <v>401-500</v>
          </cell>
          <cell r="AF1869">
            <v>45</v>
          </cell>
          <cell r="AG1869" t="str">
            <v>ADET</v>
          </cell>
          <cell r="AH1869">
            <v>240</v>
          </cell>
          <cell r="AI1869" t="str">
            <v>CNY</v>
          </cell>
          <cell r="AJ1869">
            <v>16900</v>
          </cell>
          <cell r="AK1869" t="str">
            <v>TL</v>
          </cell>
          <cell r="AL1869">
            <v>1</v>
          </cell>
          <cell r="AM1869" t="str">
            <v>8684127515931</v>
          </cell>
          <cell r="AO1869">
            <v>1.6</v>
          </cell>
          <cell r="AP1869" t="str">
            <v>KG</v>
          </cell>
          <cell r="AQ1869">
            <v>12</v>
          </cell>
          <cell r="AR1869" t="str">
            <v>CM</v>
          </cell>
          <cell r="AS1869">
            <v>16</v>
          </cell>
          <cell r="AT1869" t="str">
            <v>CM</v>
          </cell>
          <cell r="AU1869">
            <v>0</v>
          </cell>
          <cell r="AW1869">
            <v>0</v>
          </cell>
        </row>
        <row r="1870">
          <cell r="B1870" t="str">
            <v>H1W6WRBJMG0-128</v>
          </cell>
          <cell r="C1870" t="str">
            <v>GABON MERMER ESKİTME APLİK 128cm</v>
          </cell>
          <cell r="D1870" t="str">
            <v>GABON MARBLE BRUSHED BRASS WALL LAMP 128cm</v>
          </cell>
          <cell r="E1870" t="str">
            <v xml:space="preserve">MERMER METAL BEYAZ ESKİTME   </v>
          </cell>
          <cell r="F1870" t="str">
            <v/>
          </cell>
          <cell r="G1870" t="str">
            <v>APLİK</v>
          </cell>
          <cell r="H1870" t="str">
            <v/>
          </cell>
          <cell r="I1870" t="str">
            <v>İÇ</v>
          </cell>
          <cell r="J1870" t="str">
            <v>APLİK</v>
          </cell>
          <cell r="K1870" t="str">
            <v>GABON</v>
          </cell>
          <cell r="L1870" t="str">
            <v/>
          </cell>
          <cell r="M1870" t="str">
            <v>28.02.2026</v>
          </cell>
          <cell r="N1870" t="str">
            <v>HKA-24459</v>
          </cell>
          <cell r="O1870" t="str">
            <v>HEKA</v>
          </cell>
          <cell r="P1870" t="str">
            <v>ADET</v>
          </cell>
          <cell r="Q1870" t="str">
            <v>LED</v>
          </cell>
          <cell r="R1870" t="str">
            <v>MERMER</v>
          </cell>
          <cell r="S1870" t="str">
            <v>BEYAZ</v>
          </cell>
          <cell r="T1870" t="str">
            <v>METAL</v>
          </cell>
          <cell r="U1870" t="str">
            <v>ESKİTME</v>
          </cell>
          <cell r="X1870" t="str">
            <v>110V-220V</v>
          </cell>
          <cell r="Y1870" t="str">
            <v>24 WATT</v>
          </cell>
          <cell r="Z1870" t="str">
            <v>3000 K</v>
          </cell>
          <cell r="AA1870" t="str">
            <v>DIMMSIZ</v>
          </cell>
          <cell r="AB1870" t="str">
            <v>1901-2000</v>
          </cell>
          <cell r="AF1870">
            <v>1</v>
          </cell>
          <cell r="AG1870" t="str">
            <v>ADET</v>
          </cell>
          <cell r="AH1870">
            <v>1040</v>
          </cell>
          <cell r="AI1870" t="str">
            <v>CNY</v>
          </cell>
          <cell r="AJ1870">
            <v>79000</v>
          </cell>
          <cell r="AK1870" t="str">
            <v>TL</v>
          </cell>
          <cell r="AL1870">
            <v>1</v>
          </cell>
          <cell r="AM1870" t="str">
            <v>8684127516006</v>
          </cell>
          <cell r="AO1870">
            <v>9.84</v>
          </cell>
          <cell r="AP1870" t="str">
            <v>KG</v>
          </cell>
          <cell r="AQ1870">
            <v>8.5</v>
          </cell>
          <cell r="AR1870" t="str">
            <v>CM</v>
          </cell>
          <cell r="AS1870">
            <v>11</v>
          </cell>
          <cell r="AT1870" t="str">
            <v>CM</v>
          </cell>
          <cell r="AU1870">
            <v>0</v>
          </cell>
          <cell r="AW1870">
            <v>0</v>
          </cell>
        </row>
        <row r="1871">
          <cell r="B1871" t="str">
            <v>S1W3JME0000-027</v>
          </cell>
          <cell r="C1871" t="str">
            <v>CZZ-13 G9 DUYLU ESKİTME APLİK</v>
          </cell>
          <cell r="D1871" t="str">
            <v>CZZ-13 G9 LAMPHOLDER BRUSHED BRASS WALL LAMP</v>
          </cell>
          <cell r="E1871" t="str">
            <v xml:space="preserve">METAL YOK ESKİTME YOK   </v>
          </cell>
          <cell r="F1871" t="str">
            <v/>
          </cell>
          <cell r="G1871" t="str">
            <v>APLİK</v>
          </cell>
          <cell r="H1871" t="str">
            <v/>
          </cell>
          <cell r="I1871" t="str">
            <v>İÇ</v>
          </cell>
          <cell r="J1871" t="str">
            <v>APLİK</v>
          </cell>
          <cell r="K1871" t="str">
            <v>CZZ-13</v>
          </cell>
          <cell r="L1871" t="str">
            <v/>
          </cell>
          <cell r="M1871" t="str">
            <v/>
          </cell>
          <cell r="N1871" t="str">
            <v>HKA-25013</v>
          </cell>
          <cell r="O1871" t="str">
            <v>HEKA</v>
          </cell>
          <cell r="P1871" t="str">
            <v>ADET</v>
          </cell>
          <cell r="Q1871" t="str">
            <v>G9</v>
          </cell>
          <cell r="R1871" t="str">
            <v>METAL</v>
          </cell>
          <cell r="S1871" t="str">
            <v>ESKİTME</v>
          </cell>
          <cell r="X1871" t="str">
            <v>110V-220V</v>
          </cell>
          <cell r="AG1871" t="str">
            <v>ADET</v>
          </cell>
          <cell r="AL1871">
            <v>1</v>
          </cell>
          <cell r="AO1871">
            <v>0.35</v>
          </cell>
          <cell r="AP1871" t="str">
            <v>KG</v>
          </cell>
          <cell r="AQ1871">
            <v>8</v>
          </cell>
          <cell r="AR1871" t="str">
            <v>CM</v>
          </cell>
          <cell r="AS1871">
            <v>22</v>
          </cell>
          <cell r="AT1871" t="str">
            <v>CM</v>
          </cell>
          <cell r="AU1871">
            <v>0</v>
          </cell>
          <cell r="AW1871">
            <v>0</v>
          </cell>
        </row>
        <row r="1872">
          <cell r="B1872" t="str">
            <v>H1S5CMK000L-090</v>
          </cell>
          <cell r="C1872" t="str">
            <v>BELLA KROM DÜZ SPOT 60X90 mm</v>
          </cell>
          <cell r="D1872" t="str">
            <v>BELLA CHROME PLAIN SPOTLIGHT 60X90 mm</v>
          </cell>
          <cell r="E1872" t="str">
            <v xml:space="preserve">ALUMİNYUM YOK KROM YOK   </v>
          </cell>
          <cell r="F1872" t="str">
            <v>9405.19.90.00.00</v>
          </cell>
          <cell r="G1872" t="str">
            <v>TEKNİK</v>
          </cell>
          <cell r="H1872" t="str">
            <v>T1S5A300X0-09</v>
          </cell>
          <cell r="I1872" t="str">
            <v>İÇ</v>
          </cell>
          <cell r="J1872" t="str">
            <v>TEKNİK</v>
          </cell>
          <cell r="K1872" t="str">
            <v>BELLA</v>
          </cell>
          <cell r="L1872" t="str">
            <v/>
          </cell>
          <cell r="M1872" t="str">
            <v/>
          </cell>
          <cell r="N1872" t="str">
            <v>BELLA-10</v>
          </cell>
          <cell r="O1872" t="str">
            <v>HEKA</v>
          </cell>
          <cell r="P1872" t="str">
            <v>ADET</v>
          </cell>
          <cell r="Q1872" t="str">
            <v>GU10</v>
          </cell>
          <cell r="R1872" t="str">
            <v>ALUMİNYUM</v>
          </cell>
          <cell r="S1872" t="str">
            <v>KROM</v>
          </cell>
          <cell r="T1872" t="str">
            <v>YOK</v>
          </cell>
          <cell r="U1872" t="str">
            <v>YOK</v>
          </cell>
          <cell r="AD1872" t="str">
            <v>DÜZ</v>
          </cell>
          <cell r="AE1872" t="str">
            <v>01</v>
          </cell>
          <cell r="AF1872">
            <v>156</v>
          </cell>
          <cell r="AG1872" t="str">
            <v>ADET</v>
          </cell>
          <cell r="AH1872">
            <v>19.5</v>
          </cell>
          <cell r="AI1872" t="str">
            <v>CNY</v>
          </cell>
          <cell r="AJ1872">
            <v>1249</v>
          </cell>
          <cell r="AK1872" t="str">
            <v>TL</v>
          </cell>
          <cell r="AL1872">
            <v>1</v>
          </cell>
          <cell r="AM1872" t="str">
            <v>8684127516167</v>
          </cell>
          <cell r="AO1872">
            <v>0</v>
          </cell>
          <cell r="AQ1872">
            <v>90</v>
          </cell>
          <cell r="AR1872" t="str">
            <v>CM</v>
          </cell>
          <cell r="AS1872">
            <v>60</v>
          </cell>
          <cell r="AT1872" t="str">
            <v>CM</v>
          </cell>
          <cell r="AU1872">
            <v>0</v>
          </cell>
          <cell r="AW1872">
            <v>0</v>
          </cell>
        </row>
        <row r="1873">
          <cell r="B1873" t="str">
            <v>H1F6JMEERFC-155</v>
          </cell>
          <cell r="C1873" t="str">
            <v>NABLUS FÜME CAM ÇUBUKLU ESKİTME LAMBADER</v>
          </cell>
          <cell r="D1873" t="str">
            <v>NABLUS SMOKY GLASS RODS BRUSHED BRASS FLOOR LAMP</v>
          </cell>
          <cell r="E1873" t="str">
            <v>METAL CAM  ESKİTME FÜME</v>
          </cell>
          <cell r="F1873" t="str">
            <v/>
          </cell>
          <cell r="G1873" t="str">
            <v>LAMBADER</v>
          </cell>
          <cell r="H1873" t="str">
            <v/>
          </cell>
          <cell r="I1873" t="str">
            <v>İÇ</v>
          </cell>
          <cell r="J1873" t="str">
            <v>LAMBADER</v>
          </cell>
          <cell r="K1873" t="str">
            <v>NABLUS</v>
          </cell>
          <cell r="L1873" t="str">
            <v/>
          </cell>
          <cell r="M1873" t="str">
            <v/>
          </cell>
          <cell r="N1873" t="str">
            <v>HKA-24497</v>
          </cell>
          <cell r="O1873" t="str">
            <v>HEKA</v>
          </cell>
          <cell r="P1873" t="str">
            <v>ADET</v>
          </cell>
          <cell r="Q1873" t="str">
            <v>LED</v>
          </cell>
          <cell r="R1873" t="str">
            <v>METAL</v>
          </cell>
          <cell r="S1873" t="str">
            <v>ESKİTME</v>
          </cell>
          <cell r="T1873" t="str">
            <v>CAM</v>
          </cell>
          <cell r="U1873" t="str">
            <v>FÜME</v>
          </cell>
          <cell r="AF1873">
            <v>4</v>
          </cell>
          <cell r="AG1873" t="str">
            <v>ADET</v>
          </cell>
          <cell r="AH1873">
            <v>1449</v>
          </cell>
          <cell r="AI1873" t="str">
            <v>CNY</v>
          </cell>
          <cell r="AJ1873">
            <v>109750</v>
          </cell>
          <cell r="AK1873" t="str">
            <v>TL</v>
          </cell>
          <cell r="AL1873">
            <v>1</v>
          </cell>
          <cell r="AM1873" t="str">
            <v>8684127516631</v>
          </cell>
          <cell r="AO1873">
            <v>0</v>
          </cell>
          <cell r="AQ1873">
            <v>0</v>
          </cell>
          <cell r="AS1873">
            <v>0</v>
          </cell>
          <cell r="AU1873">
            <v>0</v>
          </cell>
          <cell r="AW1873">
            <v>0</v>
          </cell>
        </row>
        <row r="1874">
          <cell r="B1874" t="str">
            <v>H1W6JMEWRBD-046</v>
          </cell>
          <cell r="C1874" t="str">
            <v>ALBERTA MERMER ESKİTME APLİK</v>
          </cell>
          <cell r="D1874" t="str">
            <v>ALBERTA MARBLE BRUSHED BRASS WALL LAMP</v>
          </cell>
          <cell r="E1874" t="str">
            <v xml:space="preserve">METAL MERMER ESKİTME BEYAZ   </v>
          </cell>
          <cell r="F1874" t="str">
            <v/>
          </cell>
          <cell r="G1874" t="str">
            <v>APLİK</v>
          </cell>
          <cell r="H1874" t="str">
            <v/>
          </cell>
          <cell r="I1874" t="str">
            <v>İÇ</v>
          </cell>
          <cell r="J1874" t="str">
            <v>APLİK</v>
          </cell>
          <cell r="K1874" t="str">
            <v>ALBERTA</v>
          </cell>
          <cell r="L1874" t="str">
            <v/>
          </cell>
          <cell r="M1874" t="str">
            <v>15.02.2026</v>
          </cell>
          <cell r="N1874" t="str">
            <v>HKA-24554</v>
          </cell>
          <cell r="O1874" t="str">
            <v>HEKA</v>
          </cell>
          <cell r="P1874" t="str">
            <v>ADET</v>
          </cell>
          <cell r="Q1874" t="str">
            <v>LED</v>
          </cell>
          <cell r="R1874" t="str">
            <v>METAL</v>
          </cell>
          <cell r="S1874" t="str">
            <v>ESKİTME</v>
          </cell>
          <cell r="T1874" t="str">
            <v>MERMER</v>
          </cell>
          <cell r="U1874" t="str">
            <v>BEYAZ</v>
          </cell>
          <cell r="AF1874">
            <v>2</v>
          </cell>
          <cell r="AG1874" t="str">
            <v>ADET</v>
          </cell>
          <cell r="AH1874">
            <v>185</v>
          </cell>
          <cell r="AI1874" t="str">
            <v>CNY</v>
          </cell>
          <cell r="AJ1874">
            <v>19500</v>
          </cell>
          <cell r="AK1874" t="str">
            <v>TL</v>
          </cell>
          <cell r="AL1874">
            <v>1</v>
          </cell>
          <cell r="AM1874" t="str">
            <v>8684127516280</v>
          </cell>
          <cell r="AO1874">
            <v>0</v>
          </cell>
          <cell r="AQ1874">
            <v>0</v>
          </cell>
          <cell r="AS1874">
            <v>0</v>
          </cell>
          <cell r="AU1874">
            <v>0</v>
          </cell>
          <cell r="AW1874">
            <v>0</v>
          </cell>
        </row>
        <row r="1875">
          <cell r="B1875" t="str">
            <v>H1P6ERLERB0-027</v>
          </cell>
          <cell r="C1875" t="str">
            <v>SALVADOR BAL &amp; BEYAZ CAM ESKİTME PLAFONYER 27cm</v>
          </cell>
          <cell r="D1875" t="str">
            <v>SALVADOR AMBER &amp; WHITE GLASS BRUSHED BRASS PLAFONIER 27cm</v>
          </cell>
          <cell r="E1875" t="str">
            <v xml:space="preserve">CAM  CAM  BAL BEYAZ   </v>
          </cell>
          <cell r="F1875" t="str">
            <v/>
          </cell>
          <cell r="G1875" t="str">
            <v>AVİZE</v>
          </cell>
          <cell r="H1875" t="str">
            <v/>
          </cell>
          <cell r="I1875" t="str">
            <v>İÇ</v>
          </cell>
          <cell r="J1875" t="str">
            <v>AVİZE.PLF</v>
          </cell>
          <cell r="K1875" t="str">
            <v>SALVADOR</v>
          </cell>
          <cell r="L1875" t="str">
            <v>Y</v>
          </cell>
          <cell r="M1875" t="str">
            <v/>
          </cell>
          <cell r="N1875" t="str">
            <v>HKA-25038</v>
          </cell>
          <cell r="O1875" t="str">
            <v>HEKA</v>
          </cell>
          <cell r="P1875" t="str">
            <v>ADET</v>
          </cell>
          <cell r="Q1875" t="str">
            <v>LED</v>
          </cell>
          <cell r="R1875" t="str">
            <v>CAM</v>
          </cell>
          <cell r="S1875" t="str">
            <v>BAL</v>
          </cell>
          <cell r="T1875" t="str">
            <v>CAM</v>
          </cell>
          <cell r="U1875" t="str">
            <v>BEYAZ</v>
          </cell>
          <cell r="X1875" t="str">
            <v>110V-220V</v>
          </cell>
          <cell r="Y1875" t="str">
            <v>10 WATT</v>
          </cell>
          <cell r="Z1875" t="str">
            <v>3000 K</v>
          </cell>
          <cell r="AA1875" t="str">
            <v>DIMMSIZ</v>
          </cell>
          <cell r="AB1875" t="str">
            <v>1901-2000</v>
          </cell>
          <cell r="AF1875">
            <v>0</v>
          </cell>
          <cell r="AG1875" t="str">
            <v>ADET</v>
          </cell>
          <cell r="AH1875">
            <v>340</v>
          </cell>
          <cell r="AI1875" t="str">
            <v>CNY</v>
          </cell>
          <cell r="AJ1875">
            <v>23950</v>
          </cell>
          <cell r="AK1875" t="str">
            <v>TL</v>
          </cell>
          <cell r="AL1875">
            <v>1</v>
          </cell>
          <cell r="AM1875" t="str">
            <v>8684127516402</v>
          </cell>
          <cell r="AO1875">
            <v>2.88</v>
          </cell>
          <cell r="AP1875" t="str">
            <v>KG</v>
          </cell>
          <cell r="AQ1875">
            <v>27</v>
          </cell>
          <cell r="AR1875" t="str">
            <v>CM</v>
          </cell>
          <cell r="AS1875">
            <v>34</v>
          </cell>
          <cell r="AT1875" t="str">
            <v>CM</v>
          </cell>
          <cell r="AU1875">
            <v>0</v>
          </cell>
          <cell r="AW1875">
            <v>0</v>
          </cell>
        </row>
        <row r="1876">
          <cell r="B1876" t="str">
            <v>H1C6JMEWRFP-140</v>
          </cell>
          <cell r="C1876" t="str">
            <v>AZOR BEŞLİ MERMER ESKİTME SARKIT</v>
          </cell>
          <cell r="D1876" t="str">
            <v>AZOR BRUSHED BRASS FİVE MARBLE PENDANT</v>
          </cell>
          <cell r="E1876" t="str">
            <v>METAL MERMER ESKİTME BEYAZ</v>
          </cell>
          <cell r="F1876" t="str">
            <v/>
          </cell>
          <cell r="G1876" t="str">
            <v>AVİZE</v>
          </cell>
          <cell r="H1876" t="str">
            <v/>
          </cell>
          <cell r="I1876" t="str">
            <v>İÇ</v>
          </cell>
          <cell r="J1876" t="str">
            <v>AVİZE</v>
          </cell>
          <cell r="K1876" t="str">
            <v>AZOR</v>
          </cell>
          <cell r="L1876" t="str">
            <v/>
          </cell>
          <cell r="M1876" t="str">
            <v/>
          </cell>
          <cell r="N1876" t="str">
            <v>HKA-25042</v>
          </cell>
          <cell r="O1876" t="str">
            <v>HEKA</v>
          </cell>
          <cell r="P1876" t="str">
            <v>ADET</v>
          </cell>
          <cell r="Q1876" t="str">
            <v>LED</v>
          </cell>
          <cell r="R1876" t="str">
            <v>METAL</v>
          </cell>
          <cell r="S1876" t="str">
            <v>ESKİTME</v>
          </cell>
          <cell r="T1876" t="str">
            <v>MERMER</v>
          </cell>
          <cell r="U1876" t="str">
            <v>BEYAZ</v>
          </cell>
          <cell r="X1876" t="str">
            <v>220V</v>
          </cell>
          <cell r="Y1876" t="str">
            <v>24 WATT</v>
          </cell>
          <cell r="Z1876" t="str">
            <v>2750 K</v>
          </cell>
          <cell r="AA1876" t="str">
            <v>DIMMSIZ</v>
          </cell>
          <cell r="AB1876" t="str">
            <v>1001-1100</v>
          </cell>
          <cell r="AD1876" t="str">
            <v>POLİGONAL</v>
          </cell>
          <cell r="AF1876">
            <v>1</v>
          </cell>
          <cell r="AG1876" t="str">
            <v>ADET</v>
          </cell>
          <cell r="AJ1876">
            <v>36900</v>
          </cell>
          <cell r="AK1876" t="str">
            <v>TL</v>
          </cell>
          <cell r="AL1876">
            <v>0</v>
          </cell>
          <cell r="AM1876" t="str">
            <v>8684127516563</v>
          </cell>
          <cell r="AO1876">
            <v>1.7</v>
          </cell>
          <cell r="AP1876" t="str">
            <v>KG</v>
          </cell>
          <cell r="AQ1876">
            <v>15</v>
          </cell>
          <cell r="AR1876" t="str">
            <v>CM</v>
          </cell>
          <cell r="AS1876">
            <v>15</v>
          </cell>
          <cell r="AT1876" t="str">
            <v>CM</v>
          </cell>
          <cell r="AU1876">
            <v>0</v>
          </cell>
          <cell r="AW1876">
            <v>0</v>
          </cell>
        </row>
        <row r="1877">
          <cell r="B1877" t="str">
            <v>1YLDSRS0002-060</v>
          </cell>
          <cell r="C1877" t="str">
            <v>XIANGRUI 12V 60W LED DRIVER</v>
          </cell>
          <cell r="D1877" t="str">
            <v>XIANGRUI 12V 60W LED DRIVER</v>
          </cell>
          <cell r="E1877" t="str">
            <v>PLASTİK YOK SİYAH YOK</v>
          </cell>
          <cell r="F1877" t="str">
            <v/>
          </cell>
          <cell r="G1877" t="str">
            <v>ZPARCA</v>
          </cell>
          <cell r="H1877" t="str">
            <v/>
          </cell>
          <cell r="I1877" t="str">
            <v>İÇ</v>
          </cell>
          <cell r="J1877" t="str">
            <v>ZPARCA</v>
          </cell>
          <cell r="K1877" t="str">
            <v>XR60L</v>
          </cell>
          <cell r="L1877" t="str">
            <v/>
          </cell>
          <cell r="M1877" t="str">
            <v/>
          </cell>
          <cell r="N1877" t="str">
            <v>HKA-250001</v>
          </cell>
          <cell r="O1877" t="str">
            <v>HEKA</v>
          </cell>
          <cell r="P1877" t="str">
            <v>ADET</v>
          </cell>
          <cell r="R1877" t="str">
            <v>PLASTİK</v>
          </cell>
          <cell r="S1877" t="str">
            <v>SİYAH</v>
          </cell>
          <cell r="T1877" t="str">
            <v>YOK</v>
          </cell>
          <cell r="U1877" t="str">
            <v>YOK</v>
          </cell>
          <cell r="AF1877">
            <v>0</v>
          </cell>
          <cell r="AG1877" t="str">
            <v>ADET</v>
          </cell>
          <cell r="AH1877">
            <v>4.8</v>
          </cell>
          <cell r="AI1877" t="str">
            <v>CNY</v>
          </cell>
          <cell r="AL1877">
            <v>0</v>
          </cell>
          <cell r="AO1877">
            <v>0</v>
          </cell>
          <cell r="AQ1877">
            <v>0</v>
          </cell>
          <cell r="AS1877">
            <v>0</v>
          </cell>
          <cell r="AU1877">
            <v>0</v>
          </cell>
          <cell r="AW1877">
            <v>0</v>
          </cell>
        </row>
        <row r="1878">
          <cell r="B1878" t="str">
            <v>ADYHURY0002-027</v>
          </cell>
          <cell r="C1878" t="str">
            <v>YEŞİL BORDO KÜP 27x47CM</v>
          </cell>
          <cell r="D1878" t="str">
            <v>GREEN CLARET CUBE 27x47CM</v>
          </cell>
          <cell r="E1878" t="str">
            <v>SERAMİK YOK YEŞİL YOK</v>
          </cell>
          <cell r="F1878" t="str">
            <v/>
          </cell>
          <cell r="G1878" t="str">
            <v>AKSESUAR</v>
          </cell>
          <cell r="H1878" t="str">
            <v/>
          </cell>
          <cell r="I1878" t="str">
            <v>İÇ</v>
          </cell>
          <cell r="J1878" t="str">
            <v>AKSESUAR</v>
          </cell>
          <cell r="K1878" t="str">
            <v>HEKA</v>
          </cell>
          <cell r="L1878" t="str">
            <v/>
          </cell>
          <cell r="M1878" t="str">
            <v/>
          </cell>
          <cell r="N1878" t="str">
            <v>HKA-250025</v>
          </cell>
          <cell r="O1878" t="str">
            <v>HEKA</v>
          </cell>
          <cell r="P1878" t="str">
            <v>ADET</v>
          </cell>
          <cell r="R1878" t="str">
            <v>SERAMİK</v>
          </cell>
          <cell r="S1878" t="str">
            <v>YEŞİL</v>
          </cell>
          <cell r="T1878" t="str">
            <v>YOK</v>
          </cell>
          <cell r="U1878" t="str">
            <v>YOK</v>
          </cell>
          <cell r="AD1878" t="str">
            <v>BİBLO</v>
          </cell>
          <cell r="AF1878">
            <v>1</v>
          </cell>
          <cell r="AG1878" t="str">
            <v>ADET</v>
          </cell>
          <cell r="AH1878">
            <v>2694</v>
          </cell>
          <cell r="AI1878" t="str">
            <v>TL</v>
          </cell>
          <cell r="AJ1878">
            <v>6465.6</v>
          </cell>
          <cell r="AK1878" t="str">
            <v>TL</v>
          </cell>
          <cell r="AL1878">
            <v>1</v>
          </cell>
          <cell r="AO1878">
            <v>0</v>
          </cell>
          <cell r="AQ1878">
            <v>27</v>
          </cell>
          <cell r="AR1878" t="str">
            <v>CM</v>
          </cell>
          <cell r="AS1878">
            <v>27</v>
          </cell>
          <cell r="AT1878" t="str">
            <v>CM</v>
          </cell>
          <cell r="AU1878">
            <v>0</v>
          </cell>
          <cell r="AW1878">
            <v>0</v>
          </cell>
        </row>
        <row r="1879">
          <cell r="B1879" t="str">
            <v>H1T6VRSERF0-070</v>
          </cell>
          <cell r="C1879" t="str">
            <v>KİNŞASA SİYAH DERİ ÜÇ FÜME CAMLI MASA LAMBASI</v>
          </cell>
          <cell r="D1879" t="str">
            <v>KİNŞASA BLACK LEATHER THREE SMOKED GLASS TABLE LAMP</v>
          </cell>
          <cell r="E1879" t="str">
            <v>DERİ CAM SİYAH FÜME</v>
          </cell>
          <cell r="F1879" t="str">
            <v/>
          </cell>
          <cell r="G1879" t="str">
            <v>MASAABAJ</v>
          </cell>
          <cell r="H1879" t="str">
            <v/>
          </cell>
          <cell r="I1879" t="str">
            <v>İÇ</v>
          </cell>
          <cell r="J1879" t="str">
            <v>MASAABAJ</v>
          </cell>
          <cell r="K1879" t="str">
            <v>KİNŞASA</v>
          </cell>
          <cell r="L1879" t="str">
            <v/>
          </cell>
          <cell r="M1879" t="str">
            <v/>
          </cell>
          <cell r="N1879" t="str">
            <v>HKA-25047</v>
          </cell>
          <cell r="O1879" t="str">
            <v>HEKA</v>
          </cell>
          <cell r="P1879" t="str">
            <v>ADET</v>
          </cell>
          <cell r="Q1879" t="str">
            <v>LED</v>
          </cell>
          <cell r="R1879" t="str">
            <v>DERİ</v>
          </cell>
          <cell r="S1879" t="str">
            <v>SİYAH</v>
          </cell>
          <cell r="T1879" t="str">
            <v>CAM</v>
          </cell>
          <cell r="U1879" t="str">
            <v>FÜME</v>
          </cell>
          <cell r="Y1879" t="str">
            <v>11 WATT</v>
          </cell>
          <cell r="Z1879" t="str">
            <v xml:space="preserve">2700 K </v>
          </cell>
          <cell r="AB1879" t="str">
            <v>1101-1200</v>
          </cell>
          <cell r="AF1879">
            <v>0</v>
          </cell>
          <cell r="AG1879" t="str">
            <v>ADET</v>
          </cell>
          <cell r="AH1879">
            <v>250</v>
          </cell>
          <cell r="AI1879" t="str">
            <v>CNY</v>
          </cell>
          <cell r="AJ1879">
            <v>18070</v>
          </cell>
          <cell r="AK1879" t="str">
            <v>TL</v>
          </cell>
          <cell r="AL1879">
            <v>1</v>
          </cell>
          <cell r="AM1879" t="str">
            <v>8684127516709</v>
          </cell>
          <cell r="AO1879">
            <v>2.23</v>
          </cell>
          <cell r="AQ1879">
            <v>70</v>
          </cell>
          <cell r="AS1879">
            <v>19</v>
          </cell>
          <cell r="AU1879">
            <v>0</v>
          </cell>
          <cell r="AW1879">
            <v>0</v>
          </cell>
        </row>
        <row r="1880">
          <cell r="B1880" t="str">
            <v>H1C1KMEECSV-130</v>
          </cell>
          <cell r="C1880" t="str">
            <v>LUCETTA ŞEFFAF KRİSTAL ESKİTME Y.MASASI AVİZE</v>
          </cell>
          <cell r="D1880" t="str">
            <v>LUCETTA CLEAR CRYSTAL BRUSHED BRASS DINNING ROOM CHANDELIER</v>
          </cell>
          <cell r="E1880" t="str">
            <v>PASLANMAZ CAM ESKİTME ŞEFFAF</v>
          </cell>
          <cell r="F1880" t="str">
            <v/>
          </cell>
          <cell r="G1880" t="str">
            <v>AVİZE</v>
          </cell>
          <cell r="H1880" t="str">
            <v/>
          </cell>
          <cell r="I1880" t="str">
            <v>İÇ</v>
          </cell>
          <cell r="J1880" t="str">
            <v>AVİZE</v>
          </cell>
          <cell r="K1880" t="str">
            <v>LUCETTA</v>
          </cell>
          <cell r="L1880" t="str">
            <v/>
          </cell>
          <cell r="M1880" t="str">
            <v/>
          </cell>
          <cell r="N1880" t="str">
            <v>HKA-25064</v>
          </cell>
          <cell r="O1880" t="str">
            <v>HEKA</v>
          </cell>
          <cell r="P1880" t="str">
            <v>ADET</v>
          </cell>
          <cell r="Q1880" t="str">
            <v>E14</v>
          </cell>
          <cell r="R1880" t="str">
            <v>PASLANMAZ</v>
          </cell>
          <cell r="S1880" t="str">
            <v>ESKİTME</v>
          </cell>
          <cell r="T1880" t="str">
            <v>CAM</v>
          </cell>
          <cell r="U1880" t="str">
            <v>ŞEFFAF</v>
          </cell>
          <cell r="AD1880" t="str">
            <v>YAMUK</v>
          </cell>
          <cell r="AE1880" t="str">
            <v>06</v>
          </cell>
          <cell r="AF1880">
            <v>15</v>
          </cell>
          <cell r="AG1880" t="str">
            <v>ADET</v>
          </cell>
          <cell r="AH1880">
            <v>1918.4</v>
          </cell>
          <cell r="AI1880" t="str">
            <v>CNY</v>
          </cell>
          <cell r="AL1880">
            <v>1</v>
          </cell>
          <cell r="AM1880" t="str">
            <v>8684127516914</v>
          </cell>
          <cell r="AO1880">
            <v>0</v>
          </cell>
          <cell r="AQ1880">
            <v>28.5</v>
          </cell>
          <cell r="AS1880">
            <v>130</v>
          </cell>
          <cell r="AU1880">
            <v>0</v>
          </cell>
          <cell r="AW1880">
            <v>0</v>
          </cell>
        </row>
        <row r="1881">
          <cell r="B1881" t="str">
            <v>H1F1KMKECSV-160</v>
          </cell>
          <cell r="C1881" t="str">
            <v>LUCETTA ŞEFFAF KRİSTAL KROM LAMBADER</v>
          </cell>
          <cell r="D1881" t="str">
            <v>LUCETTA CLEAR CRYSTAL CHROME FLOOR LAMP</v>
          </cell>
          <cell r="E1881" t="str">
            <v>PASLANMAZ CAM KROM ŞEFFAF</v>
          </cell>
          <cell r="F1881" t="str">
            <v/>
          </cell>
          <cell r="G1881" t="str">
            <v>LAMBADER</v>
          </cell>
          <cell r="H1881" t="str">
            <v/>
          </cell>
          <cell r="I1881" t="str">
            <v>İÇ</v>
          </cell>
          <cell r="J1881" t="str">
            <v>LAMBADER</v>
          </cell>
          <cell r="K1881" t="str">
            <v>LUCETTA</v>
          </cell>
          <cell r="L1881" t="str">
            <v/>
          </cell>
          <cell r="M1881" t="str">
            <v/>
          </cell>
          <cell r="N1881" t="str">
            <v>HKA-25066</v>
          </cell>
          <cell r="O1881" t="str">
            <v>HEKA</v>
          </cell>
          <cell r="P1881" t="str">
            <v>ADET</v>
          </cell>
          <cell r="Q1881" t="str">
            <v>E14</v>
          </cell>
          <cell r="R1881" t="str">
            <v>PASLANMAZ</v>
          </cell>
          <cell r="S1881" t="str">
            <v>KROM</v>
          </cell>
          <cell r="T1881" t="str">
            <v>CAM</v>
          </cell>
          <cell r="U1881" t="str">
            <v>ŞEFFAF</v>
          </cell>
          <cell r="AD1881" t="str">
            <v>YAMUK</v>
          </cell>
          <cell r="AE1881" t="str">
            <v>04</v>
          </cell>
          <cell r="AF1881">
            <v>4</v>
          </cell>
          <cell r="AG1881" t="str">
            <v>ADET</v>
          </cell>
          <cell r="AH1881">
            <v>1012</v>
          </cell>
          <cell r="AI1881" t="str">
            <v>CNY</v>
          </cell>
          <cell r="AL1881">
            <v>1</v>
          </cell>
          <cell r="AM1881" t="str">
            <v>8684127516938</v>
          </cell>
          <cell r="AO1881">
            <v>0</v>
          </cell>
          <cell r="AQ1881">
            <v>42</v>
          </cell>
          <cell r="AS1881">
            <v>42</v>
          </cell>
          <cell r="AU1881">
            <v>0</v>
          </cell>
          <cell r="AW1881">
            <v>0</v>
          </cell>
        </row>
        <row r="1882">
          <cell r="B1882" t="str">
            <v>H1W3JMEECBD-040</v>
          </cell>
          <cell r="C1882" t="str">
            <v>LUMİ CAMLI ESKİTME APLİK 40CM</v>
          </cell>
          <cell r="D1882" t="str">
            <v>LUMİ GLASS BRUSHED BRASS WALL LAMP 40CM</v>
          </cell>
          <cell r="E1882" t="str">
            <v>METAL CAM ESKİTME BUZLU</v>
          </cell>
          <cell r="F1882" t="str">
            <v/>
          </cell>
          <cell r="G1882" t="str">
            <v>APLİK</v>
          </cell>
          <cell r="H1882" t="str">
            <v/>
          </cell>
          <cell r="I1882" t="str">
            <v>İÇ</v>
          </cell>
          <cell r="J1882" t="str">
            <v>APLİK</v>
          </cell>
          <cell r="K1882" t="str">
            <v>LUMİ</v>
          </cell>
          <cell r="L1882" t="str">
            <v/>
          </cell>
          <cell r="M1882" t="str">
            <v/>
          </cell>
          <cell r="N1882" t="str">
            <v>HKA-25073</v>
          </cell>
          <cell r="O1882" t="str">
            <v>HEKA</v>
          </cell>
          <cell r="P1882" t="str">
            <v>ADET</v>
          </cell>
          <cell r="Q1882" t="str">
            <v>G9</v>
          </cell>
          <cell r="R1882" t="str">
            <v>METAL</v>
          </cell>
          <cell r="S1882" t="str">
            <v>ESKİTME</v>
          </cell>
          <cell r="T1882" t="str">
            <v>CAM</v>
          </cell>
          <cell r="U1882" t="str">
            <v>BUZLU</v>
          </cell>
          <cell r="AD1882" t="str">
            <v>DİKDÖRTGEN</v>
          </cell>
          <cell r="AE1882" t="str">
            <v>05</v>
          </cell>
          <cell r="AF1882">
            <v>30</v>
          </cell>
          <cell r="AG1882" t="str">
            <v>ADET</v>
          </cell>
          <cell r="AH1882">
            <v>212</v>
          </cell>
          <cell r="AI1882" t="str">
            <v>CNY</v>
          </cell>
          <cell r="AL1882">
            <v>1</v>
          </cell>
          <cell r="AM1882" t="str">
            <v>8684127517003</v>
          </cell>
          <cell r="AO1882">
            <v>0</v>
          </cell>
          <cell r="AQ1882">
            <v>10</v>
          </cell>
          <cell r="AS1882">
            <v>10</v>
          </cell>
          <cell r="AU1882">
            <v>0</v>
          </cell>
          <cell r="AW1882">
            <v>0</v>
          </cell>
        </row>
        <row r="1883">
          <cell r="B1883" t="str">
            <v>AAHHKMKECS0-085</v>
          </cell>
          <cell r="C1883" t="str">
            <v>LUCETTA ŞEFFAF KRİSTAL KROM MASA</v>
          </cell>
          <cell r="D1883" t="str">
            <v>LUCETTA CLEAR CRYSTAL CHROME TABLE</v>
          </cell>
          <cell r="E1883" t="str">
            <v>PASLANMAZ CAM  KROM ŞEFFAF</v>
          </cell>
          <cell r="F1883" t="str">
            <v/>
          </cell>
          <cell r="G1883" t="str">
            <v>AKSESUAR</v>
          </cell>
          <cell r="H1883" t="str">
            <v/>
          </cell>
          <cell r="I1883" t="str">
            <v>İÇ</v>
          </cell>
          <cell r="J1883" t="str">
            <v>AKSESUAR</v>
          </cell>
          <cell r="K1883" t="str">
            <v>LUCETTA</v>
          </cell>
          <cell r="L1883" t="str">
            <v/>
          </cell>
          <cell r="M1883" t="str">
            <v/>
          </cell>
          <cell r="N1883" t="str">
            <v>HKA-250030</v>
          </cell>
          <cell r="O1883" t="str">
            <v>HEKA</v>
          </cell>
          <cell r="P1883" t="str">
            <v>ADET</v>
          </cell>
          <cell r="R1883" t="str">
            <v>PASLANMAZ</v>
          </cell>
          <cell r="S1883" t="str">
            <v>KROM</v>
          </cell>
          <cell r="T1883" t="str">
            <v>CAM</v>
          </cell>
          <cell r="U1883" t="str">
            <v>ŞEFFAF</v>
          </cell>
          <cell r="AF1883">
            <v>1</v>
          </cell>
          <cell r="AG1883" t="str">
            <v>ADET</v>
          </cell>
          <cell r="AH1883">
            <v>2596</v>
          </cell>
          <cell r="AI1883" t="str">
            <v>CNY</v>
          </cell>
          <cell r="AL1883">
            <v>1</v>
          </cell>
          <cell r="AO1883">
            <v>0</v>
          </cell>
          <cell r="AQ1883">
            <v>85</v>
          </cell>
          <cell r="AS1883">
            <v>85</v>
          </cell>
          <cell r="AU1883">
            <v>0</v>
          </cell>
          <cell r="AW1883">
            <v>0</v>
          </cell>
        </row>
        <row r="1884">
          <cell r="B1884" t="str">
            <v>H1S6CRS000P-010</v>
          </cell>
          <cell r="C1884" t="str">
            <v>FEDORA MAT SİYAH DÜZ SPOT 10x10 CM</v>
          </cell>
          <cell r="D1884" t="str">
            <v>FEDORA MATTE BLACK PLAIN SPOTLIGHT 10x10 CM</v>
          </cell>
          <cell r="E1884" t="str">
            <v>ALUMİNYUM YOK SİYAH YOK</v>
          </cell>
          <cell r="F1884" t="str">
            <v/>
          </cell>
          <cell r="G1884" t="str">
            <v>OKUMA APLİKLERİ</v>
          </cell>
          <cell r="H1884" t="str">
            <v/>
          </cell>
          <cell r="I1884" t="str">
            <v>İÇ</v>
          </cell>
          <cell r="J1884" t="str">
            <v>OKUMA APLİ</v>
          </cell>
          <cell r="K1884" t="str">
            <v>FEDORA</v>
          </cell>
          <cell r="L1884" t="str">
            <v>Y</v>
          </cell>
          <cell r="M1884" t="str">
            <v/>
          </cell>
          <cell r="N1884" t="str">
            <v>HKA-25166</v>
          </cell>
          <cell r="O1884" t="str">
            <v>HEKA</v>
          </cell>
          <cell r="P1884" t="str">
            <v>ADET</v>
          </cell>
          <cell r="Q1884" t="str">
            <v>LED</v>
          </cell>
          <cell r="R1884" t="str">
            <v>ALUMİNYUM</v>
          </cell>
          <cell r="S1884" t="str">
            <v>SİYAH</v>
          </cell>
          <cell r="T1884" t="str">
            <v>YOK</v>
          </cell>
          <cell r="U1884" t="str">
            <v>YOK</v>
          </cell>
          <cell r="Z1884" t="str">
            <v>3000 K</v>
          </cell>
          <cell r="AA1884" t="str">
            <v>DIMMSIZ</v>
          </cell>
          <cell r="AD1884" t="str">
            <v>POLİGONAL</v>
          </cell>
          <cell r="AE1884" t="str">
            <v>01</v>
          </cell>
          <cell r="AF1884">
            <v>500</v>
          </cell>
          <cell r="AG1884" t="str">
            <v>ADET</v>
          </cell>
          <cell r="AH1884">
            <v>29.1</v>
          </cell>
          <cell r="AI1884" t="str">
            <v>CNY</v>
          </cell>
          <cell r="AJ1884">
            <v>61</v>
          </cell>
          <cell r="AK1884" t="str">
            <v>USD</v>
          </cell>
          <cell r="AL1884">
            <v>1</v>
          </cell>
          <cell r="AM1884" t="str">
            <v>8684127517249</v>
          </cell>
          <cell r="AO1884">
            <v>0</v>
          </cell>
          <cell r="AQ1884">
            <v>3.3</v>
          </cell>
          <cell r="AR1884" t="str">
            <v>CM</v>
          </cell>
          <cell r="AS1884">
            <v>9.5</v>
          </cell>
          <cell r="AT1884" t="str">
            <v>CM</v>
          </cell>
          <cell r="AU1884">
            <v>0</v>
          </cell>
          <cell r="AW1884">
            <v>0</v>
          </cell>
        </row>
        <row r="1885">
          <cell r="B1885" t="str">
            <v>H1C6KRVWRFR-065</v>
          </cell>
          <cell r="C1885" t="str">
            <v>ENZO PASLANMAZ MERMER SALON AVİZE 65CM</v>
          </cell>
          <cell r="D1885" t="str">
            <v>ENZO STEEL MARBLE LIVING ROOM CHANDELIER 65CM</v>
          </cell>
          <cell r="E1885" t="str">
            <v>PASLANMAZ MERMER KAHVERENGİ BEYAZ</v>
          </cell>
          <cell r="F1885" t="str">
            <v/>
          </cell>
          <cell r="G1885" t="str">
            <v>AVİZE</v>
          </cell>
          <cell r="H1885" t="str">
            <v/>
          </cell>
          <cell r="I1885" t="str">
            <v>İÇ</v>
          </cell>
          <cell r="J1885" t="str">
            <v>AVİZE</v>
          </cell>
          <cell r="K1885" t="str">
            <v>ENZO</v>
          </cell>
          <cell r="L1885" t="str">
            <v/>
          </cell>
          <cell r="M1885" t="str">
            <v/>
          </cell>
          <cell r="N1885" t="str">
            <v>HKA-25104</v>
          </cell>
          <cell r="O1885" t="str">
            <v>HEKA</v>
          </cell>
          <cell r="P1885" t="str">
            <v>ADET</v>
          </cell>
          <cell r="Q1885" t="str">
            <v>LED</v>
          </cell>
          <cell r="R1885" t="str">
            <v>PASLANMAZ</v>
          </cell>
          <cell r="S1885" t="str">
            <v>KAHVERENGİ</v>
          </cell>
          <cell r="T1885" t="str">
            <v>MERMER</v>
          </cell>
          <cell r="U1885" t="str">
            <v>BEYAZ</v>
          </cell>
          <cell r="AA1885" t="str">
            <v>DIMMSIZ</v>
          </cell>
          <cell r="AD1885" t="str">
            <v>DAİRE</v>
          </cell>
          <cell r="AE1885" t="str">
            <v>01</v>
          </cell>
          <cell r="AF1885">
            <v>10</v>
          </cell>
          <cell r="AG1885" t="str">
            <v>ADET</v>
          </cell>
          <cell r="AH1885">
            <v>1008.15</v>
          </cell>
          <cell r="AI1885" t="str">
            <v>CNY</v>
          </cell>
          <cell r="AL1885">
            <v>1</v>
          </cell>
          <cell r="AM1885" t="str">
            <v>8684127517300</v>
          </cell>
          <cell r="AO1885">
            <v>0</v>
          </cell>
          <cell r="AQ1885">
            <v>0</v>
          </cell>
          <cell r="AS1885">
            <v>0</v>
          </cell>
          <cell r="AU1885">
            <v>0</v>
          </cell>
          <cell r="AW1885">
            <v>0</v>
          </cell>
        </row>
        <row r="1886">
          <cell r="B1886" t="str">
            <v>H1C6KRVWRF0-130</v>
          </cell>
          <cell r="C1886" t="str">
            <v>ENZO PASLANMAZ MERMER DÖRT KATLI SALON AVİZE</v>
          </cell>
          <cell r="D1886" t="str">
            <v>ENZO STEEL MARBLE QUADRUPLEX LIVING ROOM CHANDELIER</v>
          </cell>
          <cell r="E1886" t="str">
            <v>PASLANMAZ MERMER KAHVERENGİ BEYAZ</v>
          </cell>
          <cell r="F1886" t="str">
            <v/>
          </cell>
          <cell r="G1886" t="str">
            <v>AVİZE</v>
          </cell>
          <cell r="H1886" t="str">
            <v/>
          </cell>
          <cell r="I1886" t="str">
            <v/>
          </cell>
          <cell r="J1886" t="str">
            <v>AVİZE</v>
          </cell>
          <cell r="K1886" t="str">
            <v>ENZO</v>
          </cell>
          <cell r="L1886" t="str">
            <v/>
          </cell>
          <cell r="M1886" t="str">
            <v/>
          </cell>
          <cell r="N1886" t="str">
            <v>HKA-25106</v>
          </cell>
          <cell r="O1886" t="str">
            <v>HEKA</v>
          </cell>
          <cell r="P1886" t="str">
            <v>ADET</v>
          </cell>
          <cell r="Q1886" t="str">
            <v>LED</v>
          </cell>
          <cell r="R1886" t="str">
            <v>PASLANMAZ</v>
          </cell>
          <cell r="S1886" t="str">
            <v>KAHVERENGİ</v>
          </cell>
          <cell r="T1886" t="str">
            <v>MERMER</v>
          </cell>
          <cell r="U1886" t="str">
            <v>BEYAZ</v>
          </cell>
          <cell r="AA1886" t="str">
            <v>DIMMSIZ</v>
          </cell>
          <cell r="AE1886" t="str">
            <v>01</v>
          </cell>
          <cell r="AF1886">
            <v>5</v>
          </cell>
          <cell r="AG1886" t="str">
            <v>ADET</v>
          </cell>
          <cell r="AH1886">
            <v>9027.2000000000007</v>
          </cell>
          <cell r="AI1886" t="str">
            <v>CNY</v>
          </cell>
          <cell r="AL1886">
            <v>1</v>
          </cell>
          <cell r="AM1886" t="str">
            <v>8684127517324</v>
          </cell>
          <cell r="AO1886">
            <v>0</v>
          </cell>
          <cell r="AQ1886">
            <v>130</v>
          </cell>
          <cell r="AR1886" t="str">
            <v>CM</v>
          </cell>
          <cell r="AS1886">
            <v>130</v>
          </cell>
          <cell r="AT1886" t="str">
            <v>CM</v>
          </cell>
          <cell r="AU1886">
            <v>0</v>
          </cell>
          <cell r="AW1886">
            <v>0</v>
          </cell>
        </row>
        <row r="1887">
          <cell r="B1887" t="str">
            <v>H1C6JMEERT1-050</v>
          </cell>
          <cell r="C1887" t="str">
            <v>SKYLİNE TEKLİ TURUNCU CAM SARKIT 50cm</v>
          </cell>
          <cell r="D1887" t="str">
            <v>SYKLINE SINGLE ORANGE GLASS PENDANT 50cm</v>
          </cell>
          <cell r="E1887" t="str">
            <v>METAL CAM ESKİTME TURUNCU</v>
          </cell>
          <cell r="F1887" t="str">
            <v/>
          </cell>
          <cell r="G1887" t="str">
            <v>AVİZE</v>
          </cell>
          <cell r="H1887" t="str">
            <v/>
          </cell>
          <cell r="I1887" t="str">
            <v>İÇ</v>
          </cell>
          <cell r="J1887" t="str">
            <v>AVİZE.SARK</v>
          </cell>
          <cell r="K1887" t="str">
            <v>SKYLİNE</v>
          </cell>
          <cell r="L1887" t="str">
            <v/>
          </cell>
          <cell r="M1887" t="str">
            <v/>
          </cell>
          <cell r="N1887" t="str">
            <v>HKA-25129</v>
          </cell>
          <cell r="O1887" t="str">
            <v>HEKA</v>
          </cell>
          <cell r="P1887" t="str">
            <v>ADET</v>
          </cell>
          <cell r="Q1887" t="str">
            <v>LED</v>
          </cell>
          <cell r="R1887" t="str">
            <v>METAL</v>
          </cell>
          <cell r="S1887" t="str">
            <v>ESKİTME</v>
          </cell>
          <cell r="T1887" t="str">
            <v>CAM</v>
          </cell>
          <cell r="U1887" t="str">
            <v>TURUNCU</v>
          </cell>
          <cell r="AA1887" t="str">
            <v>DIMMSIZ</v>
          </cell>
          <cell r="AD1887" t="str">
            <v>TEKLİ</v>
          </cell>
          <cell r="AE1887" t="str">
            <v>01</v>
          </cell>
          <cell r="AG1887" t="str">
            <v>ADET</v>
          </cell>
          <cell r="AL1887">
            <v>1</v>
          </cell>
          <cell r="AM1887" t="str">
            <v>8684127517553</v>
          </cell>
          <cell r="AO1887">
            <v>0</v>
          </cell>
          <cell r="AQ1887">
            <v>2</v>
          </cell>
          <cell r="AR1887" t="str">
            <v>CM</v>
          </cell>
          <cell r="AS1887">
            <v>50</v>
          </cell>
          <cell r="AT1887" t="str">
            <v>CM</v>
          </cell>
          <cell r="AU1887">
            <v>0</v>
          </cell>
          <cell r="AW1887">
            <v>0</v>
          </cell>
        </row>
        <row r="1888">
          <cell r="B1888" t="str">
            <v>H1T6JMEERL1-030</v>
          </cell>
          <cell r="C1888" t="str">
            <v>SKYLİNE TEKLİ BAL CAM MASA LAMBASI 30CM</v>
          </cell>
          <cell r="D1888" t="str">
            <v>SYKLINE SINGLE AMBER GLASS TABLE LAMP 30CM</v>
          </cell>
          <cell r="E1888" t="str">
            <v>METAL CAM ESKİTME BAL</v>
          </cell>
          <cell r="F1888" t="str">
            <v/>
          </cell>
          <cell r="G1888" t="str">
            <v>MASA LAMBASI</v>
          </cell>
          <cell r="H1888" t="str">
            <v/>
          </cell>
          <cell r="I1888" t="str">
            <v>İÇ</v>
          </cell>
          <cell r="J1888" t="str">
            <v>MASAABAJ</v>
          </cell>
          <cell r="K1888" t="str">
            <v>SKYLİNE</v>
          </cell>
          <cell r="L1888" t="str">
            <v/>
          </cell>
          <cell r="M1888" t="str">
            <v/>
          </cell>
          <cell r="N1888" t="str">
            <v>HKA-25131</v>
          </cell>
          <cell r="O1888" t="str">
            <v>HEKA</v>
          </cell>
          <cell r="P1888" t="str">
            <v>ADET</v>
          </cell>
          <cell r="Q1888" t="str">
            <v>LED</v>
          </cell>
          <cell r="R1888" t="str">
            <v>METAL</v>
          </cell>
          <cell r="S1888" t="str">
            <v>ESKİTME</v>
          </cell>
          <cell r="T1888" t="str">
            <v>CAM</v>
          </cell>
          <cell r="U1888" t="str">
            <v>BAL</v>
          </cell>
          <cell r="AA1888" t="str">
            <v>DIMMSIZ</v>
          </cell>
          <cell r="AD1888" t="str">
            <v>TEKLİ</v>
          </cell>
          <cell r="AE1888" t="str">
            <v>01</v>
          </cell>
          <cell r="AF1888">
            <v>10</v>
          </cell>
          <cell r="AG1888" t="str">
            <v>ADET</v>
          </cell>
          <cell r="AH1888">
            <v>225</v>
          </cell>
          <cell r="AI1888" t="str">
            <v>CNY</v>
          </cell>
          <cell r="AL1888">
            <v>1</v>
          </cell>
          <cell r="AM1888" t="str">
            <v>8684127517577</v>
          </cell>
          <cell r="AO1888">
            <v>0</v>
          </cell>
          <cell r="AQ1888">
            <v>2</v>
          </cell>
          <cell r="AR1888" t="str">
            <v>CM</v>
          </cell>
          <cell r="AS1888">
            <v>30</v>
          </cell>
          <cell r="AT1888" t="str">
            <v>CM</v>
          </cell>
          <cell r="AU1888">
            <v>0</v>
          </cell>
          <cell r="AW1888">
            <v>0</v>
          </cell>
        </row>
        <row r="1889">
          <cell r="B1889" t="str">
            <v>H1W6JMEERT1-030</v>
          </cell>
          <cell r="C1889" t="str">
            <v>SKYLİNE TEKLİ TURUNCU CAM APLİK 30CM</v>
          </cell>
          <cell r="D1889" t="str">
            <v>SYKLINE SINGLE ORANGE GLASS WALL LAMP 30CM</v>
          </cell>
          <cell r="E1889" t="str">
            <v>METAL CAM ESKİTME TURUNCU</v>
          </cell>
          <cell r="F1889" t="str">
            <v/>
          </cell>
          <cell r="G1889" t="str">
            <v>APLİK</v>
          </cell>
          <cell r="H1889" t="str">
            <v/>
          </cell>
          <cell r="I1889" t="str">
            <v>İÇ</v>
          </cell>
          <cell r="J1889" t="str">
            <v>APLİK</v>
          </cell>
          <cell r="K1889" t="str">
            <v>SKYLİNE</v>
          </cell>
          <cell r="L1889" t="str">
            <v/>
          </cell>
          <cell r="M1889" t="str">
            <v/>
          </cell>
          <cell r="N1889" t="str">
            <v>HKA-25138</v>
          </cell>
          <cell r="O1889" t="str">
            <v>HEKA</v>
          </cell>
          <cell r="P1889" t="str">
            <v>ADET</v>
          </cell>
          <cell r="Q1889" t="str">
            <v>LED</v>
          </cell>
          <cell r="R1889" t="str">
            <v>METAL</v>
          </cell>
          <cell r="S1889" t="str">
            <v>ESKİTME</v>
          </cell>
          <cell r="T1889" t="str">
            <v>CAM</v>
          </cell>
          <cell r="U1889" t="str">
            <v>TURUNCU</v>
          </cell>
          <cell r="AA1889" t="str">
            <v>DIMMSIZ</v>
          </cell>
          <cell r="AD1889" t="str">
            <v>TEKLİ</v>
          </cell>
          <cell r="AE1889" t="str">
            <v>01</v>
          </cell>
          <cell r="AF1889">
            <v>10</v>
          </cell>
          <cell r="AG1889" t="str">
            <v>ADET</v>
          </cell>
          <cell r="AH1889">
            <v>209</v>
          </cell>
          <cell r="AI1889" t="str">
            <v>CNY</v>
          </cell>
          <cell r="AL1889">
            <v>1</v>
          </cell>
          <cell r="AM1889" t="str">
            <v>8684127517645</v>
          </cell>
          <cell r="AO1889">
            <v>0</v>
          </cell>
          <cell r="AQ1889">
            <v>2</v>
          </cell>
          <cell r="AR1889" t="str">
            <v>CM</v>
          </cell>
          <cell r="AS1889">
            <v>30</v>
          </cell>
          <cell r="AT1889" t="str">
            <v>CM</v>
          </cell>
          <cell r="AU1889">
            <v>0</v>
          </cell>
          <cell r="AW1889">
            <v>0</v>
          </cell>
        </row>
        <row r="1890">
          <cell r="B1890" t="str">
            <v>H1F6JMEERL0-030</v>
          </cell>
          <cell r="C1890" t="str">
            <v>SKYLİNE TEKLİ BAL CAM LAMBADER</v>
          </cell>
          <cell r="D1890" t="str">
            <v>SYKLINE SINGLE AMBER GLASS FLOOR LAMP</v>
          </cell>
          <cell r="E1890" t="str">
            <v>METAL CAM ESKİTME BAL</v>
          </cell>
          <cell r="F1890" t="str">
            <v/>
          </cell>
          <cell r="G1890" t="str">
            <v>LAMBADER</v>
          </cell>
          <cell r="H1890" t="str">
            <v/>
          </cell>
          <cell r="I1890" t="str">
            <v>İÇ</v>
          </cell>
          <cell r="J1890" t="str">
            <v>LAMBADER</v>
          </cell>
          <cell r="K1890" t="str">
            <v>SKYLİNE</v>
          </cell>
          <cell r="L1890" t="str">
            <v/>
          </cell>
          <cell r="M1890" t="str">
            <v>30.01.2026</v>
          </cell>
          <cell r="N1890" t="str">
            <v>HKA-25140</v>
          </cell>
          <cell r="O1890" t="str">
            <v>HEKA</v>
          </cell>
          <cell r="P1890" t="str">
            <v>ADET</v>
          </cell>
          <cell r="Q1890" t="str">
            <v>LED</v>
          </cell>
          <cell r="R1890" t="str">
            <v>METAL</v>
          </cell>
          <cell r="S1890" t="str">
            <v>ESKİTME</v>
          </cell>
          <cell r="T1890" t="str">
            <v>CAM</v>
          </cell>
          <cell r="U1890" t="str">
            <v>BAL</v>
          </cell>
          <cell r="AA1890" t="str">
            <v>DIMMSIZ</v>
          </cell>
          <cell r="AD1890" t="str">
            <v>TEKLİ</v>
          </cell>
          <cell r="AE1890" t="str">
            <v>01</v>
          </cell>
          <cell r="AF1890">
            <v>0</v>
          </cell>
          <cell r="AG1890" t="str">
            <v>ADET</v>
          </cell>
          <cell r="AH1890">
            <v>420</v>
          </cell>
          <cell r="AI1890" t="str">
            <v>CNY</v>
          </cell>
          <cell r="AL1890">
            <v>1</v>
          </cell>
          <cell r="AM1890" t="str">
            <v>8684127517669</v>
          </cell>
          <cell r="AO1890">
            <v>0</v>
          </cell>
          <cell r="AQ1890">
            <v>2</v>
          </cell>
          <cell r="AR1890" t="str">
            <v>CM</v>
          </cell>
          <cell r="AS1890">
            <v>30</v>
          </cell>
          <cell r="AT1890" t="str">
            <v>CM</v>
          </cell>
          <cell r="AU1890">
            <v>0</v>
          </cell>
          <cell r="AW1890">
            <v>0</v>
          </cell>
        </row>
        <row r="1891">
          <cell r="B1891" t="str">
            <v>H1W6ERLJRS0-030</v>
          </cell>
          <cell r="C1891" t="str">
            <v>GAMBİA BAL CAM SİYAH APLİK 30cm</v>
          </cell>
          <cell r="D1891" t="str">
            <v>GAMBİA AMBER GLASS BLACK WALL LAMP 30cm</v>
          </cell>
          <cell r="E1891" t="str">
            <v xml:space="preserve">CAM  METAL BAL SİYAH   </v>
          </cell>
          <cell r="F1891" t="str">
            <v/>
          </cell>
          <cell r="G1891" t="str">
            <v>APLİK</v>
          </cell>
          <cell r="H1891" t="str">
            <v/>
          </cell>
          <cell r="I1891" t="str">
            <v>İÇ</v>
          </cell>
          <cell r="J1891" t="str">
            <v>APLİK</v>
          </cell>
          <cell r="K1891" t="str">
            <v>GAMBİA</v>
          </cell>
          <cell r="L1891" t="str">
            <v/>
          </cell>
          <cell r="M1891" t="str">
            <v>28.02.2026</v>
          </cell>
          <cell r="N1891" t="str">
            <v>HKA-24469</v>
          </cell>
          <cell r="O1891" t="str">
            <v>HEKA</v>
          </cell>
          <cell r="P1891" t="str">
            <v>ADET</v>
          </cell>
          <cell r="Q1891" t="str">
            <v>LED</v>
          </cell>
          <cell r="R1891" t="str">
            <v>CAM</v>
          </cell>
          <cell r="S1891" t="str">
            <v>BAL</v>
          </cell>
          <cell r="T1891" t="str">
            <v>METAL</v>
          </cell>
          <cell r="U1891" t="str">
            <v>SİYAH</v>
          </cell>
          <cell r="X1891" t="str">
            <v>110V-220V</v>
          </cell>
          <cell r="Y1891" t="str">
            <v>12 WATT</v>
          </cell>
          <cell r="Z1891" t="str">
            <v>2500 K</v>
          </cell>
          <cell r="AA1891" t="str">
            <v>DIMMSIZ</v>
          </cell>
          <cell r="AB1891" t="str">
            <v>1001-1100</v>
          </cell>
          <cell r="AF1891">
            <v>2</v>
          </cell>
          <cell r="AG1891" t="str">
            <v>ADET</v>
          </cell>
          <cell r="AH1891">
            <v>520</v>
          </cell>
          <cell r="AI1891" t="str">
            <v>CNY</v>
          </cell>
          <cell r="AJ1891">
            <v>30500</v>
          </cell>
          <cell r="AK1891" t="str">
            <v>TL</v>
          </cell>
          <cell r="AL1891">
            <v>1</v>
          </cell>
          <cell r="AM1891" t="str">
            <v>8684127515351</v>
          </cell>
          <cell r="AO1891">
            <v>4.0599999999999996</v>
          </cell>
          <cell r="AP1891" t="str">
            <v>KG</v>
          </cell>
          <cell r="AQ1891">
            <v>21</v>
          </cell>
          <cell r="AR1891" t="str">
            <v>CM</v>
          </cell>
          <cell r="AS1891">
            <v>24</v>
          </cell>
          <cell r="AT1891" t="str">
            <v>CM</v>
          </cell>
          <cell r="AU1891">
            <v>0</v>
          </cell>
          <cell r="AW1891">
            <v>0</v>
          </cell>
        </row>
        <row r="1892">
          <cell r="B1892" t="str">
            <v>H1W6JMEWRBZ-050</v>
          </cell>
          <cell r="C1892" t="str">
            <v>GİNE MERMER TOPLU ESKİTME APLİK 50cm</v>
          </cell>
          <cell r="D1892" t="str">
            <v>GİNE MARBLE BALLS BRUSHED BRASS WALL LAMP 50cm</v>
          </cell>
          <cell r="E1892" t="str">
            <v xml:space="preserve">METAL MERMER ESKİTME BEYAZ   </v>
          </cell>
          <cell r="F1892" t="str">
            <v/>
          </cell>
          <cell r="G1892" t="str">
            <v>APLİK</v>
          </cell>
          <cell r="H1892" t="str">
            <v/>
          </cell>
          <cell r="I1892" t="str">
            <v>İÇ</v>
          </cell>
          <cell r="J1892" t="str">
            <v>APLİK</v>
          </cell>
          <cell r="K1892" t="str">
            <v>GİNE</v>
          </cell>
          <cell r="L1892" t="str">
            <v/>
          </cell>
          <cell r="M1892" t="str">
            <v/>
          </cell>
          <cell r="N1892" t="str">
            <v>HKA-24490</v>
          </cell>
          <cell r="O1892" t="str">
            <v>HEKA</v>
          </cell>
          <cell r="P1892" t="str">
            <v>ADET</v>
          </cell>
          <cell r="Q1892" t="str">
            <v>LED</v>
          </cell>
          <cell r="R1892" t="str">
            <v>METAL</v>
          </cell>
          <cell r="S1892" t="str">
            <v>ESKİTME</v>
          </cell>
          <cell r="T1892" t="str">
            <v>MERMER</v>
          </cell>
          <cell r="U1892" t="str">
            <v>BEYAZ</v>
          </cell>
          <cell r="X1892" t="str">
            <v>110V-220V</v>
          </cell>
          <cell r="Y1892" t="str">
            <v>7 WATT</v>
          </cell>
          <cell r="Z1892" t="str">
            <v xml:space="preserve">2700 K </v>
          </cell>
          <cell r="AA1892" t="str">
            <v>DIMMSIZ</v>
          </cell>
          <cell r="AB1892" t="str">
            <v>1301-1400</v>
          </cell>
          <cell r="AF1892">
            <v>49</v>
          </cell>
          <cell r="AG1892" t="str">
            <v>ADET</v>
          </cell>
          <cell r="AH1892">
            <v>220</v>
          </cell>
          <cell r="AI1892" t="str">
            <v>CNY</v>
          </cell>
          <cell r="AJ1892">
            <v>16200</v>
          </cell>
          <cell r="AK1892" t="str">
            <v>TL</v>
          </cell>
          <cell r="AL1892">
            <v>1</v>
          </cell>
          <cell r="AM1892" t="str">
            <v>8684127515504</v>
          </cell>
          <cell r="AO1892">
            <v>1</v>
          </cell>
          <cell r="AP1892" t="str">
            <v>KG</v>
          </cell>
          <cell r="AQ1892">
            <v>15</v>
          </cell>
          <cell r="AR1892" t="str">
            <v>CM</v>
          </cell>
          <cell r="AS1892">
            <v>12</v>
          </cell>
          <cell r="AT1892" t="str">
            <v>CM</v>
          </cell>
          <cell r="AU1892">
            <v>0</v>
          </cell>
          <cell r="AW1892">
            <v>0</v>
          </cell>
        </row>
        <row r="1893">
          <cell r="B1893" t="str">
            <v>H1C6JMEWRB0-120</v>
          </cell>
          <cell r="C1893" t="str">
            <v>GİNE MERMER TOPLU ESKİTME YEMEK MASASI AVİZE 120cm</v>
          </cell>
          <cell r="D1893" t="str">
            <v>GİNE MARBLE BALLS BRUSHED BRASS DINING ROOM CHANDELIER 120cm</v>
          </cell>
          <cell r="E1893" t="str">
            <v xml:space="preserve">METAL MERMER ESKİTME BEYAZ   </v>
          </cell>
          <cell r="F1893" t="str">
            <v/>
          </cell>
          <cell r="G1893" t="str">
            <v>AVİZE</v>
          </cell>
          <cell r="H1893" t="str">
            <v/>
          </cell>
          <cell r="I1893" t="str">
            <v>İÇ</v>
          </cell>
          <cell r="J1893" t="str">
            <v>AVİZE</v>
          </cell>
          <cell r="K1893" t="str">
            <v>GİNE</v>
          </cell>
          <cell r="L1893" t="str">
            <v/>
          </cell>
          <cell r="M1893" t="str">
            <v>28.02.2026</v>
          </cell>
          <cell r="N1893" t="str">
            <v>HKA-24467</v>
          </cell>
          <cell r="O1893" t="str">
            <v>HEKA</v>
          </cell>
          <cell r="P1893" t="str">
            <v>ADET</v>
          </cell>
          <cell r="Q1893" t="str">
            <v>LED</v>
          </cell>
          <cell r="R1893" t="str">
            <v>METAL</v>
          </cell>
          <cell r="S1893" t="str">
            <v>ESKİTME</v>
          </cell>
          <cell r="T1893" t="str">
            <v>MERMER</v>
          </cell>
          <cell r="U1893" t="str">
            <v>BEYAZ</v>
          </cell>
          <cell r="X1893" t="str">
            <v>110V-220V</v>
          </cell>
          <cell r="Y1893" t="str">
            <v>18 WATT</v>
          </cell>
          <cell r="Z1893" t="str">
            <v xml:space="preserve">2700 K </v>
          </cell>
          <cell r="AA1893" t="str">
            <v>DIMMSIZ</v>
          </cell>
          <cell r="AF1893">
            <v>12</v>
          </cell>
          <cell r="AG1893" t="str">
            <v>ADET</v>
          </cell>
          <cell r="AH1893">
            <v>600</v>
          </cell>
          <cell r="AI1893" t="str">
            <v>CNY</v>
          </cell>
          <cell r="AJ1893">
            <v>49000</v>
          </cell>
          <cell r="AK1893" t="str">
            <v>TL</v>
          </cell>
          <cell r="AL1893">
            <v>1</v>
          </cell>
          <cell r="AM1893" t="str">
            <v>8684127515528</v>
          </cell>
          <cell r="AO1893">
            <v>3.3</v>
          </cell>
          <cell r="AP1893" t="str">
            <v>KG</v>
          </cell>
          <cell r="AQ1893">
            <v>7</v>
          </cell>
          <cell r="AR1893" t="str">
            <v>CM</v>
          </cell>
          <cell r="AS1893">
            <v>7</v>
          </cell>
          <cell r="AT1893" t="str">
            <v>CM</v>
          </cell>
          <cell r="AU1893">
            <v>0</v>
          </cell>
          <cell r="AW1893">
            <v>0</v>
          </cell>
        </row>
        <row r="1894">
          <cell r="B1894" t="str">
            <v>H1T6ERLJRS0-028</v>
          </cell>
          <cell r="C1894" t="str">
            <v>GAMBİA BAL CAM SİYAH MASA LAMBASI 28cm</v>
          </cell>
          <cell r="D1894" t="str">
            <v>GAMBİA AMBER GLASS BLACK TABLE LAMP 28cm</v>
          </cell>
          <cell r="E1894" t="str">
            <v xml:space="preserve">CAM  METAL BAL SİYAH   </v>
          </cell>
          <cell r="F1894" t="str">
            <v/>
          </cell>
          <cell r="G1894" t="str">
            <v>MASAABAJ</v>
          </cell>
          <cell r="H1894" t="str">
            <v/>
          </cell>
          <cell r="I1894" t="str">
            <v>İÇ</v>
          </cell>
          <cell r="J1894" t="str">
            <v>MASAABAJ</v>
          </cell>
          <cell r="K1894" t="str">
            <v>GAMBİA</v>
          </cell>
          <cell r="L1894" t="str">
            <v/>
          </cell>
          <cell r="M1894" t="str">
            <v>28.02.2026</v>
          </cell>
          <cell r="N1894" t="str">
            <v>HKA-24472</v>
          </cell>
          <cell r="O1894" t="str">
            <v>HEKA</v>
          </cell>
          <cell r="P1894" t="str">
            <v>ADET</v>
          </cell>
          <cell r="Q1894" t="str">
            <v>LED</v>
          </cell>
          <cell r="R1894" t="str">
            <v>CAM</v>
          </cell>
          <cell r="S1894" t="str">
            <v>BAL</v>
          </cell>
          <cell r="T1894" t="str">
            <v>METAL</v>
          </cell>
          <cell r="U1894" t="str">
            <v>SİYAH</v>
          </cell>
          <cell r="X1894" t="str">
            <v>110V-220V</v>
          </cell>
          <cell r="Y1894" t="str">
            <v>24 WATT</v>
          </cell>
          <cell r="Z1894" t="str">
            <v>2500 K</v>
          </cell>
          <cell r="AA1894" t="str">
            <v>DIMMSIZ</v>
          </cell>
          <cell r="AB1894" t="str">
            <v>901-1000</v>
          </cell>
          <cell r="AF1894">
            <v>5</v>
          </cell>
          <cell r="AG1894" t="str">
            <v>ADET</v>
          </cell>
          <cell r="AH1894">
            <v>448</v>
          </cell>
          <cell r="AI1894" t="str">
            <v>CNY</v>
          </cell>
          <cell r="AJ1894">
            <v>26500</v>
          </cell>
          <cell r="AK1894" t="str">
            <v>TL</v>
          </cell>
          <cell r="AL1894">
            <v>1</v>
          </cell>
          <cell r="AM1894" t="str">
            <v>8684127515696</v>
          </cell>
          <cell r="AO1894">
            <v>2.78</v>
          </cell>
          <cell r="AP1894" t="str">
            <v>KG</v>
          </cell>
          <cell r="AQ1894">
            <v>24</v>
          </cell>
          <cell r="AR1894" t="str">
            <v>CM</v>
          </cell>
          <cell r="AS1894">
            <v>17</v>
          </cell>
          <cell r="AT1894" t="str">
            <v>CM</v>
          </cell>
          <cell r="AU1894">
            <v>0</v>
          </cell>
          <cell r="AW1894">
            <v>0</v>
          </cell>
        </row>
        <row r="1895">
          <cell r="B1895" t="str">
            <v>H1C6JMEJMR0-106</v>
          </cell>
          <cell r="C1895" t="str">
            <v>TUGELA ÜÇ KOLLU KOYU ESKİTME SARKIT 106cm</v>
          </cell>
          <cell r="D1895" t="str">
            <v>TUGELA THREE-ARMED RAW BRASS PENDANT 106cm</v>
          </cell>
          <cell r="E1895" t="str">
            <v xml:space="preserve">METAL METAL ESKİTME KOYU ESKİTME   </v>
          </cell>
          <cell r="F1895" t="str">
            <v/>
          </cell>
          <cell r="G1895" t="str">
            <v>AVİZE</v>
          </cell>
          <cell r="H1895" t="str">
            <v/>
          </cell>
          <cell r="I1895" t="str">
            <v>İÇ</v>
          </cell>
          <cell r="J1895" t="str">
            <v>AVİZE.SARK</v>
          </cell>
          <cell r="K1895" t="str">
            <v>TUGELA</v>
          </cell>
          <cell r="L1895" t="str">
            <v/>
          </cell>
          <cell r="M1895" t="str">
            <v/>
          </cell>
          <cell r="N1895" t="str">
            <v>HKA-24581</v>
          </cell>
          <cell r="O1895" t="str">
            <v>HEKA</v>
          </cell>
          <cell r="P1895" t="str">
            <v>ADET</v>
          </cell>
          <cell r="Q1895" t="str">
            <v>LED</v>
          </cell>
          <cell r="R1895" t="str">
            <v>METAL</v>
          </cell>
          <cell r="S1895" t="str">
            <v>ESKİTME</v>
          </cell>
          <cell r="T1895" t="str">
            <v>METAL</v>
          </cell>
          <cell r="U1895" t="str">
            <v>KOYU ESKİTME</v>
          </cell>
          <cell r="X1895" t="str">
            <v>110V-220V</v>
          </cell>
          <cell r="Y1895" t="str">
            <v>24 WATT</v>
          </cell>
          <cell r="AF1895">
            <v>4</v>
          </cell>
          <cell r="AG1895" t="str">
            <v>ADET</v>
          </cell>
          <cell r="AH1895">
            <v>983</v>
          </cell>
          <cell r="AI1895" t="str">
            <v>CNY</v>
          </cell>
          <cell r="AJ1895">
            <v>84950</v>
          </cell>
          <cell r="AK1895" t="str">
            <v>TL</v>
          </cell>
          <cell r="AL1895">
            <v>1</v>
          </cell>
          <cell r="AM1895" t="str">
            <v>8684127515719</v>
          </cell>
          <cell r="AO1895">
            <v>4.5</v>
          </cell>
          <cell r="AP1895" t="str">
            <v>KG</v>
          </cell>
          <cell r="AQ1895">
            <v>6.5</v>
          </cell>
          <cell r="AR1895" t="str">
            <v>CM</v>
          </cell>
          <cell r="AS1895">
            <v>130</v>
          </cell>
          <cell r="AT1895" t="str">
            <v>CM</v>
          </cell>
          <cell r="AU1895">
            <v>0</v>
          </cell>
          <cell r="AW1895">
            <v>0</v>
          </cell>
        </row>
        <row r="1896">
          <cell r="B1896" t="str">
            <v>H1C5JMGECS1-052</v>
          </cell>
          <cell r="C1896" t="str">
            <v>MANİLA ŞEFFAF CAM GOLD TEKLİ SARKIT</v>
          </cell>
          <cell r="D1896" t="str">
            <v>MANİLA CLEAR GLASS GOLD SINGLE PENDANT</v>
          </cell>
          <cell r="E1896" t="str">
            <v xml:space="preserve">METAL CAM  GOLD ŞEFFAF   </v>
          </cell>
          <cell r="F1896" t="str">
            <v/>
          </cell>
          <cell r="G1896" t="str">
            <v>AVİZE</v>
          </cell>
          <cell r="H1896" t="str">
            <v/>
          </cell>
          <cell r="I1896" t="str">
            <v>İÇ</v>
          </cell>
          <cell r="J1896" t="str">
            <v>AVİZE.SARK</v>
          </cell>
          <cell r="K1896" t="str">
            <v>MANİLA</v>
          </cell>
          <cell r="L1896" t="str">
            <v/>
          </cell>
          <cell r="M1896" t="str">
            <v/>
          </cell>
          <cell r="N1896" t="str">
            <v>HKA-24593</v>
          </cell>
          <cell r="O1896" t="str">
            <v>HEKA</v>
          </cell>
          <cell r="P1896" t="str">
            <v>ADET</v>
          </cell>
          <cell r="Q1896" t="str">
            <v>GU10</v>
          </cell>
          <cell r="R1896" t="str">
            <v>METAL</v>
          </cell>
          <cell r="S1896" t="str">
            <v>GOLD</v>
          </cell>
          <cell r="T1896" t="str">
            <v>CAM</v>
          </cell>
          <cell r="U1896" t="str">
            <v>ŞEFFAF</v>
          </cell>
          <cell r="X1896" t="str">
            <v>110V-220V</v>
          </cell>
          <cell r="AD1896" t="str">
            <v>TEKLİ</v>
          </cell>
          <cell r="AF1896">
            <v>23</v>
          </cell>
          <cell r="AG1896" t="str">
            <v>ADET</v>
          </cell>
          <cell r="AH1896">
            <v>378</v>
          </cell>
          <cell r="AI1896" t="str">
            <v>CNY</v>
          </cell>
          <cell r="AJ1896">
            <v>24900</v>
          </cell>
          <cell r="AK1896" t="str">
            <v>TL</v>
          </cell>
          <cell r="AL1896">
            <v>1</v>
          </cell>
          <cell r="AM1896" t="str">
            <v>8684127515863</v>
          </cell>
          <cell r="AO1896">
            <v>1.94</v>
          </cell>
          <cell r="AP1896" t="str">
            <v>KG</v>
          </cell>
          <cell r="AQ1896">
            <v>8</v>
          </cell>
          <cell r="AR1896" t="str">
            <v>CM</v>
          </cell>
          <cell r="AS1896">
            <v>8</v>
          </cell>
          <cell r="AT1896" t="str">
            <v>CM</v>
          </cell>
          <cell r="AU1896">
            <v>0</v>
          </cell>
          <cell r="AW1896">
            <v>0</v>
          </cell>
        </row>
        <row r="1897">
          <cell r="B1897" t="str">
            <v>H1W5JMGECS0-061</v>
          </cell>
          <cell r="C1897" t="str">
            <v>MANİLA ŞEFFAF CAM GOLD APLİK</v>
          </cell>
          <cell r="D1897" t="str">
            <v>MANİLA CLEAR GLASS GOLD WALL LAMP</v>
          </cell>
          <cell r="E1897" t="str">
            <v xml:space="preserve">METAL CAM  GOLD ŞEFFAF   </v>
          </cell>
          <cell r="F1897" t="str">
            <v/>
          </cell>
          <cell r="G1897" t="str">
            <v>APLİK</v>
          </cell>
          <cell r="H1897" t="str">
            <v/>
          </cell>
          <cell r="I1897" t="str">
            <v>İÇ</v>
          </cell>
          <cell r="J1897" t="str">
            <v>APLİK</v>
          </cell>
          <cell r="K1897" t="str">
            <v>MANİLA</v>
          </cell>
          <cell r="L1897" t="str">
            <v/>
          </cell>
          <cell r="M1897" t="str">
            <v/>
          </cell>
          <cell r="N1897" t="str">
            <v>HKA-24595</v>
          </cell>
          <cell r="O1897" t="str">
            <v>HEKA</v>
          </cell>
          <cell r="P1897" t="str">
            <v>ADET</v>
          </cell>
          <cell r="Q1897" t="str">
            <v>GU10</v>
          </cell>
          <cell r="R1897" t="str">
            <v>METAL</v>
          </cell>
          <cell r="S1897" t="str">
            <v>GOLD</v>
          </cell>
          <cell r="T1897" t="str">
            <v>CAM</v>
          </cell>
          <cell r="U1897" t="str">
            <v>ŞEFFAF</v>
          </cell>
          <cell r="X1897" t="str">
            <v>110V-220V</v>
          </cell>
          <cell r="AD1897" t="str">
            <v>TEKLİ</v>
          </cell>
          <cell r="AF1897">
            <v>15</v>
          </cell>
          <cell r="AG1897" t="str">
            <v>ADET</v>
          </cell>
          <cell r="AH1897">
            <v>378</v>
          </cell>
          <cell r="AI1897" t="str">
            <v>CNY</v>
          </cell>
          <cell r="AJ1897">
            <v>24900</v>
          </cell>
          <cell r="AK1897" t="str">
            <v>TL</v>
          </cell>
          <cell r="AL1897">
            <v>1</v>
          </cell>
          <cell r="AM1897" t="str">
            <v>8684127515887</v>
          </cell>
          <cell r="AO1897">
            <v>2.2999999999999998</v>
          </cell>
          <cell r="AP1897" t="str">
            <v>KG</v>
          </cell>
          <cell r="AQ1897">
            <v>12</v>
          </cell>
          <cell r="AR1897" t="str">
            <v>CM</v>
          </cell>
          <cell r="AS1897">
            <v>12</v>
          </cell>
          <cell r="AT1897" t="str">
            <v>CM</v>
          </cell>
          <cell r="AU1897">
            <v>0</v>
          </cell>
          <cell r="AW1897">
            <v>0</v>
          </cell>
        </row>
        <row r="1898">
          <cell r="B1898" t="str">
            <v>H1C6WRBJMG0-120</v>
          </cell>
          <cell r="C1898" t="str">
            <v>GABON MERMER ESKİTME YEMEK MASASI AVİZE</v>
          </cell>
          <cell r="D1898" t="str">
            <v>GABON MARBLE BRUSHED BRASS DINING TABLE CHANDELIER</v>
          </cell>
          <cell r="E1898" t="str">
            <v xml:space="preserve">MERMER METAL BEYAZ ESKİTME   </v>
          </cell>
          <cell r="F1898" t="str">
            <v/>
          </cell>
          <cell r="G1898" t="str">
            <v>AVİZE</v>
          </cell>
          <cell r="H1898" t="str">
            <v/>
          </cell>
          <cell r="I1898" t="str">
            <v>İÇ</v>
          </cell>
          <cell r="J1898" t="str">
            <v>AVİZE.SARK</v>
          </cell>
          <cell r="K1898" t="str">
            <v>GABON</v>
          </cell>
          <cell r="L1898" t="str">
            <v/>
          </cell>
          <cell r="M1898" t="str">
            <v/>
          </cell>
          <cell r="N1898" t="str">
            <v>HKA-24462</v>
          </cell>
          <cell r="O1898" t="str">
            <v>HEKA</v>
          </cell>
          <cell r="P1898" t="str">
            <v>ADET</v>
          </cell>
          <cell r="Q1898" t="str">
            <v>LED</v>
          </cell>
          <cell r="R1898" t="str">
            <v>MERMER</v>
          </cell>
          <cell r="S1898" t="str">
            <v>BEYAZ</v>
          </cell>
          <cell r="T1898" t="str">
            <v>METAL</v>
          </cell>
          <cell r="U1898" t="str">
            <v>ESKİTME</v>
          </cell>
          <cell r="X1898" t="str">
            <v>110V-220V</v>
          </cell>
          <cell r="Y1898" t="str">
            <v>24 WATT</v>
          </cell>
          <cell r="Z1898" t="str">
            <v xml:space="preserve">2700 K </v>
          </cell>
          <cell r="AA1898" t="str">
            <v>DIMMSIZ</v>
          </cell>
          <cell r="AB1898" t="str">
            <v>1901-2000</v>
          </cell>
          <cell r="AF1898">
            <v>26</v>
          </cell>
          <cell r="AG1898" t="str">
            <v>ADET</v>
          </cell>
          <cell r="AH1898">
            <v>1040</v>
          </cell>
          <cell r="AI1898" t="str">
            <v>CNY</v>
          </cell>
          <cell r="AJ1898">
            <v>79500</v>
          </cell>
          <cell r="AK1898" t="str">
            <v>TL</v>
          </cell>
          <cell r="AL1898">
            <v>1</v>
          </cell>
          <cell r="AM1898" t="str">
            <v>8684127519076</v>
          </cell>
          <cell r="AO1898">
            <v>9.34</v>
          </cell>
          <cell r="AP1898" t="str">
            <v>KG</v>
          </cell>
          <cell r="AQ1898">
            <v>8</v>
          </cell>
          <cell r="AR1898" t="str">
            <v>CM</v>
          </cell>
          <cell r="AS1898">
            <v>10</v>
          </cell>
          <cell r="AT1898" t="str">
            <v>CM</v>
          </cell>
          <cell r="AU1898">
            <v>0</v>
          </cell>
          <cell r="AW1898">
            <v>0</v>
          </cell>
        </row>
        <row r="1899">
          <cell r="B1899" t="str">
            <v>S1W6JRGLRB0-040</v>
          </cell>
          <cell r="C1899" t="str">
            <v>CZZ-11 BEYAZ PLEKSİ  GRİ APLİK</v>
          </cell>
          <cell r="D1899" t="str">
            <v>CZZ-11 WHITE PLEXI GREY WALL LAMP</v>
          </cell>
          <cell r="E1899" t="str">
            <v xml:space="preserve">METAL PLEKSİ GRİ BEYAZ   </v>
          </cell>
          <cell r="F1899" t="str">
            <v/>
          </cell>
          <cell r="G1899" t="str">
            <v>APLİK</v>
          </cell>
          <cell r="H1899" t="str">
            <v/>
          </cell>
          <cell r="I1899" t="str">
            <v>İÇ</v>
          </cell>
          <cell r="J1899" t="str">
            <v>APLİK</v>
          </cell>
          <cell r="K1899" t="str">
            <v>CZZ-11</v>
          </cell>
          <cell r="L1899" t="str">
            <v/>
          </cell>
          <cell r="M1899" t="str">
            <v/>
          </cell>
          <cell r="N1899" t="str">
            <v>HKA-25011</v>
          </cell>
          <cell r="P1899" t="str">
            <v>ADET</v>
          </cell>
          <cell r="AG1899" t="str">
            <v>ADET</v>
          </cell>
          <cell r="AL1899">
            <v>1</v>
          </cell>
          <cell r="AO1899">
            <v>0.82</v>
          </cell>
          <cell r="AP1899" t="str">
            <v>KG</v>
          </cell>
          <cell r="AQ1899">
            <v>17</v>
          </cell>
          <cell r="AR1899" t="str">
            <v>CM</v>
          </cell>
          <cell r="AS1899">
            <v>30</v>
          </cell>
          <cell r="AT1899" t="str">
            <v>CM</v>
          </cell>
          <cell r="AU1899">
            <v>0</v>
          </cell>
          <cell r="AW1899">
            <v>0</v>
          </cell>
        </row>
        <row r="1900">
          <cell r="B1900" t="str">
            <v>H1S5CMK000L-140</v>
          </cell>
          <cell r="C1900" t="str">
            <v>MİA KROM DÜZ SPOT 60X140 mm</v>
          </cell>
          <cell r="D1900" t="str">
            <v>MİA CHROME PLAIN SPOTLIGHT 60X140 mm</v>
          </cell>
          <cell r="E1900" t="str">
            <v xml:space="preserve">ALUMİNYUM YOK KROM YOK   </v>
          </cell>
          <cell r="F1900" t="str">
            <v>9405.19.90.00.00</v>
          </cell>
          <cell r="G1900" t="str">
            <v>TEKNİK</v>
          </cell>
          <cell r="H1900" t="str">
            <v>T1S5A300X0-14</v>
          </cell>
          <cell r="I1900" t="str">
            <v>İÇ</v>
          </cell>
          <cell r="J1900" t="str">
            <v>TEKNİK</v>
          </cell>
          <cell r="K1900" t="str">
            <v>MİA</v>
          </cell>
          <cell r="L1900" t="str">
            <v/>
          </cell>
          <cell r="M1900" t="str">
            <v/>
          </cell>
          <cell r="N1900" t="str">
            <v>MİA-10</v>
          </cell>
          <cell r="O1900" t="str">
            <v>HEKA</v>
          </cell>
          <cell r="P1900" t="str">
            <v>ADET</v>
          </cell>
          <cell r="Q1900" t="str">
            <v>GU10</v>
          </cell>
          <cell r="R1900" t="str">
            <v>ALUMİNYUM</v>
          </cell>
          <cell r="S1900" t="str">
            <v>KROM</v>
          </cell>
          <cell r="T1900" t="str">
            <v>YOK</v>
          </cell>
          <cell r="U1900" t="str">
            <v>YOK</v>
          </cell>
          <cell r="AD1900" t="str">
            <v>DÜZ</v>
          </cell>
          <cell r="AE1900" t="str">
            <v>01</v>
          </cell>
          <cell r="AF1900">
            <v>98</v>
          </cell>
          <cell r="AG1900" t="str">
            <v>ADET</v>
          </cell>
          <cell r="AH1900">
            <v>23.5</v>
          </cell>
          <cell r="AI1900" t="str">
            <v>CNY</v>
          </cell>
          <cell r="AJ1900">
            <v>1630</v>
          </cell>
          <cell r="AK1900" t="str">
            <v>TL</v>
          </cell>
          <cell r="AL1900">
            <v>1</v>
          </cell>
          <cell r="AM1900" t="str">
            <v>8684127516181</v>
          </cell>
          <cell r="AO1900">
            <v>0</v>
          </cell>
          <cell r="AQ1900">
            <v>140</v>
          </cell>
          <cell r="AR1900" t="str">
            <v>CM</v>
          </cell>
          <cell r="AS1900">
            <v>60</v>
          </cell>
          <cell r="AT1900" t="str">
            <v>CM</v>
          </cell>
          <cell r="AU1900">
            <v>0</v>
          </cell>
          <cell r="AW1900">
            <v>0</v>
          </cell>
        </row>
        <row r="1901">
          <cell r="B1901" t="str">
            <v>ADY0CRSARG0-165</v>
          </cell>
          <cell r="C1901" t="str">
            <v>SİYAH-GRİ GRAMOFON -  MÜZİK ÇALAR</v>
          </cell>
          <cell r="D1901" t="str">
            <v>BLACK-GREY GRAMOPHONE - MUSIC PLAYER</v>
          </cell>
          <cell r="E1901" t="str">
            <v xml:space="preserve">ALUMİNYUM AHŞAP SİYAH GRİ   </v>
          </cell>
          <cell r="F1901" t="str">
            <v/>
          </cell>
          <cell r="G1901" t="str">
            <v>AKSESUAR</v>
          </cell>
          <cell r="H1901" t="str">
            <v/>
          </cell>
          <cell r="I1901" t="str">
            <v>İÇ</v>
          </cell>
          <cell r="J1901" t="str">
            <v>AKSESUAR</v>
          </cell>
          <cell r="K1901" t="str">
            <v/>
          </cell>
          <cell r="L1901" t="str">
            <v/>
          </cell>
          <cell r="M1901" t="str">
            <v/>
          </cell>
          <cell r="N1901" t="str">
            <v>HAA-250058</v>
          </cell>
          <cell r="O1901" t="str">
            <v>HEKA</v>
          </cell>
          <cell r="P1901" t="str">
            <v>ADET</v>
          </cell>
          <cell r="R1901" t="str">
            <v>ALUMİNYUM</v>
          </cell>
          <cell r="S1901" t="str">
            <v>SİYAH</v>
          </cell>
          <cell r="T1901" t="str">
            <v>AHŞAP</v>
          </cell>
          <cell r="U1901" t="str">
            <v>GRİ</v>
          </cell>
          <cell r="AF1901">
            <v>15</v>
          </cell>
          <cell r="AG1901" t="str">
            <v>ADET</v>
          </cell>
          <cell r="AH1901">
            <v>2000</v>
          </cell>
          <cell r="AI1901" t="str">
            <v>CNY</v>
          </cell>
          <cell r="AJ1901">
            <v>119000</v>
          </cell>
          <cell r="AK1901" t="str">
            <v>TL</v>
          </cell>
          <cell r="AL1901">
            <v>1</v>
          </cell>
          <cell r="AO1901">
            <v>0</v>
          </cell>
          <cell r="AQ1901">
            <v>0</v>
          </cell>
          <cell r="AS1901">
            <v>0</v>
          </cell>
          <cell r="AU1901">
            <v>0</v>
          </cell>
          <cell r="AW1901">
            <v>0</v>
          </cell>
        </row>
        <row r="1902">
          <cell r="B1902" t="str">
            <v>H1C6JMPWRBR-080</v>
          </cell>
          <cell r="C1902" t="str">
            <v>EKHO SALON  MERMER PLATİN SARKIT AVİZE 80cm</v>
          </cell>
          <cell r="D1902" t="str">
            <v>EKHO LIVING ROOM MARBLE PLATINUM PENDANT CHANDELIER 80cm</v>
          </cell>
          <cell r="E1902" t="str">
            <v xml:space="preserve">METAL MERMER PLATİN BEYAZ   </v>
          </cell>
          <cell r="F1902" t="str">
            <v/>
          </cell>
          <cell r="G1902" t="str">
            <v>AVİZE</v>
          </cell>
          <cell r="H1902" t="str">
            <v/>
          </cell>
          <cell r="I1902" t="str">
            <v>İÇ</v>
          </cell>
          <cell r="J1902" t="str">
            <v>AVİZE.AVİZ</v>
          </cell>
          <cell r="K1902" t="str">
            <v>EKHO</v>
          </cell>
          <cell r="L1902" t="str">
            <v>Ç</v>
          </cell>
          <cell r="M1902" t="str">
            <v/>
          </cell>
          <cell r="N1902" t="str">
            <v>HKA-24551</v>
          </cell>
          <cell r="O1902" t="str">
            <v>HEKA</v>
          </cell>
          <cell r="P1902" t="str">
            <v>ADET</v>
          </cell>
          <cell r="Q1902" t="str">
            <v>LED</v>
          </cell>
          <cell r="R1902" t="str">
            <v>METAL</v>
          </cell>
          <cell r="S1902" t="str">
            <v>PLATİN</v>
          </cell>
          <cell r="T1902" t="str">
            <v>MERMER</v>
          </cell>
          <cell r="U1902" t="str">
            <v>BEYAZ</v>
          </cell>
          <cell r="AD1902" t="str">
            <v>DAİRE</v>
          </cell>
          <cell r="AF1902">
            <v>15</v>
          </cell>
          <cell r="AG1902" t="str">
            <v>ADET</v>
          </cell>
          <cell r="AH1902">
            <v>950</v>
          </cell>
          <cell r="AI1902" t="str">
            <v>CNY</v>
          </cell>
          <cell r="AJ1902">
            <v>60950</v>
          </cell>
          <cell r="AK1902" t="str">
            <v>TL</v>
          </cell>
          <cell r="AL1902">
            <v>1</v>
          </cell>
          <cell r="AM1902" t="str">
            <v>8684127516327</v>
          </cell>
          <cell r="AO1902">
            <v>0</v>
          </cell>
          <cell r="AQ1902">
            <v>0</v>
          </cell>
          <cell r="AS1902">
            <v>0</v>
          </cell>
          <cell r="AU1902">
            <v>0</v>
          </cell>
          <cell r="AW1902">
            <v>0</v>
          </cell>
        </row>
        <row r="1903">
          <cell r="B1903" t="str">
            <v>ADYHAACCRS0-165</v>
          </cell>
          <cell r="C1903" t="str">
            <v>KAHVERENGİ-SİYAH GRAMOFON -  MÜZİK ÇALAR</v>
          </cell>
          <cell r="D1903" t="str">
            <v>BROWN-BLACK GRAMOPHONE - MUSIC PLAYER</v>
          </cell>
          <cell r="E1903" t="str">
            <v>AHŞAP ALUMİNYUM CEVİZ SİYAH</v>
          </cell>
          <cell r="F1903" t="str">
            <v/>
          </cell>
          <cell r="G1903" t="str">
            <v>AKSESUAR</v>
          </cell>
          <cell r="H1903" t="str">
            <v/>
          </cell>
          <cell r="I1903" t="str">
            <v>İÇ</v>
          </cell>
          <cell r="J1903" t="str">
            <v>AKSESUAR</v>
          </cell>
          <cell r="K1903" t="str">
            <v>JSQ</v>
          </cell>
          <cell r="L1903" t="str">
            <v/>
          </cell>
          <cell r="M1903" t="str">
            <v/>
          </cell>
          <cell r="N1903" t="str">
            <v>HKA-250006</v>
          </cell>
          <cell r="O1903" t="str">
            <v>HEKA</v>
          </cell>
          <cell r="P1903" t="str">
            <v>ADET</v>
          </cell>
          <cell r="R1903" t="str">
            <v>AHŞAP</v>
          </cell>
          <cell r="S1903" t="str">
            <v>CEVİZ</v>
          </cell>
          <cell r="T1903" t="str">
            <v>ALUMİNYUM</v>
          </cell>
          <cell r="U1903" t="str">
            <v>SİYAH</v>
          </cell>
          <cell r="AF1903">
            <v>1</v>
          </cell>
          <cell r="AG1903" t="str">
            <v>ADET</v>
          </cell>
          <cell r="AJ1903">
            <v>79000</v>
          </cell>
          <cell r="AK1903" t="str">
            <v>TL</v>
          </cell>
          <cell r="AL1903">
            <v>1</v>
          </cell>
          <cell r="AO1903">
            <v>7.6</v>
          </cell>
          <cell r="AP1903" t="str">
            <v>KG</v>
          </cell>
          <cell r="AQ1903">
            <v>125</v>
          </cell>
          <cell r="AR1903" t="str">
            <v>CM</v>
          </cell>
          <cell r="AS1903">
            <v>50</v>
          </cell>
          <cell r="AT1903" t="str">
            <v>CM</v>
          </cell>
          <cell r="AU1903">
            <v>0</v>
          </cell>
          <cell r="AW1903">
            <v>0</v>
          </cell>
        </row>
        <row r="1904">
          <cell r="B1904" t="str">
            <v>H1F6WRBJME0-165</v>
          </cell>
          <cell r="C1904" t="str">
            <v>HARTUM MERMER ESKİTME LAMBADER</v>
          </cell>
          <cell r="D1904" t="str">
            <v>HARTUM MARBLE BRUSHED BRASS FLOOR LAMP</v>
          </cell>
          <cell r="E1904" t="str">
            <v xml:space="preserve">MERMER METAL BEYAZ ESKİTME   </v>
          </cell>
          <cell r="F1904" t="str">
            <v/>
          </cell>
          <cell r="G1904" t="str">
            <v>LAMBADER</v>
          </cell>
          <cell r="H1904" t="str">
            <v/>
          </cell>
          <cell r="I1904" t="str">
            <v>İÇ</v>
          </cell>
          <cell r="J1904" t="str">
            <v>LAMBADER</v>
          </cell>
          <cell r="K1904" t="str">
            <v>HARTUM</v>
          </cell>
          <cell r="L1904" t="str">
            <v/>
          </cell>
          <cell r="M1904" t="str">
            <v>20.04.2026</v>
          </cell>
          <cell r="N1904" t="str">
            <v>HKA-24522</v>
          </cell>
          <cell r="O1904" t="str">
            <v>HEKA</v>
          </cell>
          <cell r="P1904" t="str">
            <v>ADET</v>
          </cell>
          <cell r="Q1904" t="str">
            <v>LED</v>
          </cell>
          <cell r="R1904" t="str">
            <v>MERMER</v>
          </cell>
          <cell r="S1904" t="str">
            <v>BEYAZ</v>
          </cell>
          <cell r="T1904" t="str">
            <v>METAL</v>
          </cell>
          <cell r="U1904" t="str">
            <v>ESKİTME</v>
          </cell>
          <cell r="X1904" t="str">
            <v>110V-220V</v>
          </cell>
          <cell r="Y1904" t="str">
            <v>60 WATT</v>
          </cell>
          <cell r="Z1904" t="str">
            <v>3000 K</v>
          </cell>
          <cell r="AA1904" t="str">
            <v>DIMMSIZ</v>
          </cell>
          <cell r="AB1904" t="str">
            <v>0-100</v>
          </cell>
          <cell r="AF1904">
            <v>2</v>
          </cell>
          <cell r="AG1904" t="str">
            <v>ADET</v>
          </cell>
          <cell r="AH1904">
            <v>1724.8</v>
          </cell>
          <cell r="AI1904" t="str">
            <v>CNY</v>
          </cell>
          <cell r="AJ1904">
            <v>114900</v>
          </cell>
          <cell r="AK1904" t="str">
            <v>TL</v>
          </cell>
          <cell r="AL1904">
            <v>1</v>
          </cell>
          <cell r="AM1904" t="str">
            <v>8684127515610</v>
          </cell>
          <cell r="AO1904">
            <v>23</v>
          </cell>
          <cell r="AP1904" t="str">
            <v>KG</v>
          </cell>
          <cell r="AQ1904">
            <v>30</v>
          </cell>
          <cell r="AR1904" t="str">
            <v>CM</v>
          </cell>
          <cell r="AS1904">
            <v>45</v>
          </cell>
          <cell r="AT1904" t="str">
            <v>CM</v>
          </cell>
          <cell r="AU1904">
            <v>0</v>
          </cell>
          <cell r="AW1904">
            <v>0</v>
          </cell>
        </row>
        <row r="1905">
          <cell r="B1905" t="str">
            <v>H1T6WRBJME0-070</v>
          </cell>
          <cell r="C1905" t="str">
            <v>HARTUM MERMER ESKİTME MASA LAMBASI</v>
          </cell>
          <cell r="D1905" t="str">
            <v>HARTUM MARBLE BRUSHED BRASS TABLE LAMP</v>
          </cell>
          <cell r="E1905" t="str">
            <v xml:space="preserve">MERMER METAL BEYAZ ESKİTME   </v>
          </cell>
          <cell r="F1905" t="str">
            <v/>
          </cell>
          <cell r="G1905" t="str">
            <v>MASAABAJ</v>
          </cell>
          <cell r="H1905" t="str">
            <v/>
          </cell>
          <cell r="I1905" t="str">
            <v>İÇ</v>
          </cell>
          <cell r="J1905" t="str">
            <v>MASAABAJ</v>
          </cell>
          <cell r="K1905" t="str">
            <v>HARTUM</v>
          </cell>
          <cell r="L1905" t="str">
            <v/>
          </cell>
          <cell r="M1905" t="str">
            <v/>
          </cell>
          <cell r="N1905" t="str">
            <v>HKA-24523</v>
          </cell>
          <cell r="O1905" t="str">
            <v>HEKA</v>
          </cell>
          <cell r="P1905" t="str">
            <v>ADET</v>
          </cell>
          <cell r="Q1905" t="str">
            <v>LED</v>
          </cell>
          <cell r="R1905" t="str">
            <v>MERMER</v>
          </cell>
          <cell r="S1905" t="str">
            <v>BEYAZ</v>
          </cell>
          <cell r="T1905" t="str">
            <v>METAL</v>
          </cell>
          <cell r="U1905" t="str">
            <v>ESKİTME</v>
          </cell>
          <cell r="X1905" t="str">
            <v>110V-220V</v>
          </cell>
          <cell r="Y1905" t="str">
            <v>18 WATT</v>
          </cell>
          <cell r="Z1905" t="str">
            <v>3000 K</v>
          </cell>
          <cell r="AA1905" t="str">
            <v>DIMMSIZ</v>
          </cell>
          <cell r="AB1905" t="str">
            <v>0-100</v>
          </cell>
          <cell r="AF1905">
            <v>2</v>
          </cell>
          <cell r="AG1905" t="str">
            <v>ADET</v>
          </cell>
          <cell r="AH1905">
            <v>721.6</v>
          </cell>
          <cell r="AI1905" t="str">
            <v>CNY</v>
          </cell>
          <cell r="AJ1905">
            <v>53900</v>
          </cell>
          <cell r="AK1905" t="str">
            <v>TL</v>
          </cell>
          <cell r="AL1905">
            <v>1</v>
          </cell>
          <cell r="AM1905" t="str">
            <v>8684127515627</v>
          </cell>
          <cell r="AO1905">
            <v>9</v>
          </cell>
          <cell r="AP1905" t="str">
            <v>KG</v>
          </cell>
          <cell r="AQ1905">
            <v>20</v>
          </cell>
          <cell r="AR1905" t="str">
            <v>CM</v>
          </cell>
          <cell r="AS1905">
            <v>30</v>
          </cell>
          <cell r="AT1905" t="str">
            <v>CM</v>
          </cell>
          <cell r="AU1905">
            <v>0</v>
          </cell>
          <cell r="AW1905">
            <v>0</v>
          </cell>
        </row>
        <row r="1906">
          <cell r="B1906" t="str">
            <v>H1C6JRGERF1-028</v>
          </cell>
          <cell r="C1906" t="str">
            <v>KABİL TEKLİ FÜME CAM ANTRASİT SARKIT 28cm</v>
          </cell>
          <cell r="D1906" t="str">
            <v>KABİL SINGLE SMOKY GLASS ANTHRACITE PENDANT 28cm</v>
          </cell>
          <cell r="E1906" t="str">
            <v xml:space="preserve">METAL CAM  ANTRASİT FÜME   </v>
          </cell>
          <cell r="F1906" t="str">
            <v/>
          </cell>
          <cell r="G1906" t="str">
            <v>AVİZE</v>
          </cell>
          <cell r="H1906" t="str">
            <v/>
          </cell>
          <cell r="I1906" t="str">
            <v>İÇ</v>
          </cell>
          <cell r="J1906" t="str">
            <v>AVİZE.SARK</v>
          </cell>
          <cell r="K1906" t="str">
            <v>KABİL</v>
          </cell>
          <cell r="L1906" t="str">
            <v/>
          </cell>
          <cell r="M1906" t="str">
            <v/>
          </cell>
          <cell r="N1906" t="str">
            <v>HKA-24563</v>
          </cell>
          <cell r="O1906" t="str">
            <v>HEKA</v>
          </cell>
          <cell r="P1906" t="str">
            <v>ADET</v>
          </cell>
          <cell r="Q1906" t="str">
            <v>LED</v>
          </cell>
          <cell r="R1906" t="str">
            <v>METAL</v>
          </cell>
          <cell r="S1906" t="str">
            <v>ANTRASİT</v>
          </cell>
          <cell r="T1906" t="str">
            <v>CAM</v>
          </cell>
          <cell r="U1906" t="str">
            <v>FÜME</v>
          </cell>
          <cell r="X1906" t="str">
            <v>110V-220V</v>
          </cell>
          <cell r="Y1906" t="str">
            <v>7 WATT</v>
          </cell>
          <cell r="Z1906" t="str">
            <v>3000 K</v>
          </cell>
          <cell r="AA1906" t="str">
            <v>DIMMSIZ</v>
          </cell>
          <cell r="AB1906" t="str">
            <v>301-400</v>
          </cell>
          <cell r="AF1906">
            <v>7</v>
          </cell>
          <cell r="AG1906" t="str">
            <v>ADET</v>
          </cell>
          <cell r="AH1906">
            <v>150.5</v>
          </cell>
          <cell r="AI1906" t="str">
            <v>CNY</v>
          </cell>
          <cell r="AJ1906">
            <v>12450</v>
          </cell>
          <cell r="AK1906" t="str">
            <v>TL</v>
          </cell>
          <cell r="AL1906">
            <v>1</v>
          </cell>
          <cell r="AM1906" t="str">
            <v>8684127515788</v>
          </cell>
          <cell r="AO1906">
            <v>1.17</v>
          </cell>
          <cell r="AP1906" t="str">
            <v>KG</v>
          </cell>
          <cell r="AQ1906">
            <v>12</v>
          </cell>
          <cell r="AR1906" t="str">
            <v>CM</v>
          </cell>
          <cell r="AS1906">
            <v>12</v>
          </cell>
          <cell r="AT1906" t="str">
            <v>CM</v>
          </cell>
          <cell r="AU1906">
            <v>0</v>
          </cell>
          <cell r="AW1906">
            <v>0</v>
          </cell>
        </row>
        <row r="1907">
          <cell r="B1907" t="str">
            <v>H1C6JRGERF1-037</v>
          </cell>
          <cell r="C1907" t="str">
            <v>KABİL TEKLİ FÜME CAM ANTRASİT SARKIT 37cm</v>
          </cell>
          <cell r="D1907" t="str">
            <v>KABİL SINGLE SMOKY GLASS ANTHRACITE PENDANT 37cm</v>
          </cell>
          <cell r="E1907" t="str">
            <v xml:space="preserve">METAL CAM  ANTRASİT FÜME   </v>
          </cell>
          <cell r="F1907" t="str">
            <v/>
          </cell>
          <cell r="G1907" t="str">
            <v>AVİZE</v>
          </cell>
          <cell r="H1907" t="str">
            <v/>
          </cell>
          <cell r="I1907" t="str">
            <v>İÇ</v>
          </cell>
          <cell r="J1907" t="str">
            <v>AVİZE.SARK</v>
          </cell>
          <cell r="K1907" t="str">
            <v>KABİL</v>
          </cell>
          <cell r="L1907" t="str">
            <v/>
          </cell>
          <cell r="M1907" t="str">
            <v/>
          </cell>
          <cell r="N1907" t="str">
            <v>HKA-24564</v>
          </cell>
          <cell r="O1907" t="str">
            <v>HEKA</v>
          </cell>
          <cell r="P1907" t="str">
            <v>ADET</v>
          </cell>
          <cell r="Q1907" t="str">
            <v>LED</v>
          </cell>
          <cell r="R1907" t="str">
            <v>METAL</v>
          </cell>
          <cell r="S1907" t="str">
            <v>ANTRASİT</v>
          </cell>
          <cell r="T1907" t="str">
            <v>CAM</v>
          </cell>
          <cell r="U1907" t="str">
            <v>FÜME</v>
          </cell>
          <cell r="X1907" t="str">
            <v>110V-220V</v>
          </cell>
          <cell r="Y1907" t="str">
            <v>12 WATT</v>
          </cell>
          <cell r="Z1907" t="str">
            <v>3000 K</v>
          </cell>
          <cell r="AA1907" t="str">
            <v>DIMMSIZ</v>
          </cell>
          <cell r="AB1907" t="str">
            <v>401-500</v>
          </cell>
          <cell r="AF1907">
            <v>18</v>
          </cell>
          <cell r="AG1907" t="str">
            <v>ADET</v>
          </cell>
          <cell r="AH1907">
            <v>301</v>
          </cell>
          <cell r="AI1907" t="str">
            <v>CNY</v>
          </cell>
          <cell r="AJ1907">
            <v>24900</v>
          </cell>
          <cell r="AK1907" t="str">
            <v>TL</v>
          </cell>
          <cell r="AL1907">
            <v>1</v>
          </cell>
          <cell r="AM1907" t="str">
            <v>8684127515795</v>
          </cell>
          <cell r="AO1907">
            <v>2.19</v>
          </cell>
          <cell r="AP1907" t="str">
            <v>KG</v>
          </cell>
          <cell r="AQ1907">
            <v>16</v>
          </cell>
          <cell r="AR1907" t="str">
            <v>CM</v>
          </cell>
          <cell r="AS1907">
            <v>16</v>
          </cell>
          <cell r="AT1907" t="str">
            <v>CM</v>
          </cell>
          <cell r="AU1907">
            <v>0</v>
          </cell>
          <cell r="AW1907">
            <v>0</v>
          </cell>
        </row>
        <row r="1908">
          <cell r="B1908" t="str">
            <v>H1C6VRVERL0-136</v>
          </cell>
          <cell r="C1908" t="str">
            <v>KİNŞASA KAHVERENGİ DERİ BEŞ BAL CAM PLAFONYER</v>
          </cell>
          <cell r="D1908" t="str">
            <v>KİNŞASA BROWN LEATHER FIVE AMBER GLASS PLAFONIER</v>
          </cell>
          <cell r="E1908" t="str">
            <v xml:space="preserve">DERİ CAM  KAHVERENGİ BAL   </v>
          </cell>
          <cell r="F1908" t="str">
            <v/>
          </cell>
          <cell r="G1908" t="str">
            <v>AVİZE</v>
          </cell>
          <cell r="H1908" t="str">
            <v/>
          </cell>
          <cell r="I1908" t="str">
            <v>İÇ</v>
          </cell>
          <cell r="J1908" t="str">
            <v>AVİZE.PLF</v>
          </cell>
          <cell r="K1908" t="str">
            <v>KİNŞASA</v>
          </cell>
          <cell r="L1908" t="str">
            <v/>
          </cell>
          <cell r="M1908" t="str">
            <v/>
          </cell>
          <cell r="N1908" t="str">
            <v>HKA-24560</v>
          </cell>
          <cell r="O1908" t="str">
            <v>HEKA</v>
          </cell>
          <cell r="P1908" t="str">
            <v>ADET</v>
          </cell>
          <cell r="Q1908" t="str">
            <v>LED</v>
          </cell>
          <cell r="R1908" t="str">
            <v>DERİ</v>
          </cell>
          <cell r="S1908" t="str">
            <v>KAHVERENGİ</v>
          </cell>
          <cell r="T1908" t="str">
            <v>CAM</v>
          </cell>
          <cell r="U1908" t="str">
            <v>BAL</v>
          </cell>
          <cell r="X1908" t="str">
            <v>110V-220V</v>
          </cell>
          <cell r="Y1908" t="str">
            <v>12 WATT</v>
          </cell>
          <cell r="Z1908" t="str">
            <v xml:space="preserve">2700 K </v>
          </cell>
          <cell r="AA1908" t="str">
            <v>DIMMSIZ</v>
          </cell>
          <cell r="AB1908" t="str">
            <v>501-600</v>
          </cell>
          <cell r="AF1908">
            <v>15</v>
          </cell>
          <cell r="AG1908" t="str">
            <v>ADET</v>
          </cell>
          <cell r="AH1908">
            <v>260</v>
          </cell>
          <cell r="AI1908" t="str">
            <v>CNY</v>
          </cell>
          <cell r="AJ1908">
            <v>18900</v>
          </cell>
          <cell r="AK1908" t="str">
            <v>TL</v>
          </cell>
          <cell r="AL1908">
            <v>1</v>
          </cell>
          <cell r="AM1908" t="str">
            <v>8684127515955</v>
          </cell>
          <cell r="AO1908">
            <v>0</v>
          </cell>
          <cell r="AQ1908">
            <v>0</v>
          </cell>
          <cell r="AR1908" t="str">
            <v>CM</v>
          </cell>
          <cell r="AS1908">
            <v>0</v>
          </cell>
          <cell r="AT1908" t="str">
            <v>CM</v>
          </cell>
          <cell r="AU1908">
            <v>0</v>
          </cell>
          <cell r="AW1908">
            <v>0</v>
          </cell>
        </row>
        <row r="1909">
          <cell r="B1909" t="str">
            <v>H1W6VRVERL0-056</v>
          </cell>
          <cell r="C1909" t="str">
            <v>KİNŞASA KAHVERENGİ DERİ ÜÇ BAL CAM APLİK</v>
          </cell>
          <cell r="D1909" t="str">
            <v>KİNŞASA BROWN LEATHER THREE AMBER GLASS WALL LAMP</v>
          </cell>
          <cell r="E1909" t="str">
            <v xml:space="preserve">DERİ CAM  KAHVERENGİ BAL   </v>
          </cell>
          <cell r="F1909" t="str">
            <v/>
          </cell>
          <cell r="G1909" t="str">
            <v>APLİK</v>
          </cell>
          <cell r="H1909" t="str">
            <v/>
          </cell>
          <cell r="I1909" t="str">
            <v>İÇ</v>
          </cell>
          <cell r="J1909" t="str">
            <v>APLİK</v>
          </cell>
          <cell r="K1909" t="str">
            <v>KİNŞASA</v>
          </cell>
          <cell r="L1909" t="str">
            <v/>
          </cell>
          <cell r="M1909" t="str">
            <v/>
          </cell>
          <cell r="N1909" t="str">
            <v>HKA-24556</v>
          </cell>
          <cell r="O1909" t="str">
            <v>HEKA</v>
          </cell>
          <cell r="P1909" t="str">
            <v>ADET</v>
          </cell>
          <cell r="Q1909" t="str">
            <v>LED</v>
          </cell>
          <cell r="R1909" t="str">
            <v>DERİ</v>
          </cell>
          <cell r="S1909" t="str">
            <v>KAHVERENGİ</v>
          </cell>
          <cell r="T1909" t="str">
            <v>CAM</v>
          </cell>
          <cell r="U1909" t="str">
            <v>BAL</v>
          </cell>
          <cell r="X1909" t="str">
            <v>110V-220V</v>
          </cell>
          <cell r="Y1909" t="str">
            <v>8 WATT</v>
          </cell>
          <cell r="Z1909" t="str">
            <v xml:space="preserve">2700 K </v>
          </cell>
          <cell r="AA1909" t="str">
            <v>DIMMSIZ</v>
          </cell>
          <cell r="AB1909" t="str">
            <v>1101-1200</v>
          </cell>
          <cell r="AF1909">
            <v>4</v>
          </cell>
          <cell r="AG1909" t="str">
            <v>ADET</v>
          </cell>
          <cell r="AH1909">
            <v>190</v>
          </cell>
          <cell r="AI1909" t="str">
            <v>CNY</v>
          </cell>
          <cell r="AJ1909">
            <v>13900</v>
          </cell>
          <cell r="AK1909" t="str">
            <v>TL</v>
          </cell>
          <cell r="AL1909">
            <v>1</v>
          </cell>
          <cell r="AM1909" t="str">
            <v>8684127515979</v>
          </cell>
          <cell r="AO1909">
            <v>1</v>
          </cell>
          <cell r="AP1909" t="str">
            <v>KG</v>
          </cell>
          <cell r="AQ1909">
            <v>12</v>
          </cell>
          <cell r="AR1909" t="str">
            <v>CM</v>
          </cell>
          <cell r="AS1909">
            <v>16</v>
          </cell>
          <cell r="AT1909" t="str">
            <v>CM</v>
          </cell>
          <cell r="AU1909">
            <v>0</v>
          </cell>
          <cell r="AW1909">
            <v>0</v>
          </cell>
        </row>
        <row r="1910">
          <cell r="B1910" t="str">
            <v>H1T6KMPWRB0-057</v>
          </cell>
          <cell r="C1910" t="str">
            <v>REGİNA PLATİN MERMER MASA LAMBASI</v>
          </cell>
          <cell r="D1910" t="str">
            <v>REGİNA PLATINUM MARBLE TABLE LAMP</v>
          </cell>
          <cell r="E1910" t="str">
            <v xml:space="preserve">PASLANMAZ MERMER PLATİN BEYAZ   </v>
          </cell>
          <cell r="F1910" t="str">
            <v/>
          </cell>
          <cell r="G1910" t="str">
            <v>MASAABAJ</v>
          </cell>
          <cell r="H1910" t="str">
            <v/>
          </cell>
          <cell r="I1910" t="str">
            <v>İÇ</v>
          </cell>
          <cell r="J1910" t="str">
            <v>MASAABAJ</v>
          </cell>
          <cell r="K1910" t="str">
            <v>REGİNA</v>
          </cell>
          <cell r="L1910" t="str">
            <v/>
          </cell>
          <cell r="M1910" t="str">
            <v/>
          </cell>
          <cell r="N1910" t="str">
            <v>HKA-24483</v>
          </cell>
          <cell r="O1910" t="str">
            <v>HEKA</v>
          </cell>
          <cell r="P1910" t="str">
            <v>ADET</v>
          </cell>
          <cell r="Q1910" t="str">
            <v>LED</v>
          </cell>
          <cell r="R1910" t="str">
            <v>PASLANMAZ</v>
          </cell>
          <cell r="S1910" t="str">
            <v>PLATİN</v>
          </cell>
          <cell r="T1910" t="str">
            <v>MERMER</v>
          </cell>
          <cell r="U1910" t="str">
            <v>BEYAZ</v>
          </cell>
          <cell r="AF1910">
            <v>1</v>
          </cell>
          <cell r="AG1910" t="str">
            <v>ADET</v>
          </cell>
          <cell r="AH1910">
            <v>952</v>
          </cell>
          <cell r="AI1910" t="str">
            <v>CNY</v>
          </cell>
          <cell r="AJ1910">
            <v>79968</v>
          </cell>
          <cell r="AK1910" t="str">
            <v>TL</v>
          </cell>
          <cell r="AL1910">
            <v>1</v>
          </cell>
          <cell r="AM1910" t="str">
            <v>8684127516082</v>
          </cell>
          <cell r="AO1910">
            <v>0</v>
          </cell>
          <cell r="AQ1910">
            <v>0</v>
          </cell>
          <cell r="AS1910">
            <v>0</v>
          </cell>
          <cell r="AU1910">
            <v>0</v>
          </cell>
          <cell r="AW1910">
            <v>0</v>
          </cell>
        </row>
        <row r="1911">
          <cell r="B1911" t="str">
            <v>H1F6KMPWRB0-167</v>
          </cell>
          <cell r="C1911" t="str">
            <v>REGİNA PLATİN MERMER LAMBADER</v>
          </cell>
          <cell r="D1911" t="str">
            <v>REGİNA PLATINUM MARBLE FLOOR LAMP</v>
          </cell>
          <cell r="E1911" t="str">
            <v xml:space="preserve">PASLANMAZ MERMER PLATİN BEYAZ   </v>
          </cell>
          <cell r="F1911" t="str">
            <v/>
          </cell>
          <cell r="G1911" t="str">
            <v>LAMBADER</v>
          </cell>
          <cell r="H1911" t="str">
            <v/>
          </cell>
          <cell r="I1911" t="str">
            <v>İÇ</v>
          </cell>
          <cell r="J1911" t="str">
            <v>LAMBADER</v>
          </cell>
          <cell r="K1911" t="str">
            <v>REGİNA</v>
          </cell>
          <cell r="L1911" t="str">
            <v/>
          </cell>
          <cell r="M1911" t="str">
            <v/>
          </cell>
          <cell r="N1911" t="str">
            <v>HKA-24484</v>
          </cell>
          <cell r="O1911" t="str">
            <v>HEKA</v>
          </cell>
          <cell r="P1911" t="str">
            <v>ADET</v>
          </cell>
          <cell r="Q1911" t="str">
            <v>LED</v>
          </cell>
          <cell r="R1911" t="str">
            <v>PASLANMAZ</v>
          </cell>
          <cell r="S1911" t="str">
            <v>PLATİN</v>
          </cell>
          <cell r="T1911" t="str">
            <v>MERMER</v>
          </cell>
          <cell r="U1911" t="str">
            <v>BEYAZ</v>
          </cell>
          <cell r="AF1911">
            <v>2</v>
          </cell>
          <cell r="AG1911" t="str">
            <v>ADET</v>
          </cell>
          <cell r="AH1911">
            <v>1040</v>
          </cell>
          <cell r="AI1911" t="str">
            <v>CNY</v>
          </cell>
          <cell r="AJ1911">
            <v>87360</v>
          </cell>
          <cell r="AK1911" t="str">
            <v>TL</v>
          </cell>
          <cell r="AL1911">
            <v>1</v>
          </cell>
          <cell r="AM1911" t="str">
            <v>8684127516099</v>
          </cell>
          <cell r="AO1911">
            <v>0</v>
          </cell>
          <cell r="AQ1911">
            <v>0</v>
          </cell>
          <cell r="AS1911">
            <v>0</v>
          </cell>
          <cell r="AU1911">
            <v>0</v>
          </cell>
          <cell r="AW1911">
            <v>0</v>
          </cell>
        </row>
        <row r="1912">
          <cell r="B1912" t="str">
            <v>H1C6KMPWRB0-147</v>
          </cell>
          <cell r="C1912" t="str">
            <v>REGİNA PLATİN MERMER SALON AVİZE 147CM</v>
          </cell>
          <cell r="D1912" t="str">
            <v>REGİNA PLATINUM MARBLE LIVING ROOM CHANDELIER 147CM</v>
          </cell>
          <cell r="E1912" t="str">
            <v xml:space="preserve">PASLANMAZ MERMER PLATİN BEYAZ   </v>
          </cell>
          <cell r="F1912" t="str">
            <v/>
          </cell>
          <cell r="G1912" t="str">
            <v>AVİZE</v>
          </cell>
          <cell r="H1912" t="str">
            <v/>
          </cell>
          <cell r="I1912" t="str">
            <v>İÇ</v>
          </cell>
          <cell r="J1912" t="str">
            <v>AVİZE</v>
          </cell>
          <cell r="K1912" t="str">
            <v>REGİNA</v>
          </cell>
          <cell r="L1912" t="str">
            <v/>
          </cell>
          <cell r="M1912" t="str">
            <v/>
          </cell>
          <cell r="N1912" t="str">
            <v>HKA-24487</v>
          </cell>
          <cell r="O1912" t="str">
            <v>HEKA</v>
          </cell>
          <cell r="P1912" t="str">
            <v>ADET</v>
          </cell>
          <cell r="Q1912" t="str">
            <v>LED</v>
          </cell>
          <cell r="R1912" t="str">
            <v>PASLANMAZ</v>
          </cell>
          <cell r="S1912" t="str">
            <v>PLATİN</v>
          </cell>
          <cell r="T1912" t="str">
            <v>MERMER</v>
          </cell>
          <cell r="U1912" t="str">
            <v>BEYAZ</v>
          </cell>
          <cell r="AF1912">
            <v>1</v>
          </cell>
          <cell r="AG1912" t="str">
            <v>ADET</v>
          </cell>
          <cell r="AH1912">
            <v>3240</v>
          </cell>
          <cell r="AI1912" t="str">
            <v>CNY</v>
          </cell>
          <cell r="AJ1912">
            <v>272160</v>
          </cell>
          <cell r="AK1912" t="str">
            <v>TL</v>
          </cell>
          <cell r="AL1912">
            <v>1</v>
          </cell>
          <cell r="AM1912" t="str">
            <v>8684127516129</v>
          </cell>
          <cell r="AO1912">
            <v>0</v>
          </cell>
          <cell r="AQ1912">
            <v>0</v>
          </cell>
          <cell r="AS1912">
            <v>0</v>
          </cell>
          <cell r="AU1912">
            <v>0</v>
          </cell>
          <cell r="AW1912">
            <v>0</v>
          </cell>
        </row>
        <row r="1913">
          <cell r="B1913" t="str">
            <v>H1C6JMEERFC-115</v>
          </cell>
          <cell r="C1913" t="str">
            <v>NABLUS ÜÇ SIRA FÜME CAM ÇUBUKLU ESKİTME AVİZE</v>
          </cell>
          <cell r="D1913" t="str">
            <v>NABLUS THREE ROW SMOKY GLASS RODS BRUSHED BRASS CHANDELIER</v>
          </cell>
          <cell r="E1913" t="str">
            <v xml:space="preserve">METAL CAM  ESKİTME FÜME </v>
          </cell>
          <cell r="F1913" t="str">
            <v/>
          </cell>
          <cell r="G1913" t="str">
            <v>AVİZE</v>
          </cell>
          <cell r="H1913" t="str">
            <v/>
          </cell>
          <cell r="I1913" t="str">
            <v>İÇ</v>
          </cell>
          <cell r="J1913" t="str">
            <v>AVİZE.AVİZ</v>
          </cell>
          <cell r="K1913" t="str">
            <v>NABLUS</v>
          </cell>
          <cell r="L1913" t="str">
            <v/>
          </cell>
          <cell r="M1913" t="str">
            <v>15.02.2026</v>
          </cell>
          <cell r="N1913" t="str">
            <v>HKA-24500</v>
          </cell>
          <cell r="O1913" t="str">
            <v>HEKA</v>
          </cell>
          <cell r="P1913" t="str">
            <v>ADET</v>
          </cell>
          <cell r="Q1913" t="str">
            <v>LED</v>
          </cell>
          <cell r="R1913" t="str">
            <v>METAL</v>
          </cell>
          <cell r="S1913" t="str">
            <v>ESKİTME</v>
          </cell>
          <cell r="T1913" t="str">
            <v>CAM</v>
          </cell>
          <cell r="U1913" t="str">
            <v>FÜME</v>
          </cell>
          <cell r="AF1913">
            <v>4</v>
          </cell>
          <cell r="AG1913" t="str">
            <v>ADET</v>
          </cell>
          <cell r="AH1913">
            <v>4529</v>
          </cell>
          <cell r="AI1913" t="str">
            <v>CNY</v>
          </cell>
          <cell r="AJ1913">
            <v>329750</v>
          </cell>
          <cell r="AK1913" t="str">
            <v>TL</v>
          </cell>
          <cell r="AL1913">
            <v>1</v>
          </cell>
          <cell r="AM1913" t="str">
            <v>8684127516693</v>
          </cell>
          <cell r="AO1913">
            <v>0</v>
          </cell>
          <cell r="AQ1913">
            <v>0</v>
          </cell>
          <cell r="AS1913">
            <v>0</v>
          </cell>
          <cell r="AU1913">
            <v>0</v>
          </cell>
          <cell r="AW1913">
            <v>0</v>
          </cell>
        </row>
        <row r="1914">
          <cell r="B1914" t="str">
            <v>H1C6JMEERFC-060</v>
          </cell>
          <cell r="C1914" t="str">
            <v>NABLUS FÜME CAM ÇUBUKLU ESKİTME SALON AVİZE 60cm</v>
          </cell>
          <cell r="D1914" t="str">
            <v>NABLUS SMOKY GLASS RODS BRUSHED BRASS LIVING ROOM CHANDELIER 60cm</v>
          </cell>
          <cell r="E1914" t="str">
            <v>METAL CAM  ESKİTME FÜME</v>
          </cell>
          <cell r="F1914" t="str">
            <v/>
          </cell>
          <cell r="G1914" t="str">
            <v>AVİZE</v>
          </cell>
          <cell r="H1914" t="str">
            <v/>
          </cell>
          <cell r="I1914" t="str">
            <v>İÇ</v>
          </cell>
          <cell r="J1914" t="str">
            <v>AVİZE.AVİZ</v>
          </cell>
          <cell r="K1914" t="str">
            <v>NABLUS</v>
          </cell>
          <cell r="L1914" t="str">
            <v>Ç</v>
          </cell>
          <cell r="M1914" t="str">
            <v/>
          </cell>
          <cell r="N1914" t="str">
            <v>HKA-24501</v>
          </cell>
          <cell r="O1914" t="str">
            <v>HEKA</v>
          </cell>
          <cell r="P1914" t="str">
            <v>ADET</v>
          </cell>
          <cell r="Q1914" t="str">
            <v>LED</v>
          </cell>
          <cell r="R1914" t="str">
            <v>METAL</v>
          </cell>
          <cell r="S1914" t="str">
            <v>ESKİTME</v>
          </cell>
          <cell r="T1914" t="str">
            <v>CAM</v>
          </cell>
          <cell r="U1914" t="str">
            <v>FÜME</v>
          </cell>
          <cell r="AF1914">
            <v>6</v>
          </cell>
          <cell r="AG1914" t="str">
            <v>ADET</v>
          </cell>
          <cell r="AH1914">
            <v>962.5</v>
          </cell>
          <cell r="AI1914" t="str">
            <v>CNY</v>
          </cell>
          <cell r="AJ1914">
            <v>64750</v>
          </cell>
          <cell r="AK1914" t="str">
            <v>TL</v>
          </cell>
          <cell r="AL1914">
            <v>1</v>
          </cell>
          <cell r="AM1914" t="str">
            <v>8684127516655</v>
          </cell>
          <cell r="AO1914">
            <v>0</v>
          </cell>
          <cell r="AQ1914">
            <v>0</v>
          </cell>
          <cell r="AS1914">
            <v>0</v>
          </cell>
          <cell r="AU1914">
            <v>0</v>
          </cell>
          <cell r="AW1914">
            <v>0</v>
          </cell>
        </row>
        <row r="1915">
          <cell r="B1915" t="str">
            <v>H1C6JMEWRF0-049</v>
          </cell>
          <cell r="C1915" t="str">
            <v>HARTUM ESKİTME İKİLİ MERMER SARKIT</v>
          </cell>
          <cell r="D1915" t="str">
            <v>HARTUM BRUSHED BRASS DOUBLE MARBLE PENDANT</v>
          </cell>
          <cell r="E1915" t="str">
            <v>METAL MERMER ESKİTME BEYAZ</v>
          </cell>
          <cell r="F1915" t="str">
            <v/>
          </cell>
          <cell r="G1915" t="str">
            <v>AVİZE</v>
          </cell>
          <cell r="H1915" t="str">
            <v/>
          </cell>
          <cell r="I1915" t="str">
            <v>İÇ</v>
          </cell>
          <cell r="J1915" t="str">
            <v>AVİZE.SARK</v>
          </cell>
          <cell r="K1915" t="str">
            <v>HARTUM</v>
          </cell>
          <cell r="L1915" t="str">
            <v/>
          </cell>
          <cell r="M1915" t="str">
            <v/>
          </cell>
          <cell r="N1915" t="str">
            <v>HKA-25019</v>
          </cell>
          <cell r="O1915" t="str">
            <v>HEKA</v>
          </cell>
          <cell r="P1915" t="str">
            <v>ADET</v>
          </cell>
          <cell r="Q1915" t="str">
            <v>LED</v>
          </cell>
          <cell r="R1915" t="str">
            <v>METAL</v>
          </cell>
          <cell r="S1915" t="str">
            <v>ESKİTME</v>
          </cell>
          <cell r="T1915" t="str">
            <v>MERMER</v>
          </cell>
          <cell r="U1915" t="str">
            <v>BEYAZ</v>
          </cell>
          <cell r="AE1915" t="str">
            <v>02</v>
          </cell>
          <cell r="AF1915">
            <v>29</v>
          </cell>
          <cell r="AG1915" t="str">
            <v>ADET</v>
          </cell>
          <cell r="AH1915">
            <v>339</v>
          </cell>
          <cell r="AI1915" t="str">
            <v>CNY</v>
          </cell>
          <cell r="AJ1915">
            <v>19750</v>
          </cell>
          <cell r="AK1915" t="str">
            <v>TL</v>
          </cell>
          <cell r="AL1915">
            <v>1</v>
          </cell>
          <cell r="AM1915" t="str">
            <v>8684127517263</v>
          </cell>
          <cell r="AO1915">
            <v>0</v>
          </cell>
          <cell r="AQ1915">
            <v>0</v>
          </cell>
          <cell r="AS1915">
            <v>0</v>
          </cell>
          <cell r="AU1915">
            <v>0</v>
          </cell>
          <cell r="AW1915">
            <v>0</v>
          </cell>
        </row>
        <row r="1916">
          <cell r="B1916" t="str">
            <v>H1C6VRVERL0-120</v>
          </cell>
          <cell r="C1916" t="str">
            <v>KİNŞASA KAHVERENGİ DERİ DÖRT BAL CAM PLAFONYER</v>
          </cell>
          <cell r="D1916" t="str">
            <v>KİNŞASA BROWN LEATHER FOUR AMBER GLASS PLAFONIER</v>
          </cell>
          <cell r="E1916" t="str">
            <v xml:space="preserve">DERİ CAM  KAHVERENGİ BAL   </v>
          </cell>
          <cell r="F1916" t="str">
            <v/>
          </cell>
          <cell r="G1916" t="str">
            <v>AVİZE</v>
          </cell>
          <cell r="H1916" t="str">
            <v/>
          </cell>
          <cell r="I1916" t="str">
            <v>İÇ</v>
          </cell>
          <cell r="J1916" t="str">
            <v>AVİZE.PLF</v>
          </cell>
          <cell r="K1916" t="str">
            <v>KİNŞASA</v>
          </cell>
          <cell r="L1916" t="str">
            <v/>
          </cell>
          <cell r="M1916" t="str">
            <v/>
          </cell>
          <cell r="N1916" t="str">
            <v>HKA-24558</v>
          </cell>
          <cell r="O1916" t="str">
            <v>HEKA</v>
          </cell>
          <cell r="P1916" t="str">
            <v>ADET</v>
          </cell>
          <cell r="Q1916" t="str">
            <v>LED</v>
          </cell>
          <cell r="R1916" t="str">
            <v>DERİ</v>
          </cell>
          <cell r="S1916" t="str">
            <v>KAHVERENGİ</v>
          </cell>
          <cell r="T1916" t="str">
            <v>CAM</v>
          </cell>
          <cell r="U1916" t="str">
            <v>BAL</v>
          </cell>
          <cell r="X1916" t="str">
            <v>110V-220V</v>
          </cell>
          <cell r="Y1916" t="str">
            <v>18 WATT</v>
          </cell>
          <cell r="Z1916" t="str">
            <v xml:space="preserve">2700 K </v>
          </cell>
          <cell r="AA1916" t="str">
            <v>DIMMSIZ</v>
          </cell>
          <cell r="AB1916" t="str">
            <v>401-500</v>
          </cell>
          <cell r="AF1916">
            <v>20</v>
          </cell>
          <cell r="AG1916" t="str">
            <v>ADET</v>
          </cell>
          <cell r="AH1916">
            <v>240</v>
          </cell>
          <cell r="AI1916" t="str">
            <v>CNY</v>
          </cell>
          <cell r="AJ1916">
            <v>16900</v>
          </cell>
          <cell r="AK1916" t="str">
            <v>TL</v>
          </cell>
          <cell r="AL1916">
            <v>1</v>
          </cell>
          <cell r="AM1916" t="str">
            <v>8684127515962</v>
          </cell>
          <cell r="AO1916">
            <v>1.6</v>
          </cell>
          <cell r="AP1916" t="str">
            <v>KG</v>
          </cell>
          <cell r="AQ1916">
            <v>12</v>
          </cell>
          <cell r="AR1916" t="str">
            <v>CM</v>
          </cell>
          <cell r="AS1916">
            <v>16</v>
          </cell>
          <cell r="AT1916" t="str">
            <v>CM</v>
          </cell>
          <cell r="AU1916">
            <v>0</v>
          </cell>
          <cell r="AW1916">
            <v>0</v>
          </cell>
        </row>
        <row r="1917">
          <cell r="B1917" t="str">
            <v>H1C6VRSERF0-136</v>
          </cell>
          <cell r="C1917" t="str">
            <v>KİNŞASA SİYAH DERİ BEŞ FÜME CAM PLAFONYER</v>
          </cell>
          <cell r="D1917" t="str">
            <v>KİNŞASA BLACK LEATHER FIVE SMOKED GLASS PLAFONIER</v>
          </cell>
          <cell r="E1917" t="str">
            <v xml:space="preserve">DERİ CAM  SİYAH FÜME   </v>
          </cell>
          <cell r="F1917" t="str">
            <v/>
          </cell>
          <cell r="G1917" t="str">
            <v>AVİZE</v>
          </cell>
          <cell r="H1917" t="str">
            <v/>
          </cell>
          <cell r="I1917" t="str">
            <v>İÇ</v>
          </cell>
          <cell r="J1917" t="str">
            <v>AVİZE.PLF</v>
          </cell>
          <cell r="K1917" t="str">
            <v>KİNŞASA</v>
          </cell>
          <cell r="L1917" t="str">
            <v/>
          </cell>
          <cell r="M1917" t="str">
            <v/>
          </cell>
          <cell r="N1917" t="str">
            <v>HKA-24559</v>
          </cell>
          <cell r="O1917" t="str">
            <v>HEKA</v>
          </cell>
          <cell r="P1917" t="str">
            <v>ADET</v>
          </cell>
          <cell r="Q1917" t="str">
            <v>LED</v>
          </cell>
          <cell r="R1917" t="str">
            <v>DERİ</v>
          </cell>
          <cell r="S1917" t="str">
            <v>SİYAH</v>
          </cell>
          <cell r="T1917" t="str">
            <v>CAM</v>
          </cell>
          <cell r="U1917" t="str">
            <v>FÜME</v>
          </cell>
          <cell r="X1917" t="str">
            <v>110V-220V</v>
          </cell>
          <cell r="Y1917" t="str">
            <v>12 WATT</v>
          </cell>
          <cell r="Z1917" t="str">
            <v xml:space="preserve">2700 K </v>
          </cell>
          <cell r="AA1917" t="str">
            <v>DIMMSIZ</v>
          </cell>
          <cell r="AB1917" t="str">
            <v>501-600</v>
          </cell>
          <cell r="AF1917">
            <v>40</v>
          </cell>
          <cell r="AG1917" t="str">
            <v>ADET</v>
          </cell>
          <cell r="AH1917">
            <v>260</v>
          </cell>
          <cell r="AI1917" t="str">
            <v>CNY</v>
          </cell>
          <cell r="AJ1917">
            <v>18900</v>
          </cell>
          <cell r="AK1917" t="str">
            <v>TL</v>
          </cell>
          <cell r="AL1917">
            <v>1</v>
          </cell>
          <cell r="AM1917" t="str">
            <v>8684127515948</v>
          </cell>
          <cell r="AO1917">
            <v>1.6</v>
          </cell>
          <cell r="AP1917" t="str">
            <v>KG</v>
          </cell>
          <cell r="AQ1917">
            <v>15</v>
          </cell>
          <cell r="AR1917" t="str">
            <v>CM</v>
          </cell>
          <cell r="AS1917">
            <v>22</v>
          </cell>
          <cell r="AT1917" t="str">
            <v>CM</v>
          </cell>
          <cell r="AU1917">
            <v>0</v>
          </cell>
          <cell r="AW1917">
            <v>0</v>
          </cell>
        </row>
        <row r="1918">
          <cell r="B1918" t="str">
            <v>H1W6KMPWRB0-061</v>
          </cell>
          <cell r="C1918" t="str">
            <v>REGİNA PLATİN MERMER APLİK</v>
          </cell>
          <cell r="D1918" t="str">
            <v>REGİNA PLATINUM MARBLE WALL LAMP</v>
          </cell>
          <cell r="E1918" t="str">
            <v xml:space="preserve">PASLANMAZ MERMER PLATİN BEYAZ   </v>
          </cell>
          <cell r="F1918" t="str">
            <v/>
          </cell>
          <cell r="G1918" t="str">
            <v>APLİK</v>
          </cell>
          <cell r="H1918" t="str">
            <v/>
          </cell>
          <cell r="I1918" t="str">
            <v>İÇ</v>
          </cell>
          <cell r="J1918" t="str">
            <v>APLİK</v>
          </cell>
          <cell r="K1918" t="str">
            <v>REGİNA</v>
          </cell>
          <cell r="L1918" t="str">
            <v/>
          </cell>
          <cell r="M1918" t="str">
            <v/>
          </cell>
          <cell r="N1918" t="str">
            <v>HKA-24485</v>
          </cell>
          <cell r="O1918" t="str">
            <v>HEKA</v>
          </cell>
          <cell r="P1918" t="str">
            <v>ADET</v>
          </cell>
          <cell r="Q1918" t="str">
            <v>LED</v>
          </cell>
          <cell r="R1918" t="str">
            <v>PASLANMAZ</v>
          </cell>
          <cell r="S1918" t="str">
            <v>PLATİN</v>
          </cell>
          <cell r="T1918" t="str">
            <v>MERMER</v>
          </cell>
          <cell r="U1918" t="str">
            <v>BEYAZ</v>
          </cell>
          <cell r="AF1918">
            <v>2</v>
          </cell>
          <cell r="AG1918" t="str">
            <v>ADET</v>
          </cell>
          <cell r="AH1918">
            <v>864</v>
          </cell>
          <cell r="AI1918" t="str">
            <v>CNY</v>
          </cell>
          <cell r="AJ1918">
            <v>72576</v>
          </cell>
          <cell r="AK1918" t="str">
            <v>TL</v>
          </cell>
          <cell r="AL1918">
            <v>1</v>
          </cell>
          <cell r="AM1918" t="str">
            <v>8684127516105</v>
          </cell>
          <cell r="AO1918">
            <v>0</v>
          </cell>
          <cell r="AQ1918">
            <v>0</v>
          </cell>
          <cell r="AS1918">
            <v>0</v>
          </cell>
          <cell r="AU1918">
            <v>0</v>
          </cell>
          <cell r="AW1918">
            <v>0</v>
          </cell>
        </row>
        <row r="1919">
          <cell r="B1919" t="str">
            <v>H1C6KMPWRB0-103</v>
          </cell>
          <cell r="C1919" t="str">
            <v>REGİNA PLATİN MERMER SALON AVİZE 103CM</v>
          </cell>
          <cell r="D1919" t="str">
            <v>REGİNA PLATINUM MARBLE LIVING ROOM CHANDELIER 103CM</v>
          </cell>
          <cell r="E1919" t="str">
            <v xml:space="preserve">PASLANMAZ MERMER PLATİN BEYAZ   </v>
          </cell>
          <cell r="F1919" t="str">
            <v/>
          </cell>
          <cell r="G1919" t="str">
            <v>AVİZE</v>
          </cell>
          <cell r="H1919" t="str">
            <v/>
          </cell>
          <cell r="I1919" t="str">
            <v>İÇ</v>
          </cell>
          <cell r="J1919" t="str">
            <v>AVİZE</v>
          </cell>
          <cell r="K1919" t="str">
            <v>REGİNA</v>
          </cell>
          <cell r="L1919" t="str">
            <v/>
          </cell>
          <cell r="M1919" t="str">
            <v/>
          </cell>
          <cell r="N1919" t="str">
            <v>HKA-24486</v>
          </cell>
          <cell r="O1919" t="str">
            <v>HEKA</v>
          </cell>
          <cell r="P1919" t="str">
            <v>ADET</v>
          </cell>
          <cell r="Q1919" t="str">
            <v>LED</v>
          </cell>
          <cell r="R1919" t="str">
            <v>PASLANMAZ</v>
          </cell>
          <cell r="S1919" t="str">
            <v>PLATİN</v>
          </cell>
          <cell r="T1919" t="str">
            <v>MERMER</v>
          </cell>
          <cell r="U1919" t="str">
            <v>BEYAZ</v>
          </cell>
          <cell r="AF1919">
            <v>1</v>
          </cell>
          <cell r="AG1919" t="str">
            <v>ADET</v>
          </cell>
          <cell r="AH1919">
            <v>2360</v>
          </cell>
          <cell r="AI1919" t="str">
            <v>CNY</v>
          </cell>
          <cell r="AJ1919">
            <v>198240</v>
          </cell>
          <cell r="AK1919" t="str">
            <v>TL</v>
          </cell>
          <cell r="AL1919">
            <v>1</v>
          </cell>
          <cell r="AM1919" t="str">
            <v>8684127516112</v>
          </cell>
          <cell r="AO1919">
            <v>0</v>
          </cell>
          <cell r="AQ1919">
            <v>0</v>
          </cell>
          <cell r="AS1919">
            <v>0</v>
          </cell>
          <cell r="AU1919">
            <v>0</v>
          </cell>
          <cell r="AW1919">
            <v>0</v>
          </cell>
        </row>
        <row r="1920">
          <cell r="B1920" t="str">
            <v>H1C6JMEERFC-020</v>
          </cell>
          <cell r="C1920" t="str">
            <v>NABLUS FÜME CAM ÇUBUKLU ESKİTME SARKIT</v>
          </cell>
          <cell r="D1920" t="str">
            <v>NABLUS SMOKY GLASS RODS BRUSHED BRASS PENDANT LAMP</v>
          </cell>
          <cell r="E1920" t="str">
            <v>METAL CAM  ESKİTME FÜME</v>
          </cell>
          <cell r="F1920" t="str">
            <v/>
          </cell>
          <cell r="G1920" t="str">
            <v>AVİZE</v>
          </cell>
          <cell r="H1920" t="str">
            <v/>
          </cell>
          <cell r="I1920" t="str">
            <v>İÇ</v>
          </cell>
          <cell r="J1920" t="str">
            <v>AVİZE.SARK</v>
          </cell>
          <cell r="K1920" t="str">
            <v>NABLUS</v>
          </cell>
          <cell r="L1920" t="str">
            <v>Ç</v>
          </cell>
          <cell r="M1920" t="str">
            <v/>
          </cell>
          <cell r="N1920" t="str">
            <v>HKA-24499</v>
          </cell>
          <cell r="O1920" t="str">
            <v>HEKA</v>
          </cell>
          <cell r="P1920" t="str">
            <v>ADET</v>
          </cell>
          <cell r="Q1920" t="str">
            <v>LED</v>
          </cell>
          <cell r="R1920" t="str">
            <v>METAL</v>
          </cell>
          <cell r="S1920" t="str">
            <v>ESKİTME</v>
          </cell>
          <cell r="T1920" t="str">
            <v>CAM</v>
          </cell>
          <cell r="U1920" t="str">
            <v>FÜME</v>
          </cell>
          <cell r="AF1920">
            <v>14</v>
          </cell>
          <cell r="AG1920" t="str">
            <v>ADET</v>
          </cell>
          <cell r="AH1920">
            <v>602</v>
          </cell>
          <cell r="AI1920" t="str">
            <v>CNY</v>
          </cell>
          <cell r="AJ1920">
            <v>38750</v>
          </cell>
          <cell r="AK1920" t="str">
            <v>TL</v>
          </cell>
          <cell r="AL1920">
            <v>1</v>
          </cell>
          <cell r="AM1920" t="str">
            <v>8684127516679</v>
          </cell>
          <cell r="AO1920">
            <v>0</v>
          </cell>
          <cell r="AQ1920">
            <v>0</v>
          </cell>
          <cell r="AS1920">
            <v>0</v>
          </cell>
          <cell r="AU1920">
            <v>0</v>
          </cell>
          <cell r="AW1920">
            <v>0</v>
          </cell>
        </row>
        <row r="1921">
          <cell r="B1921" t="str">
            <v>H1C6JMEERFC-080</v>
          </cell>
          <cell r="C1921" t="str">
            <v>NABLUS FÜME CAM ÇUBUKLU ESKİTME SALON AVİZE 80cm</v>
          </cell>
          <cell r="D1921" t="str">
            <v>NABLUS SMOKY GLASS RODS BRUSHED BRASS LIVING ROOM CHANDELIER 80cm</v>
          </cell>
          <cell r="E1921" t="str">
            <v>METAL CAM  ESKİTME FÜME</v>
          </cell>
          <cell r="F1921" t="str">
            <v/>
          </cell>
          <cell r="G1921" t="str">
            <v>AVİZE</v>
          </cell>
          <cell r="H1921" t="str">
            <v/>
          </cell>
          <cell r="I1921" t="str">
            <v>İÇ</v>
          </cell>
          <cell r="J1921" t="str">
            <v>AVİZE.AVİZ</v>
          </cell>
          <cell r="K1921" t="str">
            <v>NABLUS</v>
          </cell>
          <cell r="L1921" t="str">
            <v/>
          </cell>
          <cell r="M1921" t="str">
            <v>28.02.2026</v>
          </cell>
          <cell r="N1921" t="str">
            <v>HKA-24502</v>
          </cell>
          <cell r="O1921" t="str">
            <v>HEKA</v>
          </cell>
          <cell r="P1921" t="str">
            <v>ADET</v>
          </cell>
          <cell r="Q1921" t="str">
            <v>LED</v>
          </cell>
          <cell r="R1921" t="str">
            <v>METAL</v>
          </cell>
          <cell r="S1921" t="str">
            <v>ESKİTME</v>
          </cell>
          <cell r="T1921" t="str">
            <v>CAM</v>
          </cell>
          <cell r="U1921" t="str">
            <v>FÜME</v>
          </cell>
          <cell r="AF1921">
            <v>1</v>
          </cell>
          <cell r="AG1921" t="str">
            <v>ADET</v>
          </cell>
          <cell r="AH1921">
            <v>1270.5</v>
          </cell>
          <cell r="AI1921" t="str">
            <v>CNY</v>
          </cell>
          <cell r="AJ1921">
            <v>84750</v>
          </cell>
          <cell r="AK1921" t="str">
            <v>TL</v>
          </cell>
          <cell r="AL1921">
            <v>1</v>
          </cell>
          <cell r="AM1921" t="str">
            <v>8684127516662</v>
          </cell>
          <cell r="AO1921">
            <v>0</v>
          </cell>
          <cell r="AQ1921">
            <v>0</v>
          </cell>
          <cell r="AS1921">
            <v>0</v>
          </cell>
          <cell r="AU1921">
            <v>0</v>
          </cell>
          <cell r="AW1921">
            <v>0</v>
          </cell>
        </row>
        <row r="1922">
          <cell r="B1922" t="str">
            <v>H1P6ERFERB0-040</v>
          </cell>
          <cell r="C1922" t="str">
            <v>SALVADOR FÜME &amp; BEYAZ CAM PLATİN PLAFONYER 40cm</v>
          </cell>
          <cell r="D1922" t="str">
            <v>SALVADOR SMOKY &amp; WHITE GLASS PLATINUM PLAFONIER 40cm</v>
          </cell>
          <cell r="E1922" t="str">
            <v xml:space="preserve">CAM  CAM  FÜME BEYAZ   </v>
          </cell>
          <cell r="F1922" t="str">
            <v/>
          </cell>
          <cell r="G1922" t="str">
            <v>AVİZE</v>
          </cell>
          <cell r="H1922" t="str">
            <v/>
          </cell>
          <cell r="I1922" t="str">
            <v>İÇ</v>
          </cell>
          <cell r="J1922" t="str">
            <v>AVİZE.PLF</v>
          </cell>
          <cell r="K1922" t="str">
            <v>SALVADOR</v>
          </cell>
          <cell r="L1922" t="str">
            <v/>
          </cell>
          <cell r="M1922" t="str">
            <v>ÜRTM:3GÜN</v>
          </cell>
          <cell r="N1922" t="str">
            <v>HKA-25039</v>
          </cell>
          <cell r="O1922" t="str">
            <v>HEKA</v>
          </cell>
          <cell r="P1922" t="str">
            <v>ADET</v>
          </cell>
          <cell r="Q1922" t="str">
            <v>LED</v>
          </cell>
          <cell r="R1922" t="str">
            <v>CAM</v>
          </cell>
          <cell r="S1922" t="str">
            <v>FÜME</v>
          </cell>
          <cell r="T1922" t="str">
            <v>CAM</v>
          </cell>
          <cell r="U1922" t="str">
            <v>BEYAZ</v>
          </cell>
          <cell r="X1922" t="str">
            <v>110V-220V</v>
          </cell>
          <cell r="Y1922" t="str">
            <v>10 WATT</v>
          </cell>
          <cell r="Z1922" t="str">
            <v>3000 K</v>
          </cell>
          <cell r="AA1922" t="str">
            <v>DIMMSIZ</v>
          </cell>
          <cell r="AB1922" t="str">
            <v>1901-2000</v>
          </cell>
          <cell r="AF1922">
            <v>4</v>
          </cell>
          <cell r="AG1922" t="str">
            <v>ADET</v>
          </cell>
          <cell r="AH1922">
            <v>340</v>
          </cell>
          <cell r="AI1922" t="str">
            <v>CNY</v>
          </cell>
          <cell r="AJ1922">
            <v>23950</v>
          </cell>
          <cell r="AK1922" t="str">
            <v>TL</v>
          </cell>
          <cell r="AL1922">
            <v>1</v>
          </cell>
          <cell r="AM1922" t="str">
            <v>8684127516419</v>
          </cell>
          <cell r="AO1922">
            <v>2.91</v>
          </cell>
          <cell r="AP1922" t="str">
            <v>KG</v>
          </cell>
          <cell r="AQ1922">
            <v>27</v>
          </cell>
          <cell r="AR1922" t="str">
            <v>CM</v>
          </cell>
          <cell r="AS1922">
            <v>27</v>
          </cell>
          <cell r="AT1922" t="str">
            <v>CM</v>
          </cell>
          <cell r="AU1922">
            <v>0</v>
          </cell>
          <cell r="AW1922">
            <v>0</v>
          </cell>
        </row>
        <row r="1923">
          <cell r="B1923" t="str">
            <v>H1W6JMKBCSC-043</v>
          </cell>
          <cell r="C1923" t="str">
            <v>ALABANDA İKİLİ ŞEFFAF AKRİLİK KROM LED APLİK</v>
          </cell>
          <cell r="D1923" t="str">
            <v>ALABANDA DOUBLE CLEAR ACRYLIC CHROME LED WALL LAMP</v>
          </cell>
          <cell r="E1923" t="str">
            <v>METAL AKRiLİK KROM ŞEFFAF</v>
          </cell>
          <cell r="F1923" t="str">
            <v/>
          </cell>
          <cell r="G1923" t="str">
            <v>APLİK</v>
          </cell>
          <cell r="H1923" t="str">
            <v/>
          </cell>
          <cell r="I1923" t="str">
            <v>İÇ</v>
          </cell>
          <cell r="J1923" t="str">
            <v>APLİK</v>
          </cell>
          <cell r="K1923" t="str">
            <v>ALABANDA</v>
          </cell>
          <cell r="L1923" t="str">
            <v/>
          </cell>
          <cell r="M1923" t="str">
            <v/>
          </cell>
          <cell r="N1923" t="str">
            <v>HKA-25041</v>
          </cell>
          <cell r="O1923" t="str">
            <v>HEKA</v>
          </cell>
          <cell r="P1923" t="str">
            <v>ADET</v>
          </cell>
          <cell r="Q1923" t="str">
            <v>LED</v>
          </cell>
          <cell r="R1923" t="str">
            <v>METAL</v>
          </cell>
          <cell r="S1923" t="str">
            <v>KROM</v>
          </cell>
          <cell r="T1923" t="str">
            <v>AKRİLİK</v>
          </cell>
          <cell r="U1923" t="str">
            <v>ŞEFFAF</v>
          </cell>
          <cell r="AD1923" t="str">
            <v>SİLİNDİR</v>
          </cell>
          <cell r="AF1923">
            <v>3</v>
          </cell>
          <cell r="AG1923" t="str">
            <v>ADET</v>
          </cell>
          <cell r="AH1923">
            <v>75</v>
          </cell>
          <cell r="AI1923" t="str">
            <v>CNY</v>
          </cell>
          <cell r="AJ1923">
            <v>6058</v>
          </cell>
          <cell r="AK1923" t="str">
            <v>TL</v>
          </cell>
          <cell r="AL1923">
            <v>1</v>
          </cell>
          <cell r="AM1923" t="str">
            <v>8684127516549</v>
          </cell>
          <cell r="AO1923">
            <v>0</v>
          </cell>
          <cell r="AQ1923">
            <v>0</v>
          </cell>
          <cell r="AS1923">
            <v>0</v>
          </cell>
          <cell r="AU1923">
            <v>0</v>
          </cell>
          <cell r="AW1923">
            <v>0</v>
          </cell>
        </row>
        <row r="1924">
          <cell r="B1924" t="str">
            <v>ADYHKM3KRG0-180</v>
          </cell>
          <cell r="C1924" t="str">
            <v>DEKORATİF CHOPPER MOTOR</v>
          </cell>
          <cell r="D1924" t="str">
            <v>DECORATIVE CHOPPER MOTOR</v>
          </cell>
          <cell r="E1924" t="str">
            <v>PASLANMAZ PASLANMAZ MAT KROM GRİ</v>
          </cell>
          <cell r="F1924" t="str">
            <v/>
          </cell>
          <cell r="G1924" t="str">
            <v>AKSESUAR</v>
          </cell>
          <cell r="H1924" t="str">
            <v/>
          </cell>
          <cell r="I1924" t="str">
            <v>İÇ</v>
          </cell>
          <cell r="J1924" t="str">
            <v>AKSESUAR</v>
          </cell>
          <cell r="K1924" t="str">
            <v>CHOPPER</v>
          </cell>
          <cell r="L1924" t="str">
            <v>YKN</v>
          </cell>
          <cell r="M1924" t="str">
            <v/>
          </cell>
          <cell r="N1924" t="str">
            <v>HKM-250001</v>
          </cell>
          <cell r="O1924" t="str">
            <v>HEKA</v>
          </cell>
          <cell r="P1924" t="str">
            <v>ADET</v>
          </cell>
          <cell r="R1924" t="str">
            <v>PASLANMAZ</v>
          </cell>
          <cell r="S1924" t="str">
            <v>MAT KROM</v>
          </cell>
          <cell r="T1924" t="str">
            <v>PASLANMAZ</v>
          </cell>
          <cell r="U1924" t="str">
            <v>GRİ</v>
          </cell>
          <cell r="AF1924">
            <v>1</v>
          </cell>
          <cell r="AG1924" t="str">
            <v>ADET</v>
          </cell>
          <cell r="AH1924">
            <v>7500</v>
          </cell>
          <cell r="AI1924" t="str">
            <v>CNY</v>
          </cell>
          <cell r="AJ1924">
            <v>399000</v>
          </cell>
          <cell r="AK1924" t="str">
            <v>TL</v>
          </cell>
          <cell r="AL1924">
            <v>0</v>
          </cell>
          <cell r="AO1924">
            <v>0</v>
          </cell>
          <cell r="AQ1924">
            <v>0</v>
          </cell>
          <cell r="AS1924">
            <v>0</v>
          </cell>
          <cell r="AU1924">
            <v>0</v>
          </cell>
          <cell r="AW1924">
            <v>0</v>
          </cell>
        </row>
        <row r="1925">
          <cell r="B1925" t="str">
            <v>ADYHECRHBJ0-078</v>
          </cell>
          <cell r="C1925" t="str">
            <v>AMBER CAM BONCUKLU DEK OBJE 78CM</v>
          </cell>
          <cell r="D1925" t="str">
            <v>AMBER GLASS BEADS DEK OBJECT 78CM</v>
          </cell>
          <cell r="E1925" t="str">
            <v>CAM  KUMAŞ YARI SARI BEJ</v>
          </cell>
          <cell r="F1925" t="str">
            <v/>
          </cell>
          <cell r="G1925" t="str">
            <v>AKSESUAR</v>
          </cell>
          <cell r="H1925" t="str">
            <v/>
          </cell>
          <cell r="I1925" t="str">
            <v>İÇ</v>
          </cell>
          <cell r="J1925" t="str">
            <v>AKSESUAR</v>
          </cell>
          <cell r="K1925" t="str">
            <v>HEKA</v>
          </cell>
          <cell r="L1925" t="str">
            <v/>
          </cell>
          <cell r="M1925" t="str">
            <v/>
          </cell>
          <cell r="N1925" t="str">
            <v>HKA-250010</v>
          </cell>
          <cell r="O1925" t="str">
            <v>HEKA</v>
          </cell>
          <cell r="P1925" t="str">
            <v>ADET</v>
          </cell>
          <cell r="R1925" t="str">
            <v>CAM</v>
          </cell>
          <cell r="S1925" t="str">
            <v>YARI SARI</v>
          </cell>
          <cell r="T1925" t="str">
            <v>KUMAŞ</v>
          </cell>
          <cell r="U1925" t="str">
            <v>BEJ</v>
          </cell>
          <cell r="AF1925">
            <v>0</v>
          </cell>
          <cell r="AG1925" t="str">
            <v>ADET</v>
          </cell>
          <cell r="AH1925">
            <v>884</v>
          </cell>
          <cell r="AI1925" t="str">
            <v>TL</v>
          </cell>
          <cell r="AJ1925">
            <v>2121.6</v>
          </cell>
          <cell r="AK1925" t="str">
            <v>TL</v>
          </cell>
          <cell r="AL1925">
            <v>1</v>
          </cell>
          <cell r="AO1925">
            <v>0</v>
          </cell>
          <cell r="AQ1925">
            <v>0</v>
          </cell>
          <cell r="AS1925">
            <v>0</v>
          </cell>
          <cell r="AU1925">
            <v>0</v>
          </cell>
          <cell r="AW1925">
            <v>0</v>
          </cell>
        </row>
        <row r="1926">
          <cell r="B1926" t="str">
            <v>AVYHERL0005-021</v>
          </cell>
          <cell r="C1926" t="str">
            <v>SPİRE KAHVE CAM VAZO 21x37CM</v>
          </cell>
          <cell r="D1926" t="str">
            <v>SPIRE BROWN GLASS VASE 21x37CM</v>
          </cell>
          <cell r="E1926" t="str">
            <v>CAM  YOK BAL YOK</v>
          </cell>
          <cell r="F1926" t="str">
            <v/>
          </cell>
          <cell r="G1926" t="str">
            <v>AKSESUAR</v>
          </cell>
          <cell r="H1926" t="str">
            <v/>
          </cell>
          <cell r="I1926" t="str">
            <v>İÇ</v>
          </cell>
          <cell r="J1926" t="str">
            <v>AKSESUAR</v>
          </cell>
          <cell r="K1926" t="str">
            <v>HEKA</v>
          </cell>
          <cell r="L1926" t="str">
            <v/>
          </cell>
          <cell r="M1926" t="str">
            <v/>
          </cell>
          <cell r="N1926" t="str">
            <v>HKA-250013</v>
          </cell>
          <cell r="O1926" t="str">
            <v>HEKA</v>
          </cell>
          <cell r="P1926" t="str">
            <v>ADET</v>
          </cell>
          <cell r="R1926" t="str">
            <v>CAM</v>
          </cell>
          <cell r="S1926" t="str">
            <v>BAL</v>
          </cell>
          <cell r="T1926" t="str">
            <v>YOK</v>
          </cell>
          <cell r="U1926" t="str">
            <v>YOK</v>
          </cell>
          <cell r="AD1926" t="str">
            <v>VAZO</v>
          </cell>
          <cell r="AF1926">
            <v>1</v>
          </cell>
          <cell r="AG1926" t="str">
            <v>ADET</v>
          </cell>
          <cell r="AH1926">
            <v>4159</v>
          </cell>
          <cell r="AI1926" t="str">
            <v>TL</v>
          </cell>
          <cell r="AJ1926">
            <v>9981.6</v>
          </cell>
          <cell r="AK1926" t="str">
            <v>TL</v>
          </cell>
          <cell r="AL1926">
            <v>1</v>
          </cell>
          <cell r="AO1926">
            <v>0</v>
          </cell>
          <cell r="AQ1926">
            <v>21</v>
          </cell>
          <cell r="AR1926" t="str">
            <v>CM</v>
          </cell>
          <cell r="AS1926">
            <v>21</v>
          </cell>
          <cell r="AT1926" t="str">
            <v>CM</v>
          </cell>
          <cell r="AU1926">
            <v>0</v>
          </cell>
          <cell r="AW1926">
            <v>0</v>
          </cell>
        </row>
        <row r="1927">
          <cell r="B1927" t="str">
            <v>AVYHECT0005-022</v>
          </cell>
          <cell r="C1927" t="str">
            <v>LİLA CAM VAZO 18x22CM</v>
          </cell>
          <cell r="D1927" t="str">
            <v>LILAC GLASS VASE 18x22CM</v>
          </cell>
          <cell r="E1927" t="str">
            <v>CAM  YOK SOFT YOK</v>
          </cell>
          <cell r="F1927" t="str">
            <v/>
          </cell>
          <cell r="G1927" t="str">
            <v>AKSESUAR</v>
          </cell>
          <cell r="H1927" t="str">
            <v/>
          </cell>
          <cell r="I1927" t="str">
            <v>İÇ</v>
          </cell>
          <cell r="J1927" t="str">
            <v>AKSESUAR</v>
          </cell>
          <cell r="K1927" t="str">
            <v>HEKA</v>
          </cell>
          <cell r="L1927" t="str">
            <v/>
          </cell>
          <cell r="M1927" t="str">
            <v/>
          </cell>
          <cell r="N1927" t="str">
            <v>HKA-250027</v>
          </cell>
          <cell r="O1927" t="str">
            <v>HEKA</v>
          </cell>
          <cell r="P1927" t="str">
            <v>ADET</v>
          </cell>
          <cell r="R1927" t="str">
            <v>CAM</v>
          </cell>
          <cell r="S1927" t="str">
            <v>SOFT</v>
          </cell>
          <cell r="T1927" t="str">
            <v>YOK</v>
          </cell>
          <cell r="U1927" t="str">
            <v>YOK</v>
          </cell>
          <cell r="AD1927" t="str">
            <v>VAZO</v>
          </cell>
          <cell r="AF1927">
            <v>1</v>
          </cell>
          <cell r="AG1927" t="str">
            <v>ADET</v>
          </cell>
          <cell r="AH1927">
            <v>1199</v>
          </cell>
          <cell r="AI1927" t="str">
            <v>TL</v>
          </cell>
          <cell r="AJ1927">
            <v>2877.6</v>
          </cell>
          <cell r="AK1927" t="str">
            <v>TL</v>
          </cell>
          <cell r="AL1927">
            <v>1</v>
          </cell>
          <cell r="AO1927">
            <v>0</v>
          </cell>
          <cell r="AQ1927">
            <v>18</v>
          </cell>
          <cell r="AR1927" t="str">
            <v>CM</v>
          </cell>
          <cell r="AS1927">
            <v>18</v>
          </cell>
          <cell r="AT1927" t="str">
            <v>CM</v>
          </cell>
          <cell r="AU1927">
            <v>0</v>
          </cell>
          <cell r="AW1927">
            <v>0</v>
          </cell>
        </row>
        <row r="1928">
          <cell r="B1928" t="str">
            <v>ADYHYREPCS0-055</v>
          </cell>
          <cell r="C1928" t="str">
            <v>CORAL TEK DAL MERCAN 55x55 YASTIK</v>
          </cell>
          <cell r="D1928" t="str">
            <v>CORAL SINGLE BRANCH CORAL 55x55 PILLOW</v>
          </cell>
          <cell r="E1928" t="str">
            <v>POLYESTER SİLİKON RESİM ŞEFFAF</v>
          </cell>
          <cell r="F1928" t="str">
            <v/>
          </cell>
          <cell r="G1928" t="str">
            <v>AKSESUAR</v>
          </cell>
          <cell r="H1928" t="str">
            <v/>
          </cell>
          <cell r="I1928" t="str">
            <v>İÇ</v>
          </cell>
          <cell r="J1928" t="str">
            <v>AKSESUAR</v>
          </cell>
          <cell r="K1928" t="str">
            <v>HEKA</v>
          </cell>
          <cell r="L1928" t="str">
            <v/>
          </cell>
          <cell r="M1928" t="str">
            <v/>
          </cell>
          <cell r="N1928" t="str">
            <v>HKA-250028</v>
          </cell>
          <cell r="O1928" t="str">
            <v>HEKA</v>
          </cell>
          <cell r="P1928" t="str">
            <v>ADET</v>
          </cell>
          <cell r="R1928" t="str">
            <v>POLYESTER</v>
          </cell>
          <cell r="S1928" t="str">
            <v xml:space="preserve">RESİM </v>
          </cell>
          <cell r="T1928" t="str">
            <v>SİLİKON</v>
          </cell>
          <cell r="U1928" t="str">
            <v>ŞEFFAF</v>
          </cell>
          <cell r="AF1928">
            <v>1</v>
          </cell>
          <cell r="AG1928" t="str">
            <v>ADET</v>
          </cell>
          <cell r="AH1928">
            <v>1334</v>
          </cell>
          <cell r="AI1928" t="str">
            <v>TL</v>
          </cell>
          <cell r="AJ1928">
            <v>3201.6</v>
          </cell>
          <cell r="AK1928" t="str">
            <v>TL</v>
          </cell>
          <cell r="AL1928">
            <v>1</v>
          </cell>
          <cell r="AO1928">
            <v>0</v>
          </cell>
          <cell r="AQ1928">
            <v>15</v>
          </cell>
          <cell r="AR1928" t="str">
            <v>CM</v>
          </cell>
          <cell r="AS1928">
            <v>55</v>
          </cell>
          <cell r="AT1928" t="str">
            <v>CM</v>
          </cell>
          <cell r="AU1928">
            <v>0</v>
          </cell>
          <cell r="AW1928">
            <v>0</v>
          </cell>
        </row>
        <row r="1929">
          <cell r="B1929" t="str">
            <v>H1S5CM3000L-140</v>
          </cell>
          <cell r="C1929" t="str">
            <v>MİA MAT KROM DÜZ SPOT 60X140 mm</v>
          </cell>
          <cell r="D1929" t="str">
            <v>MİA MATTE CHROME PLAIN SPOTLIGHT 60X140 mm</v>
          </cell>
          <cell r="E1929" t="str">
            <v xml:space="preserve">ALUMİNYUM YOK MAT KROM YOK   </v>
          </cell>
          <cell r="F1929" t="str">
            <v>9405.19.90.00.00</v>
          </cell>
          <cell r="G1929" t="str">
            <v>TEKNİK</v>
          </cell>
          <cell r="H1929" t="str">
            <v>T1S5A300X0-14</v>
          </cell>
          <cell r="I1929" t="str">
            <v>İÇ</v>
          </cell>
          <cell r="J1929" t="str">
            <v>TEKNİK</v>
          </cell>
          <cell r="K1929" t="str">
            <v>MİA</v>
          </cell>
          <cell r="L1929" t="str">
            <v/>
          </cell>
          <cell r="M1929" t="str">
            <v/>
          </cell>
          <cell r="N1929" t="str">
            <v>MİA-9</v>
          </cell>
          <cell r="O1929" t="str">
            <v>HEKA</v>
          </cell>
          <cell r="P1929" t="str">
            <v>ADET</v>
          </cell>
          <cell r="Q1929" t="str">
            <v>GU10</v>
          </cell>
          <cell r="R1929" t="str">
            <v>ALUMİNYUM</v>
          </cell>
          <cell r="S1929" t="str">
            <v>MAT KROM</v>
          </cell>
          <cell r="T1929" t="str">
            <v>YOK</v>
          </cell>
          <cell r="U1929" t="str">
            <v>YOK</v>
          </cell>
          <cell r="AD1929" t="str">
            <v>DÜZ</v>
          </cell>
          <cell r="AE1929" t="str">
            <v>01</v>
          </cell>
          <cell r="AF1929">
            <v>147</v>
          </cell>
          <cell r="AG1929" t="str">
            <v>ADET</v>
          </cell>
          <cell r="AH1929">
            <v>23.5</v>
          </cell>
          <cell r="AI1929" t="str">
            <v>CNY</v>
          </cell>
          <cell r="AJ1929">
            <v>1630</v>
          </cell>
          <cell r="AK1929" t="str">
            <v>TL</v>
          </cell>
          <cell r="AL1929">
            <v>1</v>
          </cell>
          <cell r="AM1929" t="str">
            <v>8684127516174</v>
          </cell>
          <cell r="AO1929">
            <v>0</v>
          </cell>
          <cell r="AQ1929">
            <v>140</v>
          </cell>
          <cell r="AR1929" t="str">
            <v>CM</v>
          </cell>
          <cell r="AS1929">
            <v>60</v>
          </cell>
          <cell r="AT1929" t="str">
            <v>CM</v>
          </cell>
          <cell r="AU1929">
            <v>0</v>
          </cell>
          <cell r="AW1929">
            <v>0</v>
          </cell>
        </row>
        <row r="1930">
          <cell r="B1930" t="str">
            <v>H1T2XBJ0000-050</v>
          </cell>
          <cell r="C1930" t="str">
            <v>ABHA TRAVERTEN MASA LAMBASI</v>
          </cell>
          <cell r="D1930" t="str">
            <v>ABHA TRAVERTINE TABLE LAMP</v>
          </cell>
          <cell r="E1930" t="str">
            <v xml:space="preserve">TRAVERTEN YOK BEJ YOK   </v>
          </cell>
          <cell r="F1930" t="str">
            <v/>
          </cell>
          <cell r="G1930" t="str">
            <v>MASAABAJ</v>
          </cell>
          <cell r="H1930" t="str">
            <v/>
          </cell>
          <cell r="I1930" t="str">
            <v>İÇ</v>
          </cell>
          <cell r="J1930" t="str">
            <v>MASAABAJ</v>
          </cell>
          <cell r="K1930" t="str">
            <v>ABHA</v>
          </cell>
          <cell r="L1930" t="str">
            <v/>
          </cell>
          <cell r="M1930" t="str">
            <v/>
          </cell>
          <cell r="N1930" t="str">
            <v>HKA-24553</v>
          </cell>
          <cell r="O1930" t="str">
            <v>HEKA</v>
          </cell>
          <cell r="P1930" t="str">
            <v>ADET</v>
          </cell>
          <cell r="Q1930" t="str">
            <v>G9</v>
          </cell>
          <cell r="R1930" t="str">
            <v>TRAVERTEN</v>
          </cell>
          <cell r="S1930" t="str">
            <v>BEJ</v>
          </cell>
          <cell r="AF1930">
            <v>5</v>
          </cell>
          <cell r="AG1930" t="str">
            <v>ADET</v>
          </cell>
          <cell r="AH1930">
            <v>1280</v>
          </cell>
          <cell r="AI1930" t="str">
            <v>CNY</v>
          </cell>
          <cell r="AJ1930">
            <v>54750</v>
          </cell>
          <cell r="AK1930" t="str">
            <v>TL</v>
          </cell>
          <cell r="AL1930">
            <v>1</v>
          </cell>
          <cell r="AM1930" t="str">
            <v>8684127516396</v>
          </cell>
          <cell r="AO1930">
            <v>0</v>
          </cell>
          <cell r="AQ1930">
            <v>0</v>
          </cell>
          <cell r="AS1930">
            <v>0</v>
          </cell>
          <cell r="AU1930">
            <v>0</v>
          </cell>
          <cell r="AW1930">
            <v>0</v>
          </cell>
        </row>
        <row r="1931">
          <cell r="B1931" t="str">
            <v>H1C6JMPWRBR-078</v>
          </cell>
          <cell r="C1931" t="str">
            <v>ANVERS MERMER SALON PLATİN AVİZE</v>
          </cell>
          <cell r="D1931" t="str">
            <v>ANVERS MARBLE LIVING ROOM PLATINUM CHANDELIER</v>
          </cell>
          <cell r="E1931" t="str">
            <v xml:space="preserve">METAL MERMER PLATİN BEYAZ   </v>
          </cell>
          <cell r="F1931" t="str">
            <v>9405.11.90.00.00</v>
          </cell>
          <cell r="G1931" t="str">
            <v>AVİZE</v>
          </cell>
          <cell r="H1931" t="str">
            <v>T1A6311100-80</v>
          </cell>
          <cell r="I1931" t="str">
            <v>İÇ</v>
          </cell>
          <cell r="J1931" t="str">
            <v>AVİZE.AVİZ</v>
          </cell>
          <cell r="K1931" t="str">
            <v>ANVERS</v>
          </cell>
          <cell r="L1931" t="str">
            <v>Ç</v>
          </cell>
          <cell r="M1931" t="str">
            <v/>
          </cell>
          <cell r="N1931" t="str">
            <v>HKA-24541</v>
          </cell>
          <cell r="O1931" t="str">
            <v>HEKA</v>
          </cell>
          <cell r="P1931" t="str">
            <v>ADET</v>
          </cell>
          <cell r="Q1931" t="str">
            <v>LED</v>
          </cell>
          <cell r="R1931" t="str">
            <v>METAL</v>
          </cell>
          <cell r="S1931" t="str">
            <v>PLATİN</v>
          </cell>
          <cell r="T1931" t="str">
            <v>MERMER</v>
          </cell>
          <cell r="U1931" t="str">
            <v>BEYAZ</v>
          </cell>
          <cell r="AD1931" t="str">
            <v>DAİRE</v>
          </cell>
          <cell r="AF1931">
            <v>14</v>
          </cell>
          <cell r="AG1931" t="str">
            <v>ADET</v>
          </cell>
          <cell r="AH1931">
            <v>820</v>
          </cell>
          <cell r="AI1931" t="str">
            <v>CNY</v>
          </cell>
          <cell r="AJ1931">
            <v>49500</v>
          </cell>
          <cell r="AK1931" t="str">
            <v>TL</v>
          </cell>
          <cell r="AL1931">
            <v>1</v>
          </cell>
          <cell r="AM1931" t="str">
            <v>8684127516310</v>
          </cell>
          <cell r="AO1931">
            <v>0</v>
          </cell>
          <cell r="AQ1931">
            <v>0</v>
          </cell>
          <cell r="AR1931" t="str">
            <v>CM</v>
          </cell>
          <cell r="AS1931">
            <v>0</v>
          </cell>
          <cell r="AT1931" t="str">
            <v>CM</v>
          </cell>
          <cell r="AU1931">
            <v>0</v>
          </cell>
          <cell r="AW1931">
            <v>0</v>
          </cell>
        </row>
        <row r="1932">
          <cell r="B1932" t="str">
            <v>H1C6JMPWRBR-120</v>
          </cell>
          <cell r="C1932" t="str">
            <v>EKHO YEMEK MASASI MERMER PLATİN SARKIT AVİZE 120cm</v>
          </cell>
          <cell r="D1932" t="str">
            <v>EKHO DINING TABLE MARBLE PLATINUM PENDANT CHANDELIER 120cm</v>
          </cell>
          <cell r="E1932" t="str">
            <v xml:space="preserve">METAL MERMER PLATİN BEYAZ   </v>
          </cell>
          <cell r="F1932" t="str">
            <v/>
          </cell>
          <cell r="G1932" t="str">
            <v>AVİZE</v>
          </cell>
          <cell r="H1932" t="str">
            <v/>
          </cell>
          <cell r="I1932" t="str">
            <v>İÇ</v>
          </cell>
          <cell r="J1932" t="str">
            <v>AVİZE.AVİZ</v>
          </cell>
          <cell r="K1932" t="str">
            <v>EKHO</v>
          </cell>
          <cell r="L1932" t="str">
            <v>Ç</v>
          </cell>
          <cell r="M1932" t="str">
            <v/>
          </cell>
          <cell r="N1932" t="str">
            <v>HKA-24552</v>
          </cell>
          <cell r="O1932" t="str">
            <v>HEKA</v>
          </cell>
          <cell r="P1932" t="str">
            <v>ADET</v>
          </cell>
          <cell r="Q1932" t="str">
            <v>LED</v>
          </cell>
          <cell r="R1932" t="str">
            <v>METAL</v>
          </cell>
          <cell r="S1932" t="str">
            <v>PLATİN</v>
          </cell>
          <cell r="T1932" t="str">
            <v>MERMER</v>
          </cell>
          <cell r="U1932" t="str">
            <v>BEYAZ</v>
          </cell>
          <cell r="AD1932" t="str">
            <v>DAİRE</v>
          </cell>
          <cell r="AF1932">
            <v>12</v>
          </cell>
          <cell r="AG1932" t="str">
            <v>ADET</v>
          </cell>
          <cell r="AH1932">
            <v>680</v>
          </cell>
          <cell r="AI1932" t="str">
            <v>CNY</v>
          </cell>
          <cell r="AJ1932">
            <v>47500</v>
          </cell>
          <cell r="AK1932" t="str">
            <v>TL</v>
          </cell>
          <cell r="AL1932">
            <v>1</v>
          </cell>
          <cell r="AM1932" t="str">
            <v>8684127516334</v>
          </cell>
          <cell r="AO1932">
            <v>0</v>
          </cell>
          <cell r="AQ1932">
            <v>0</v>
          </cell>
          <cell r="AS1932">
            <v>0</v>
          </cell>
          <cell r="AU1932">
            <v>0</v>
          </cell>
          <cell r="AW1932">
            <v>0</v>
          </cell>
        </row>
        <row r="1933">
          <cell r="B1933" t="str">
            <v>H1C6JMPWRF0-030</v>
          </cell>
          <cell r="C1933" t="str">
            <v>ATAKAMA MERMER PLATİN SARKIT 30CM</v>
          </cell>
          <cell r="D1933" t="str">
            <v>ATAKAMA MARBLE PLATINUM CHANDELIER 30CM</v>
          </cell>
          <cell r="E1933" t="str">
            <v>METAL MERMER PLATİN BEYAZ</v>
          </cell>
          <cell r="F1933" t="str">
            <v/>
          </cell>
          <cell r="G1933" t="str">
            <v>AVİZE</v>
          </cell>
          <cell r="H1933" t="str">
            <v/>
          </cell>
          <cell r="I1933" t="str">
            <v>İÇ</v>
          </cell>
          <cell r="J1933" t="str">
            <v>AVİZE.SARK</v>
          </cell>
          <cell r="K1933" t="str">
            <v>ATAKAMA</v>
          </cell>
          <cell r="L1933" t="str">
            <v/>
          </cell>
          <cell r="M1933" t="str">
            <v/>
          </cell>
          <cell r="N1933" t="str">
            <v>HKA-25044</v>
          </cell>
          <cell r="O1933" t="str">
            <v>HEKA</v>
          </cell>
          <cell r="P1933" t="str">
            <v>ADET</v>
          </cell>
          <cell r="Q1933" t="str">
            <v>LED</v>
          </cell>
          <cell r="R1933" t="str">
            <v>METAL</v>
          </cell>
          <cell r="S1933" t="str">
            <v>PLATİN</v>
          </cell>
          <cell r="T1933" t="str">
            <v>MERMER</v>
          </cell>
          <cell r="U1933" t="str">
            <v>BEYAZ</v>
          </cell>
          <cell r="X1933" t="str">
            <v>220V</v>
          </cell>
          <cell r="Y1933" t="str">
            <v>21 WATT</v>
          </cell>
          <cell r="Z1933" t="str">
            <v>2850 K</v>
          </cell>
          <cell r="AB1933" t="str">
            <v>701-800</v>
          </cell>
          <cell r="AF1933">
            <v>1</v>
          </cell>
          <cell r="AG1933" t="str">
            <v>ADET</v>
          </cell>
          <cell r="AJ1933">
            <v>23000</v>
          </cell>
          <cell r="AK1933" t="str">
            <v>TL</v>
          </cell>
          <cell r="AL1933">
            <v>0</v>
          </cell>
          <cell r="AM1933" t="str">
            <v>8684127516570</v>
          </cell>
          <cell r="AO1933">
            <v>2.91</v>
          </cell>
          <cell r="AP1933" t="str">
            <v>KG</v>
          </cell>
          <cell r="AQ1933">
            <v>5.5</v>
          </cell>
          <cell r="AR1933" t="str">
            <v>CM</v>
          </cell>
          <cell r="AS1933">
            <v>30</v>
          </cell>
          <cell r="AT1933" t="str">
            <v>CM</v>
          </cell>
          <cell r="AU1933">
            <v>0</v>
          </cell>
          <cell r="AW1933">
            <v>0</v>
          </cell>
        </row>
        <row r="1934">
          <cell r="B1934" t="str">
            <v>H1C6JMEWRF0-120</v>
          </cell>
          <cell r="C1934" t="str">
            <v>EFES YEMEK MASASI AVİZE 120CM</v>
          </cell>
          <cell r="D1934" t="str">
            <v>EFES DINING ROOM CHANDELIER 120CM</v>
          </cell>
          <cell r="E1934" t="str">
            <v>METAL MERMER ESKİTME BEYAZ</v>
          </cell>
          <cell r="F1934" t="str">
            <v/>
          </cell>
          <cell r="G1934" t="str">
            <v>AVİZE</v>
          </cell>
          <cell r="H1934" t="str">
            <v/>
          </cell>
          <cell r="I1934" t="str">
            <v>İÇ</v>
          </cell>
          <cell r="J1934" t="str">
            <v>AVİZE</v>
          </cell>
          <cell r="K1934" t="str">
            <v>EFES</v>
          </cell>
          <cell r="L1934" t="str">
            <v>Y</v>
          </cell>
          <cell r="M1934" t="str">
            <v/>
          </cell>
          <cell r="N1934" t="str">
            <v>HKA-25046</v>
          </cell>
          <cell r="O1934" t="str">
            <v>HEKA</v>
          </cell>
          <cell r="P1934" t="str">
            <v>ADET</v>
          </cell>
          <cell r="Q1934" t="str">
            <v>LED</v>
          </cell>
          <cell r="R1934" t="str">
            <v>METAL</v>
          </cell>
          <cell r="S1934" t="str">
            <v>ESKİTME</v>
          </cell>
          <cell r="T1934" t="str">
            <v>MERMER</v>
          </cell>
          <cell r="Y1934" t="str">
            <v>265 WATT</v>
          </cell>
          <cell r="Z1934" t="str">
            <v xml:space="preserve">2700 K </v>
          </cell>
          <cell r="AF1934">
            <v>0</v>
          </cell>
          <cell r="AG1934" t="str">
            <v>ADET</v>
          </cell>
          <cell r="AJ1934">
            <v>262125</v>
          </cell>
          <cell r="AK1934" t="str">
            <v>TL</v>
          </cell>
          <cell r="AL1934">
            <v>0</v>
          </cell>
          <cell r="AO1934">
            <v>32</v>
          </cell>
          <cell r="AP1934" t="str">
            <v>KG</v>
          </cell>
          <cell r="AQ1934">
            <v>60</v>
          </cell>
          <cell r="AR1934" t="str">
            <v>CM</v>
          </cell>
          <cell r="AS1934">
            <v>120</v>
          </cell>
          <cell r="AT1934" t="str">
            <v>CM</v>
          </cell>
          <cell r="AU1934">
            <v>0</v>
          </cell>
          <cell r="AW1934">
            <v>0</v>
          </cell>
        </row>
        <row r="1935">
          <cell r="B1935" t="str">
            <v>ADYHAMGJMG0-040</v>
          </cell>
          <cell r="C1935" t="str">
            <v>GOLD AHŞAP AYAKLI DEKORATİF DÜRBÜN 17x40CM</v>
          </cell>
          <cell r="D1935" t="str">
            <v>GOLD WOODEN FOOT DECORATIVE BINOCULARS 17x40CM</v>
          </cell>
          <cell r="E1935" t="str">
            <v>AHŞAP METAL GOLD GOLD</v>
          </cell>
          <cell r="F1935" t="str">
            <v/>
          </cell>
          <cell r="G1935" t="str">
            <v>AKSESUAR</v>
          </cell>
          <cell r="H1935" t="str">
            <v/>
          </cell>
          <cell r="I1935" t="str">
            <v/>
          </cell>
          <cell r="J1935" t="str">
            <v>AKSESUAR</v>
          </cell>
          <cell r="K1935" t="str">
            <v>HEKA</v>
          </cell>
          <cell r="L1935" t="str">
            <v/>
          </cell>
          <cell r="M1935" t="str">
            <v/>
          </cell>
          <cell r="N1935" t="str">
            <v>HKA-250020</v>
          </cell>
          <cell r="O1935" t="str">
            <v>HEKA</v>
          </cell>
          <cell r="P1935" t="str">
            <v>ADET</v>
          </cell>
          <cell r="R1935" t="str">
            <v>AHŞAP</v>
          </cell>
          <cell r="S1935" t="str">
            <v>GOLD</v>
          </cell>
          <cell r="T1935" t="str">
            <v>METAL</v>
          </cell>
          <cell r="U1935" t="str">
            <v>GOLD</v>
          </cell>
          <cell r="AF1935">
            <v>1</v>
          </cell>
          <cell r="AG1935" t="str">
            <v>ADET</v>
          </cell>
          <cell r="AH1935">
            <v>4919</v>
          </cell>
          <cell r="AI1935" t="str">
            <v>TL</v>
          </cell>
          <cell r="AJ1935">
            <v>11805.6</v>
          </cell>
          <cell r="AK1935" t="str">
            <v>TL</v>
          </cell>
          <cell r="AL1935">
            <v>0</v>
          </cell>
          <cell r="AO1935">
            <v>0</v>
          </cell>
          <cell r="AQ1935">
            <v>0</v>
          </cell>
          <cell r="AS1935">
            <v>17</v>
          </cell>
          <cell r="AT1935" t="str">
            <v>CM</v>
          </cell>
          <cell r="AU1935">
            <v>0</v>
          </cell>
          <cell r="AW1935">
            <v>0</v>
          </cell>
        </row>
        <row r="1936">
          <cell r="B1936" t="str">
            <v>AVYHECT0003-024</v>
          </cell>
          <cell r="C1936" t="str">
            <v>LATTE STONE CAM VAZO 24x29CM</v>
          </cell>
          <cell r="D1936" t="str">
            <v>LATTE STONE GLASS VASE 24x29CM</v>
          </cell>
          <cell r="E1936" t="str">
            <v>CAM  YOK SOFT YOK</v>
          </cell>
          <cell r="F1936" t="str">
            <v/>
          </cell>
          <cell r="G1936" t="str">
            <v>AKSESUAR</v>
          </cell>
          <cell r="H1936" t="str">
            <v/>
          </cell>
          <cell r="I1936" t="str">
            <v>İÇ</v>
          </cell>
          <cell r="J1936" t="str">
            <v>AKSESUAR</v>
          </cell>
          <cell r="K1936" t="str">
            <v>HEKA</v>
          </cell>
          <cell r="L1936" t="str">
            <v/>
          </cell>
          <cell r="M1936" t="str">
            <v/>
          </cell>
          <cell r="N1936" t="str">
            <v>HKA-250022</v>
          </cell>
          <cell r="O1936" t="str">
            <v>HEKA</v>
          </cell>
          <cell r="P1936" t="str">
            <v>ADET</v>
          </cell>
          <cell r="R1936" t="str">
            <v>CAM</v>
          </cell>
          <cell r="S1936" t="str">
            <v>SOFT</v>
          </cell>
          <cell r="T1936" t="str">
            <v>YOK</v>
          </cell>
          <cell r="U1936" t="str">
            <v>YOK</v>
          </cell>
          <cell r="AD1936" t="str">
            <v>KASE</v>
          </cell>
          <cell r="AF1936">
            <v>0</v>
          </cell>
          <cell r="AG1936" t="str">
            <v>ADET</v>
          </cell>
          <cell r="AH1936">
            <v>1199</v>
          </cell>
          <cell r="AI1936" t="str">
            <v>TL</v>
          </cell>
          <cell r="AJ1936">
            <v>2877.6</v>
          </cell>
          <cell r="AK1936" t="str">
            <v>TL</v>
          </cell>
          <cell r="AL1936">
            <v>1</v>
          </cell>
          <cell r="AO1936">
            <v>0</v>
          </cell>
          <cell r="AQ1936">
            <v>24</v>
          </cell>
          <cell r="AR1936" t="str">
            <v>CM</v>
          </cell>
          <cell r="AS1936">
            <v>24</v>
          </cell>
          <cell r="AT1936" t="str">
            <v>CM</v>
          </cell>
          <cell r="AU1936">
            <v>0</v>
          </cell>
          <cell r="AW1936">
            <v>0</v>
          </cell>
        </row>
        <row r="1937">
          <cell r="B1937" t="str">
            <v>CD7F1C3M1C5D1</v>
          </cell>
          <cell r="C1937" t="str">
            <v>ERD-910 110V C35 ŞEFFAF DÜZ 4W 3000K E12 LED AMPUL</v>
          </cell>
          <cell r="D1937" t="str">
            <v>ERD-910 110V C35 CLEAR CANDLE 4W 3000K E12 LED BULB</v>
          </cell>
          <cell r="E1937" t="str">
            <v xml:space="preserve">CAM  ŞEFFAF </v>
          </cell>
          <cell r="F1937" t="str">
            <v/>
          </cell>
          <cell r="G1937" t="str">
            <v>AMPUL</v>
          </cell>
          <cell r="H1937" t="str">
            <v/>
          </cell>
          <cell r="I1937" t="str">
            <v>İÇ</v>
          </cell>
          <cell r="J1937" t="str">
            <v>AMPUL</v>
          </cell>
          <cell r="K1937" t="str">
            <v>ERD-910</v>
          </cell>
          <cell r="L1937" t="str">
            <v/>
          </cell>
          <cell r="M1937" t="str">
            <v/>
          </cell>
          <cell r="N1937" t="str">
            <v>ERD-910</v>
          </cell>
          <cell r="O1937" t="str">
            <v>HEKA</v>
          </cell>
          <cell r="P1937" t="str">
            <v>ADET</v>
          </cell>
          <cell r="Q1937" t="str">
            <v>E12</v>
          </cell>
          <cell r="R1937" t="str">
            <v>CAM</v>
          </cell>
          <cell r="S1937" t="str">
            <v>ŞEFFAF</v>
          </cell>
          <cell r="V1937" t="str">
            <v>F</v>
          </cell>
          <cell r="W1937" t="str">
            <v>FLAMENT</v>
          </cell>
          <cell r="Y1937" t="str">
            <v>4 WATT</v>
          </cell>
          <cell r="Z1937" t="str">
            <v>3000 K</v>
          </cell>
          <cell r="AA1937" t="str">
            <v>DIMMLI</v>
          </cell>
          <cell r="AB1937" t="str">
            <v>301-400</v>
          </cell>
          <cell r="AC1937" t="str">
            <v>C35 - DÜZ</v>
          </cell>
          <cell r="AF1937">
            <v>1000</v>
          </cell>
          <cell r="AG1937" t="str">
            <v>ADET</v>
          </cell>
          <cell r="AH1937">
            <v>2</v>
          </cell>
          <cell r="AI1937" t="str">
            <v>CNY</v>
          </cell>
          <cell r="AJ1937">
            <v>2.5</v>
          </cell>
          <cell r="AK1937" t="str">
            <v>USD</v>
          </cell>
          <cell r="AL1937">
            <v>1</v>
          </cell>
          <cell r="AM1937" t="str">
            <v>8684127516716</v>
          </cell>
          <cell r="AN1937" t="str">
            <v>8684127516723</v>
          </cell>
          <cell r="AO1937">
            <v>0</v>
          </cell>
          <cell r="AQ1937">
            <v>0</v>
          </cell>
          <cell r="AS1937">
            <v>0</v>
          </cell>
          <cell r="AU1937">
            <v>0</v>
          </cell>
          <cell r="AW1937">
            <v>0</v>
          </cell>
        </row>
        <row r="1938">
          <cell r="B1938" t="str">
            <v>H1T1KMEECSV-060</v>
          </cell>
          <cell r="C1938" t="str">
            <v>LUCETTA ŞEFFAF KRİSTAL ESKİTME MASA LAMBASI</v>
          </cell>
          <cell r="D1938" t="str">
            <v>LUCETTA CLEAR CRYSTAL BRUSHED BRASS TABLE LAMP</v>
          </cell>
          <cell r="E1938" t="str">
            <v>PASLANMAZ CAM ESKİTME ŞEFFAF</v>
          </cell>
          <cell r="F1938" t="str">
            <v/>
          </cell>
          <cell r="G1938" t="str">
            <v>MASAABAJ</v>
          </cell>
          <cell r="H1938" t="str">
            <v/>
          </cell>
          <cell r="I1938" t="str">
            <v>İÇ</v>
          </cell>
          <cell r="J1938" t="str">
            <v>MASAABAJ</v>
          </cell>
          <cell r="K1938" t="str">
            <v>LUCETTA</v>
          </cell>
          <cell r="L1938" t="str">
            <v/>
          </cell>
          <cell r="M1938" t="str">
            <v/>
          </cell>
          <cell r="N1938" t="str">
            <v>HKA-25059</v>
          </cell>
          <cell r="O1938" t="str">
            <v>HEKA</v>
          </cell>
          <cell r="P1938" t="str">
            <v>ADET</v>
          </cell>
          <cell r="Q1938" t="str">
            <v>E14</v>
          </cell>
          <cell r="R1938" t="str">
            <v>PASLANMAZ</v>
          </cell>
          <cell r="S1938" t="str">
            <v>ESKİTME</v>
          </cell>
          <cell r="T1938" t="str">
            <v>CAM</v>
          </cell>
          <cell r="U1938" t="str">
            <v>ŞEFFAF</v>
          </cell>
          <cell r="AD1938" t="str">
            <v>YAMUK</v>
          </cell>
          <cell r="AE1938" t="str">
            <v>03</v>
          </cell>
          <cell r="AF1938">
            <v>6</v>
          </cell>
          <cell r="AG1938" t="str">
            <v>ADET</v>
          </cell>
          <cell r="AH1938">
            <v>699.6</v>
          </cell>
          <cell r="AI1938" t="str">
            <v>CNY</v>
          </cell>
          <cell r="AL1938">
            <v>1</v>
          </cell>
          <cell r="AM1938" t="str">
            <v>8684127516860</v>
          </cell>
          <cell r="AO1938">
            <v>0</v>
          </cell>
          <cell r="AQ1938">
            <v>30</v>
          </cell>
          <cell r="AR1938" t="str">
            <v>CM</v>
          </cell>
          <cell r="AS1938">
            <v>30</v>
          </cell>
          <cell r="AT1938" t="str">
            <v>CM</v>
          </cell>
          <cell r="AU1938">
            <v>0</v>
          </cell>
          <cell r="AW1938">
            <v>0</v>
          </cell>
        </row>
        <row r="1939">
          <cell r="B1939" t="str">
            <v>H1W3KMEECSV-051</v>
          </cell>
          <cell r="C1939" t="str">
            <v>LUCETTA ŞEFFAF KRİSTAL ESKİTME APLİK 51CM</v>
          </cell>
          <cell r="D1939" t="str">
            <v>LUCETTA CLEAR CRYSTAL BRUSHED BRASS WALL LAMP 51CM</v>
          </cell>
          <cell r="E1939" t="str">
            <v>PASLANMAZ CAM ESKİTME ŞEFFAF</v>
          </cell>
          <cell r="F1939" t="str">
            <v/>
          </cell>
          <cell r="G1939" t="str">
            <v>APLİK</v>
          </cell>
          <cell r="H1939" t="str">
            <v/>
          </cell>
          <cell r="I1939" t="str">
            <v>İÇ</v>
          </cell>
          <cell r="J1939" t="str">
            <v>APLİK</v>
          </cell>
          <cell r="K1939" t="str">
            <v>LUCETTA</v>
          </cell>
          <cell r="L1939" t="str">
            <v/>
          </cell>
          <cell r="M1939" t="str">
            <v/>
          </cell>
          <cell r="N1939" t="str">
            <v>HKA-25061</v>
          </cell>
          <cell r="O1939" t="str">
            <v>HEKA</v>
          </cell>
          <cell r="P1939" t="str">
            <v>ADET</v>
          </cell>
          <cell r="Q1939" t="str">
            <v>G9</v>
          </cell>
          <cell r="R1939" t="str">
            <v>PASLANMAZ</v>
          </cell>
          <cell r="S1939" t="str">
            <v>ESKİTME</v>
          </cell>
          <cell r="T1939" t="str">
            <v>CAM</v>
          </cell>
          <cell r="U1939" t="str">
            <v>ŞEFFAF</v>
          </cell>
          <cell r="AD1939" t="str">
            <v>YAMUK</v>
          </cell>
          <cell r="AE1939" t="str">
            <v>02</v>
          </cell>
          <cell r="AF1939">
            <v>30</v>
          </cell>
          <cell r="AG1939" t="str">
            <v>ADET</v>
          </cell>
          <cell r="AH1939">
            <v>281.60000000000002</v>
          </cell>
          <cell r="AI1939" t="str">
            <v>CNY</v>
          </cell>
          <cell r="AL1939">
            <v>1</v>
          </cell>
          <cell r="AM1939" t="str">
            <v>8684127516884</v>
          </cell>
          <cell r="AO1939">
            <v>0</v>
          </cell>
          <cell r="AQ1939">
            <v>12</v>
          </cell>
          <cell r="AS1939">
            <v>10.5</v>
          </cell>
          <cell r="AU1939">
            <v>0</v>
          </cell>
          <cell r="AW1939">
            <v>0</v>
          </cell>
        </row>
        <row r="1940">
          <cell r="B1940" t="str">
            <v>H1W6JMEECB0-011</v>
          </cell>
          <cell r="C1940" t="str">
            <v>ROLO CAMLI ESKİTME APLİK</v>
          </cell>
          <cell r="D1940" t="str">
            <v>ROLO GLASS BRUSHED BRASS WALL LAMP</v>
          </cell>
          <cell r="E1940" t="str">
            <v>METAL CAM ESKİTME BUZLU</v>
          </cell>
          <cell r="F1940" t="str">
            <v/>
          </cell>
          <cell r="G1940" t="str">
            <v>APLİK</v>
          </cell>
          <cell r="H1940" t="str">
            <v/>
          </cell>
          <cell r="I1940" t="str">
            <v>İÇ</v>
          </cell>
          <cell r="J1940" t="str">
            <v>APLİK</v>
          </cell>
          <cell r="K1940" t="str">
            <v>ROLO</v>
          </cell>
          <cell r="L1940" t="str">
            <v/>
          </cell>
          <cell r="M1940" t="str">
            <v/>
          </cell>
          <cell r="N1940" t="str">
            <v>HKA-25075</v>
          </cell>
          <cell r="O1940" t="str">
            <v>HEKA</v>
          </cell>
          <cell r="P1940" t="str">
            <v>ADET</v>
          </cell>
          <cell r="Q1940" t="str">
            <v>LED</v>
          </cell>
          <cell r="R1940" t="str">
            <v>METAL</v>
          </cell>
          <cell r="S1940" t="str">
            <v>ESKİTME</v>
          </cell>
          <cell r="T1940" t="str">
            <v>CAM</v>
          </cell>
          <cell r="U1940" t="str">
            <v>BUZLU</v>
          </cell>
          <cell r="Z1940" t="str">
            <v>3000 K</v>
          </cell>
          <cell r="AA1940" t="str">
            <v>DIMMSIZ</v>
          </cell>
          <cell r="AE1940" t="str">
            <v>01</v>
          </cell>
          <cell r="AF1940">
            <v>40</v>
          </cell>
          <cell r="AG1940" t="str">
            <v>ADET</v>
          </cell>
          <cell r="AH1940">
            <v>124</v>
          </cell>
          <cell r="AI1940" t="str">
            <v>CNY</v>
          </cell>
          <cell r="AL1940">
            <v>1</v>
          </cell>
          <cell r="AM1940" t="str">
            <v>8684127517027</v>
          </cell>
          <cell r="AO1940">
            <v>0</v>
          </cell>
          <cell r="AQ1940">
            <v>6.5</v>
          </cell>
          <cell r="AS1940">
            <v>11</v>
          </cell>
          <cell r="AU1940">
            <v>0</v>
          </cell>
          <cell r="AW1940">
            <v>0</v>
          </cell>
        </row>
        <row r="1941">
          <cell r="B1941" t="str">
            <v>H1W6RMEWRFV-038</v>
          </cell>
          <cell r="C1941" t="str">
            <v>ALBATRE PİRİNÇ DÖKÜMLÜ MERMERLİ APLİK 38 cm</v>
          </cell>
          <cell r="D1941" t="str">
            <v>ALBATRE BRASS CASTING MARBLE WALL LAMP 38CM</v>
          </cell>
          <cell r="E1941" t="str">
            <v>PİRİNÇ MERMER ESKİTME BEYAZ</v>
          </cell>
          <cell r="F1941" t="str">
            <v/>
          </cell>
          <cell r="G1941" t="str">
            <v>APLİK</v>
          </cell>
          <cell r="H1941" t="str">
            <v/>
          </cell>
          <cell r="I1941" t="str">
            <v>İÇ</v>
          </cell>
          <cell r="J1941" t="str">
            <v>APLİK</v>
          </cell>
          <cell r="K1941" t="str">
            <v>ALBATRE</v>
          </cell>
          <cell r="L1941" t="str">
            <v/>
          </cell>
          <cell r="M1941" t="str">
            <v/>
          </cell>
          <cell r="N1941" t="str">
            <v>HKA-25089</v>
          </cell>
          <cell r="O1941" t="str">
            <v>HEKA</v>
          </cell>
          <cell r="P1941" t="str">
            <v>ADET</v>
          </cell>
          <cell r="Q1941" t="str">
            <v>LED</v>
          </cell>
          <cell r="R1941" t="str">
            <v>PİRİNÇ</v>
          </cell>
          <cell r="S1941" t="str">
            <v>ESKİTME</v>
          </cell>
          <cell r="T1941" t="str">
            <v>MERMER</v>
          </cell>
          <cell r="U1941" t="str">
            <v>BEYAZ</v>
          </cell>
          <cell r="AD1941" t="str">
            <v>YAMUK</v>
          </cell>
          <cell r="AE1941" t="str">
            <v>01</v>
          </cell>
          <cell r="AF1941">
            <v>10</v>
          </cell>
          <cell r="AG1941" t="str">
            <v>ADET</v>
          </cell>
          <cell r="AH1941">
            <v>720</v>
          </cell>
          <cell r="AI1941" t="str">
            <v>CNY</v>
          </cell>
          <cell r="AL1941">
            <v>1</v>
          </cell>
          <cell r="AM1941" t="str">
            <v>8684127517041</v>
          </cell>
          <cell r="AO1941">
            <v>0</v>
          </cell>
          <cell r="AQ1941">
            <v>13</v>
          </cell>
          <cell r="AR1941" t="str">
            <v>CM</v>
          </cell>
          <cell r="AS1941">
            <v>25.5</v>
          </cell>
          <cell r="AT1941" t="str">
            <v>CM</v>
          </cell>
          <cell r="AU1941">
            <v>0</v>
          </cell>
          <cell r="AW1941">
            <v>0</v>
          </cell>
        </row>
        <row r="1942">
          <cell r="B1942" t="str">
            <v>H1W6WRBJME0-039</v>
          </cell>
          <cell r="C1942" t="str">
            <v>HARTUM MERMER ESKİTME APLİK</v>
          </cell>
          <cell r="D1942" t="str">
            <v>HARTUM MARBLE BRUSHED BRASS WALL LAMP</v>
          </cell>
          <cell r="E1942" t="str">
            <v xml:space="preserve">MERMER METAL BEYAZ ESKİTME   </v>
          </cell>
          <cell r="F1942" t="str">
            <v/>
          </cell>
          <cell r="G1942" t="str">
            <v>APLİK</v>
          </cell>
          <cell r="H1942" t="str">
            <v/>
          </cell>
          <cell r="I1942" t="str">
            <v>İÇ</v>
          </cell>
          <cell r="J1942" t="str">
            <v>APLİK</v>
          </cell>
          <cell r="K1942" t="str">
            <v>HARTUM</v>
          </cell>
          <cell r="L1942" t="str">
            <v/>
          </cell>
          <cell r="M1942" t="str">
            <v/>
          </cell>
          <cell r="N1942" t="str">
            <v>HKA-24524</v>
          </cell>
          <cell r="O1942" t="str">
            <v>HEKA</v>
          </cell>
          <cell r="P1942" t="str">
            <v>ADET</v>
          </cell>
          <cell r="Q1942" t="str">
            <v>LED</v>
          </cell>
          <cell r="R1942" t="str">
            <v>MERMER</v>
          </cell>
          <cell r="S1942" t="str">
            <v>BEYAZ</v>
          </cell>
          <cell r="T1942" t="str">
            <v>METAL</v>
          </cell>
          <cell r="U1942" t="str">
            <v>ESKİTME</v>
          </cell>
          <cell r="X1942" t="str">
            <v>110V-220V</v>
          </cell>
          <cell r="Y1942" t="str">
            <v>8 WATT</v>
          </cell>
          <cell r="Z1942" t="str">
            <v>3000 K</v>
          </cell>
          <cell r="AA1942" t="str">
            <v>DIMMSIZ</v>
          </cell>
          <cell r="AB1942" t="str">
            <v>0-100</v>
          </cell>
          <cell r="AF1942">
            <v>27</v>
          </cell>
          <cell r="AG1942" t="str">
            <v>ADET</v>
          </cell>
          <cell r="AH1942">
            <v>572</v>
          </cell>
          <cell r="AI1942" t="str">
            <v>CNY</v>
          </cell>
          <cell r="AJ1942">
            <v>39900</v>
          </cell>
          <cell r="AK1942" t="str">
            <v>TL</v>
          </cell>
          <cell r="AL1942">
            <v>1</v>
          </cell>
          <cell r="AM1942" t="str">
            <v>8684127515573</v>
          </cell>
          <cell r="AO1942">
            <v>2.5099999999999998</v>
          </cell>
          <cell r="AP1942" t="str">
            <v>KG</v>
          </cell>
          <cell r="AQ1942">
            <v>15</v>
          </cell>
          <cell r="AR1942" t="str">
            <v>CM</v>
          </cell>
          <cell r="AS1942">
            <v>21</v>
          </cell>
          <cell r="AT1942" t="str">
            <v>CM</v>
          </cell>
          <cell r="AU1942">
            <v>0</v>
          </cell>
          <cell r="AW1942">
            <v>0</v>
          </cell>
        </row>
        <row r="1943">
          <cell r="B1943" t="str">
            <v>H1C6JSEECB0-067</v>
          </cell>
          <cell r="C1943" t="str">
            <v>KONGO BUZLU CAM SOFT ESKİTME SALON AVİZE</v>
          </cell>
          <cell r="D1943" t="str">
            <v>KONG FROSTED GLASS SOFT BRASS LIVING ROOM CHANDELIER</v>
          </cell>
          <cell r="E1943" t="str">
            <v xml:space="preserve">METAL CAM  SOFT ESKİTME BUZLU   </v>
          </cell>
          <cell r="F1943" t="str">
            <v/>
          </cell>
          <cell r="G1943" t="str">
            <v>AVİZE</v>
          </cell>
          <cell r="H1943" t="str">
            <v/>
          </cell>
          <cell r="I1943" t="str">
            <v>İÇ</v>
          </cell>
          <cell r="J1943" t="str">
            <v>AVİZE</v>
          </cell>
          <cell r="K1943" t="str">
            <v>KONGO</v>
          </cell>
          <cell r="L1943" t="str">
            <v>Y</v>
          </cell>
          <cell r="M1943" t="str">
            <v/>
          </cell>
          <cell r="N1943" t="str">
            <v>HKA-24521</v>
          </cell>
          <cell r="O1943" t="str">
            <v>HEKA</v>
          </cell>
          <cell r="P1943" t="str">
            <v>ADET</v>
          </cell>
          <cell r="Q1943" t="str">
            <v>LED</v>
          </cell>
          <cell r="R1943" t="str">
            <v>METAL</v>
          </cell>
          <cell r="S1943" t="str">
            <v>SOFT ESKİTME</v>
          </cell>
          <cell r="T1943" t="str">
            <v>CAM</v>
          </cell>
          <cell r="U1943" t="str">
            <v>BUZLU</v>
          </cell>
          <cell r="X1943" t="str">
            <v>220V</v>
          </cell>
          <cell r="Y1943" t="str">
            <v>46 WATT</v>
          </cell>
          <cell r="Z1943" t="str">
            <v xml:space="preserve">2700 K </v>
          </cell>
          <cell r="AA1943" t="str">
            <v>DIMMSIZ</v>
          </cell>
          <cell r="AF1943">
            <v>0</v>
          </cell>
          <cell r="AG1943" t="str">
            <v>ADET</v>
          </cell>
          <cell r="AH1943">
            <v>1485</v>
          </cell>
          <cell r="AI1943" t="str">
            <v>CNY</v>
          </cell>
          <cell r="AJ1943">
            <v>114900</v>
          </cell>
          <cell r="AK1943" t="str">
            <v>TL</v>
          </cell>
          <cell r="AL1943">
            <v>1</v>
          </cell>
          <cell r="AM1943" t="str">
            <v>8684127515665</v>
          </cell>
          <cell r="AO1943">
            <v>14.25</v>
          </cell>
          <cell r="AP1943" t="str">
            <v>KG</v>
          </cell>
          <cell r="AQ1943">
            <v>6</v>
          </cell>
          <cell r="AR1943" t="str">
            <v>CM</v>
          </cell>
          <cell r="AS1943">
            <v>67</v>
          </cell>
          <cell r="AT1943" t="str">
            <v>CM</v>
          </cell>
          <cell r="AU1943">
            <v>0</v>
          </cell>
          <cell r="AW1943">
            <v>0</v>
          </cell>
        </row>
        <row r="1944">
          <cell r="B1944" t="str">
            <v>H1WAMME000M-044</v>
          </cell>
          <cell r="C1944" t="str">
            <v>BELARUS REÇİNE KORUMALI KOYU ESKİTME APLİK</v>
          </cell>
          <cell r="D1944" t="str">
            <v>BELARUS RESIN PROTECTED RAW BRASS WALL LAMP</v>
          </cell>
          <cell r="E1944" t="str">
            <v xml:space="preserve">POLİKARBON YOK ESKİTME YOK   </v>
          </cell>
          <cell r="F1944" t="str">
            <v/>
          </cell>
          <cell r="G1944" t="str">
            <v>APLİK</v>
          </cell>
          <cell r="H1944" t="str">
            <v/>
          </cell>
          <cell r="I1944" t="str">
            <v>İÇ</v>
          </cell>
          <cell r="J1944" t="str">
            <v>APLİK</v>
          </cell>
          <cell r="K1944" t="str">
            <v>BELARUS</v>
          </cell>
          <cell r="L1944" t="str">
            <v/>
          </cell>
          <cell r="M1944" t="str">
            <v/>
          </cell>
          <cell r="N1944" t="str">
            <v>HKA-24599</v>
          </cell>
          <cell r="O1944" t="str">
            <v>HEKA</v>
          </cell>
          <cell r="P1944" t="str">
            <v>ADET</v>
          </cell>
          <cell r="Q1944" t="str">
            <v>E14</v>
          </cell>
          <cell r="R1944" t="str">
            <v>POLİKARBON</v>
          </cell>
          <cell r="S1944" t="str">
            <v>ESKİTME</v>
          </cell>
          <cell r="X1944" t="str">
            <v>110V-220V</v>
          </cell>
          <cell r="AE1944" t="str">
            <v>01</v>
          </cell>
          <cell r="AF1944">
            <v>25</v>
          </cell>
          <cell r="AG1944" t="str">
            <v>ADET</v>
          </cell>
          <cell r="AH1944">
            <v>175.1</v>
          </cell>
          <cell r="AI1944" t="str">
            <v>CNY</v>
          </cell>
          <cell r="AJ1944">
            <v>9900</v>
          </cell>
          <cell r="AK1944" t="str">
            <v>TL</v>
          </cell>
          <cell r="AL1944">
            <v>1</v>
          </cell>
          <cell r="AM1944" t="str">
            <v>8684127516068</v>
          </cell>
          <cell r="AO1944">
            <v>1.64</v>
          </cell>
          <cell r="AP1944" t="str">
            <v>KG</v>
          </cell>
          <cell r="AQ1944">
            <v>8.5</v>
          </cell>
          <cell r="AR1944" t="str">
            <v>CM</v>
          </cell>
          <cell r="AS1944">
            <v>15</v>
          </cell>
          <cell r="AT1944" t="str">
            <v>CM</v>
          </cell>
          <cell r="AU1944">
            <v>0</v>
          </cell>
          <cell r="AW1944">
            <v>0</v>
          </cell>
        </row>
        <row r="1945">
          <cell r="B1945" t="str">
            <v>H1F6JMEWRB0-165</v>
          </cell>
          <cell r="C1945" t="str">
            <v>GİNE MERMER TOPLU ESKİTME LAMBADER</v>
          </cell>
          <cell r="D1945" t="str">
            <v>GİNE MARBLE BALLS BRUSHED BRASS FLOOR LAMP</v>
          </cell>
          <cell r="E1945" t="str">
            <v xml:space="preserve">METAL MERMER ESKİTME BEYAZ   </v>
          </cell>
          <cell r="F1945" t="str">
            <v/>
          </cell>
          <cell r="G1945" t="str">
            <v>LAMBADER</v>
          </cell>
          <cell r="H1945" t="str">
            <v/>
          </cell>
          <cell r="I1945" t="str">
            <v>İÇ</v>
          </cell>
          <cell r="J1945" t="str">
            <v>LAMBADER</v>
          </cell>
          <cell r="K1945" t="str">
            <v>GİNE</v>
          </cell>
          <cell r="L1945" t="str">
            <v/>
          </cell>
          <cell r="M1945" t="str">
            <v/>
          </cell>
          <cell r="N1945" t="str">
            <v>HKA-24464</v>
          </cell>
          <cell r="O1945" t="str">
            <v>HEKA</v>
          </cell>
          <cell r="P1945" t="str">
            <v>ADET</v>
          </cell>
          <cell r="Q1945" t="str">
            <v>LED</v>
          </cell>
          <cell r="R1945" t="str">
            <v>METAL</v>
          </cell>
          <cell r="S1945" t="str">
            <v>ESKİTME</v>
          </cell>
          <cell r="T1945" t="str">
            <v>MERMER</v>
          </cell>
          <cell r="U1945" t="str">
            <v>BEYAZ</v>
          </cell>
          <cell r="X1945" t="str">
            <v>110V-220V</v>
          </cell>
          <cell r="Y1945" t="str">
            <v>24 WATT</v>
          </cell>
          <cell r="AA1945" t="str">
            <v>DIMMSIZ</v>
          </cell>
          <cell r="AF1945">
            <v>7</v>
          </cell>
          <cell r="AG1945" t="str">
            <v>ADET</v>
          </cell>
          <cell r="AH1945">
            <v>600</v>
          </cell>
          <cell r="AI1945" t="str">
            <v>CNY</v>
          </cell>
          <cell r="AJ1945">
            <v>44900</v>
          </cell>
          <cell r="AK1945" t="str">
            <v>TL</v>
          </cell>
          <cell r="AL1945">
            <v>1</v>
          </cell>
          <cell r="AM1945" t="str">
            <v>8684127515849</v>
          </cell>
          <cell r="AO1945">
            <v>7.13</v>
          </cell>
          <cell r="AP1945" t="str">
            <v>KG</v>
          </cell>
          <cell r="AQ1945">
            <v>25</v>
          </cell>
          <cell r="AR1945" t="str">
            <v>CM</v>
          </cell>
          <cell r="AS1945">
            <v>25</v>
          </cell>
          <cell r="AT1945" t="str">
            <v>CM</v>
          </cell>
          <cell r="AU1945">
            <v>0</v>
          </cell>
          <cell r="AW1945">
            <v>0</v>
          </cell>
        </row>
        <row r="1946">
          <cell r="B1946" t="str">
            <v>H1C6ECTJME0-023</v>
          </cell>
          <cell r="C1946" t="str">
            <v>LINZ SOFT CAM ESKİTME SARKIT</v>
          </cell>
          <cell r="D1946" t="str">
            <v>LINZ SOFT GLASS BRUSHED BRASS PENDANT</v>
          </cell>
          <cell r="E1946" t="str">
            <v xml:space="preserve">CAM  METAL SOFT ESKİTME   </v>
          </cell>
          <cell r="F1946" t="str">
            <v/>
          </cell>
          <cell r="G1946" t="str">
            <v>AVİZE</v>
          </cell>
          <cell r="H1946" t="str">
            <v/>
          </cell>
          <cell r="I1946" t="str">
            <v>İÇ</v>
          </cell>
          <cell r="J1946" t="str">
            <v>AVİZE.SARK</v>
          </cell>
          <cell r="K1946" t="str">
            <v>LINZ</v>
          </cell>
          <cell r="L1946" t="str">
            <v/>
          </cell>
          <cell r="M1946" t="str">
            <v/>
          </cell>
          <cell r="N1946" t="str">
            <v>HKA-24527</v>
          </cell>
          <cell r="O1946" t="str">
            <v>HEKA</v>
          </cell>
          <cell r="P1946" t="str">
            <v>ADET</v>
          </cell>
          <cell r="Q1946" t="str">
            <v>LED</v>
          </cell>
          <cell r="R1946" t="str">
            <v>METAL</v>
          </cell>
          <cell r="S1946" t="str">
            <v>ESKİTME</v>
          </cell>
          <cell r="T1946" t="str">
            <v>CAM</v>
          </cell>
          <cell r="U1946" t="str">
            <v>SOFT</v>
          </cell>
          <cell r="X1946" t="str">
            <v>110V-220V</v>
          </cell>
          <cell r="Y1946" t="str">
            <v>4 WATT</v>
          </cell>
          <cell r="Z1946" t="str">
            <v>3000 K</v>
          </cell>
          <cell r="AA1946" t="str">
            <v>DIMMSIZ</v>
          </cell>
          <cell r="AB1946" t="str">
            <v>401-500</v>
          </cell>
          <cell r="AF1946">
            <v>158</v>
          </cell>
          <cell r="AG1946" t="str">
            <v>ADET</v>
          </cell>
          <cell r="AH1946">
            <v>150</v>
          </cell>
          <cell r="AI1946" t="str">
            <v>TL</v>
          </cell>
          <cell r="AJ1946">
            <v>8950</v>
          </cell>
          <cell r="AK1946" t="str">
            <v>TL</v>
          </cell>
          <cell r="AL1946">
            <v>1</v>
          </cell>
          <cell r="AM1946" t="str">
            <v>8684127515917</v>
          </cell>
          <cell r="AO1946">
            <v>0.95</v>
          </cell>
          <cell r="AP1946" t="str">
            <v>KG</v>
          </cell>
          <cell r="AQ1946">
            <v>17</v>
          </cell>
          <cell r="AR1946" t="str">
            <v>CM</v>
          </cell>
          <cell r="AS1946">
            <v>17</v>
          </cell>
          <cell r="AT1946" t="str">
            <v>CM</v>
          </cell>
          <cell r="AU1946">
            <v>0</v>
          </cell>
          <cell r="AW1946">
            <v>0</v>
          </cell>
        </row>
        <row r="1947">
          <cell r="B1947" t="str">
            <v>H1W6VRSERF0-056</v>
          </cell>
          <cell r="C1947" t="str">
            <v>KİNŞASA SİYAH DERİ ÜÇ FÜME CAM APLİK</v>
          </cell>
          <cell r="D1947" t="str">
            <v>KİNŞASA BLACK LEATHER THREE SMOKED GLASS WALL LAMP</v>
          </cell>
          <cell r="E1947" t="str">
            <v xml:space="preserve">DERİ CAM  SİYAH FÜME   </v>
          </cell>
          <cell r="F1947" t="str">
            <v/>
          </cell>
          <cell r="G1947" t="str">
            <v>APLİK</v>
          </cell>
          <cell r="H1947" t="str">
            <v/>
          </cell>
          <cell r="I1947" t="str">
            <v>İÇ</v>
          </cell>
          <cell r="J1947" t="str">
            <v>APLİK</v>
          </cell>
          <cell r="K1947" t="str">
            <v>KİNŞASA</v>
          </cell>
          <cell r="L1947" t="str">
            <v/>
          </cell>
          <cell r="M1947" t="str">
            <v/>
          </cell>
          <cell r="N1947" t="str">
            <v>HKA-24555</v>
          </cell>
          <cell r="O1947" t="str">
            <v>HEKA</v>
          </cell>
          <cell r="P1947" t="str">
            <v>ADET</v>
          </cell>
          <cell r="Q1947" t="str">
            <v>LED</v>
          </cell>
          <cell r="R1947" t="str">
            <v>DERİ</v>
          </cell>
          <cell r="S1947" t="str">
            <v>SİYAH</v>
          </cell>
          <cell r="T1947" t="str">
            <v>CAM</v>
          </cell>
          <cell r="U1947" t="str">
            <v>FÜME</v>
          </cell>
          <cell r="X1947" t="str">
            <v>110V-220V</v>
          </cell>
          <cell r="Y1947" t="str">
            <v>8 WATT</v>
          </cell>
          <cell r="Z1947" t="str">
            <v xml:space="preserve">2700 K </v>
          </cell>
          <cell r="AA1947" t="str">
            <v>DIMMSIZ</v>
          </cell>
          <cell r="AB1947" t="str">
            <v>1101-1200</v>
          </cell>
          <cell r="AF1947">
            <v>13</v>
          </cell>
          <cell r="AG1947" t="str">
            <v>ADET</v>
          </cell>
          <cell r="AH1947">
            <v>190</v>
          </cell>
          <cell r="AI1947" t="str">
            <v>CNY</v>
          </cell>
          <cell r="AJ1947">
            <v>13900</v>
          </cell>
          <cell r="AK1947" t="str">
            <v>TL</v>
          </cell>
          <cell r="AL1947">
            <v>1</v>
          </cell>
          <cell r="AM1947" t="str">
            <v>8684127515986</v>
          </cell>
          <cell r="AO1947">
            <v>1</v>
          </cell>
          <cell r="AP1947" t="str">
            <v>KG</v>
          </cell>
          <cell r="AQ1947">
            <v>12</v>
          </cell>
          <cell r="AR1947" t="str">
            <v>CM</v>
          </cell>
          <cell r="AS1947">
            <v>16</v>
          </cell>
          <cell r="AT1947" t="str">
            <v>CM</v>
          </cell>
          <cell r="AU1947">
            <v>0</v>
          </cell>
          <cell r="AW1947">
            <v>0</v>
          </cell>
        </row>
        <row r="1948">
          <cell r="B1948" t="str">
            <v>SHOPİFY.KRG01</v>
          </cell>
          <cell r="C1948" t="str">
            <v>Kargo Ücreti</v>
          </cell>
          <cell r="D1948" t="str">
            <v/>
          </cell>
          <cell r="E1948" t="str">
            <v/>
          </cell>
          <cell r="F1948" t="str">
            <v/>
          </cell>
          <cell r="G1948" t="str">
            <v/>
          </cell>
          <cell r="H1948" t="str">
            <v/>
          </cell>
          <cell r="I1948" t="str">
            <v/>
          </cell>
          <cell r="J1948" t="str">
            <v/>
          </cell>
          <cell r="K1948" t="str">
            <v/>
          </cell>
          <cell r="L1948" t="str">
            <v/>
          </cell>
          <cell r="M1948" t="str">
            <v/>
          </cell>
          <cell r="N1948" t="str">
            <v/>
          </cell>
          <cell r="P1948" t="str">
            <v>ADET</v>
          </cell>
          <cell r="AG1948" t="str">
            <v>ADET</v>
          </cell>
          <cell r="AL1948">
            <v>0</v>
          </cell>
          <cell r="AO1948">
            <v>0</v>
          </cell>
          <cell r="AQ1948">
            <v>0</v>
          </cell>
          <cell r="AS1948">
            <v>0</v>
          </cell>
          <cell r="AU1948">
            <v>0</v>
          </cell>
          <cell r="AW1948">
            <v>0</v>
          </cell>
        </row>
        <row r="1949">
          <cell r="B1949" t="str">
            <v>H1C6KMPWRB0-120</v>
          </cell>
          <cell r="C1949" t="str">
            <v>REGİNA PLATİN MERMER YEMEK MASASI AVİZE</v>
          </cell>
          <cell r="D1949" t="str">
            <v>REGİNA PLATINUM MARBLE DINING ROOM CHANDELIER</v>
          </cell>
          <cell r="E1949" t="str">
            <v xml:space="preserve">PASLANMAZ MERMER PLATİN BEYAZ   </v>
          </cell>
          <cell r="F1949" t="str">
            <v/>
          </cell>
          <cell r="G1949" t="str">
            <v>AVİZE</v>
          </cell>
          <cell r="H1949" t="str">
            <v/>
          </cell>
          <cell r="I1949" t="str">
            <v>İÇ</v>
          </cell>
          <cell r="J1949" t="str">
            <v>AVİZE</v>
          </cell>
          <cell r="K1949" t="str">
            <v>REGİNA</v>
          </cell>
          <cell r="L1949" t="str">
            <v/>
          </cell>
          <cell r="M1949" t="str">
            <v/>
          </cell>
          <cell r="N1949" t="str">
            <v>HKA-24489</v>
          </cell>
          <cell r="O1949" t="str">
            <v>HEKA</v>
          </cell>
          <cell r="P1949" t="str">
            <v>ADET</v>
          </cell>
          <cell r="Q1949" t="str">
            <v>LED</v>
          </cell>
          <cell r="R1949" t="str">
            <v>PASLANMAZ</v>
          </cell>
          <cell r="S1949" t="str">
            <v>PLATİN</v>
          </cell>
          <cell r="T1949" t="str">
            <v>MERMER</v>
          </cell>
          <cell r="U1949" t="str">
            <v>BEYAZ</v>
          </cell>
          <cell r="AF1949">
            <v>1</v>
          </cell>
          <cell r="AG1949" t="str">
            <v>ADET</v>
          </cell>
          <cell r="AH1949">
            <v>1200</v>
          </cell>
          <cell r="AI1949" t="str">
            <v>CNY</v>
          </cell>
          <cell r="AJ1949">
            <v>100800</v>
          </cell>
          <cell r="AK1949" t="str">
            <v>TL</v>
          </cell>
          <cell r="AL1949">
            <v>1</v>
          </cell>
          <cell r="AM1949" t="str">
            <v>8684127516143</v>
          </cell>
          <cell r="AO1949">
            <v>0</v>
          </cell>
          <cell r="AQ1949">
            <v>0</v>
          </cell>
          <cell r="AS1949">
            <v>0</v>
          </cell>
          <cell r="AU1949">
            <v>0</v>
          </cell>
          <cell r="AW1949">
            <v>0</v>
          </cell>
        </row>
        <row r="1950">
          <cell r="B1950" t="str">
            <v>ADY0CRTARV0-165</v>
          </cell>
          <cell r="C1950" t="str">
            <v>TURUNCU-KAHVERENGİ GRAMOFON -  MÜZİK ÇALAR</v>
          </cell>
          <cell r="D1950" t="str">
            <v>ORANGE-BROWN GRAMOPHONE - MUSIC PLAYER</v>
          </cell>
          <cell r="E1950" t="str">
            <v xml:space="preserve">ALUMİNYUM AHŞAP TURUNCU KAHVERENGİ   </v>
          </cell>
          <cell r="F1950" t="str">
            <v/>
          </cell>
          <cell r="G1950" t="str">
            <v>AKSESUAR</v>
          </cell>
          <cell r="H1950" t="str">
            <v/>
          </cell>
          <cell r="I1950" t="str">
            <v>İÇ</v>
          </cell>
          <cell r="J1950" t="str">
            <v>AKSESUAR</v>
          </cell>
          <cell r="K1950" t="str">
            <v/>
          </cell>
          <cell r="L1950" t="str">
            <v/>
          </cell>
          <cell r="M1950" t="str">
            <v/>
          </cell>
          <cell r="N1950" t="str">
            <v>HAA-250059</v>
          </cell>
          <cell r="O1950" t="str">
            <v>HEKA</v>
          </cell>
          <cell r="P1950" t="str">
            <v>ADET</v>
          </cell>
          <cell r="R1950" t="str">
            <v>ALUMİNYUM</v>
          </cell>
          <cell r="S1950" t="str">
            <v>TURUNCU</v>
          </cell>
          <cell r="T1950" t="str">
            <v>AHŞAP</v>
          </cell>
          <cell r="U1950" t="str">
            <v>KAHVERENGİ</v>
          </cell>
          <cell r="AF1950">
            <v>14</v>
          </cell>
          <cell r="AG1950" t="str">
            <v>ADET</v>
          </cell>
          <cell r="AH1950">
            <v>2000</v>
          </cell>
          <cell r="AI1950" t="str">
            <v>CNY</v>
          </cell>
          <cell r="AJ1950">
            <v>119000</v>
          </cell>
          <cell r="AK1950" t="str">
            <v>TL</v>
          </cell>
          <cell r="AL1950">
            <v>1</v>
          </cell>
          <cell r="AO1950">
            <v>0</v>
          </cell>
          <cell r="AQ1950">
            <v>0</v>
          </cell>
          <cell r="AS1950">
            <v>0</v>
          </cell>
          <cell r="AU1950">
            <v>0</v>
          </cell>
          <cell r="AW1950">
            <v>0</v>
          </cell>
        </row>
        <row r="1951">
          <cell r="B1951" t="str">
            <v>H1C6JMPWRBR-123</v>
          </cell>
          <cell r="C1951" t="str">
            <v>ANVERS MERMER YEMEK MASASI PLATİN AVİZE</v>
          </cell>
          <cell r="D1951" t="str">
            <v>ANVERS MARBLE DINNING TABLE PLATINUM CHANDELIER</v>
          </cell>
          <cell r="E1951" t="str">
            <v xml:space="preserve">METAL MERMER PLATİN BEYAZ   </v>
          </cell>
          <cell r="F1951" t="str">
            <v>9405.11.90.00.00</v>
          </cell>
          <cell r="G1951" t="str">
            <v>AVİZE</v>
          </cell>
          <cell r="H1951" t="str">
            <v>T1A6311100-12</v>
          </cell>
          <cell r="I1951" t="str">
            <v>İÇ</v>
          </cell>
          <cell r="J1951" t="str">
            <v>AVİZE.AVİZ</v>
          </cell>
          <cell r="K1951" t="str">
            <v>ANVERS</v>
          </cell>
          <cell r="L1951" t="str">
            <v>Ç</v>
          </cell>
          <cell r="M1951" t="str">
            <v/>
          </cell>
          <cell r="N1951" t="str">
            <v>HKA-24542</v>
          </cell>
          <cell r="O1951" t="str">
            <v>HEKA</v>
          </cell>
          <cell r="P1951" t="str">
            <v>ADET</v>
          </cell>
          <cell r="Q1951" t="str">
            <v>LED</v>
          </cell>
          <cell r="R1951" t="str">
            <v>METAL</v>
          </cell>
          <cell r="S1951" t="str">
            <v>PLATİN</v>
          </cell>
          <cell r="T1951" t="str">
            <v>MERMER</v>
          </cell>
          <cell r="U1951" t="str">
            <v>BEYAZ</v>
          </cell>
          <cell r="AD1951" t="str">
            <v>DAİRE</v>
          </cell>
          <cell r="AF1951">
            <v>18</v>
          </cell>
          <cell r="AG1951" t="str">
            <v>ADET</v>
          </cell>
          <cell r="AH1951">
            <v>790</v>
          </cell>
          <cell r="AI1951" t="str">
            <v>CNY</v>
          </cell>
          <cell r="AJ1951">
            <v>49500</v>
          </cell>
          <cell r="AK1951" t="str">
            <v>TL</v>
          </cell>
          <cell r="AL1951">
            <v>1</v>
          </cell>
          <cell r="AM1951" t="str">
            <v>8684127516303</v>
          </cell>
          <cell r="AO1951">
            <v>0</v>
          </cell>
          <cell r="AQ1951">
            <v>0</v>
          </cell>
          <cell r="AR1951" t="str">
            <v>CM</v>
          </cell>
          <cell r="AS1951">
            <v>0</v>
          </cell>
          <cell r="AT1951" t="str">
            <v>CM</v>
          </cell>
          <cell r="AU1951">
            <v>0</v>
          </cell>
          <cell r="AW1951">
            <v>0</v>
          </cell>
        </row>
        <row r="1952">
          <cell r="B1952" t="str">
            <v>H1W6JMPWRBD-037</v>
          </cell>
          <cell r="C1952" t="str">
            <v>EKHO MERMER PLATİN APLİK</v>
          </cell>
          <cell r="D1952" t="str">
            <v>EKHO MARBLE PLATINUM WALL LAMP</v>
          </cell>
          <cell r="E1952" t="str">
            <v xml:space="preserve">METAL MERMER PLATİN BEYAZ   </v>
          </cell>
          <cell r="F1952" t="str">
            <v/>
          </cell>
          <cell r="G1952" t="str">
            <v>AVİZE</v>
          </cell>
          <cell r="H1952" t="str">
            <v/>
          </cell>
          <cell r="I1952" t="str">
            <v>İÇ</v>
          </cell>
          <cell r="J1952" t="str">
            <v>APLİK</v>
          </cell>
          <cell r="K1952" t="str">
            <v>EKHO</v>
          </cell>
          <cell r="L1952" t="str">
            <v>Ç</v>
          </cell>
          <cell r="M1952" t="str">
            <v/>
          </cell>
          <cell r="N1952" t="str">
            <v>HKA-25016</v>
          </cell>
          <cell r="O1952" t="str">
            <v>HEKA</v>
          </cell>
          <cell r="P1952" t="str">
            <v>ADET</v>
          </cell>
          <cell r="Q1952" t="str">
            <v>LED</v>
          </cell>
          <cell r="R1952" t="str">
            <v>METAL</v>
          </cell>
          <cell r="S1952" t="str">
            <v>PLATİN</v>
          </cell>
          <cell r="T1952" t="str">
            <v>MERMER</v>
          </cell>
          <cell r="U1952" t="str">
            <v>BEYAZ</v>
          </cell>
          <cell r="AD1952" t="str">
            <v>DAİRE</v>
          </cell>
          <cell r="AF1952">
            <v>46</v>
          </cell>
          <cell r="AG1952" t="str">
            <v>ADET</v>
          </cell>
          <cell r="AH1952">
            <v>180</v>
          </cell>
          <cell r="AI1952" t="str">
            <v>CNY</v>
          </cell>
          <cell r="AJ1952">
            <v>13950</v>
          </cell>
          <cell r="AK1952" t="str">
            <v>TL</v>
          </cell>
          <cell r="AL1952">
            <v>1</v>
          </cell>
          <cell r="AM1952" t="str">
            <v>8684127516372</v>
          </cell>
          <cell r="AO1952">
            <v>0</v>
          </cell>
          <cell r="AQ1952">
            <v>0</v>
          </cell>
          <cell r="AS1952">
            <v>0</v>
          </cell>
          <cell r="AU1952">
            <v>0</v>
          </cell>
          <cell r="AW1952">
            <v>0</v>
          </cell>
        </row>
        <row r="1953">
          <cell r="B1953" t="str">
            <v>H1W6WRBJME0-060</v>
          </cell>
          <cell r="C1953" t="str">
            <v>TOME ESKİTME ÜÇLÜ MERMER APLİK</v>
          </cell>
          <cell r="D1953" t="str">
            <v>TOME BRUSHED BRASS TRIPLE MARBLE WALL LAMP</v>
          </cell>
          <cell r="E1953" t="str">
            <v>MERMER METAL BEYAZ ESKİTME</v>
          </cell>
          <cell r="F1953" t="str">
            <v/>
          </cell>
          <cell r="G1953" t="str">
            <v>APLİK</v>
          </cell>
          <cell r="H1953" t="str">
            <v/>
          </cell>
          <cell r="I1953" t="str">
            <v>İÇ</v>
          </cell>
          <cell r="J1953" t="str">
            <v>APLİK</v>
          </cell>
          <cell r="K1953" t="str">
            <v>TOME</v>
          </cell>
          <cell r="L1953" t="str">
            <v/>
          </cell>
          <cell r="M1953" t="str">
            <v/>
          </cell>
          <cell r="N1953" t="str">
            <v>HKA-25017</v>
          </cell>
          <cell r="O1953" t="str">
            <v>HEKA</v>
          </cell>
          <cell r="P1953" t="str">
            <v>ADET</v>
          </cell>
          <cell r="Q1953" t="str">
            <v>LED</v>
          </cell>
          <cell r="R1953" t="str">
            <v>MERMER</v>
          </cell>
          <cell r="S1953" t="str">
            <v>BEYAZ</v>
          </cell>
          <cell r="T1953" t="str">
            <v>METAL</v>
          </cell>
          <cell r="U1953" t="str">
            <v>ESKİTME</v>
          </cell>
          <cell r="AF1953">
            <v>15</v>
          </cell>
          <cell r="AG1953" t="str">
            <v>ADET</v>
          </cell>
          <cell r="AH1953">
            <v>360</v>
          </cell>
          <cell r="AI1953" t="str">
            <v>CNY</v>
          </cell>
          <cell r="AJ1953">
            <v>25750</v>
          </cell>
          <cell r="AK1953" t="str">
            <v>TL</v>
          </cell>
          <cell r="AL1953">
            <v>1</v>
          </cell>
          <cell r="AM1953" t="str">
            <v>8684127516617</v>
          </cell>
          <cell r="AO1953">
            <v>0</v>
          </cell>
          <cell r="AQ1953">
            <v>0</v>
          </cell>
          <cell r="AS1953">
            <v>0</v>
          </cell>
          <cell r="AU1953">
            <v>0</v>
          </cell>
          <cell r="AW1953">
            <v>0</v>
          </cell>
        </row>
        <row r="1954">
          <cell r="B1954" t="str">
            <v>ATYZYREJRS0-060</v>
          </cell>
          <cell r="C1954" t="str">
            <v xml:space="preserve">VERA TABLO 60x80 cm </v>
          </cell>
          <cell r="D1954" t="str">
            <v>VERA TABLE 60x80 cm</v>
          </cell>
          <cell r="E1954" t="str">
            <v>POLYESTER METAL RESİM SİYAH</v>
          </cell>
          <cell r="F1954" t="str">
            <v/>
          </cell>
          <cell r="G1954" t="str">
            <v>AKSESUAR</v>
          </cell>
          <cell r="H1954" t="str">
            <v/>
          </cell>
          <cell r="I1954" t="str">
            <v>İÇ</v>
          </cell>
          <cell r="J1954" t="str">
            <v xml:space="preserve">AKSESUAR </v>
          </cell>
          <cell r="K1954" t="str">
            <v>VERA</v>
          </cell>
          <cell r="L1954" t="str">
            <v/>
          </cell>
          <cell r="M1954" t="str">
            <v/>
          </cell>
          <cell r="N1954" t="str">
            <v>HKM-250004</v>
          </cell>
          <cell r="O1954" t="str">
            <v>HEKA</v>
          </cell>
          <cell r="P1954" t="str">
            <v>ADET</v>
          </cell>
          <cell r="R1954" t="str">
            <v>POLYESTER</v>
          </cell>
          <cell r="S1954" t="str">
            <v xml:space="preserve">RESİM </v>
          </cell>
          <cell r="T1954" t="str">
            <v>METAL</v>
          </cell>
          <cell r="U1954" t="str">
            <v>SİYAH</v>
          </cell>
          <cell r="AF1954">
            <v>9</v>
          </cell>
          <cell r="AG1954" t="str">
            <v>ADET</v>
          </cell>
          <cell r="AH1954">
            <v>150</v>
          </cell>
          <cell r="AI1954" t="str">
            <v>CNY</v>
          </cell>
          <cell r="AJ1954">
            <v>4950</v>
          </cell>
          <cell r="AK1954" t="str">
            <v>TL</v>
          </cell>
          <cell r="AL1954">
            <v>1</v>
          </cell>
          <cell r="AO1954">
            <v>0</v>
          </cell>
          <cell r="AQ1954">
            <v>0</v>
          </cell>
          <cell r="AS1954">
            <v>0</v>
          </cell>
          <cell r="AU1954">
            <v>0</v>
          </cell>
          <cell r="AW1954">
            <v>0</v>
          </cell>
        </row>
        <row r="1955">
          <cell r="B1955" t="str">
            <v>H1C6ERB0001-035</v>
          </cell>
          <cell r="C1955" t="str">
            <v>PERLA BEYAZ CAM SARKIT 35CM</v>
          </cell>
          <cell r="D1955" t="str">
            <v>PERLA WHITE GLASS PENDANT 35CM</v>
          </cell>
          <cell r="E1955" t="str">
            <v>CAM YOK BEYAZ YOK</v>
          </cell>
          <cell r="F1955" t="str">
            <v/>
          </cell>
          <cell r="G1955" t="str">
            <v>AVİZE</v>
          </cell>
          <cell r="H1955" t="str">
            <v/>
          </cell>
          <cell r="I1955" t="str">
            <v>İÇ</v>
          </cell>
          <cell r="J1955" t="str">
            <v>AVİZE.SARK</v>
          </cell>
          <cell r="K1955" t="str">
            <v>PERLA</v>
          </cell>
          <cell r="L1955" t="str">
            <v/>
          </cell>
          <cell r="M1955" t="str">
            <v/>
          </cell>
          <cell r="N1955" t="str">
            <v>HKA-25146</v>
          </cell>
          <cell r="O1955" t="str">
            <v>HEKA</v>
          </cell>
          <cell r="P1955" t="str">
            <v>ADET</v>
          </cell>
          <cell r="Q1955" t="str">
            <v>LED</v>
          </cell>
          <cell r="R1955" t="str">
            <v>CAM</v>
          </cell>
          <cell r="S1955" t="str">
            <v>BEYAZ</v>
          </cell>
          <cell r="T1955" t="str">
            <v>YOK</v>
          </cell>
          <cell r="U1955" t="str">
            <v>YOK</v>
          </cell>
          <cell r="AA1955" t="str">
            <v>DIMMSIZ</v>
          </cell>
          <cell r="AD1955" t="str">
            <v>TEKLİ</v>
          </cell>
          <cell r="AE1955" t="str">
            <v>01</v>
          </cell>
          <cell r="AF1955">
            <v>100</v>
          </cell>
          <cell r="AG1955" t="str">
            <v>ADET</v>
          </cell>
          <cell r="AH1955">
            <v>228</v>
          </cell>
          <cell r="AI1955" t="str">
            <v>CNY</v>
          </cell>
          <cell r="AL1955">
            <v>1</v>
          </cell>
          <cell r="AM1955" t="str">
            <v>8684127517867</v>
          </cell>
          <cell r="AO1955">
            <v>0</v>
          </cell>
          <cell r="AQ1955">
            <v>16.399999999999999</v>
          </cell>
          <cell r="AR1955" t="str">
            <v>CM</v>
          </cell>
          <cell r="AS1955">
            <v>16.399999999999999</v>
          </cell>
          <cell r="AT1955" t="str">
            <v>CM</v>
          </cell>
          <cell r="AU1955">
            <v>0</v>
          </cell>
          <cell r="AW1955">
            <v>0</v>
          </cell>
        </row>
        <row r="1956">
          <cell r="B1956" t="str">
            <v>H1C6ERF0001-035</v>
          </cell>
          <cell r="C1956" t="str">
            <v>PERLA FÜME CAM SARKIT 35CM</v>
          </cell>
          <cell r="D1956" t="str">
            <v>PERLA LIGHT SMOKY GLASS PENDANT 35CM</v>
          </cell>
          <cell r="E1956" t="str">
            <v>CAM YOK FÜME YOK</v>
          </cell>
          <cell r="F1956" t="str">
            <v/>
          </cell>
          <cell r="G1956" t="str">
            <v>AVİZE</v>
          </cell>
          <cell r="H1956" t="str">
            <v/>
          </cell>
          <cell r="I1956" t="str">
            <v>İÇ</v>
          </cell>
          <cell r="J1956" t="str">
            <v>AVİZE.SARK</v>
          </cell>
          <cell r="K1956" t="str">
            <v>PERLA</v>
          </cell>
          <cell r="L1956" t="str">
            <v/>
          </cell>
          <cell r="M1956" t="str">
            <v/>
          </cell>
          <cell r="N1956" t="str">
            <v>HKA-25148</v>
          </cell>
          <cell r="O1956" t="str">
            <v>HEKA</v>
          </cell>
          <cell r="P1956" t="str">
            <v>ADET</v>
          </cell>
          <cell r="Q1956" t="str">
            <v>LED</v>
          </cell>
          <cell r="R1956" t="str">
            <v>CAM</v>
          </cell>
          <cell r="S1956" t="str">
            <v>FÜME</v>
          </cell>
          <cell r="T1956" t="str">
            <v>YOK</v>
          </cell>
          <cell r="U1956" t="str">
            <v>YOK</v>
          </cell>
          <cell r="AA1956" t="str">
            <v>DIMMSIZ</v>
          </cell>
          <cell r="AD1956" t="str">
            <v>TEKLİ</v>
          </cell>
          <cell r="AE1956" t="str">
            <v>01</v>
          </cell>
          <cell r="AF1956">
            <v>100</v>
          </cell>
          <cell r="AG1956" t="str">
            <v>ADET</v>
          </cell>
          <cell r="AH1956">
            <v>228</v>
          </cell>
          <cell r="AI1956" t="str">
            <v>CNY</v>
          </cell>
          <cell r="AL1956">
            <v>1</v>
          </cell>
          <cell r="AM1956" t="str">
            <v>8684127517881</v>
          </cell>
          <cell r="AO1956">
            <v>0</v>
          </cell>
          <cell r="AQ1956">
            <v>16.399999999999999</v>
          </cell>
          <cell r="AR1956" t="str">
            <v>CM</v>
          </cell>
          <cell r="AS1956">
            <v>16.399999999999999</v>
          </cell>
          <cell r="AT1956" t="str">
            <v>CM</v>
          </cell>
          <cell r="AU1956">
            <v>0</v>
          </cell>
          <cell r="AW1956">
            <v>0</v>
          </cell>
        </row>
        <row r="1957">
          <cell r="B1957" t="str">
            <v>H1C6ERY0001-074</v>
          </cell>
          <cell r="C1957" t="str">
            <v>PERLA YEŞİL CAM SARKIT 74CM</v>
          </cell>
          <cell r="D1957" t="str">
            <v>PERLA GREEN GLASS PENDANT 74CM</v>
          </cell>
          <cell r="E1957" t="str">
            <v>CAM YOK YEŞİL YOK</v>
          </cell>
          <cell r="F1957" t="str">
            <v/>
          </cell>
          <cell r="G1957" t="str">
            <v>AVİZE</v>
          </cell>
          <cell r="H1957" t="str">
            <v/>
          </cell>
          <cell r="I1957" t="str">
            <v>İÇ</v>
          </cell>
          <cell r="J1957" t="str">
            <v>AVİZE.SARK</v>
          </cell>
          <cell r="K1957" t="str">
            <v>PERLA</v>
          </cell>
          <cell r="L1957" t="str">
            <v/>
          </cell>
          <cell r="M1957" t="str">
            <v/>
          </cell>
          <cell r="N1957" t="str">
            <v>HKA-25155</v>
          </cell>
          <cell r="O1957" t="str">
            <v>HEKA</v>
          </cell>
          <cell r="P1957" t="str">
            <v>ADET</v>
          </cell>
          <cell r="Q1957" t="str">
            <v>LED</v>
          </cell>
          <cell r="R1957" t="str">
            <v>CAM</v>
          </cell>
          <cell r="S1957" t="str">
            <v>YEŞİL</v>
          </cell>
          <cell r="T1957" t="str">
            <v>YOK</v>
          </cell>
          <cell r="U1957" t="str">
            <v>YOK</v>
          </cell>
          <cell r="AA1957" t="str">
            <v>DIMMSIZ</v>
          </cell>
          <cell r="AD1957" t="str">
            <v>TEKLİ</v>
          </cell>
          <cell r="AE1957" t="str">
            <v>01</v>
          </cell>
          <cell r="AF1957">
            <v>25</v>
          </cell>
          <cell r="AG1957" t="str">
            <v>ADET</v>
          </cell>
          <cell r="AH1957">
            <v>285</v>
          </cell>
          <cell r="AI1957" t="str">
            <v>CNY</v>
          </cell>
          <cell r="AL1957">
            <v>1</v>
          </cell>
          <cell r="AM1957" t="str">
            <v>8684127517959</v>
          </cell>
          <cell r="AO1957">
            <v>0</v>
          </cell>
          <cell r="AQ1957">
            <v>16.399999999999999</v>
          </cell>
          <cell r="AR1957" t="str">
            <v>CM</v>
          </cell>
          <cell r="AS1957">
            <v>16.399999999999999</v>
          </cell>
          <cell r="AT1957" t="str">
            <v>CM</v>
          </cell>
          <cell r="AU1957">
            <v>0</v>
          </cell>
          <cell r="AW1957">
            <v>0</v>
          </cell>
        </row>
        <row r="1958">
          <cell r="B1958" t="str">
            <v>H1T6KMPERF0-035</v>
          </cell>
          <cell r="C1958" t="str">
            <v>ARİETTA FÜME KRİSTAL PLATİN MASA LAMBASI 35CM</v>
          </cell>
          <cell r="D1958" t="str">
            <v>ARİETTA LIGHT SMOKY CRYSTAL PLATINUM TABLE LAMP 35CM</v>
          </cell>
          <cell r="E1958" t="str">
            <v>PASLANMAZ CAM PLATİN FÜME</v>
          </cell>
          <cell r="F1958" t="str">
            <v/>
          </cell>
          <cell r="G1958" t="str">
            <v>MASA LAMBASI</v>
          </cell>
          <cell r="H1958" t="str">
            <v/>
          </cell>
          <cell r="I1958" t="str">
            <v>İÇ</v>
          </cell>
          <cell r="J1958" t="str">
            <v>MASAABAJ</v>
          </cell>
          <cell r="K1958" t="str">
            <v>ARİETTA</v>
          </cell>
          <cell r="L1958" t="str">
            <v/>
          </cell>
          <cell r="M1958" t="str">
            <v/>
          </cell>
          <cell r="N1958" t="str">
            <v>HKA-25077</v>
          </cell>
          <cell r="O1958" t="str">
            <v>HEKA</v>
          </cell>
          <cell r="P1958" t="str">
            <v>ADET</v>
          </cell>
          <cell r="Q1958" t="str">
            <v>LED</v>
          </cell>
          <cell r="R1958" t="str">
            <v>PASLANMAZ</v>
          </cell>
          <cell r="S1958" t="str">
            <v>PLATİN</v>
          </cell>
          <cell r="T1958" t="str">
            <v>CAM</v>
          </cell>
          <cell r="U1958" t="str">
            <v>FÜME</v>
          </cell>
          <cell r="Z1958" t="str">
            <v>3000 K</v>
          </cell>
          <cell r="AA1958" t="str">
            <v>DIMMSIZ</v>
          </cell>
          <cell r="AE1958" t="str">
            <v>01</v>
          </cell>
          <cell r="AF1958">
            <v>20</v>
          </cell>
          <cell r="AG1958" t="str">
            <v>ADET</v>
          </cell>
          <cell r="AH1958">
            <v>366.3</v>
          </cell>
          <cell r="AI1958" t="str">
            <v>CNY</v>
          </cell>
          <cell r="AL1958">
            <v>1</v>
          </cell>
          <cell r="AM1958" t="str">
            <v>8684127517973</v>
          </cell>
          <cell r="AO1958">
            <v>0</v>
          </cell>
          <cell r="AQ1958">
            <v>20</v>
          </cell>
          <cell r="AR1958" t="str">
            <v>CM</v>
          </cell>
          <cell r="AS1958">
            <v>20</v>
          </cell>
          <cell r="AT1958" t="str">
            <v>CM</v>
          </cell>
          <cell r="AU1958">
            <v>0</v>
          </cell>
          <cell r="AW1958">
            <v>0</v>
          </cell>
        </row>
        <row r="1959">
          <cell r="B1959" t="str">
            <v>H1C3JMEECD0-072</v>
          </cell>
          <cell r="C1959" t="str">
            <v>BONELLİ DOKULU CAM SARKIT</v>
          </cell>
          <cell r="D1959" t="str">
            <v>BONELLİ TEXTURED GLASS PENDANT</v>
          </cell>
          <cell r="E1959" t="str">
            <v>METAL CAM ESKİTME DOKULU</v>
          </cell>
          <cell r="F1959" t="str">
            <v/>
          </cell>
          <cell r="G1959" t="str">
            <v>AVİZE</v>
          </cell>
          <cell r="H1959" t="str">
            <v/>
          </cell>
          <cell r="I1959" t="str">
            <v>İÇ</v>
          </cell>
          <cell r="J1959" t="str">
            <v>AVİZE.SARK</v>
          </cell>
          <cell r="K1959" t="str">
            <v>BONELLİ</v>
          </cell>
          <cell r="L1959" t="str">
            <v/>
          </cell>
          <cell r="M1959" t="str">
            <v/>
          </cell>
          <cell r="N1959" t="str">
            <v>HKA-25180</v>
          </cell>
          <cell r="O1959" t="str">
            <v>HEKA</v>
          </cell>
          <cell r="P1959" t="str">
            <v>ADET</v>
          </cell>
          <cell r="Q1959" t="str">
            <v>G9</v>
          </cell>
          <cell r="R1959" t="str">
            <v>METAL</v>
          </cell>
          <cell r="S1959" t="str">
            <v>ESKİTME</v>
          </cell>
          <cell r="T1959" t="str">
            <v>CAM</v>
          </cell>
          <cell r="U1959" t="str">
            <v>DOKULU</v>
          </cell>
          <cell r="AE1959" t="str">
            <v>08</v>
          </cell>
          <cell r="AF1959">
            <v>15</v>
          </cell>
          <cell r="AG1959" t="str">
            <v>ADET</v>
          </cell>
          <cell r="AH1959">
            <v>920.5</v>
          </cell>
          <cell r="AI1959" t="str">
            <v>CNY</v>
          </cell>
          <cell r="AL1959">
            <v>1</v>
          </cell>
          <cell r="AM1959" t="str">
            <v>8684127518208</v>
          </cell>
          <cell r="AO1959">
            <v>0</v>
          </cell>
          <cell r="AQ1959">
            <v>72</v>
          </cell>
          <cell r="AR1959" t="str">
            <v>CM</v>
          </cell>
          <cell r="AS1959">
            <v>72</v>
          </cell>
          <cell r="AT1959" t="str">
            <v>CM</v>
          </cell>
          <cell r="AU1959">
            <v>0</v>
          </cell>
          <cell r="AW1959">
            <v>0</v>
          </cell>
        </row>
        <row r="1960">
          <cell r="B1960" t="str">
            <v>H1C3JMEECDE-120</v>
          </cell>
          <cell r="C1960" t="str">
            <v>BONELLİ DOKULU CAM Y.MASASI AVİZE</v>
          </cell>
          <cell r="D1960" t="str">
            <v>BONELLİ TEXTURED GLASS DINNING ROOM CHANDELIER</v>
          </cell>
          <cell r="E1960" t="str">
            <v>METAL CAM ESKİTME DOKULU</v>
          </cell>
          <cell r="F1960" t="str">
            <v/>
          </cell>
          <cell r="G1960" t="str">
            <v>AVİZE</v>
          </cell>
          <cell r="H1960" t="str">
            <v/>
          </cell>
          <cell r="I1960" t="str">
            <v>İÇ</v>
          </cell>
          <cell r="J1960" t="str">
            <v>AVİZE.SARK</v>
          </cell>
          <cell r="K1960" t="str">
            <v>BONELLİ</v>
          </cell>
          <cell r="L1960" t="str">
            <v/>
          </cell>
          <cell r="M1960" t="str">
            <v/>
          </cell>
          <cell r="N1960" t="str">
            <v>HKA-25182</v>
          </cell>
          <cell r="O1960" t="str">
            <v>HEKA</v>
          </cell>
          <cell r="P1960" t="str">
            <v>ADET</v>
          </cell>
          <cell r="Q1960" t="str">
            <v>G9</v>
          </cell>
          <cell r="R1960" t="str">
            <v>METAL</v>
          </cell>
          <cell r="S1960" t="str">
            <v>ESKİTME</v>
          </cell>
          <cell r="T1960" t="str">
            <v>CAM</v>
          </cell>
          <cell r="U1960" t="str">
            <v>DOKULU</v>
          </cell>
          <cell r="AD1960" t="str">
            <v>ELİPS</v>
          </cell>
          <cell r="AE1960" t="str">
            <v>14</v>
          </cell>
          <cell r="AF1960">
            <v>15</v>
          </cell>
          <cell r="AG1960" t="str">
            <v>ADET</v>
          </cell>
          <cell r="AH1960">
            <v>1855</v>
          </cell>
          <cell r="AI1960" t="str">
            <v>CNY</v>
          </cell>
          <cell r="AL1960">
            <v>1</v>
          </cell>
          <cell r="AM1960" t="str">
            <v>8684127518222</v>
          </cell>
          <cell r="AO1960">
            <v>0</v>
          </cell>
          <cell r="AQ1960">
            <v>60</v>
          </cell>
          <cell r="AR1960" t="str">
            <v>CM</v>
          </cell>
          <cell r="AS1960">
            <v>120</v>
          </cell>
          <cell r="AT1960" t="str">
            <v>CM</v>
          </cell>
          <cell r="AU1960">
            <v>0</v>
          </cell>
          <cell r="AW1960">
            <v>0</v>
          </cell>
        </row>
        <row r="1961">
          <cell r="B1961" t="str">
            <v>H1W6JMEWRF0-069</v>
          </cell>
          <cell r="C1961" t="str">
            <v>LUCCA MERMER ESKİTME APLİK</v>
          </cell>
          <cell r="D1961" t="str">
            <v>LUCCA MARBLE BRUSHED BRASS WALL LAMP</v>
          </cell>
          <cell r="E1961" t="str">
            <v>METAL MERMER ESKİTME BEYAZ</v>
          </cell>
          <cell r="F1961" t="str">
            <v/>
          </cell>
          <cell r="G1961" t="str">
            <v>APLİK</v>
          </cell>
          <cell r="H1961" t="str">
            <v/>
          </cell>
          <cell r="I1961" t="str">
            <v>İÇ</v>
          </cell>
          <cell r="J1961" t="str">
            <v>APLİK</v>
          </cell>
          <cell r="K1961" t="str">
            <v>LUCCA</v>
          </cell>
          <cell r="L1961" t="str">
            <v/>
          </cell>
          <cell r="M1961" t="str">
            <v/>
          </cell>
          <cell r="N1961" t="str">
            <v>HKA-25187</v>
          </cell>
          <cell r="O1961" t="str">
            <v>HEKA</v>
          </cell>
          <cell r="P1961" t="str">
            <v>ADET</v>
          </cell>
          <cell r="Q1961" t="str">
            <v>LED</v>
          </cell>
          <cell r="R1961" t="str">
            <v>METAL</v>
          </cell>
          <cell r="S1961" t="str">
            <v>ESKİTME</v>
          </cell>
          <cell r="T1961" t="str">
            <v>MERMER</v>
          </cell>
          <cell r="U1961" t="str">
            <v>BEYAZ</v>
          </cell>
          <cell r="Z1961" t="str">
            <v>3000 K</v>
          </cell>
          <cell r="AE1961" t="str">
            <v>01</v>
          </cell>
          <cell r="AF1961">
            <v>40</v>
          </cell>
          <cell r="AG1961" t="str">
            <v>ADET</v>
          </cell>
          <cell r="AH1961">
            <v>396</v>
          </cell>
          <cell r="AI1961" t="str">
            <v>CNY</v>
          </cell>
          <cell r="AL1961">
            <v>1</v>
          </cell>
          <cell r="AM1961" t="str">
            <v>8684127518307</v>
          </cell>
          <cell r="AO1961">
            <v>0</v>
          </cell>
          <cell r="AQ1961">
            <v>5</v>
          </cell>
          <cell r="AR1961" t="str">
            <v>CM</v>
          </cell>
          <cell r="AS1961">
            <v>69</v>
          </cell>
          <cell r="AT1961" t="str">
            <v>CM</v>
          </cell>
          <cell r="AU1961">
            <v>0</v>
          </cell>
          <cell r="AW1961">
            <v>0</v>
          </cell>
        </row>
        <row r="1962">
          <cell r="B1962" t="str">
            <v>H1W6VRVWRF1-042</v>
          </cell>
          <cell r="C1962" t="str">
            <v>NOMİ MERMER ESKİTME APLİK</v>
          </cell>
          <cell r="D1962" t="str">
            <v>NOMİ MARBLE BRUSHED BRASS WALL LAMP</v>
          </cell>
          <cell r="E1962" t="str">
            <v>DERİ MERMER KAHVERENGİ BEYAZ</v>
          </cell>
          <cell r="F1962" t="str">
            <v/>
          </cell>
          <cell r="G1962" t="str">
            <v>APLİK</v>
          </cell>
          <cell r="H1962" t="str">
            <v/>
          </cell>
          <cell r="I1962" t="str">
            <v>İÇ</v>
          </cell>
          <cell r="J1962" t="str">
            <v>APLİK</v>
          </cell>
          <cell r="K1962" t="str">
            <v>NOMİ</v>
          </cell>
          <cell r="L1962" t="str">
            <v/>
          </cell>
          <cell r="M1962" t="str">
            <v/>
          </cell>
          <cell r="N1962" t="str">
            <v>HKA-25189</v>
          </cell>
          <cell r="O1962" t="str">
            <v>HEKA</v>
          </cell>
          <cell r="P1962" t="str">
            <v>ADET</v>
          </cell>
          <cell r="Q1962" t="str">
            <v>LED</v>
          </cell>
          <cell r="R1962" t="str">
            <v>DERİ</v>
          </cell>
          <cell r="S1962" t="str">
            <v>KAHVERENGİ</v>
          </cell>
          <cell r="T1962" t="str">
            <v>MERMER</v>
          </cell>
          <cell r="U1962" t="str">
            <v>BEYAZ</v>
          </cell>
          <cell r="Z1962" t="str">
            <v>3000 K</v>
          </cell>
          <cell r="AA1962" t="str">
            <v>DIMMSIZ</v>
          </cell>
          <cell r="AD1962" t="str">
            <v>TEKLİ</v>
          </cell>
          <cell r="AE1962" t="str">
            <v>01</v>
          </cell>
          <cell r="AF1962">
            <v>50</v>
          </cell>
          <cell r="AG1962" t="str">
            <v>ADET</v>
          </cell>
          <cell r="AH1962">
            <v>242</v>
          </cell>
          <cell r="AI1962" t="str">
            <v>CNY</v>
          </cell>
          <cell r="AL1962">
            <v>1</v>
          </cell>
          <cell r="AM1962" t="str">
            <v>8684127518321</v>
          </cell>
          <cell r="AO1962">
            <v>0</v>
          </cell>
          <cell r="AQ1962">
            <v>38</v>
          </cell>
          <cell r="AR1962" t="str">
            <v>CM</v>
          </cell>
          <cell r="AS1962">
            <v>8</v>
          </cell>
          <cell r="AT1962" t="str">
            <v>CM</v>
          </cell>
          <cell r="AU1962">
            <v>0</v>
          </cell>
          <cell r="AW1962">
            <v>0</v>
          </cell>
        </row>
        <row r="1963">
          <cell r="B1963" t="str">
            <v>AVFVJM20005-117</v>
          </cell>
          <cell r="C1963" t="str">
            <v>TERRANOVA KAPAKLI VAZO 117CM</v>
          </cell>
          <cell r="D1963" t="str">
            <v>TERRANOVA POTICHE 117CM</v>
          </cell>
          <cell r="E1963" t="str">
            <v>METAL YOK BAKIR ESKİTME YOK</v>
          </cell>
          <cell r="F1963" t="str">
            <v/>
          </cell>
          <cell r="G1963" t="str">
            <v>AKSESUAR</v>
          </cell>
          <cell r="H1963" t="str">
            <v/>
          </cell>
          <cell r="I1963" t="str">
            <v>İÇ</v>
          </cell>
          <cell r="J1963" t="str">
            <v>AKSESUAR</v>
          </cell>
          <cell r="K1963" t="str">
            <v>TERRANOVA</v>
          </cell>
          <cell r="L1963" t="str">
            <v/>
          </cell>
          <cell r="M1963" t="str">
            <v/>
          </cell>
          <cell r="N1963" t="str">
            <v>HKA-250032</v>
          </cell>
          <cell r="O1963" t="str">
            <v>HEKA</v>
          </cell>
          <cell r="P1963" t="str">
            <v>ADET</v>
          </cell>
          <cell r="R1963" t="str">
            <v>METAL</v>
          </cell>
          <cell r="S1963" t="str">
            <v>BAKIR ESKİTME</v>
          </cell>
          <cell r="T1963" t="str">
            <v>YOK</v>
          </cell>
          <cell r="U1963" t="str">
            <v>YOK</v>
          </cell>
          <cell r="AD1963" t="str">
            <v>VAZO</v>
          </cell>
          <cell r="AF1963">
            <v>1</v>
          </cell>
          <cell r="AG1963" t="str">
            <v>ADET</v>
          </cell>
          <cell r="AH1963">
            <v>9941.18</v>
          </cell>
          <cell r="AI1963" t="str">
            <v>TL</v>
          </cell>
          <cell r="AJ1963">
            <v>23858.831999999999</v>
          </cell>
          <cell r="AK1963" t="str">
            <v>TL</v>
          </cell>
          <cell r="AL1963">
            <v>0</v>
          </cell>
          <cell r="AO1963">
            <v>0</v>
          </cell>
          <cell r="AQ1963">
            <v>116.5</v>
          </cell>
          <cell r="AR1963" t="str">
            <v>CM</v>
          </cell>
          <cell r="AS1963">
            <v>27.5</v>
          </cell>
          <cell r="AT1963" t="str">
            <v>CM</v>
          </cell>
          <cell r="AU1963">
            <v>0</v>
          </cell>
          <cell r="AW1963">
            <v>0</v>
          </cell>
        </row>
        <row r="1964">
          <cell r="B1964" t="str">
            <v>AVFVECKJME5-124</v>
          </cell>
          <cell r="C1964" t="str">
            <v>TERRANOVA GÖLGE KAPAKLI VAZO 124CM</v>
          </cell>
          <cell r="D1964" t="str">
            <v>TERRANOVA SHADOW LID VASE 124CM</v>
          </cell>
          <cell r="E1964" t="str">
            <v>CAM  METAL YARI KROM ESKİTME</v>
          </cell>
          <cell r="F1964" t="str">
            <v/>
          </cell>
          <cell r="G1964" t="str">
            <v>AKSESUAR</v>
          </cell>
          <cell r="H1964" t="str">
            <v/>
          </cell>
          <cell r="I1964" t="str">
            <v>İÇ</v>
          </cell>
          <cell r="J1964" t="str">
            <v>AKSESUAR</v>
          </cell>
          <cell r="K1964" t="str">
            <v>TERRANOVA</v>
          </cell>
          <cell r="L1964" t="str">
            <v/>
          </cell>
          <cell r="M1964" t="str">
            <v/>
          </cell>
          <cell r="N1964" t="str">
            <v>HKA-250034</v>
          </cell>
          <cell r="O1964" t="str">
            <v>HEKA</v>
          </cell>
          <cell r="P1964" t="str">
            <v>ADET</v>
          </cell>
          <cell r="R1964" t="str">
            <v>CAM</v>
          </cell>
          <cell r="S1964" t="str">
            <v>YARI KROM</v>
          </cell>
          <cell r="T1964" t="str">
            <v>METAL</v>
          </cell>
          <cell r="U1964" t="str">
            <v>ESKİTME</v>
          </cell>
          <cell r="AD1964" t="str">
            <v>VAZO</v>
          </cell>
          <cell r="AF1964">
            <v>1</v>
          </cell>
          <cell r="AG1964" t="str">
            <v>ADET</v>
          </cell>
          <cell r="AH1964">
            <v>7584.19</v>
          </cell>
          <cell r="AI1964" t="str">
            <v>TL</v>
          </cell>
          <cell r="AJ1964">
            <v>18202.056</v>
          </cell>
          <cell r="AK1964" t="str">
            <v>TL</v>
          </cell>
          <cell r="AL1964">
            <v>0</v>
          </cell>
          <cell r="AO1964">
            <v>0</v>
          </cell>
          <cell r="AQ1964">
            <v>124</v>
          </cell>
          <cell r="AR1964" t="str">
            <v>CM</v>
          </cell>
          <cell r="AS1964">
            <v>19</v>
          </cell>
          <cell r="AT1964" t="str">
            <v>CM</v>
          </cell>
          <cell r="AU1964">
            <v>0</v>
          </cell>
          <cell r="AW1964">
            <v>0</v>
          </cell>
        </row>
        <row r="1965">
          <cell r="B1965" t="str">
            <v>AVFVERV0005-031</v>
          </cell>
          <cell r="C1965" t="str">
            <v>OMBRE KAHVERENGİ YUVARLAK VAZO 31CM</v>
          </cell>
          <cell r="D1965" t="str">
            <v>OMBRE BROWN ROUND VASE 31CM</v>
          </cell>
          <cell r="E1965" t="str">
            <v>CAM  YOK KAHVERENGİ YOK</v>
          </cell>
          <cell r="F1965" t="str">
            <v/>
          </cell>
          <cell r="G1965" t="str">
            <v>AKSESUAR</v>
          </cell>
          <cell r="H1965" t="str">
            <v/>
          </cell>
          <cell r="I1965" t="str">
            <v>İÇ</v>
          </cell>
          <cell r="J1965" t="str">
            <v>AKSESUAR</v>
          </cell>
          <cell r="K1965" t="str">
            <v>OMBRE</v>
          </cell>
          <cell r="L1965" t="str">
            <v/>
          </cell>
          <cell r="M1965" t="str">
            <v/>
          </cell>
          <cell r="N1965" t="str">
            <v>HKA-250036</v>
          </cell>
          <cell r="O1965" t="str">
            <v>HEKA</v>
          </cell>
          <cell r="P1965" t="str">
            <v>ADET</v>
          </cell>
          <cell r="R1965" t="str">
            <v>CAM</v>
          </cell>
          <cell r="S1965" t="str">
            <v>KAHVERENGİ</v>
          </cell>
          <cell r="T1965" t="str">
            <v>YOK</v>
          </cell>
          <cell r="U1965" t="str">
            <v>YOK</v>
          </cell>
          <cell r="AD1965" t="str">
            <v>VAZO</v>
          </cell>
          <cell r="AF1965">
            <v>1</v>
          </cell>
          <cell r="AG1965" t="str">
            <v>ADET</v>
          </cell>
          <cell r="AH1965">
            <v>3715.2</v>
          </cell>
          <cell r="AI1965" t="str">
            <v>TL</v>
          </cell>
          <cell r="AJ1965">
            <v>8916.48</v>
          </cell>
          <cell r="AK1965" t="str">
            <v>TL</v>
          </cell>
          <cell r="AL1965">
            <v>0</v>
          </cell>
          <cell r="AO1965">
            <v>0</v>
          </cell>
          <cell r="AQ1965">
            <v>31</v>
          </cell>
          <cell r="AR1965" t="str">
            <v>CM</v>
          </cell>
          <cell r="AS1965">
            <v>31</v>
          </cell>
          <cell r="AT1965" t="str">
            <v>CM</v>
          </cell>
          <cell r="AU1965">
            <v>0</v>
          </cell>
          <cell r="AW1965">
            <v>0</v>
          </cell>
        </row>
        <row r="1966">
          <cell r="B1966" t="str">
            <v>ADFVHBJ0009-033</v>
          </cell>
          <cell r="C1966" t="str">
            <v>LUMORA GUSTAV KLİMT KİTAP KUTU</v>
          </cell>
          <cell r="D1966" t="str">
            <v>LUMORA GUSTAV KLİMT BOOK BOX</v>
          </cell>
          <cell r="E1966" t="str">
            <v>KUMAŞ YOK BEJ YOK</v>
          </cell>
          <cell r="F1966" t="str">
            <v/>
          </cell>
          <cell r="G1966" t="str">
            <v>AKSESUAR</v>
          </cell>
          <cell r="H1966" t="str">
            <v/>
          </cell>
          <cell r="I1966" t="str">
            <v>İÇ</v>
          </cell>
          <cell r="J1966" t="str">
            <v>AKSESUAR</v>
          </cell>
          <cell r="K1966" t="str">
            <v>LUMORA</v>
          </cell>
          <cell r="L1966" t="str">
            <v/>
          </cell>
          <cell r="M1966" t="str">
            <v/>
          </cell>
          <cell r="N1966" t="str">
            <v>HKA-250041</v>
          </cell>
          <cell r="O1966" t="str">
            <v>HEKA</v>
          </cell>
          <cell r="P1966" t="str">
            <v>ADET</v>
          </cell>
          <cell r="R1966" t="str">
            <v>KUMAŞ</v>
          </cell>
          <cell r="S1966" t="str">
            <v>BEJ</v>
          </cell>
          <cell r="T1966" t="str">
            <v>YOK</v>
          </cell>
          <cell r="U1966" t="str">
            <v>YOK</v>
          </cell>
          <cell r="AD1966" t="str">
            <v>DAMALI</v>
          </cell>
          <cell r="AF1966">
            <v>1</v>
          </cell>
          <cell r="AG1966" t="str">
            <v>ADET</v>
          </cell>
          <cell r="AH1966">
            <v>1246.08</v>
          </cell>
          <cell r="AI1966" t="str">
            <v>TL</v>
          </cell>
          <cell r="AJ1966">
            <v>2990.5920000000001</v>
          </cell>
          <cell r="AK1966" t="str">
            <v>TL</v>
          </cell>
          <cell r="AL1966">
            <v>0</v>
          </cell>
          <cell r="AO1966">
            <v>0</v>
          </cell>
          <cell r="AQ1966">
            <v>7</v>
          </cell>
          <cell r="AR1966" t="str">
            <v>CM</v>
          </cell>
          <cell r="AS1966">
            <v>33</v>
          </cell>
          <cell r="AT1966" t="str">
            <v>CM</v>
          </cell>
          <cell r="AU1966">
            <v>0</v>
          </cell>
          <cell r="AW1966">
            <v>0</v>
          </cell>
        </row>
        <row r="1967">
          <cell r="B1967" t="str">
            <v>ADFVHBJ0006-030</v>
          </cell>
          <cell r="C1967" t="str">
            <v>PLANCİA INTERİOR DESİGN KİTAP</v>
          </cell>
          <cell r="D1967" t="str">
            <v>PLANCİA INTERIOR DESIGN BOOK</v>
          </cell>
          <cell r="E1967" t="str">
            <v>KUMAŞ YOK BEJ YOK</v>
          </cell>
          <cell r="F1967" t="str">
            <v/>
          </cell>
          <cell r="G1967" t="str">
            <v>AKSESUAR</v>
          </cell>
          <cell r="H1967" t="str">
            <v/>
          </cell>
          <cell r="I1967" t="str">
            <v>İÇ</v>
          </cell>
          <cell r="J1967" t="str">
            <v>AKSESUAR</v>
          </cell>
          <cell r="K1967" t="str">
            <v>PLANCİA</v>
          </cell>
          <cell r="L1967" t="str">
            <v/>
          </cell>
          <cell r="M1967" t="str">
            <v/>
          </cell>
          <cell r="N1967" t="str">
            <v>HKA-250043</v>
          </cell>
          <cell r="O1967" t="str">
            <v>HEKA</v>
          </cell>
          <cell r="P1967" t="str">
            <v>ADET</v>
          </cell>
          <cell r="R1967" t="str">
            <v>KUMAŞ</v>
          </cell>
          <cell r="S1967" t="str">
            <v>BEJ</v>
          </cell>
          <cell r="T1967" t="str">
            <v>YOK</v>
          </cell>
          <cell r="U1967" t="str">
            <v>YOK</v>
          </cell>
          <cell r="AD1967" t="str">
            <v>KLASİK</v>
          </cell>
          <cell r="AF1967">
            <v>1</v>
          </cell>
          <cell r="AG1967" t="str">
            <v>ADET</v>
          </cell>
          <cell r="AH1967">
            <v>654.72</v>
          </cell>
          <cell r="AI1967" t="str">
            <v>TL</v>
          </cell>
          <cell r="AJ1967">
            <v>1571.328</v>
          </cell>
          <cell r="AK1967" t="str">
            <v>TL</v>
          </cell>
          <cell r="AL1967">
            <v>0</v>
          </cell>
          <cell r="AO1967">
            <v>0</v>
          </cell>
          <cell r="AQ1967">
            <v>2</v>
          </cell>
          <cell r="AR1967" t="str">
            <v>CM</v>
          </cell>
          <cell r="AS1967">
            <v>29.6</v>
          </cell>
          <cell r="AT1967" t="str">
            <v>CM</v>
          </cell>
          <cell r="AU1967">
            <v>0</v>
          </cell>
          <cell r="AW1967">
            <v>0</v>
          </cell>
        </row>
        <row r="1968">
          <cell r="B1968" t="str">
            <v>3YCVGRB0004-020</v>
          </cell>
          <cell r="C1968" t="str">
            <v>BEYAZ BÜKÜMLÜ AVİZE CAMI 20CM</v>
          </cell>
          <cell r="D1968" t="str">
            <v>WHITE TWISTED PENDANT GLASS 20CM</v>
          </cell>
          <cell r="E1968" t="str">
            <v>CAM YOK BEYAZ YOK</v>
          </cell>
          <cell r="F1968" t="str">
            <v/>
          </cell>
          <cell r="G1968" t="str">
            <v>ZPARCA</v>
          </cell>
          <cell r="H1968" t="str">
            <v/>
          </cell>
          <cell r="I1968" t="str">
            <v>İÇ</v>
          </cell>
          <cell r="J1968" t="str">
            <v>ZPARCA</v>
          </cell>
          <cell r="K1968" t="str">
            <v/>
          </cell>
          <cell r="L1968" t="str">
            <v/>
          </cell>
          <cell r="M1968" t="str">
            <v/>
          </cell>
          <cell r="N1968" t="str">
            <v>HKA-250057</v>
          </cell>
          <cell r="O1968" t="str">
            <v>HEKA</v>
          </cell>
          <cell r="P1968" t="str">
            <v>ADET</v>
          </cell>
          <cell r="R1968" t="str">
            <v>CAM</v>
          </cell>
          <cell r="S1968" t="str">
            <v>BEYAZ</v>
          </cell>
          <cell r="T1968" t="str">
            <v>YOK</v>
          </cell>
          <cell r="U1968" t="str">
            <v>YOK</v>
          </cell>
          <cell r="AF1968">
            <v>200</v>
          </cell>
          <cell r="AG1968" t="str">
            <v>ADET</v>
          </cell>
          <cell r="AH1968">
            <v>10</v>
          </cell>
          <cell r="AI1968" t="str">
            <v>CNY</v>
          </cell>
          <cell r="AJ1968">
            <v>600</v>
          </cell>
          <cell r="AK1968" t="str">
            <v>TL</v>
          </cell>
          <cell r="AL1968">
            <v>0</v>
          </cell>
          <cell r="AO1968">
            <v>0</v>
          </cell>
          <cell r="AQ1968">
            <v>0</v>
          </cell>
          <cell r="AS1968">
            <v>6.5</v>
          </cell>
          <cell r="AT1968" t="str">
            <v>CM</v>
          </cell>
          <cell r="AU1968">
            <v>0</v>
          </cell>
          <cell r="AW1968">
            <v>0</v>
          </cell>
        </row>
        <row r="1969">
          <cell r="B1969" t="str">
            <v>ADYHZCT0000-060</v>
          </cell>
          <cell r="C1969" t="str">
            <v>ANTİK RESİN DUVAR DEKORU 60x10x120CM</v>
          </cell>
          <cell r="D1969" t="str">
            <v>ANTIQUE RESIN WALL DECOR 60x10x120CM</v>
          </cell>
          <cell r="E1969" t="str">
            <v>POLİÜRETAN YOK SOFT YOK</v>
          </cell>
          <cell r="F1969" t="str">
            <v/>
          </cell>
          <cell r="G1969" t="str">
            <v>AKSESUAR</v>
          </cell>
          <cell r="H1969" t="str">
            <v/>
          </cell>
          <cell r="I1969" t="str">
            <v>İÇ</v>
          </cell>
          <cell r="J1969" t="str">
            <v>AKSESUAR</v>
          </cell>
          <cell r="K1969" t="str">
            <v>HEKA</v>
          </cell>
          <cell r="L1969" t="str">
            <v/>
          </cell>
          <cell r="M1969" t="str">
            <v/>
          </cell>
          <cell r="N1969" t="str">
            <v>HKA-250008</v>
          </cell>
          <cell r="O1969" t="str">
            <v>HEKA</v>
          </cell>
          <cell r="P1969" t="str">
            <v>ADET</v>
          </cell>
          <cell r="R1969" t="str">
            <v>POLİÜRETAN</v>
          </cell>
          <cell r="S1969" t="str">
            <v>SOFT</v>
          </cell>
          <cell r="T1969" t="str">
            <v>YOK</v>
          </cell>
          <cell r="U1969" t="str">
            <v>YOK</v>
          </cell>
          <cell r="AF1969">
            <v>0</v>
          </cell>
          <cell r="AG1969" t="str">
            <v>ADET</v>
          </cell>
          <cell r="AH1969">
            <v>7894</v>
          </cell>
          <cell r="AI1969" t="str">
            <v>TL</v>
          </cell>
          <cell r="AJ1969">
            <v>18945.599999999999</v>
          </cell>
          <cell r="AK1969" t="str">
            <v>TL</v>
          </cell>
          <cell r="AL1969">
            <v>1</v>
          </cell>
          <cell r="AO1969">
            <v>0</v>
          </cell>
          <cell r="AQ1969">
            <v>120</v>
          </cell>
          <cell r="AR1969" t="str">
            <v>CM</v>
          </cell>
          <cell r="AS1969">
            <v>60</v>
          </cell>
          <cell r="AT1969" t="str">
            <v>CM</v>
          </cell>
          <cell r="AU1969">
            <v>0</v>
          </cell>
          <cell r="AW1969">
            <v>0</v>
          </cell>
        </row>
        <row r="1970">
          <cell r="B1970" t="str">
            <v>ADYHYREPCS0-050</v>
          </cell>
          <cell r="C1970" t="str">
            <v>ARİEL AÇIK MAVİ DENİZ KABUĞU 50x50 YASTIK</v>
          </cell>
          <cell r="D1970" t="str">
            <v>ARIEL CLEAR BLUE SEA SHELL 50x50 PILLOW</v>
          </cell>
          <cell r="E1970" t="str">
            <v>POLYESTER SİLİKON RESİM ŞEFFAF</v>
          </cell>
          <cell r="F1970" t="str">
            <v/>
          </cell>
          <cell r="G1970" t="str">
            <v>AKSESUAR</v>
          </cell>
          <cell r="H1970" t="str">
            <v/>
          </cell>
          <cell r="I1970" t="str">
            <v>İÇ</v>
          </cell>
          <cell r="J1970" t="str">
            <v>AKSESUAR</v>
          </cell>
          <cell r="K1970" t="str">
            <v>HEKA</v>
          </cell>
          <cell r="L1970" t="str">
            <v/>
          </cell>
          <cell r="M1970" t="str">
            <v/>
          </cell>
          <cell r="N1970" t="str">
            <v>HKA-250015</v>
          </cell>
          <cell r="O1970" t="str">
            <v>HEKA</v>
          </cell>
          <cell r="P1970" t="str">
            <v>ADET</v>
          </cell>
          <cell r="R1970" t="str">
            <v>POLYESTER</v>
          </cell>
          <cell r="S1970" t="str">
            <v xml:space="preserve">RESİM </v>
          </cell>
          <cell r="T1970" t="str">
            <v>SİLİKON</v>
          </cell>
          <cell r="U1970" t="str">
            <v>ŞEFFAF</v>
          </cell>
          <cell r="AF1970">
            <v>1</v>
          </cell>
          <cell r="AG1970" t="str">
            <v>ADET</v>
          </cell>
          <cell r="AH1970">
            <v>1174</v>
          </cell>
          <cell r="AI1970" t="str">
            <v>TL</v>
          </cell>
          <cell r="AJ1970">
            <v>2817.6</v>
          </cell>
          <cell r="AK1970" t="str">
            <v>TL</v>
          </cell>
          <cell r="AL1970">
            <v>1</v>
          </cell>
          <cell r="AO1970">
            <v>0</v>
          </cell>
          <cell r="AQ1970">
            <v>15</v>
          </cell>
          <cell r="AR1970" t="str">
            <v>CM</v>
          </cell>
          <cell r="AS1970">
            <v>50</v>
          </cell>
          <cell r="AT1970" t="str">
            <v>CM</v>
          </cell>
          <cell r="AU1970">
            <v>0</v>
          </cell>
          <cell r="AW1970">
            <v>0</v>
          </cell>
        </row>
        <row r="1971">
          <cell r="B1971" t="str">
            <v>AVYHECT0005-030</v>
          </cell>
          <cell r="C1971" t="str">
            <v>MÜRDÜM CAM VAZO 17x30CM</v>
          </cell>
          <cell r="D1971" t="str">
            <v>DAMSON GLASS VASE 17x30CM</v>
          </cell>
          <cell r="E1971" t="str">
            <v>CAM  YOK SOFT YOK</v>
          </cell>
          <cell r="F1971" t="str">
            <v/>
          </cell>
          <cell r="G1971" t="str">
            <v>AKSESUAR</v>
          </cell>
          <cell r="H1971" t="str">
            <v/>
          </cell>
          <cell r="I1971" t="str">
            <v>İÇ</v>
          </cell>
          <cell r="J1971" t="str">
            <v>AKSESUAR</v>
          </cell>
          <cell r="K1971" t="str">
            <v>HEKA</v>
          </cell>
          <cell r="L1971" t="str">
            <v/>
          </cell>
          <cell r="M1971" t="str">
            <v/>
          </cell>
          <cell r="N1971" t="str">
            <v>HKA-250026</v>
          </cell>
          <cell r="O1971" t="str">
            <v>HEKA</v>
          </cell>
          <cell r="P1971" t="str">
            <v>ADET</v>
          </cell>
          <cell r="R1971" t="str">
            <v>CAM</v>
          </cell>
          <cell r="S1971" t="str">
            <v>SOFT</v>
          </cell>
          <cell r="T1971" t="str">
            <v>YOK</v>
          </cell>
          <cell r="U1971" t="str">
            <v>YOK</v>
          </cell>
          <cell r="AD1971" t="str">
            <v>VAZO</v>
          </cell>
          <cell r="AF1971">
            <v>1</v>
          </cell>
          <cell r="AG1971" t="str">
            <v>ADET</v>
          </cell>
          <cell r="AH1971">
            <v>1739</v>
          </cell>
          <cell r="AI1971" t="str">
            <v>TL</v>
          </cell>
          <cell r="AJ1971">
            <v>4173.6000000000004</v>
          </cell>
          <cell r="AK1971" t="str">
            <v>TL</v>
          </cell>
          <cell r="AL1971">
            <v>1</v>
          </cell>
          <cell r="AO1971">
            <v>0</v>
          </cell>
          <cell r="AQ1971">
            <v>17</v>
          </cell>
          <cell r="AR1971" t="str">
            <v>CM</v>
          </cell>
          <cell r="AS1971">
            <v>17</v>
          </cell>
          <cell r="AT1971" t="str">
            <v>CM</v>
          </cell>
          <cell r="AU1971">
            <v>0</v>
          </cell>
          <cell r="AW1971">
            <v>0</v>
          </cell>
        </row>
        <row r="1972">
          <cell r="B1972" t="str">
            <v>CD1E1C3M2E8Q0X10</v>
          </cell>
          <cell r="C1972" t="str">
            <v>Dekoratif Mum Led Avize Ampulü Rustik E14 6W 6500K</v>
          </cell>
          <cell r="D1972" t="str">
            <v/>
          </cell>
          <cell r="E1972" t="str">
            <v/>
          </cell>
          <cell r="F1972" t="str">
            <v/>
          </cell>
          <cell r="G1972" t="str">
            <v/>
          </cell>
          <cell r="H1972" t="str">
            <v/>
          </cell>
          <cell r="I1972" t="str">
            <v/>
          </cell>
          <cell r="J1972" t="str">
            <v/>
          </cell>
          <cell r="K1972" t="str">
            <v/>
          </cell>
          <cell r="L1972" t="str">
            <v/>
          </cell>
          <cell r="M1972" t="str">
            <v/>
          </cell>
          <cell r="N1972" t="str">
            <v/>
          </cell>
          <cell r="P1972" t="str">
            <v>ADET</v>
          </cell>
          <cell r="AG1972" t="str">
            <v>ADET</v>
          </cell>
          <cell r="AL1972">
            <v>0</v>
          </cell>
          <cell r="AO1972">
            <v>0</v>
          </cell>
          <cell r="AQ1972">
            <v>0</v>
          </cell>
          <cell r="AS1972">
            <v>0</v>
          </cell>
          <cell r="AU1972">
            <v>0</v>
          </cell>
          <cell r="AW1972">
            <v>0</v>
          </cell>
        </row>
        <row r="1973">
          <cell r="B1973" t="str">
            <v>H1W6JMEVRV0-042</v>
          </cell>
          <cell r="C1973" t="str">
            <v>LOME KAHVERENGİ DERİ ESKİTME APLİK</v>
          </cell>
          <cell r="D1973" t="str">
            <v>LOME BROWN LEATHER BRUSHED BRASS WALL LAMP</v>
          </cell>
          <cell r="E1973" t="str">
            <v>METAL DERİ ESKİTME KAHVERENGİ</v>
          </cell>
          <cell r="F1973" t="str">
            <v/>
          </cell>
          <cell r="G1973" t="str">
            <v>APLİK</v>
          </cell>
          <cell r="H1973" t="str">
            <v/>
          </cell>
          <cell r="I1973" t="str">
            <v>İÇ</v>
          </cell>
          <cell r="J1973" t="str">
            <v>APLİK</v>
          </cell>
          <cell r="K1973" t="str">
            <v>LOME</v>
          </cell>
          <cell r="L1973" t="str">
            <v/>
          </cell>
          <cell r="M1973" t="str">
            <v/>
          </cell>
          <cell r="N1973" t="str">
            <v>HKA-25058</v>
          </cell>
          <cell r="O1973" t="str">
            <v>HEKA</v>
          </cell>
          <cell r="P1973" t="str">
            <v>ADET</v>
          </cell>
          <cell r="Q1973" t="str">
            <v>LED</v>
          </cell>
          <cell r="R1973" t="str">
            <v>METAL</v>
          </cell>
          <cell r="S1973" t="str">
            <v>ESKİTME</v>
          </cell>
          <cell r="T1973" t="str">
            <v>DERİ</v>
          </cell>
          <cell r="U1973" t="str">
            <v>KAHVERENGİ</v>
          </cell>
          <cell r="Y1973" t="str">
            <v>8 WATT</v>
          </cell>
          <cell r="Z1973" t="str">
            <v>3000 K</v>
          </cell>
          <cell r="AA1973" t="str">
            <v>DIMMSIZ</v>
          </cell>
          <cell r="AE1973" t="str">
            <v>01</v>
          </cell>
          <cell r="AF1973">
            <v>43</v>
          </cell>
          <cell r="AG1973" t="str">
            <v>ADET</v>
          </cell>
          <cell r="AH1973">
            <v>148</v>
          </cell>
          <cell r="AI1973" t="str">
            <v>CNY</v>
          </cell>
          <cell r="AL1973">
            <v>1</v>
          </cell>
          <cell r="AM1973" t="str">
            <v>8684127516853</v>
          </cell>
          <cell r="AO1973">
            <v>0</v>
          </cell>
          <cell r="AQ1973">
            <v>0</v>
          </cell>
          <cell r="AS1973">
            <v>0</v>
          </cell>
          <cell r="AU1973">
            <v>0</v>
          </cell>
          <cell r="AW1973">
            <v>0</v>
          </cell>
        </row>
        <row r="1974">
          <cell r="B1974" t="str">
            <v>H1T1KMKECSV-060</v>
          </cell>
          <cell r="C1974" t="str">
            <v>LUCETTA ŞEFFAF KRİSTAL KROM MASA LAMBASI</v>
          </cell>
          <cell r="D1974" t="str">
            <v>LUCETTA CLEAR CRYSTAL CHROME TABLE LAMP</v>
          </cell>
          <cell r="E1974" t="str">
            <v>PASLANMAZ CAM KROM ŞEFFAF</v>
          </cell>
          <cell r="F1974" t="str">
            <v/>
          </cell>
          <cell r="G1974" t="str">
            <v>MASA LAMBASI</v>
          </cell>
          <cell r="H1974" t="str">
            <v/>
          </cell>
          <cell r="I1974" t="str">
            <v>İÇ</v>
          </cell>
          <cell r="J1974" t="str">
            <v>MASA LAMBA</v>
          </cell>
          <cell r="K1974" t="str">
            <v>LUCETTA</v>
          </cell>
          <cell r="L1974" t="str">
            <v/>
          </cell>
          <cell r="M1974" t="str">
            <v/>
          </cell>
          <cell r="N1974" t="str">
            <v>HKA-25065</v>
          </cell>
          <cell r="O1974" t="str">
            <v>HEKA</v>
          </cell>
          <cell r="P1974" t="str">
            <v>ADET</v>
          </cell>
          <cell r="Q1974" t="str">
            <v>E14</v>
          </cell>
          <cell r="R1974" t="str">
            <v>PASLANMAZ</v>
          </cell>
          <cell r="S1974" t="str">
            <v>KROM</v>
          </cell>
          <cell r="T1974" t="str">
            <v>CAM</v>
          </cell>
          <cell r="U1974" t="str">
            <v>ŞEFFAF</v>
          </cell>
          <cell r="AD1974" t="str">
            <v>YAMUK</v>
          </cell>
          <cell r="AE1974" t="str">
            <v>03</v>
          </cell>
          <cell r="AF1974">
            <v>4</v>
          </cell>
          <cell r="AG1974" t="str">
            <v>ADET</v>
          </cell>
          <cell r="AH1974">
            <v>636</v>
          </cell>
          <cell r="AI1974" t="str">
            <v>CNY</v>
          </cell>
          <cell r="AL1974">
            <v>1</v>
          </cell>
          <cell r="AM1974" t="str">
            <v>8684127516921</v>
          </cell>
          <cell r="AO1974">
            <v>0</v>
          </cell>
          <cell r="AQ1974">
            <v>30</v>
          </cell>
          <cell r="AS1974">
            <v>30</v>
          </cell>
          <cell r="AU1974">
            <v>0</v>
          </cell>
          <cell r="AW1974">
            <v>0</v>
          </cell>
        </row>
        <row r="1975">
          <cell r="B1975" t="str">
            <v>H1C6ERLJRS0-070</v>
          </cell>
          <cell r="C1975" t="str">
            <v>GAMBİA BAL CAM SİYAH SALON AVİZE</v>
          </cell>
          <cell r="D1975" t="str">
            <v>GAMBİA AMBER GLASS BLACK LIVING ROOM CHANDELIER</v>
          </cell>
          <cell r="E1975" t="str">
            <v>CAM METAL BAL SİYAH</v>
          </cell>
          <cell r="F1975" t="str">
            <v/>
          </cell>
          <cell r="G1975" t="str">
            <v>AVİZE</v>
          </cell>
          <cell r="H1975" t="str">
            <v/>
          </cell>
          <cell r="I1975" t="str">
            <v/>
          </cell>
          <cell r="J1975" t="str">
            <v>AVİZE</v>
          </cell>
          <cell r="K1975" t="str">
            <v>GAMBİA</v>
          </cell>
          <cell r="L1975" t="str">
            <v/>
          </cell>
          <cell r="M1975" t="str">
            <v/>
          </cell>
          <cell r="N1975" t="str">
            <v>HKA-25072</v>
          </cell>
          <cell r="O1975" t="str">
            <v>HEKA</v>
          </cell>
          <cell r="P1975" t="str">
            <v>ADET</v>
          </cell>
          <cell r="Q1975" t="str">
            <v>LED</v>
          </cell>
          <cell r="R1975" t="str">
            <v>CAM</v>
          </cell>
          <cell r="S1975" t="str">
            <v>BAL</v>
          </cell>
          <cell r="T1975" t="str">
            <v>METAL</v>
          </cell>
          <cell r="U1975" t="str">
            <v>SİYAH</v>
          </cell>
          <cell r="Z1975" t="str">
            <v>3000 K</v>
          </cell>
          <cell r="AA1975" t="str">
            <v>DIMMSIZ</v>
          </cell>
          <cell r="AE1975" t="str">
            <v>01</v>
          </cell>
          <cell r="AF1975">
            <v>10</v>
          </cell>
          <cell r="AG1975" t="str">
            <v>ADET</v>
          </cell>
          <cell r="AH1975">
            <v>1896</v>
          </cell>
          <cell r="AI1975" t="str">
            <v>CNY</v>
          </cell>
          <cell r="AL1975">
            <v>1</v>
          </cell>
          <cell r="AM1975" t="str">
            <v>8684127516990</v>
          </cell>
          <cell r="AO1975">
            <v>0</v>
          </cell>
          <cell r="AQ1975">
            <v>70</v>
          </cell>
          <cell r="AR1975" t="str">
            <v>CM</v>
          </cell>
          <cell r="AS1975">
            <v>70</v>
          </cell>
          <cell r="AT1975" t="str">
            <v>CM</v>
          </cell>
          <cell r="AU1975">
            <v>0</v>
          </cell>
          <cell r="AW1975">
            <v>0</v>
          </cell>
        </row>
        <row r="1976">
          <cell r="B1976" t="str">
            <v>H1W6KMEWRF0-080</v>
          </cell>
          <cell r="C1976" t="str">
            <v>MİRACLE ESKİTME MERMER APLİK</v>
          </cell>
          <cell r="D1976" t="str">
            <v>MİRACLE MARBLE BRUSHES BRASS WALL LAMP</v>
          </cell>
          <cell r="E1976" t="str">
            <v>PASLANMAZ MERMER ESKİTME BEYAZ</v>
          </cell>
          <cell r="F1976" t="str">
            <v/>
          </cell>
          <cell r="G1976" t="str">
            <v>APLİK</v>
          </cell>
          <cell r="H1976" t="str">
            <v/>
          </cell>
          <cell r="I1976" t="str">
            <v>İÇ</v>
          </cell>
          <cell r="J1976" t="str">
            <v>APLİK</v>
          </cell>
          <cell r="K1976" t="str">
            <v>MİRACLE</v>
          </cell>
          <cell r="L1976" t="str">
            <v/>
          </cell>
          <cell r="M1976" t="str">
            <v/>
          </cell>
          <cell r="N1976" t="str">
            <v>HKA-25094</v>
          </cell>
          <cell r="O1976" t="str">
            <v>HEKA</v>
          </cell>
          <cell r="P1976" t="str">
            <v>ADET</v>
          </cell>
          <cell r="Q1976" t="str">
            <v>LED</v>
          </cell>
          <cell r="R1976" t="str">
            <v>PASLANMAZ</v>
          </cell>
          <cell r="S1976" t="str">
            <v>ESKİTME</v>
          </cell>
          <cell r="T1976" t="str">
            <v>MERMER</v>
          </cell>
          <cell r="U1976" t="str">
            <v>BEYAZ</v>
          </cell>
          <cell r="AA1976" t="str">
            <v>DIMMSIZ</v>
          </cell>
          <cell r="AE1976" t="str">
            <v>01</v>
          </cell>
          <cell r="AF1976">
            <v>15</v>
          </cell>
          <cell r="AG1976" t="str">
            <v>ADET</v>
          </cell>
          <cell r="AH1976">
            <v>980</v>
          </cell>
          <cell r="AI1976" t="str">
            <v>CNY</v>
          </cell>
          <cell r="AL1976">
            <v>1</v>
          </cell>
          <cell r="AM1976" t="str">
            <v>8684127517096</v>
          </cell>
          <cell r="AO1976">
            <v>0</v>
          </cell>
          <cell r="AQ1976">
            <v>0</v>
          </cell>
          <cell r="AS1976">
            <v>54</v>
          </cell>
          <cell r="AT1976" t="str">
            <v>CM</v>
          </cell>
          <cell r="AU1976">
            <v>0</v>
          </cell>
          <cell r="AW1976">
            <v>0</v>
          </cell>
        </row>
        <row r="1977">
          <cell r="B1977" t="str">
            <v>H1S6CRS000H-017</v>
          </cell>
          <cell r="C1977" t="str">
            <v>RİGO MAT SİYAH DÜZ SPOT 7X17 CM</v>
          </cell>
          <cell r="D1977" t="str">
            <v>RİGO MATTE BLACK PLAIN SPOTLIGHT 7X17 CM</v>
          </cell>
          <cell r="E1977" t="str">
            <v>ALUMİNYUM YOK SİYAH YOK</v>
          </cell>
          <cell r="F1977" t="str">
            <v/>
          </cell>
          <cell r="G1977" t="str">
            <v>OKUMA APLİKLERİ</v>
          </cell>
          <cell r="H1977" t="str">
            <v/>
          </cell>
          <cell r="I1977" t="str">
            <v>İÇ</v>
          </cell>
          <cell r="J1977" t="str">
            <v>OKUMA APLİ</v>
          </cell>
          <cell r="K1977" t="str">
            <v>RİGO</v>
          </cell>
          <cell r="L1977" t="str">
            <v>Y</v>
          </cell>
          <cell r="M1977" t="str">
            <v/>
          </cell>
          <cell r="N1977" t="str">
            <v>HKA-25158</v>
          </cell>
          <cell r="O1977" t="str">
            <v>HEKA</v>
          </cell>
          <cell r="P1977" t="str">
            <v>ADET</v>
          </cell>
          <cell r="Q1977" t="str">
            <v>LED</v>
          </cell>
          <cell r="R1977" t="str">
            <v>ALUMİNYUM</v>
          </cell>
          <cell r="S1977" t="str">
            <v>SİYAH</v>
          </cell>
          <cell r="T1977" t="str">
            <v>YOK</v>
          </cell>
          <cell r="Z1977" t="str">
            <v>3000 K</v>
          </cell>
          <cell r="AA1977" t="str">
            <v>DIMMSIZ</v>
          </cell>
          <cell r="AD1977" t="str">
            <v>HAREKETLİ</v>
          </cell>
          <cell r="AE1977" t="str">
            <v>01</v>
          </cell>
          <cell r="AF1977">
            <v>1000</v>
          </cell>
          <cell r="AG1977" t="str">
            <v>ADET</v>
          </cell>
          <cell r="AH1977">
            <v>21.34</v>
          </cell>
          <cell r="AI1977" t="str">
            <v>CNY</v>
          </cell>
          <cell r="AJ1977">
            <v>36</v>
          </cell>
          <cell r="AK1977" t="str">
            <v>USD</v>
          </cell>
          <cell r="AL1977">
            <v>1</v>
          </cell>
          <cell r="AM1977" t="str">
            <v>8684127517164</v>
          </cell>
          <cell r="AO1977">
            <v>0</v>
          </cell>
          <cell r="AQ1977">
            <v>3</v>
          </cell>
          <cell r="AS1977">
            <v>7</v>
          </cell>
          <cell r="AU1977">
            <v>0</v>
          </cell>
          <cell r="AW1977">
            <v>0</v>
          </cell>
        </row>
        <row r="1978">
          <cell r="B1978" t="str">
            <v>H1W6KRVWRF1-014</v>
          </cell>
          <cell r="C1978" t="str">
            <v>ENZO PASLANMAZ MERMER APLİK 14CM</v>
          </cell>
          <cell r="D1978" t="str">
            <v>ENZO STEEL MARBLE PENDANT WALL LAMP 14CM</v>
          </cell>
          <cell r="E1978" t="str">
            <v>PASLANMAZ MERMER KAHVERENGİ BEYAZ</v>
          </cell>
          <cell r="F1978" t="str">
            <v/>
          </cell>
          <cell r="G1978" t="str">
            <v>APLİK</v>
          </cell>
          <cell r="H1978" t="str">
            <v/>
          </cell>
          <cell r="I1978" t="str">
            <v>İÇ</v>
          </cell>
          <cell r="J1978" t="str">
            <v>APLİK</v>
          </cell>
          <cell r="K1978" t="str">
            <v>ENZO</v>
          </cell>
          <cell r="L1978" t="str">
            <v/>
          </cell>
          <cell r="M1978" t="str">
            <v/>
          </cell>
          <cell r="N1978" t="str">
            <v>HKA-25107</v>
          </cell>
          <cell r="O1978" t="str">
            <v>HEKA</v>
          </cell>
          <cell r="P1978" t="str">
            <v>ADET</v>
          </cell>
          <cell r="Q1978" t="str">
            <v>LED</v>
          </cell>
          <cell r="R1978" t="str">
            <v>PASLANMAZ</v>
          </cell>
          <cell r="S1978" t="str">
            <v>KAHVERENGİ</v>
          </cell>
          <cell r="T1978" t="str">
            <v>MERMER</v>
          </cell>
          <cell r="U1978" t="str">
            <v>BEYAZ</v>
          </cell>
          <cell r="AA1978" t="str">
            <v>DIMMSIZ</v>
          </cell>
          <cell r="AD1978" t="str">
            <v>TEKLİ</v>
          </cell>
          <cell r="AF1978">
            <v>50</v>
          </cell>
          <cell r="AG1978" t="str">
            <v>ADET</v>
          </cell>
          <cell r="AH1978">
            <v>282.75</v>
          </cell>
          <cell r="AI1978" t="str">
            <v>CNY</v>
          </cell>
          <cell r="AL1978">
            <v>1</v>
          </cell>
          <cell r="AM1978" t="str">
            <v>8684127517331</v>
          </cell>
          <cell r="AO1978">
            <v>0</v>
          </cell>
          <cell r="AQ1978">
            <v>21</v>
          </cell>
          <cell r="AR1978" t="str">
            <v>CM</v>
          </cell>
          <cell r="AS1978">
            <v>14</v>
          </cell>
          <cell r="AT1978" t="str">
            <v>CM</v>
          </cell>
          <cell r="AU1978">
            <v>0</v>
          </cell>
          <cell r="AW1978">
            <v>0</v>
          </cell>
        </row>
        <row r="1979">
          <cell r="B1979" t="str">
            <v>H1C6JMEERY1-030</v>
          </cell>
          <cell r="C1979" t="str">
            <v>SKYLİNE TEKLİ YEŞİL CAM SARKIT 30cm</v>
          </cell>
          <cell r="D1979" t="str">
            <v>SYKLINE SINGLE GREEN GLASS PENDANT 30cm</v>
          </cell>
          <cell r="E1979" t="str">
            <v>METAL CAM ESKİTME YEŞİL</v>
          </cell>
          <cell r="F1979" t="str">
            <v/>
          </cell>
          <cell r="G1979" t="str">
            <v>AVİZE</v>
          </cell>
          <cell r="H1979" t="str">
            <v/>
          </cell>
          <cell r="I1979" t="str">
            <v>İÇ</v>
          </cell>
          <cell r="J1979" t="str">
            <v>AVİZE.SARK</v>
          </cell>
          <cell r="K1979" t="str">
            <v>SKYLİNE</v>
          </cell>
          <cell r="L1979" t="str">
            <v/>
          </cell>
          <cell r="M1979" t="str">
            <v/>
          </cell>
          <cell r="N1979" t="str">
            <v>HKA-25114</v>
          </cell>
          <cell r="O1979" t="str">
            <v>HEKA</v>
          </cell>
          <cell r="P1979" t="str">
            <v>ADET</v>
          </cell>
          <cell r="Q1979" t="str">
            <v>LED</v>
          </cell>
          <cell r="R1979" t="str">
            <v>METAL</v>
          </cell>
          <cell r="S1979" t="str">
            <v>ESKİTME</v>
          </cell>
          <cell r="T1979" t="str">
            <v>CAM</v>
          </cell>
          <cell r="U1979" t="str">
            <v>YEŞİL</v>
          </cell>
          <cell r="AA1979" t="str">
            <v>DIMMSIZ</v>
          </cell>
          <cell r="AD1979" t="str">
            <v>TEKLİ</v>
          </cell>
          <cell r="AE1979" t="str">
            <v>01</v>
          </cell>
          <cell r="AF1979">
            <v>30</v>
          </cell>
          <cell r="AG1979" t="str">
            <v>ADET</v>
          </cell>
          <cell r="AH1979">
            <v>209</v>
          </cell>
          <cell r="AI1979" t="str">
            <v>CNY</v>
          </cell>
          <cell r="AL1979">
            <v>1</v>
          </cell>
          <cell r="AM1979" t="str">
            <v>8684127517409</v>
          </cell>
          <cell r="AO1979">
            <v>0</v>
          </cell>
          <cell r="AQ1979">
            <v>2</v>
          </cell>
          <cell r="AR1979" t="str">
            <v>CM</v>
          </cell>
          <cell r="AS1979">
            <v>30</v>
          </cell>
          <cell r="AT1979" t="str">
            <v>CM</v>
          </cell>
          <cell r="AU1979">
            <v>0</v>
          </cell>
          <cell r="AW1979">
            <v>0</v>
          </cell>
        </row>
        <row r="1980">
          <cell r="B1980" t="str">
            <v>H1C6JMEERY1-040</v>
          </cell>
          <cell r="C1980" t="str">
            <v>SKYLİNE TEKLİ YEŞİL CAM SARKIT 40cm</v>
          </cell>
          <cell r="D1980" t="str">
            <v>SYKLINE SINGLE GREEN GLASS PENDANT 40cm</v>
          </cell>
          <cell r="E1980" t="str">
            <v>METAL CAM ESKİTME YEŞİL</v>
          </cell>
          <cell r="F1980" t="str">
            <v/>
          </cell>
          <cell r="G1980" t="str">
            <v>AVİZE</v>
          </cell>
          <cell r="H1980" t="str">
            <v/>
          </cell>
          <cell r="I1980" t="str">
            <v>İÇ</v>
          </cell>
          <cell r="J1980" t="str">
            <v>AVİZE.SARK</v>
          </cell>
          <cell r="K1980" t="str">
            <v>SKYLİNE</v>
          </cell>
          <cell r="L1980" t="str">
            <v/>
          </cell>
          <cell r="M1980" t="str">
            <v/>
          </cell>
          <cell r="N1980" t="str">
            <v>HKA-25121</v>
          </cell>
          <cell r="O1980" t="str">
            <v>HEKA</v>
          </cell>
          <cell r="P1980" t="str">
            <v>ADET</v>
          </cell>
          <cell r="Q1980" t="str">
            <v>LED</v>
          </cell>
          <cell r="R1980" t="str">
            <v>METAL</v>
          </cell>
          <cell r="S1980" t="str">
            <v>ESKİTME</v>
          </cell>
          <cell r="T1980" t="str">
            <v>CAM</v>
          </cell>
          <cell r="U1980" t="str">
            <v>YEŞİL</v>
          </cell>
          <cell r="AA1980" t="str">
            <v>DIMMSIZ</v>
          </cell>
          <cell r="AD1980" t="str">
            <v>TEKLİ</v>
          </cell>
          <cell r="AE1980" t="str">
            <v>01</v>
          </cell>
          <cell r="AF1980">
            <v>20</v>
          </cell>
          <cell r="AG1980" t="str">
            <v>ADET</v>
          </cell>
          <cell r="AH1980">
            <v>268</v>
          </cell>
          <cell r="AI1980" t="str">
            <v>CNY</v>
          </cell>
          <cell r="AL1980">
            <v>1</v>
          </cell>
          <cell r="AM1980" t="str">
            <v>8684127517478</v>
          </cell>
          <cell r="AO1980">
            <v>0</v>
          </cell>
          <cell r="AQ1980">
            <v>2</v>
          </cell>
          <cell r="AR1980" t="str">
            <v>CM</v>
          </cell>
          <cell r="AS1980">
            <v>40</v>
          </cell>
          <cell r="AT1980" t="str">
            <v>CM</v>
          </cell>
          <cell r="AU1980">
            <v>0</v>
          </cell>
          <cell r="AW1980">
            <v>0</v>
          </cell>
        </row>
        <row r="1981">
          <cell r="B1981" t="str">
            <v>H1W6JMEECS1-030</v>
          </cell>
          <cell r="C1981" t="str">
            <v>SKYLİNE TEKLİ ŞEFFAF CAM APLİK 30CM</v>
          </cell>
          <cell r="D1981" t="str">
            <v>SYKLINE SINGLE CLEAR GLASS WALL LAMP 30CM</v>
          </cell>
          <cell r="E1981" t="str">
            <v>METAL CAM ESKİTME ŞEFFAF</v>
          </cell>
          <cell r="F1981" t="str">
            <v/>
          </cell>
          <cell r="G1981" t="str">
            <v>APLİK</v>
          </cell>
          <cell r="H1981" t="str">
            <v/>
          </cell>
          <cell r="I1981" t="str">
            <v>İÇ</v>
          </cell>
          <cell r="J1981" t="str">
            <v>APLİK</v>
          </cell>
          <cell r="K1981" t="str">
            <v>SKYLİNE</v>
          </cell>
          <cell r="L1981" t="str">
            <v/>
          </cell>
          <cell r="M1981" t="str">
            <v/>
          </cell>
          <cell r="N1981" t="str">
            <v>HKA-25132</v>
          </cell>
          <cell r="O1981" t="str">
            <v>HEKA</v>
          </cell>
          <cell r="P1981" t="str">
            <v>ADET</v>
          </cell>
          <cell r="Q1981" t="str">
            <v>LED</v>
          </cell>
          <cell r="R1981" t="str">
            <v>METAL</v>
          </cell>
          <cell r="S1981" t="str">
            <v>ESKİTME</v>
          </cell>
          <cell r="T1981" t="str">
            <v>CAM</v>
          </cell>
          <cell r="U1981" t="str">
            <v>ŞEFFAF</v>
          </cell>
          <cell r="AA1981" t="str">
            <v>DIMMSIZ</v>
          </cell>
          <cell r="AD1981" t="str">
            <v>TEKLİ</v>
          </cell>
          <cell r="AE1981" t="str">
            <v>01</v>
          </cell>
          <cell r="AF1981">
            <v>60</v>
          </cell>
          <cell r="AG1981" t="str">
            <v>ADET</v>
          </cell>
          <cell r="AH1981">
            <v>209</v>
          </cell>
          <cell r="AI1981" t="str">
            <v>CNY</v>
          </cell>
          <cell r="AL1981">
            <v>1</v>
          </cell>
          <cell r="AM1981" t="str">
            <v>8684127517584</v>
          </cell>
          <cell r="AO1981">
            <v>0</v>
          </cell>
          <cell r="AQ1981">
            <v>2</v>
          </cell>
          <cell r="AR1981" t="str">
            <v>CM</v>
          </cell>
          <cell r="AS1981">
            <v>30</v>
          </cell>
          <cell r="AT1981" t="str">
            <v>CM</v>
          </cell>
          <cell r="AU1981">
            <v>0</v>
          </cell>
          <cell r="AW1981">
            <v>0</v>
          </cell>
        </row>
        <row r="1982">
          <cell r="B1982" t="str">
            <v>H1F6JMEECS0-030</v>
          </cell>
          <cell r="C1982" t="str">
            <v>SKYLİNE TEKLİ ŞEFFAF CAM LAMBADER</v>
          </cell>
          <cell r="D1982" t="str">
            <v>SYKLINE SINGLE CLEAR GLASS FLOOR LAMP</v>
          </cell>
          <cell r="E1982" t="str">
            <v>METAL CAM ESKİTME ŞEFFAF</v>
          </cell>
          <cell r="F1982" t="str">
            <v/>
          </cell>
          <cell r="G1982" t="str">
            <v>LAMBADER</v>
          </cell>
          <cell r="H1982" t="str">
            <v/>
          </cell>
          <cell r="I1982" t="str">
            <v>İÇ</v>
          </cell>
          <cell r="J1982" t="str">
            <v>LAMBADER</v>
          </cell>
          <cell r="K1982" t="str">
            <v>SKYLİNE</v>
          </cell>
          <cell r="L1982" t="str">
            <v/>
          </cell>
          <cell r="M1982" t="str">
            <v>30.01.2026</v>
          </cell>
          <cell r="N1982" t="str">
            <v>HKA-25139</v>
          </cell>
          <cell r="O1982" t="str">
            <v>HEKA</v>
          </cell>
          <cell r="P1982" t="str">
            <v>ADET</v>
          </cell>
          <cell r="Q1982" t="str">
            <v>LED</v>
          </cell>
          <cell r="R1982" t="str">
            <v>METAL</v>
          </cell>
          <cell r="S1982" t="str">
            <v>ESKİTME</v>
          </cell>
          <cell r="T1982" t="str">
            <v>CAM</v>
          </cell>
          <cell r="U1982" t="str">
            <v>ŞEFFAF</v>
          </cell>
          <cell r="AA1982" t="str">
            <v>DIMMSIZ</v>
          </cell>
          <cell r="AD1982" t="str">
            <v>TEKLİ</v>
          </cell>
          <cell r="AE1982" t="str">
            <v>01</v>
          </cell>
          <cell r="AF1982">
            <v>0</v>
          </cell>
          <cell r="AG1982" t="str">
            <v>ADET</v>
          </cell>
          <cell r="AH1982">
            <v>4200</v>
          </cell>
          <cell r="AI1982" t="str">
            <v>TL</v>
          </cell>
          <cell r="AL1982">
            <v>1</v>
          </cell>
          <cell r="AM1982" t="str">
            <v>8684127517652</v>
          </cell>
          <cell r="AO1982">
            <v>0</v>
          </cell>
          <cell r="AQ1982">
            <v>2</v>
          </cell>
          <cell r="AR1982" t="str">
            <v>CM</v>
          </cell>
          <cell r="AS1982">
            <v>30</v>
          </cell>
          <cell r="AT1982" t="str">
            <v>CM</v>
          </cell>
          <cell r="AU1982">
            <v>0</v>
          </cell>
          <cell r="AW1982">
            <v>0</v>
          </cell>
        </row>
        <row r="1983">
          <cell r="B1983" t="str">
            <v>H1C6JMPWRF0-050</v>
          </cell>
          <cell r="C1983" t="str">
            <v>ATAKAMA MERMER PLATİN SARKIT 50CM</v>
          </cell>
          <cell r="D1983" t="str">
            <v>ATAKAMA MARBLE PLATINUM CHANDELIER 50CM</v>
          </cell>
          <cell r="E1983" t="str">
            <v>METAL MERMER PLATİN BEYAZ</v>
          </cell>
          <cell r="F1983" t="str">
            <v/>
          </cell>
          <cell r="G1983" t="str">
            <v>AVİZE</v>
          </cell>
          <cell r="H1983" t="str">
            <v/>
          </cell>
          <cell r="I1983" t="str">
            <v>İÇ</v>
          </cell>
          <cell r="J1983" t="str">
            <v>AVİZE.SARK</v>
          </cell>
          <cell r="K1983" t="str">
            <v>ATAKAMA</v>
          </cell>
          <cell r="L1983" t="str">
            <v/>
          </cell>
          <cell r="M1983" t="str">
            <v/>
          </cell>
          <cell r="N1983" t="str">
            <v>HKA-25045</v>
          </cell>
          <cell r="O1983" t="str">
            <v>HEKA</v>
          </cell>
          <cell r="P1983" t="str">
            <v>ADET</v>
          </cell>
          <cell r="Q1983" t="str">
            <v>LED</v>
          </cell>
          <cell r="R1983" t="str">
            <v>METAL</v>
          </cell>
          <cell r="S1983" t="str">
            <v>PLATİN</v>
          </cell>
          <cell r="T1983" t="str">
            <v>MERMER</v>
          </cell>
          <cell r="U1983" t="str">
            <v>BEYAZ</v>
          </cell>
          <cell r="X1983" t="str">
            <v>220V</v>
          </cell>
          <cell r="Y1983" t="str">
            <v>31 WATT</v>
          </cell>
          <cell r="Z1983" t="str">
            <v>2850 K</v>
          </cell>
          <cell r="AB1983" t="str">
            <v>1301-1400</v>
          </cell>
          <cell r="AF1983">
            <v>1</v>
          </cell>
          <cell r="AG1983" t="str">
            <v>ADET</v>
          </cell>
          <cell r="AJ1983">
            <v>33000</v>
          </cell>
          <cell r="AK1983" t="str">
            <v>TL</v>
          </cell>
          <cell r="AL1983">
            <v>0</v>
          </cell>
          <cell r="AM1983" t="str">
            <v>8684127516587</v>
          </cell>
          <cell r="AO1983">
            <v>5.51</v>
          </cell>
          <cell r="AP1983" t="str">
            <v>KG</v>
          </cell>
          <cell r="AQ1983">
            <v>5.5</v>
          </cell>
          <cell r="AR1983" t="str">
            <v>CM</v>
          </cell>
          <cell r="AS1983">
            <v>30</v>
          </cell>
          <cell r="AT1983" t="str">
            <v>CM</v>
          </cell>
          <cell r="AU1983">
            <v>0</v>
          </cell>
          <cell r="AW1983">
            <v>0</v>
          </cell>
        </row>
        <row r="1984">
          <cell r="B1984" t="str">
            <v>ADYHMRGHBJB-105</v>
          </cell>
          <cell r="C1984" t="str">
            <v>BAHAR DALI BEJ YAPAY ÇİÇEK 105CM</v>
          </cell>
          <cell r="D1984" t="str">
            <v>SPRING BRANCH BEIGE ARTIFICIAL FLOWER 105CM</v>
          </cell>
          <cell r="E1984" t="str">
            <v>POLİKARBON KUMAŞ GRİ BEJ</v>
          </cell>
          <cell r="F1984" t="str">
            <v/>
          </cell>
          <cell r="G1984" t="str">
            <v>AKSESUAR</v>
          </cell>
          <cell r="H1984" t="str">
            <v/>
          </cell>
          <cell r="I1984" t="str">
            <v/>
          </cell>
          <cell r="J1984" t="str">
            <v>AKSESUAR</v>
          </cell>
          <cell r="K1984" t="str">
            <v>HEKA</v>
          </cell>
          <cell r="L1984" t="str">
            <v/>
          </cell>
          <cell r="M1984" t="str">
            <v/>
          </cell>
          <cell r="N1984" t="str">
            <v>HKA-250019</v>
          </cell>
          <cell r="O1984" t="str">
            <v>HEKA</v>
          </cell>
          <cell r="P1984" t="str">
            <v>ADET</v>
          </cell>
          <cell r="R1984" t="str">
            <v>POLİKARBON</v>
          </cell>
          <cell r="S1984" t="str">
            <v>GRİ</v>
          </cell>
          <cell r="T1984" t="str">
            <v>KUMAŞ</v>
          </cell>
          <cell r="U1984" t="str">
            <v>BEJ</v>
          </cell>
          <cell r="AD1984" t="str">
            <v>BUKLE</v>
          </cell>
          <cell r="AF1984">
            <v>6</v>
          </cell>
          <cell r="AG1984" t="str">
            <v>ADET</v>
          </cell>
          <cell r="AH1984">
            <v>199</v>
          </cell>
          <cell r="AI1984" t="str">
            <v>TL</v>
          </cell>
          <cell r="AJ1984">
            <v>477.6</v>
          </cell>
          <cell r="AK1984" t="str">
            <v>TL</v>
          </cell>
          <cell r="AL1984">
            <v>1</v>
          </cell>
          <cell r="AO1984">
            <v>0</v>
          </cell>
          <cell r="AQ1984">
            <v>105</v>
          </cell>
          <cell r="AR1984" t="str">
            <v>CM</v>
          </cell>
          <cell r="AS1984">
            <v>0</v>
          </cell>
          <cell r="AU1984">
            <v>0</v>
          </cell>
          <cell r="AW1984">
            <v>0</v>
          </cell>
        </row>
        <row r="1985">
          <cell r="B1985" t="str">
            <v>AVYHECT0003-030</v>
          </cell>
          <cell r="C1985" t="str">
            <v>LATTE STONE CAM VAZO 30x33CM</v>
          </cell>
          <cell r="D1985" t="str">
            <v>LATTE STONE GLASS VASE 30x33CM</v>
          </cell>
          <cell r="E1985" t="str">
            <v>CAM  YOK SOFT YOK</v>
          </cell>
          <cell r="F1985" t="str">
            <v/>
          </cell>
          <cell r="G1985" t="str">
            <v>AKSESUAR</v>
          </cell>
          <cell r="H1985" t="str">
            <v/>
          </cell>
          <cell r="I1985" t="str">
            <v>İÇ</v>
          </cell>
          <cell r="J1985" t="str">
            <v>AKSESUAR</v>
          </cell>
          <cell r="K1985" t="str">
            <v>HEKA</v>
          </cell>
          <cell r="L1985" t="str">
            <v/>
          </cell>
          <cell r="M1985" t="str">
            <v/>
          </cell>
          <cell r="N1985" t="str">
            <v>HKA-250021</v>
          </cell>
          <cell r="O1985" t="str">
            <v>HEKA</v>
          </cell>
          <cell r="P1985" t="str">
            <v>ADET</v>
          </cell>
          <cell r="R1985" t="str">
            <v>CAM</v>
          </cell>
          <cell r="S1985" t="str">
            <v>SOFT</v>
          </cell>
          <cell r="T1985" t="str">
            <v>YOK</v>
          </cell>
          <cell r="U1985" t="str">
            <v>YOK</v>
          </cell>
          <cell r="AD1985" t="str">
            <v>KASE</v>
          </cell>
          <cell r="AF1985">
            <v>0</v>
          </cell>
          <cell r="AG1985" t="str">
            <v>ADET</v>
          </cell>
          <cell r="AH1985">
            <v>1479</v>
          </cell>
          <cell r="AI1985" t="str">
            <v>TL</v>
          </cell>
          <cell r="AJ1985">
            <v>3549.6</v>
          </cell>
          <cell r="AK1985" t="str">
            <v>TL</v>
          </cell>
          <cell r="AL1985">
            <v>1</v>
          </cell>
          <cell r="AO1985">
            <v>0</v>
          </cell>
          <cell r="AQ1985">
            <v>30</v>
          </cell>
          <cell r="AR1985" t="str">
            <v>CM</v>
          </cell>
          <cell r="AS1985">
            <v>30</v>
          </cell>
          <cell r="AT1985" t="str">
            <v>CM</v>
          </cell>
          <cell r="AU1985">
            <v>0</v>
          </cell>
          <cell r="AW1985">
            <v>0</v>
          </cell>
        </row>
        <row r="1986">
          <cell r="B1986" t="str">
            <v>CD7F1C3M1C8D1</v>
          </cell>
          <cell r="C1986" t="str">
            <v>ERD-911 110V C35 ŞEFFAF DÜZ 4W 6500K E12 LED AMPUL</v>
          </cell>
          <cell r="D1986" t="str">
            <v>ERD-911 110V C35 CLEAR CANDLE 4W 6500K E12 LED BULB</v>
          </cell>
          <cell r="E1986" t="str">
            <v xml:space="preserve">CAM  ŞEFFAF </v>
          </cell>
          <cell r="F1986" t="str">
            <v/>
          </cell>
          <cell r="G1986" t="str">
            <v>AMPUL</v>
          </cell>
          <cell r="H1986" t="str">
            <v/>
          </cell>
          <cell r="I1986" t="str">
            <v>İÇ</v>
          </cell>
          <cell r="J1986" t="str">
            <v>AMPUL</v>
          </cell>
          <cell r="K1986" t="str">
            <v>ERD-911</v>
          </cell>
          <cell r="L1986" t="str">
            <v/>
          </cell>
          <cell r="M1986" t="str">
            <v/>
          </cell>
          <cell r="N1986" t="str">
            <v>ERD-911</v>
          </cell>
          <cell r="O1986" t="str">
            <v>HEKA</v>
          </cell>
          <cell r="P1986" t="str">
            <v>ADET</v>
          </cell>
          <cell r="Q1986" t="str">
            <v>E12</v>
          </cell>
          <cell r="R1986" t="str">
            <v>CAM</v>
          </cell>
          <cell r="S1986" t="str">
            <v>ŞEFFAF</v>
          </cell>
          <cell r="V1986" t="str">
            <v>F</v>
          </cell>
          <cell r="W1986" t="str">
            <v>FLAMENT</v>
          </cell>
          <cell r="Y1986" t="str">
            <v>4 WATT</v>
          </cell>
          <cell r="Z1986" t="str">
            <v>6500 K</v>
          </cell>
          <cell r="AA1986" t="str">
            <v>DIMMLI</v>
          </cell>
          <cell r="AB1986" t="str">
            <v>301-400</v>
          </cell>
          <cell r="AC1986" t="str">
            <v>C35 - DÜZ</v>
          </cell>
          <cell r="AF1986">
            <v>200</v>
          </cell>
          <cell r="AG1986" t="str">
            <v>ADET</v>
          </cell>
          <cell r="AH1986">
            <v>2</v>
          </cell>
          <cell r="AI1986" t="str">
            <v>CNY</v>
          </cell>
          <cell r="AJ1986">
            <v>2.5</v>
          </cell>
          <cell r="AK1986" t="str">
            <v>USD</v>
          </cell>
          <cell r="AL1986">
            <v>1</v>
          </cell>
          <cell r="AM1986" t="str">
            <v>8684127516730</v>
          </cell>
          <cell r="AN1986" t="str">
            <v>8684127516747</v>
          </cell>
          <cell r="AO1986">
            <v>0</v>
          </cell>
          <cell r="AQ1986">
            <v>0</v>
          </cell>
          <cell r="AS1986">
            <v>0</v>
          </cell>
          <cell r="AU1986">
            <v>0</v>
          </cell>
          <cell r="AW1986">
            <v>0</v>
          </cell>
        </row>
        <row r="1987">
          <cell r="B1987" t="str">
            <v>H1C6JMEWRFR-120</v>
          </cell>
          <cell r="C1987" t="str">
            <v>EFES SALON AVİZE YUVARLAK 120CM</v>
          </cell>
          <cell r="D1987" t="str">
            <v>EFES ROUND LIVING ROOM CHANDELIER 120CM</v>
          </cell>
          <cell r="E1987" t="str">
            <v xml:space="preserve">METAL MERMER ESKİTME BEYAZ </v>
          </cell>
          <cell r="F1987" t="str">
            <v/>
          </cell>
          <cell r="G1987" t="str">
            <v>AVİZE</v>
          </cell>
          <cell r="H1987" t="str">
            <v/>
          </cell>
          <cell r="I1987" t="str">
            <v/>
          </cell>
          <cell r="J1987" t="str">
            <v>AVİZE</v>
          </cell>
          <cell r="K1987" t="str">
            <v>EFES</v>
          </cell>
          <cell r="L1987" t="str">
            <v/>
          </cell>
          <cell r="M1987" t="str">
            <v/>
          </cell>
          <cell r="N1987" t="str">
            <v>HKA-25156</v>
          </cell>
          <cell r="O1987" t="str">
            <v>HEKA</v>
          </cell>
          <cell r="P1987" t="str">
            <v>ADET</v>
          </cell>
          <cell r="Q1987" t="str">
            <v>LED</v>
          </cell>
          <cell r="R1987" t="str">
            <v>METAL</v>
          </cell>
          <cell r="S1987" t="str">
            <v>ESKİTME</v>
          </cell>
          <cell r="T1987" t="str">
            <v>MERMER</v>
          </cell>
          <cell r="U1987" t="str">
            <v>BEYAZ</v>
          </cell>
          <cell r="AA1987" t="str">
            <v>DIMMSIZ</v>
          </cell>
          <cell r="AD1987" t="str">
            <v>DAİRE</v>
          </cell>
          <cell r="AF1987">
            <v>0</v>
          </cell>
          <cell r="AG1987" t="str">
            <v>ADET</v>
          </cell>
          <cell r="AJ1987">
            <v>262125</v>
          </cell>
          <cell r="AK1987" t="str">
            <v>TL</v>
          </cell>
          <cell r="AL1987">
            <v>0</v>
          </cell>
          <cell r="AO1987">
            <v>0</v>
          </cell>
          <cell r="AQ1987">
            <v>120</v>
          </cell>
          <cell r="AS1987">
            <v>120</v>
          </cell>
          <cell r="AU1987">
            <v>0</v>
          </cell>
          <cell r="AW1987">
            <v>0</v>
          </cell>
        </row>
        <row r="1988">
          <cell r="B1988" t="str">
            <v>H1F1KMEECSV-160</v>
          </cell>
          <cell r="C1988" t="str">
            <v>LUCETTA ŞEFFAF KRİSTAL ESKİTME LAMBADER</v>
          </cell>
          <cell r="D1988" t="str">
            <v>LUCETTA CLEAR CRYSTAL BRUSHED BRASS FLOOR LAMP</v>
          </cell>
          <cell r="E1988" t="str">
            <v>PASLANMAZ CAM ESKİTME ŞEFFAF</v>
          </cell>
          <cell r="F1988" t="str">
            <v/>
          </cell>
          <cell r="G1988" t="str">
            <v>LAMBADER</v>
          </cell>
          <cell r="H1988" t="str">
            <v/>
          </cell>
          <cell r="I1988" t="str">
            <v>İÇ</v>
          </cell>
          <cell r="J1988" t="str">
            <v>LAMBADER</v>
          </cell>
          <cell r="K1988" t="str">
            <v>LUCETTA</v>
          </cell>
          <cell r="L1988" t="str">
            <v/>
          </cell>
          <cell r="M1988" t="str">
            <v/>
          </cell>
          <cell r="N1988" t="str">
            <v>HKA-25060</v>
          </cell>
          <cell r="O1988" t="str">
            <v>HEKA</v>
          </cell>
          <cell r="P1988" t="str">
            <v>ADET</v>
          </cell>
          <cell r="Q1988" t="str">
            <v>E14</v>
          </cell>
          <cell r="R1988" t="str">
            <v>PASLANMAZ</v>
          </cell>
          <cell r="S1988" t="str">
            <v>ESKİTME</v>
          </cell>
          <cell r="T1988" t="str">
            <v>CAM</v>
          </cell>
          <cell r="U1988" t="str">
            <v>ŞEFFAF</v>
          </cell>
          <cell r="AD1988" t="str">
            <v>YAMUK</v>
          </cell>
          <cell r="AE1988" t="str">
            <v>04</v>
          </cell>
          <cell r="AF1988">
            <v>6</v>
          </cell>
          <cell r="AG1988" t="str">
            <v>ADET</v>
          </cell>
          <cell r="AH1988">
            <v>1113.2</v>
          </cell>
          <cell r="AI1988" t="str">
            <v>CNY</v>
          </cell>
          <cell r="AL1988">
            <v>1</v>
          </cell>
          <cell r="AM1988" t="str">
            <v>8684127516877</v>
          </cell>
          <cell r="AO1988">
            <v>0</v>
          </cell>
          <cell r="AQ1988">
            <v>42</v>
          </cell>
          <cell r="AS1988">
            <v>42</v>
          </cell>
          <cell r="AU1988">
            <v>0</v>
          </cell>
          <cell r="AW1988">
            <v>0</v>
          </cell>
        </row>
        <row r="1989">
          <cell r="B1989" t="str">
            <v>H1W3KMEECSV-100</v>
          </cell>
          <cell r="C1989" t="str">
            <v>LUCETTA ŞEFFAF KRİSTAL ESKİTME APLİK 100CM</v>
          </cell>
          <cell r="D1989" t="str">
            <v>LUCETTA CLEAR CRYSTAL BRUSHED BRASS WALL LAMP 100CM</v>
          </cell>
          <cell r="E1989" t="str">
            <v>PASLANMAZ CAM ESKİTME ŞEFFAF</v>
          </cell>
          <cell r="F1989" t="str">
            <v/>
          </cell>
          <cell r="G1989" t="str">
            <v>APLİK</v>
          </cell>
          <cell r="H1989" t="str">
            <v/>
          </cell>
          <cell r="I1989" t="str">
            <v>İÇ</v>
          </cell>
          <cell r="J1989" t="str">
            <v>APLİK</v>
          </cell>
          <cell r="K1989" t="str">
            <v>LUCETTA</v>
          </cell>
          <cell r="L1989" t="str">
            <v/>
          </cell>
          <cell r="M1989" t="str">
            <v/>
          </cell>
          <cell r="N1989" t="str">
            <v>HKA-25062</v>
          </cell>
          <cell r="O1989" t="str">
            <v>HEKA</v>
          </cell>
          <cell r="P1989" t="str">
            <v>ADET</v>
          </cell>
          <cell r="Q1989" t="str">
            <v>G9</v>
          </cell>
          <cell r="R1989" t="str">
            <v>PASLANMAZ</v>
          </cell>
          <cell r="S1989" t="str">
            <v>ESKİTME</v>
          </cell>
          <cell r="T1989" t="str">
            <v>CAM</v>
          </cell>
          <cell r="U1989" t="str">
            <v>ŞEFFAF</v>
          </cell>
          <cell r="AD1989" t="str">
            <v>YAMUK</v>
          </cell>
          <cell r="AE1989" t="str">
            <v>04</v>
          </cell>
          <cell r="AF1989">
            <v>15</v>
          </cell>
          <cell r="AG1989" t="str">
            <v>ADET</v>
          </cell>
          <cell r="AH1989">
            <v>435.6</v>
          </cell>
          <cell r="AI1989" t="str">
            <v>CNY</v>
          </cell>
          <cell r="AL1989">
            <v>1</v>
          </cell>
          <cell r="AM1989" t="str">
            <v>8684127516891</v>
          </cell>
          <cell r="AO1989">
            <v>0</v>
          </cell>
          <cell r="AQ1989">
            <v>12</v>
          </cell>
          <cell r="AS1989">
            <v>10.5</v>
          </cell>
          <cell r="AU1989">
            <v>0</v>
          </cell>
          <cell r="AW1989">
            <v>0</v>
          </cell>
        </row>
        <row r="1990">
          <cell r="B1990" t="str">
            <v>H1C6JMEWRF0-070</v>
          </cell>
          <cell r="C1990" t="str">
            <v>GABON MERMER ESKİTME SALON AVİZE</v>
          </cell>
          <cell r="D1990" t="str">
            <v>GABON MARBLE BRUSHED BRASS LIVING ROOM CHANDELIER</v>
          </cell>
          <cell r="E1990" t="str">
            <v>METAL MERMER ESKİTME BEYAZ</v>
          </cell>
          <cell r="F1990" t="str">
            <v/>
          </cell>
          <cell r="G1990" t="str">
            <v>AVİZE</v>
          </cell>
          <cell r="H1990" t="str">
            <v/>
          </cell>
          <cell r="I1990" t="str">
            <v>İÇ</v>
          </cell>
          <cell r="J1990" t="str">
            <v>AVİZE</v>
          </cell>
          <cell r="K1990" t="str">
            <v>GABON</v>
          </cell>
          <cell r="L1990" t="str">
            <v/>
          </cell>
          <cell r="M1990" t="str">
            <v/>
          </cell>
          <cell r="N1990" t="str">
            <v>HKA-25076</v>
          </cell>
          <cell r="O1990" t="str">
            <v>HEKA</v>
          </cell>
          <cell r="P1990" t="str">
            <v>ADET</v>
          </cell>
          <cell r="Q1990" t="str">
            <v>LED</v>
          </cell>
          <cell r="R1990" t="str">
            <v>METAL</v>
          </cell>
          <cell r="S1990" t="str">
            <v>ESKİTME</v>
          </cell>
          <cell r="T1990" t="str">
            <v>MERMER</v>
          </cell>
          <cell r="U1990" t="str">
            <v>BEYAZ</v>
          </cell>
          <cell r="Z1990" t="str">
            <v>3000 K</v>
          </cell>
          <cell r="AF1990">
            <v>15</v>
          </cell>
          <cell r="AG1990" t="str">
            <v>ADET</v>
          </cell>
          <cell r="AH1990">
            <v>1435</v>
          </cell>
          <cell r="AI1990" t="str">
            <v>CNY</v>
          </cell>
          <cell r="AL1990">
            <v>1</v>
          </cell>
          <cell r="AM1990" t="str">
            <v>8684127517034</v>
          </cell>
          <cell r="AO1990">
            <v>0</v>
          </cell>
          <cell r="AQ1990">
            <v>70</v>
          </cell>
          <cell r="AR1990" t="str">
            <v>CM</v>
          </cell>
          <cell r="AS1990">
            <v>70</v>
          </cell>
          <cell r="AT1990" t="str">
            <v>CM</v>
          </cell>
          <cell r="AU1990">
            <v>0</v>
          </cell>
          <cell r="AW1990">
            <v>0</v>
          </cell>
        </row>
        <row r="1991">
          <cell r="B1991" t="str">
            <v>H1W6RMEWRFV-049</v>
          </cell>
          <cell r="C1991" t="str">
            <v>ALBATRE PİRİNÇ DÖKÜMLÜ MERMERLİ APLİK 49 cm</v>
          </cell>
          <cell r="D1991" t="str">
            <v>ALBATRE BRASS CASTING MARBLE WALL LAMP 49CM</v>
          </cell>
          <cell r="E1991" t="str">
            <v>PRİNÇ MERMER ESKİTME BEYAZ</v>
          </cell>
          <cell r="F1991" t="str">
            <v/>
          </cell>
          <cell r="G1991" t="str">
            <v>APLİK</v>
          </cell>
          <cell r="H1991" t="str">
            <v/>
          </cell>
          <cell r="I1991" t="str">
            <v>İÇ</v>
          </cell>
          <cell r="J1991" t="str">
            <v>APLİK</v>
          </cell>
          <cell r="K1991" t="str">
            <v>ALBATRE</v>
          </cell>
          <cell r="L1991" t="str">
            <v/>
          </cell>
          <cell r="M1991" t="str">
            <v/>
          </cell>
          <cell r="N1991" t="str">
            <v>HKA-25090</v>
          </cell>
          <cell r="O1991" t="str">
            <v>HEKA</v>
          </cell>
          <cell r="P1991" t="str">
            <v>ADET</v>
          </cell>
          <cell r="Q1991" t="str">
            <v>LED</v>
          </cell>
          <cell r="R1991" t="str">
            <v>PİRİNÇ</v>
          </cell>
          <cell r="S1991" t="str">
            <v>ESKİTME</v>
          </cell>
          <cell r="T1991" t="str">
            <v>MERMER</v>
          </cell>
          <cell r="U1991" t="str">
            <v>BEYAZ</v>
          </cell>
          <cell r="AD1991" t="str">
            <v>YAMUK</v>
          </cell>
          <cell r="AE1991" t="str">
            <v>01</v>
          </cell>
          <cell r="AF1991">
            <v>10</v>
          </cell>
          <cell r="AG1991" t="str">
            <v>ADET</v>
          </cell>
          <cell r="AH1991">
            <v>1188</v>
          </cell>
          <cell r="AI1991" t="str">
            <v>CNY</v>
          </cell>
          <cell r="AL1991">
            <v>1</v>
          </cell>
          <cell r="AM1991" t="str">
            <v>8684127517058</v>
          </cell>
          <cell r="AO1991">
            <v>0</v>
          </cell>
          <cell r="AQ1991">
            <v>13</v>
          </cell>
          <cell r="AS1991">
            <v>37</v>
          </cell>
          <cell r="AU1991">
            <v>0</v>
          </cell>
          <cell r="AW1991">
            <v>0</v>
          </cell>
        </row>
        <row r="1992">
          <cell r="B1992" t="str">
            <v>H1S6CRS000Z-009</v>
          </cell>
          <cell r="C1992" t="str">
            <v>DARELL MAT SİYAH DÜZ SPOT 8x8 CM</v>
          </cell>
          <cell r="D1992" t="str">
            <v>DARELL MATTE BLACK PLAIN SPOTLIGHT 8x8 CM</v>
          </cell>
          <cell r="E1992" t="str">
            <v>ALUMİNYUM YOK SİYAH YOK</v>
          </cell>
          <cell r="F1992" t="str">
            <v/>
          </cell>
          <cell r="G1992" t="str">
            <v>OKUMA APLİKLERİ</v>
          </cell>
          <cell r="H1992" t="str">
            <v/>
          </cell>
          <cell r="I1992" t="str">
            <v>İÇ</v>
          </cell>
          <cell r="J1992" t="str">
            <v>OKUMA APLİ</v>
          </cell>
          <cell r="K1992" t="str">
            <v>DARELL</v>
          </cell>
          <cell r="L1992" t="str">
            <v>Y</v>
          </cell>
          <cell r="M1992" t="str">
            <v/>
          </cell>
          <cell r="N1992" t="str">
            <v>HKA-25160</v>
          </cell>
          <cell r="O1992" t="str">
            <v>HEKA</v>
          </cell>
          <cell r="P1992" t="str">
            <v>ADET</v>
          </cell>
          <cell r="Q1992" t="str">
            <v>LED</v>
          </cell>
          <cell r="R1992" t="str">
            <v>ALUMİNYUM</v>
          </cell>
          <cell r="S1992" t="str">
            <v>SİYAH</v>
          </cell>
          <cell r="T1992" t="str">
            <v>YOK</v>
          </cell>
          <cell r="U1992" t="str">
            <v>YOK</v>
          </cell>
          <cell r="Z1992" t="str">
            <v>3000 K</v>
          </cell>
          <cell r="AA1992" t="str">
            <v>DIMMSIZ</v>
          </cell>
          <cell r="AD1992" t="str">
            <v>KOLLU</v>
          </cell>
          <cell r="AE1992" t="str">
            <v>01</v>
          </cell>
          <cell r="AF1992">
            <v>500</v>
          </cell>
          <cell r="AG1992" t="str">
            <v>ADET</v>
          </cell>
          <cell r="AH1992">
            <v>24.25</v>
          </cell>
          <cell r="AI1992" t="str">
            <v>CNY</v>
          </cell>
          <cell r="AJ1992">
            <v>44</v>
          </cell>
          <cell r="AK1992" t="str">
            <v>USD</v>
          </cell>
          <cell r="AL1992">
            <v>1</v>
          </cell>
          <cell r="AM1992" t="str">
            <v>8684127517188</v>
          </cell>
          <cell r="AO1992">
            <v>0</v>
          </cell>
          <cell r="AQ1992">
            <v>1</v>
          </cell>
          <cell r="AR1992" t="str">
            <v>CM</v>
          </cell>
          <cell r="AS1992">
            <v>8.5</v>
          </cell>
          <cell r="AT1992" t="str">
            <v>CM</v>
          </cell>
          <cell r="AU1992">
            <v>0</v>
          </cell>
          <cell r="AW1992">
            <v>0</v>
          </cell>
        </row>
        <row r="1993">
          <cell r="B1993" t="str">
            <v>H1S6CRS000Z-012</v>
          </cell>
          <cell r="C1993" t="str">
            <v>TERESA MAT SİYAH TIRTIKLI SPOT 12CM</v>
          </cell>
          <cell r="D1993" t="str">
            <v>TERESA MATTE BLACK SERRATED SPOTLIGHT 12CM</v>
          </cell>
          <cell r="E1993" t="str">
            <v>ALUMİNYUM YOK SİYAH YOK</v>
          </cell>
          <cell r="F1993" t="str">
            <v/>
          </cell>
          <cell r="G1993" t="str">
            <v>OKUMA APLİKLERİ</v>
          </cell>
          <cell r="H1993" t="str">
            <v/>
          </cell>
          <cell r="I1993" t="str">
            <v>İÇ</v>
          </cell>
          <cell r="J1993" t="str">
            <v>OKUMA APLİ</v>
          </cell>
          <cell r="K1993" t="str">
            <v>TERESA</v>
          </cell>
          <cell r="L1993" t="str">
            <v>Y</v>
          </cell>
          <cell r="M1993" t="str">
            <v/>
          </cell>
          <cell r="N1993" t="str">
            <v>HKA-25162</v>
          </cell>
          <cell r="O1993" t="str">
            <v>HEKA</v>
          </cell>
          <cell r="P1993" t="str">
            <v>ADET</v>
          </cell>
          <cell r="Q1993" t="str">
            <v>LED</v>
          </cell>
          <cell r="R1993" t="str">
            <v>ALUMİNYUM</v>
          </cell>
          <cell r="S1993" t="str">
            <v>SİYAH</v>
          </cell>
          <cell r="T1993" t="str">
            <v>YOK</v>
          </cell>
          <cell r="U1993" t="str">
            <v>YOK</v>
          </cell>
          <cell r="Z1993" t="str">
            <v>3000 K</v>
          </cell>
          <cell r="AA1993" t="str">
            <v>DIMMSIZ</v>
          </cell>
          <cell r="AD1993" t="str">
            <v>KOLLU</v>
          </cell>
          <cell r="AE1993" t="str">
            <v>01</v>
          </cell>
          <cell r="AF1993">
            <v>1000</v>
          </cell>
          <cell r="AG1993" t="str">
            <v>ADET</v>
          </cell>
          <cell r="AH1993">
            <v>23.28</v>
          </cell>
          <cell r="AI1993" t="str">
            <v>CNY</v>
          </cell>
          <cell r="AJ1993">
            <v>44</v>
          </cell>
          <cell r="AK1993" t="str">
            <v>USD</v>
          </cell>
          <cell r="AL1993">
            <v>1</v>
          </cell>
          <cell r="AM1993" t="str">
            <v>8684127517201</v>
          </cell>
          <cell r="AO1993">
            <v>0</v>
          </cell>
          <cell r="AQ1993">
            <v>12</v>
          </cell>
          <cell r="AR1993" t="str">
            <v>CM</v>
          </cell>
          <cell r="AS1993">
            <v>5</v>
          </cell>
          <cell r="AT1993" t="str">
            <v>CM</v>
          </cell>
          <cell r="AU1993">
            <v>0</v>
          </cell>
          <cell r="AW1993">
            <v>0</v>
          </cell>
        </row>
        <row r="1994">
          <cell r="B1994" t="str">
            <v>H1S6CRS000Z-016</v>
          </cell>
          <cell r="C1994" t="str">
            <v>AVVENİ MAT SİYAH DÜZ SPOT 6x16 CM</v>
          </cell>
          <cell r="D1994" t="str">
            <v>AVVENİ MATTE BLACK PLAIN SPOTLIGHT 6x16 CM</v>
          </cell>
          <cell r="E1994" t="str">
            <v>ALUMİNYUM YOK SİYAH YOK</v>
          </cell>
          <cell r="F1994" t="str">
            <v/>
          </cell>
          <cell r="G1994" t="str">
            <v>OKUMA APLİKLERİ</v>
          </cell>
          <cell r="H1994" t="str">
            <v/>
          </cell>
          <cell r="I1994" t="str">
            <v>İÇ</v>
          </cell>
          <cell r="J1994" t="str">
            <v>OKUMA APLİ</v>
          </cell>
          <cell r="K1994" t="str">
            <v>AVVENİ</v>
          </cell>
          <cell r="L1994" t="str">
            <v>Y</v>
          </cell>
          <cell r="M1994" t="str">
            <v/>
          </cell>
          <cell r="N1994" t="str">
            <v>HKA-25164</v>
          </cell>
          <cell r="O1994" t="str">
            <v>HEKA</v>
          </cell>
          <cell r="P1994" t="str">
            <v>ADET</v>
          </cell>
          <cell r="Q1994" t="str">
            <v>LED</v>
          </cell>
          <cell r="R1994" t="str">
            <v>ALUMİNYUM</v>
          </cell>
          <cell r="S1994" t="str">
            <v>SİYAH</v>
          </cell>
          <cell r="T1994" t="str">
            <v>YOK</v>
          </cell>
          <cell r="U1994" t="str">
            <v>YOK</v>
          </cell>
          <cell r="Z1994" t="str">
            <v>3000 K</v>
          </cell>
          <cell r="AA1994" t="str">
            <v>DIMMSIZ</v>
          </cell>
          <cell r="AD1994" t="str">
            <v>KOLLU</v>
          </cell>
          <cell r="AE1994" t="str">
            <v>01</v>
          </cell>
          <cell r="AF1994">
            <v>1000</v>
          </cell>
          <cell r="AG1994" t="str">
            <v>ADET</v>
          </cell>
          <cell r="AH1994">
            <v>30.07</v>
          </cell>
          <cell r="AI1994" t="str">
            <v>CNY</v>
          </cell>
          <cell r="AJ1994">
            <v>61</v>
          </cell>
          <cell r="AK1994" t="str">
            <v>USD</v>
          </cell>
          <cell r="AL1994">
            <v>1</v>
          </cell>
          <cell r="AM1994" t="str">
            <v>8684127517225</v>
          </cell>
          <cell r="AO1994">
            <v>0</v>
          </cell>
          <cell r="AQ1994">
            <v>3</v>
          </cell>
          <cell r="AR1994" t="str">
            <v>CM</v>
          </cell>
          <cell r="AS1994">
            <v>6</v>
          </cell>
          <cell r="AT1994" t="str">
            <v>CM</v>
          </cell>
          <cell r="AU1994">
            <v>0</v>
          </cell>
          <cell r="AW1994">
            <v>0</v>
          </cell>
        </row>
        <row r="1995">
          <cell r="B1995" t="str">
            <v>H1W6KRVWRFM-033</v>
          </cell>
          <cell r="C1995" t="str">
            <v>ENZO PASLANMAZ MERMER APLİK 33CM</v>
          </cell>
          <cell r="D1995" t="str">
            <v>ENZO STEEL MARBLE PENDANT WALL LAMP 33CM</v>
          </cell>
          <cell r="E1995" t="str">
            <v>PASLANMAZ MERMER KAHVERENGİ BEYAZ</v>
          </cell>
          <cell r="F1995" t="str">
            <v/>
          </cell>
          <cell r="G1995" t="str">
            <v>APLİK</v>
          </cell>
          <cell r="H1995" t="str">
            <v/>
          </cell>
          <cell r="I1995" t="str">
            <v>İÇ</v>
          </cell>
          <cell r="J1995" t="str">
            <v>APLİK</v>
          </cell>
          <cell r="K1995" t="str">
            <v>ENZO</v>
          </cell>
          <cell r="L1995" t="str">
            <v/>
          </cell>
          <cell r="M1995" t="str">
            <v/>
          </cell>
          <cell r="N1995" t="str">
            <v>HKA-25108</v>
          </cell>
          <cell r="O1995" t="str">
            <v>HEKA</v>
          </cell>
          <cell r="P1995" t="str">
            <v>ADET</v>
          </cell>
          <cell r="Q1995" t="str">
            <v>LED</v>
          </cell>
          <cell r="R1995" t="str">
            <v>PASLANMAZ</v>
          </cell>
          <cell r="S1995" t="str">
            <v>KAHVERENGİ</v>
          </cell>
          <cell r="T1995" t="str">
            <v>MERMER</v>
          </cell>
          <cell r="U1995" t="str">
            <v>BEYAZ</v>
          </cell>
          <cell r="AA1995" t="str">
            <v>DIMMSIZ</v>
          </cell>
          <cell r="AD1995" t="str">
            <v>ÇİFT AYDINLATMA</v>
          </cell>
          <cell r="AE1995" t="str">
            <v>01</v>
          </cell>
          <cell r="AF1995">
            <v>20</v>
          </cell>
          <cell r="AG1995" t="str">
            <v>ADET</v>
          </cell>
          <cell r="AH1995">
            <v>448.5</v>
          </cell>
          <cell r="AI1995" t="str">
            <v>CNY</v>
          </cell>
          <cell r="AL1995">
            <v>1</v>
          </cell>
          <cell r="AM1995" t="str">
            <v>8684127517348</v>
          </cell>
          <cell r="AO1995">
            <v>0</v>
          </cell>
          <cell r="AQ1995">
            <v>21</v>
          </cell>
          <cell r="AR1995" t="str">
            <v>CM</v>
          </cell>
          <cell r="AS1995">
            <v>33</v>
          </cell>
          <cell r="AT1995" t="str">
            <v>CM</v>
          </cell>
          <cell r="AU1995">
            <v>0</v>
          </cell>
          <cell r="AW1995">
            <v>0</v>
          </cell>
        </row>
        <row r="1996">
          <cell r="B1996" t="str">
            <v>H1C6KMPERY0-035</v>
          </cell>
          <cell r="C1996" t="str">
            <v>ARİETTA YEŞİL KRİSTAL PLATİN SARKIT 35CM</v>
          </cell>
          <cell r="D1996" t="str">
            <v>ARİETTA GREEN CRYSTAL PLATINUM PENDANT 35CM</v>
          </cell>
          <cell r="E1996" t="str">
            <v>PASLANMAZ CAM PLATİN YEŞİL</v>
          </cell>
          <cell r="F1996" t="str">
            <v/>
          </cell>
          <cell r="G1996" t="str">
            <v>AVİZE</v>
          </cell>
          <cell r="H1996" t="str">
            <v/>
          </cell>
          <cell r="I1996" t="str">
            <v>İÇ</v>
          </cell>
          <cell r="J1996" t="str">
            <v>AVİZE.SARK</v>
          </cell>
          <cell r="K1996" t="str">
            <v>ARİETTA</v>
          </cell>
          <cell r="L1996" t="str">
            <v/>
          </cell>
          <cell r="M1996" t="str">
            <v/>
          </cell>
          <cell r="N1996" t="str">
            <v>HKA-25084</v>
          </cell>
          <cell r="O1996" t="str">
            <v>HEKA</v>
          </cell>
          <cell r="P1996" t="str">
            <v>ADET</v>
          </cell>
          <cell r="Q1996" t="str">
            <v>LED</v>
          </cell>
          <cell r="R1996" t="str">
            <v>PASLANMAZ</v>
          </cell>
          <cell r="S1996" t="str">
            <v>PLATİN</v>
          </cell>
          <cell r="T1996" t="str">
            <v>CAM</v>
          </cell>
          <cell r="U1996" t="str">
            <v>YEŞİL</v>
          </cell>
          <cell r="Z1996" t="str">
            <v>3000 K</v>
          </cell>
          <cell r="AA1996" t="str">
            <v>DIMMSIZ</v>
          </cell>
          <cell r="AE1996" t="str">
            <v>01</v>
          </cell>
          <cell r="AF1996">
            <v>10</v>
          </cell>
          <cell r="AG1996" t="str">
            <v>ADET</v>
          </cell>
          <cell r="AH1996">
            <v>529.1</v>
          </cell>
          <cell r="AI1996" t="str">
            <v>CNY</v>
          </cell>
          <cell r="AL1996">
            <v>1</v>
          </cell>
          <cell r="AM1996" t="str">
            <v>8684127518048</v>
          </cell>
          <cell r="AO1996">
            <v>0</v>
          </cell>
          <cell r="AQ1996">
            <v>35</v>
          </cell>
          <cell r="AR1996" t="str">
            <v>CM</v>
          </cell>
          <cell r="AS1996">
            <v>35</v>
          </cell>
          <cell r="AT1996" t="str">
            <v>CM</v>
          </cell>
          <cell r="AU1996">
            <v>0</v>
          </cell>
          <cell r="AW1996">
            <v>0</v>
          </cell>
        </row>
        <row r="1997">
          <cell r="B1997" t="str">
            <v>H1C6JMEBCO0-030</v>
          </cell>
          <cell r="C1997" t="str">
            <v>ARTEA TEKLİ OPAL AKRİLİK SARKIT 30CM</v>
          </cell>
          <cell r="D1997" t="str">
            <v>ARTEA SINGLE OPAL ACYRLIC PENDANT 30CM</v>
          </cell>
          <cell r="E1997" t="str">
            <v>METAL AKRİLİK ESKİTME OPAL</v>
          </cell>
          <cell r="F1997" t="str">
            <v/>
          </cell>
          <cell r="G1997" t="str">
            <v>AVİZE</v>
          </cell>
          <cell r="H1997" t="str">
            <v/>
          </cell>
          <cell r="I1997" t="str">
            <v>İÇ</v>
          </cell>
          <cell r="J1997" t="str">
            <v>AVİZE.SARK</v>
          </cell>
          <cell r="K1997" t="str">
            <v>ARTEA</v>
          </cell>
          <cell r="L1997" t="str">
            <v/>
          </cell>
          <cell r="M1997" t="str">
            <v/>
          </cell>
          <cell r="N1997" t="str">
            <v>HKA-25171</v>
          </cell>
          <cell r="O1997" t="str">
            <v>HEKA</v>
          </cell>
          <cell r="P1997" t="str">
            <v>ADET</v>
          </cell>
          <cell r="Q1997" t="str">
            <v>LED</v>
          </cell>
          <cell r="R1997" t="str">
            <v>METAL</v>
          </cell>
          <cell r="S1997" t="str">
            <v>ESKİTME</v>
          </cell>
          <cell r="T1997" t="str">
            <v>AKRİLİK</v>
          </cell>
          <cell r="U1997" t="str">
            <v>OPAL</v>
          </cell>
          <cell r="Z1997" t="str">
            <v xml:space="preserve">2700 K </v>
          </cell>
          <cell r="AA1997" t="str">
            <v>DIMMSIZ</v>
          </cell>
          <cell r="AE1997" t="str">
            <v>01</v>
          </cell>
          <cell r="AF1997">
            <v>75</v>
          </cell>
          <cell r="AG1997" t="str">
            <v>ADET</v>
          </cell>
          <cell r="AH1997">
            <v>145.5</v>
          </cell>
          <cell r="AI1997" t="str">
            <v>CNY</v>
          </cell>
          <cell r="AL1997">
            <v>1</v>
          </cell>
          <cell r="AM1997" t="str">
            <v>8684127518116</v>
          </cell>
          <cell r="AO1997">
            <v>0</v>
          </cell>
          <cell r="AQ1997">
            <v>30</v>
          </cell>
          <cell r="AR1997" t="str">
            <v>CM</v>
          </cell>
          <cell r="AS1997">
            <v>30</v>
          </cell>
          <cell r="AT1997" t="str">
            <v>CM</v>
          </cell>
          <cell r="AU1997">
            <v>0</v>
          </cell>
          <cell r="AW1997">
            <v>0</v>
          </cell>
        </row>
        <row r="1998">
          <cell r="B1998" t="str">
            <v>H1P6JMEBCO0-040</v>
          </cell>
          <cell r="C1998" t="str">
            <v>ARTEA TEKLİ OPAL AKRİLİK PLAFONYER 40CM</v>
          </cell>
          <cell r="D1998" t="str">
            <v>ARTEA SINGLE OPAL ACYRLIC PLAFONIER 40CM</v>
          </cell>
          <cell r="E1998" t="str">
            <v>METAL AKRİLİK ESKİTME OPAL</v>
          </cell>
          <cell r="F1998" t="str">
            <v/>
          </cell>
          <cell r="G1998" t="str">
            <v>AVİZE</v>
          </cell>
          <cell r="H1998" t="str">
            <v/>
          </cell>
          <cell r="I1998" t="str">
            <v>İÇ</v>
          </cell>
          <cell r="J1998" t="str">
            <v>PLAFONYER</v>
          </cell>
          <cell r="K1998" t="str">
            <v>ARTEA</v>
          </cell>
          <cell r="L1998" t="str">
            <v/>
          </cell>
          <cell r="M1998" t="str">
            <v/>
          </cell>
          <cell r="N1998" t="str">
            <v>HKA-25173</v>
          </cell>
          <cell r="O1998" t="str">
            <v>HEKA</v>
          </cell>
          <cell r="P1998" t="str">
            <v>ADET</v>
          </cell>
          <cell r="Q1998" t="str">
            <v>LED</v>
          </cell>
          <cell r="R1998" t="str">
            <v>METAL</v>
          </cell>
          <cell r="S1998" t="str">
            <v>ESKİTME</v>
          </cell>
          <cell r="T1998" t="str">
            <v>AKRİLİK</v>
          </cell>
          <cell r="U1998" t="str">
            <v>OPAL</v>
          </cell>
          <cell r="Z1998" t="str">
            <v xml:space="preserve">2700 K </v>
          </cell>
          <cell r="AA1998" t="str">
            <v>DIMMSIZ</v>
          </cell>
          <cell r="AE1998" t="str">
            <v>01</v>
          </cell>
          <cell r="AF1998">
            <v>25</v>
          </cell>
          <cell r="AG1998" t="str">
            <v>ADET</v>
          </cell>
          <cell r="AH1998">
            <v>202.73</v>
          </cell>
          <cell r="AI1998" t="str">
            <v>CNY</v>
          </cell>
          <cell r="AL1998">
            <v>1</v>
          </cell>
          <cell r="AM1998" t="str">
            <v>8684127518130</v>
          </cell>
          <cell r="AO1998">
            <v>0</v>
          </cell>
          <cell r="AQ1998">
            <v>40</v>
          </cell>
          <cell r="AR1998" t="str">
            <v>CM</v>
          </cell>
          <cell r="AS1998">
            <v>40</v>
          </cell>
          <cell r="AT1998" t="str">
            <v>CM</v>
          </cell>
          <cell r="AU1998">
            <v>0</v>
          </cell>
          <cell r="AW1998">
            <v>0</v>
          </cell>
        </row>
        <row r="1999">
          <cell r="B1999" t="str">
            <v>H1F6WRSJME0-165</v>
          </cell>
          <cell r="C1999" t="str">
            <v xml:space="preserve">HUGGER MERMER ESKİTME LAMBADER </v>
          </cell>
          <cell r="D1999" t="str">
            <v>HUGGER MARBLE BRUSHED BRASS FLOOR LAMP</v>
          </cell>
          <cell r="E1999" t="str">
            <v>MERMER METAL SİYAH ESKİTME</v>
          </cell>
          <cell r="F1999" t="str">
            <v/>
          </cell>
          <cell r="G1999" t="str">
            <v>LAMBADER</v>
          </cell>
          <cell r="H1999" t="str">
            <v/>
          </cell>
          <cell r="I1999" t="str">
            <v>İÇ</v>
          </cell>
          <cell r="J1999" t="str">
            <v>LAMBADER</v>
          </cell>
          <cell r="K1999" t="str">
            <v>HUGGER</v>
          </cell>
          <cell r="L1999" t="str">
            <v/>
          </cell>
          <cell r="M1999" t="str">
            <v/>
          </cell>
          <cell r="N1999" t="str">
            <v>HKA-25195</v>
          </cell>
          <cell r="O1999" t="str">
            <v>HEKA</v>
          </cell>
          <cell r="P1999" t="str">
            <v>ADET</v>
          </cell>
          <cell r="Q1999" t="str">
            <v>LED</v>
          </cell>
          <cell r="R1999" t="str">
            <v>MERMER</v>
          </cell>
          <cell r="S1999" t="str">
            <v>SİYAH</v>
          </cell>
          <cell r="T1999" t="str">
            <v>METAL</v>
          </cell>
          <cell r="U1999" t="str">
            <v>ESKİTME</v>
          </cell>
          <cell r="Z1999" t="str">
            <v>3000 K</v>
          </cell>
          <cell r="AA1999" t="str">
            <v>DIMMSIZ</v>
          </cell>
          <cell r="AE1999" t="str">
            <v>01</v>
          </cell>
          <cell r="AF1999">
            <v>6</v>
          </cell>
          <cell r="AG1999" t="str">
            <v>ADET</v>
          </cell>
          <cell r="AH1999">
            <v>1302.4000000000001</v>
          </cell>
          <cell r="AI1999" t="str">
            <v>CNY</v>
          </cell>
          <cell r="AL1999">
            <v>1</v>
          </cell>
          <cell r="AM1999" t="str">
            <v>8684127518383</v>
          </cell>
          <cell r="AO1999">
            <v>0</v>
          </cell>
          <cell r="AQ1999">
            <v>165</v>
          </cell>
          <cell r="AR1999" t="str">
            <v>CM</v>
          </cell>
          <cell r="AS1999">
            <v>0</v>
          </cell>
          <cell r="AU1999">
            <v>0</v>
          </cell>
          <cell r="AW1999">
            <v>0</v>
          </cell>
        </row>
        <row r="2000">
          <cell r="B2000" t="str">
            <v>H1C6JRSERF0-020</v>
          </cell>
          <cell r="C2000" t="str">
            <v>MODİNA FÜME CAMLI SİYAH SARKIT 20CM</v>
          </cell>
          <cell r="D2000" t="str">
            <v>MODİNA LIGHT SMOKY GLASS BLACK PENDANT 20CM</v>
          </cell>
          <cell r="E2000" t="str">
            <v>METAL CAM SİYAH FÜME</v>
          </cell>
          <cell r="F2000" t="str">
            <v/>
          </cell>
          <cell r="G2000" t="str">
            <v>AVİZE</v>
          </cell>
          <cell r="H2000" t="str">
            <v/>
          </cell>
          <cell r="I2000" t="str">
            <v>İÇ</v>
          </cell>
          <cell r="J2000" t="str">
            <v>AVİZE.SARK</v>
          </cell>
          <cell r="K2000" t="str">
            <v>MODİNA</v>
          </cell>
          <cell r="L2000" t="str">
            <v/>
          </cell>
          <cell r="M2000" t="str">
            <v/>
          </cell>
          <cell r="N2000" t="str">
            <v>HKA-25197</v>
          </cell>
          <cell r="O2000" t="str">
            <v>HEKA</v>
          </cell>
          <cell r="P2000" t="str">
            <v>ADET</v>
          </cell>
          <cell r="Q2000" t="str">
            <v>LED</v>
          </cell>
          <cell r="R2000" t="str">
            <v>METAL</v>
          </cell>
          <cell r="S2000" t="str">
            <v>SİYAH</v>
          </cell>
          <cell r="T2000" t="str">
            <v>CAM</v>
          </cell>
          <cell r="U2000" t="str">
            <v>FÜME</v>
          </cell>
          <cell r="AA2000" t="str">
            <v>DIMMSIZ</v>
          </cell>
          <cell r="AE2000" t="str">
            <v>01</v>
          </cell>
          <cell r="AF2000">
            <v>200</v>
          </cell>
          <cell r="AG2000" t="str">
            <v>ADET</v>
          </cell>
          <cell r="AH2000">
            <v>83</v>
          </cell>
          <cell r="AI2000" t="str">
            <v>CNY</v>
          </cell>
          <cell r="AL2000">
            <v>1</v>
          </cell>
          <cell r="AM2000" t="str">
            <v>8684127518406</v>
          </cell>
          <cell r="AO2000">
            <v>0</v>
          </cell>
          <cell r="AQ2000">
            <v>20</v>
          </cell>
          <cell r="AR2000" t="str">
            <v>CM</v>
          </cell>
          <cell r="AS2000">
            <v>20</v>
          </cell>
          <cell r="AT2000" t="str">
            <v>CM</v>
          </cell>
          <cell r="AU2000">
            <v>0</v>
          </cell>
          <cell r="AW2000">
            <v>0</v>
          </cell>
        </row>
        <row r="2001">
          <cell r="B2001" t="str">
            <v>H1F6JMEWRFP-165</v>
          </cell>
          <cell r="C2001" t="str">
            <v>ANVERS BEYAZ MERMER ESKİTME LAMBADER</v>
          </cell>
          <cell r="D2001" t="str">
            <v>ANVERS WHITE MARBLE BRUSHED BRASS FLOOR LAMP</v>
          </cell>
          <cell r="E2001" t="str">
            <v>METAL MERMER ESKİTME BEYAZ</v>
          </cell>
          <cell r="F2001" t="str">
            <v/>
          </cell>
          <cell r="G2001" t="str">
            <v>LAMBADER</v>
          </cell>
          <cell r="H2001" t="str">
            <v/>
          </cell>
          <cell r="I2001" t="str">
            <v>İÇ</v>
          </cell>
          <cell r="J2001" t="str">
            <v>LAMBADER</v>
          </cell>
          <cell r="K2001" t="str">
            <v>ANVERS</v>
          </cell>
          <cell r="L2001" t="str">
            <v/>
          </cell>
          <cell r="M2001" t="str">
            <v/>
          </cell>
          <cell r="N2001" t="str">
            <v>HKA-25204</v>
          </cell>
          <cell r="O2001" t="str">
            <v>HEKA</v>
          </cell>
          <cell r="P2001" t="str">
            <v>ADET</v>
          </cell>
          <cell r="Q2001" t="str">
            <v>LED</v>
          </cell>
          <cell r="R2001" t="str">
            <v>METAL</v>
          </cell>
          <cell r="S2001" t="str">
            <v>ESKİTME</v>
          </cell>
          <cell r="T2001" t="str">
            <v>MERMER</v>
          </cell>
          <cell r="U2001" t="str">
            <v>BEYAZ</v>
          </cell>
          <cell r="AA2001" t="str">
            <v>DIMMSIZ</v>
          </cell>
          <cell r="AD2001" t="str">
            <v>POLİGONAL</v>
          </cell>
          <cell r="AE2001" t="str">
            <v>01</v>
          </cell>
          <cell r="AF2001">
            <v>10</v>
          </cell>
          <cell r="AG2001" t="str">
            <v>ADET</v>
          </cell>
          <cell r="AH2001">
            <v>612</v>
          </cell>
          <cell r="AI2001" t="str">
            <v>CNY</v>
          </cell>
          <cell r="AL2001">
            <v>0</v>
          </cell>
          <cell r="AM2001" t="str">
            <v>8684127518475</v>
          </cell>
          <cell r="AO2001">
            <v>0</v>
          </cell>
          <cell r="AQ2001">
            <v>0</v>
          </cell>
          <cell r="AS2001">
            <v>30</v>
          </cell>
          <cell r="AT2001" t="str">
            <v>CM</v>
          </cell>
          <cell r="AU2001">
            <v>0</v>
          </cell>
          <cell r="AW2001">
            <v>0</v>
          </cell>
        </row>
        <row r="2002">
          <cell r="B2002" t="str">
            <v>H1T6JMEWRF0-042</v>
          </cell>
          <cell r="C2002" t="str">
            <v>TETA BEYAZ MERMERLİ ESKİTME MASA LAMBASI</v>
          </cell>
          <cell r="D2002" t="str">
            <v>TETA WHITE MARBLE BRUSHED BRASS TABLE LAMP</v>
          </cell>
          <cell r="E2002" t="str">
            <v>METAL MERMER ESKİTME BEYAZ</v>
          </cell>
          <cell r="F2002" t="str">
            <v/>
          </cell>
          <cell r="G2002" t="str">
            <v>MASA LAMBASI</v>
          </cell>
          <cell r="H2002" t="str">
            <v/>
          </cell>
          <cell r="I2002" t="str">
            <v>İÇ</v>
          </cell>
          <cell r="J2002" t="str">
            <v>MASAABAJ</v>
          </cell>
          <cell r="K2002" t="str">
            <v>TETA</v>
          </cell>
          <cell r="L2002" t="str">
            <v/>
          </cell>
          <cell r="M2002" t="str">
            <v/>
          </cell>
          <cell r="N2002" t="str">
            <v>HKA-25206</v>
          </cell>
          <cell r="O2002" t="str">
            <v>HEKA</v>
          </cell>
          <cell r="P2002" t="str">
            <v>ADET</v>
          </cell>
          <cell r="Q2002" t="str">
            <v>LED</v>
          </cell>
          <cell r="R2002" t="str">
            <v>METAL</v>
          </cell>
          <cell r="S2002" t="str">
            <v>ESKİTME</v>
          </cell>
          <cell r="T2002" t="str">
            <v>MERMER</v>
          </cell>
          <cell r="U2002" t="str">
            <v>BEYAZ</v>
          </cell>
          <cell r="AA2002" t="str">
            <v>DIMMSIZ</v>
          </cell>
          <cell r="AE2002" t="str">
            <v>01</v>
          </cell>
          <cell r="AF2002">
            <v>10</v>
          </cell>
          <cell r="AG2002" t="str">
            <v>ADET</v>
          </cell>
          <cell r="AH2002">
            <v>702</v>
          </cell>
          <cell r="AI2002" t="str">
            <v>CNY</v>
          </cell>
          <cell r="AL2002">
            <v>0</v>
          </cell>
          <cell r="AM2002" t="str">
            <v>8684127518499</v>
          </cell>
          <cell r="AO2002">
            <v>0</v>
          </cell>
          <cell r="AQ2002">
            <v>0</v>
          </cell>
          <cell r="AS2002">
            <v>15</v>
          </cell>
          <cell r="AT2002" t="str">
            <v>CM</v>
          </cell>
          <cell r="AU2002">
            <v>0</v>
          </cell>
          <cell r="AW2002">
            <v>0</v>
          </cell>
        </row>
        <row r="2003">
          <cell r="B2003" t="str">
            <v>H1C2JMEERFR-070</v>
          </cell>
          <cell r="C2003" t="str">
            <v>GALATA SALON AVİZESİ 10 LU</v>
          </cell>
          <cell r="D2003" t="str">
            <v>GALATA LIVING ROOM CHANDELIER 10 BULB</v>
          </cell>
          <cell r="E2003" t="str">
            <v>METAL CAM ESKİTME FÜME</v>
          </cell>
          <cell r="F2003" t="str">
            <v/>
          </cell>
          <cell r="G2003" t="str">
            <v>AVİZE</v>
          </cell>
          <cell r="H2003" t="str">
            <v/>
          </cell>
          <cell r="I2003" t="str">
            <v/>
          </cell>
          <cell r="J2003" t="str">
            <v>AVİZE</v>
          </cell>
          <cell r="K2003" t="str">
            <v>GALATA</v>
          </cell>
          <cell r="L2003" t="str">
            <v/>
          </cell>
          <cell r="M2003" t="str">
            <v/>
          </cell>
          <cell r="N2003" t="str">
            <v>HKA-25222</v>
          </cell>
          <cell r="O2003" t="str">
            <v>HEKA</v>
          </cell>
          <cell r="P2003" t="str">
            <v>ADET</v>
          </cell>
          <cell r="Q2003" t="str">
            <v>E27</v>
          </cell>
          <cell r="R2003" t="str">
            <v>METAL</v>
          </cell>
          <cell r="S2003" t="str">
            <v>ESKİTME</v>
          </cell>
          <cell r="T2003" t="str">
            <v>CAM</v>
          </cell>
          <cell r="U2003" t="str">
            <v>FÜME</v>
          </cell>
          <cell r="AD2003" t="str">
            <v>DAİRE</v>
          </cell>
          <cell r="AE2003" t="str">
            <v>10</v>
          </cell>
          <cell r="AF2003">
            <v>0</v>
          </cell>
          <cell r="AG2003" t="str">
            <v>ADET</v>
          </cell>
          <cell r="AJ2003">
            <v>95666</v>
          </cell>
          <cell r="AK2003" t="str">
            <v>TL</v>
          </cell>
          <cell r="AL2003">
            <v>0</v>
          </cell>
          <cell r="AM2003" t="str">
            <v>8684127518536</v>
          </cell>
          <cell r="AO2003">
            <v>0</v>
          </cell>
          <cell r="AQ2003">
            <v>70</v>
          </cell>
          <cell r="AR2003" t="str">
            <v>CM</v>
          </cell>
          <cell r="AS2003">
            <v>70</v>
          </cell>
          <cell r="AT2003" t="str">
            <v>CM</v>
          </cell>
          <cell r="AU2003">
            <v>0</v>
          </cell>
          <cell r="AW2003">
            <v>0</v>
          </cell>
        </row>
        <row r="2004">
          <cell r="B2004" t="str">
            <v>3YCVGCS0004-006</v>
          </cell>
          <cell r="C2004" t="str">
            <v>ŞEFFAF CAM METEOR TAŞ 6CM</v>
          </cell>
          <cell r="D2004" t="str">
            <v>TRANSPARENT GLASS METEOR STONE 6CM</v>
          </cell>
          <cell r="E2004" t="str">
            <v>CAM YOK ŞEFFAF YOK</v>
          </cell>
          <cell r="F2004" t="str">
            <v/>
          </cell>
          <cell r="G2004" t="str">
            <v>ZPARCA</v>
          </cell>
          <cell r="H2004" t="str">
            <v/>
          </cell>
          <cell r="I2004" t="str">
            <v>İÇ</v>
          </cell>
          <cell r="J2004" t="str">
            <v>ZPARCA</v>
          </cell>
          <cell r="K2004" t="str">
            <v>HEKA</v>
          </cell>
          <cell r="L2004" t="str">
            <v/>
          </cell>
          <cell r="M2004" t="str">
            <v/>
          </cell>
          <cell r="N2004" t="str">
            <v>HKA-250003</v>
          </cell>
          <cell r="O2004" t="str">
            <v>HEKA</v>
          </cell>
          <cell r="P2004" t="str">
            <v>ADET</v>
          </cell>
          <cell r="R2004" t="str">
            <v>CAM</v>
          </cell>
          <cell r="S2004" t="str">
            <v>ŞEFFAF</v>
          </cell>
          <cell r="T2004" t="str">
            <v>YOK</v>
          </cell>
          <cell r="U2004" t="str">
            <v>YOK</v>
          </cell>
          <cell r="AF2004">
            <v>500</v>
          </cell>
          <cell r="AG2004" t="str">
            <v>ADET</v>
          </cell>
          <cell r="AH2004">
            <v>1.3</v>
          </cell>
          <cell r="AI2004" t="str">
            <v>CNY</v>
          </cell>
          <cell r="AJ2004">
            <v>85</v>
          </cell>
          <cell r="AK2004" t="str">
            <v>TL</v>
          </cell>
          <cell r="AL2004">
            <v>0</v>
          </cell>
          <cell r="AO2004">
            <v>0</v>
          </cell>
          <cell r="AQ2004">
            <v>6</v>
          </cell>
          <cell r="AR2004" t="str">
            <v>CM</v>
          </cell>
          <cell r="AS2004">
            <v>6</v>
          </cell>
          <cell r="AT2004" t="str">
            <v>CM</v>
          </cell>
          <cell r="AU2004">
            <v>0</v>
          </cell>
          <cell r="AW2004">
            <v>0</v>
          </cell>
        </row>
        <row r="2005">
          <cell r="B2005" t="str">
            <v>3YCVGRL0004-006</v>
          </cell>
          <cell r="C2005" t="str">
            <v>BAL CAM METEOR TAŞ 6CM</v>
          </cell>
          <cell r="D2005" t="str">
            <v>AMBER GLASS METEOR STONE 6CM</v>
          </cell>
          <cell r="E2005" t="str">
            <v>CAM YOK BAL YOK</v>
          </cell>
          <cell r="F2005" t="str">
            <v/>
          </cell>
          <cell r="G2005" t="str">
            <v>ZPARCA</v>
          </cell>
          <cell r="H2005" t="str">
            <v/>
          </cell>
          <cell r="I2005" t="str">
            <v>İÇ</v>
          </cell>
          <cell r="J2005" t="str">
            <v>ZPARCA</v>
          </cell>
          <cell r="K2005" t="str">
            <v>HEKA</v>
          </cell>
          <cell r="L2005" t="str">
            <v/>
          </cell>
          <cell r="M2005" t="str">
            <v/>
          </cell>
          <cell r="N2005" t="str">
            <v>HKA-250005</v>
          </cell>
          <cell r="O2005" t="str">
            <v>HEKA</v>
          </cell>
          <cell r="P2005" t="str">
            <v>ADET</v>
          </cell>
          <cell r="R2005" t="str">
            <v>CAM</v>
          </cell>
          <cell r="S2005" t="str">
            <v>BAL</v>
          </cell>
          <cell r="T2005" t="str">
            <v>YOK</v>
          </cell>
          <cell r="U2005" t="str">
            <v>YOK</v>
          </cell>
          <cell r="AF2005">
            <v>500</v>
          </cell>
          <cell r="AG2005" t="str">
            <v>ADET</v>
          </cell>
          <cell r="AH2005">
            <v>1.4</v>
          </cell>
          <cell r="AI2005" t="str">
            <v>CNY</v>
          </cell>
          <cell r="AJ2005">
            <v>85</v>
          </cell>
          <cell r="AK2005" t="str">
            <v>TL</v>
          </cell>
          <cell r="AL2005">
            <v>0</v>
          </cell>
          <cell r="AO2005">
            <v>0</v>
          </cell>
          <cell r="AQ2005">
            <v>6</v>
          </cell>
          <cell r="AR2005" t="str">
            <v>CM</v>
          </cell>
          <cell r="AS2005">
            <v>6</v>
          </cell>
          <cell r="AT2005" t="str">
            <v>CM</v>
          </cell>
          <cell r="AU2005">
            <v>0</v>
          </cell>
          <cell r="AW2005">
            <v>0</v>
          </cell>
        </row>
        <row r="2006">
          <cell r="B2006" t="str">
            <v>3YCEGCS0004-025</v>
          </cell>
          <cell r="C2006" t="str">
            <v>ŞEFFAF BÜKÜMLÜ DAMLA AVİZE CAMI 25CM</v>
          </cell>
          <cell r="D2006" t="str">
            <v>TRANSPARENT TWİSTED DROP PENDANT GLASS 25CM</v>
          </cell>
          <cell r="E2006" t="str">
            <v>CAM YOK ŞEFFAF YOK</v>
          </cell>
          <cell r="F2006" t="str">
            <v/>
          </cell>
          <cell r="G2006" t="str">
            <v>ZPARCA</v>
          </cell>
          <cell r="H2006" t="str">
            <v/>
          </cell>
          <cell r="I2006" t="str">
            <v>İÇ</v>
          </cell>
          <cell r="J2006" t="str">
            <v>ZPARCA</v>
          </cell>
          <cell r="K2006" t="str">
            <v>HEKA</v>
          </cell>
          <cell r="L2006" t="str">
            <v/>
          </cell>
          <cell r="M2006" t="str">
            <v/>
          </cell>
          <cell r="N2006" t="str">
            <v>HKA-250051</v>
          </cell>
          <cell r="O2006" t="str">
            <v>HEKA</v>
          </cell>
          <cell r="P2006" t="str">
            <v>ADET</v>
          </cell>
          <cell r="R2006" t="str">
            <v>CAM</v>
          </cell>
          <cell r="S2006" t="str">
            <v>ŞEFFAF</v>
          </cell>
          <cell r="T2006" t="str">
            <v>YOK</v>
          </cell>
          <cell r="U2006" t="str">
            <v>YOK</v>
          </cell>
          <cell r="AF2006">
            <v>300</v>
          </cell>
          <cell r="AG2006" t="str">
            <v>ADET</v>
          </cell>
          <cell r="AH2006">
            <v>5</v>
          </cell>
          <cell r="AI2006" t="str">
            <v>CNY</v>
          </cell>
          <cell r="AJ2006">
            <v>445</v>
          </cell>
          <cell r="AK2006" t="str">
            <v>TL</v>
          </cell>
          <cell r="AL2006">
            <v>0</v>
          </cell>
          <cell r="AO2006">
            <v>0</v>
          </cell>
          <cell r="AQ2006">
            <v>0</v>
          </cell>
          <cell r="AS2006">
            <v>6</v>
          </cell>
          <cell r="AT2006" t="str">
            <v>CM</v>
          </cell>
          <cell r="AU2006">
            <v>0</v>
          </cell>
          <cell r="AW2006">
            <v>0</v>
          </cell>
        </row>
        <row r="2007">
          <cell r="B2007" t="str">
            <v>3YCEGMG0004-020</v>
          </cell>
          <cell r="C2007" t="str">
            <v>GOLD DAMLA FORMLU AVİZE CAMI 20CM</v>
          </cell>
          <cell r="D2007" t="str">
            <v>GOLD  TEARDROP PENDANT GLASS 20CM</v>
          </cell>
          <cell r="E2007" t="str">
            <v>CAM YOK GOLD YOK</v>
          </cell>
          <cell r="F2007" t="str">
            <v/>
          </cell>
          <cell r="G2007" t="str">
            <v>ZPARCA</v>
          </cell>
          <cell r="H2007" t="str">
            <v/>
          </cell>
          <cell r="I2007" t="str">
            <v>İÇ</v>
          </cell>
          <cell r="J2007" t="str">
            <v>ZPARCA</v>
          </cell>
          <cell r="K2007" t="str">
            <v>HEKA</v>
          </cell>
          <cell r="L2007" t="str">
            <v/>
          </cell>
          <cell r="M2007" t="str">
            <v/>
          </cell>
          <cell r="N2007" t="str">
            <v>HKA-250053</v>
          </cell>
          <cell r="O2007" t="str">
            <v>HEKA</v>
          </cell>
          <cell r="P2007" t="str">
            <v>ADET</v>
          </cell>
          <cell r="R2007" t="str">
            <v>CAM</v>
          </cell>
          <cell r="S2007" t="str">
            <v>GOLD</v>
          </cell>
          <cell r="T2007" t="str">
            <v>YOK</v>
          </cell>
          <cell r="U2007" t="str">
            <v>YOK</v>
          </cell>
          <cell r="AF2007">
            <v>200</v>
          </cell>
          <cell r="AG2007" t="str">
            <v>ADET</v>
          </cell>
          <cell r="AH2007">
            <v>15</v>
          </cell>
          <cell r="AI2007" t="str">
            <v>CNY</v>
          </cell>
          <cell r="AJ2007">
            <v>750</v>
          </cell>
          <cell r="AK2007" t="str">
            <v>TL</v>
          </cell>
          <cell r="AL2007">
            <v>0</v>
          </cell>
          <cell r="AO2007">
            <v>0</v>
          </cell>
          <cell r="AQ2007">
            <v>0</v>
          </cell>
          <cell r="AS2007">
            <v>8</v>
          </cell>
          <cell r="AT2007" t="str">
            <v>CM</v>
          </cell>
          <cell r="AU2007">
            <v>0</v>
          </cell>
          <cell r="AW2007">
            <v>0</v>
          </cell>
        </row>
        <row r="2008">
          <cell r="B2008" t="str">
            <v>H1C2JMEECSR-180</v>
          </cell>
          <cell r="C2008" t="str">
            <v>SATURN ŞEFFAF CAM ESKİTME YEMEK MASASI AVİZE 180cm</v>
          </cell>
          <cell r="D2008" t="str">
            <v>SATURN CLEAR GLASS BRUSHED BRASS DINNING TABLE CHANDELIER 180cm</v>
          </cell>
          <cell r="E2008" t="str">
            <v>METAL CAM ESKİTME ŞEFFAF</v>
          </cell>
          <cell r="F2008" t="str">
            <v/>
          </cell>
          <cell r="G2008" t="str">
            <v>AVİZE</v>
          </cell>
          <cell r="H2008" t="str">
            <v/>
          </cell>
          <cell r="I2008" t="str">
            <v>İÇ</v>
          </cell>
          <cell r="J2008" t="str">
            <v>AVİZE.SARK</v>
          </cell>
          <cell r="K2008" t="str">
            <v>SATURN</v>
          </cell>
          <cell r="L2008" t="str">
            <v/>
          </cell>
          <cell r="M2008" t="str">
            <v/>
          </cell>
          <cell r="N2008" t="str">
            <v>HKA-25225</v>
          </cell>
          <cell r="O2008" t="str">
            <v>HEKA</v>
          </cell>
          <cell r="P2008" t="str">
            <v>ADET</v>
          </cell>
          <cell r="Q2008" t="str">
            <v>E27</v>
          </cell>
          <cell r="R2008" t="str">
            <v>METAL</v>
          </cell>
          <cell r="S2008" t="str">
            <v>ESKİTME</v>
          </cell>
          <cell r="T2008" t="str">
            <v>CAM</v>
          </cell>
          <cell r="U2008" t="str">
            <v>ŞEFFAF</v>
          </cell>
          <cell r="AD2008" t="str">
            <v>DAİRE</v>
          </cell>
          <cell r="AF2008">
            <v>0</v>
          </cell>
          <cell r="AG2008" t="str">
            <v>ADET</v>
          </cell>
          <cell r="AJ2008">
            <v>100000</v>
          </cell>
          <cell r="AK2008" t="str">
            <v>TL</v>
          </cell>
          <cell r="AL2008">
            <v>0</v>
          </cell>
          <cell r="AO2008">
            <v>0</v>
          </cell>
          <cell r="AQ2008">
            <v>0</v>
          </cell>
          <cell r="AS2008">
            <v>180</v>
          </cell>
          <cell r="AU2008">
            <v>0</v>
          </cell>
          <cell r="AW2008">
            <v>0</v>
          </cell>
        </row>
        <row r="2009">
          <cell r="B2009" t="str">
            <v>H1W6JMEBCST-049</v>
          </cell>
          <cell r="C2009" t="str">
            <v>SOFYA TEKLİ AKRİLİK ESKİTME APLİK 49cm</v>
          </cell>
          <cell r="D2009" t="str">
            <v>SOFYA SINGLE ACRYLIC BRUSHED BRASS WALL LAMP 49cm</v>
          </cell>
          <cell r="E2009" t="str">
            <v>METAL AKRiLİK ESKİTME ŞEFFAF</v>
          </cell>
          <cell r="F2009" t="str">
            <v/>
          </cell>
          <cell r="G2009" t="str">
            <v>APLİK</v>
          </cell>
          <cell r="H2009" t="str">
            <v/>
          </cell>
          <cell r="I2009" t="str">
            <v>İÇ</v>
          </cell>
          <cell r="J2009" t="str">
            <v/>
          </cell>
          <cell r="K2009" t="str">
            <v>SOFYA</v>
          </cell>
          <cell r="L2009" t="str">
            <v/>
          </cell>
          <cell r="M2009" t="str">
            <v>30.03.2026</v>
          </cell>
          <cell r="N2009" t="str">
            <v>HKA-25226</v>
          </cell>
          <cell r="O2009" t="str">
            <v>HEKA</v>
          </cell>
          <cell r="P2009" t="str">
            <v>ADET</v>
          </cell>
          <cell r="Q2009" t="str">
            <v>LED</v>
          </cell>
          <cell r="R2009" t="str">
            <v>METAL</v>
          </cell>
          <cell r="S2009" t="str">
            <v>ESKİTME</v>
          </cell>
          <cell r="T2009" t="str">
            <v>AKRİLİK</v>
          </cell>
          <cell r="U2009" t="str">
            <v>ŞEFFAF</v>
          </cell>
          <cell r="AD2009" t="str">
            <v>TIRTIKLI</v>
          </cell>
          <cell r="AF2009">
            <v>0</v>
          </cell>
          <cell r="AG2009" t="str">
            <v>ADET</v>
          </cell>
          <cell r="AL2009">
            <v>0</v>
          </cell>
          <cell r="AM2009" t="str">
            <v>8684127518581</v>
          </cell>
          <cell r="AO2009">
            <v>0</v>
          </cell>
          <cell r="AQ2009">
            <v>0</v>
          </cell>
          <cell r="AS2009">
            <v>0</v>
          </cell>
          <cell r="AU2009">
            <v>0</v>
          </cell>
          <cell r="AW2009">
            <v>0</v>
          </cell>
        </row>
        <row r="2010">
          <cell r="B2010" t="str">
            <v>ATYYYREJRS0-060</v>
          </cell>
          <cell r="C2010" t="str">
            <v>LUMA TABLO 60x80 cm</v>
          </cell>
          <cell r="D2010" t="str">
            <v xml:space="preserve">LUMA TABLE 60x80 cm </v>
          </cell>
          <cell r="E2010" t="str">
            <v>POLYESTER METAL RESİM SİYAH</v>
          </cell>
          <cell r="F2010" t="str">
            <v/>
          </cell>
          <cell r="G2010" t="str">
            <v>AKSESUAR</v>
          </cell>
          <cell r="H2010" t="str">
            <v/>
          </cell>
          <cell r="I2010" t="str">
            <v>İÇ</v>
          </cell>
          <cell r="J2010" t="str">
            <v>AKSESUAR</v>
          </cell>
          <cell r="K2010" t="str">
            <v>LUMA</v>
          </cell>
          <cell r="L2010" t="str">
            <v/>
          </cell>
          <cell r="M2010" t="str">
            <v/>
          </cell>
          <cell r="N2010" t="str">
            <v>HKM-250002</v>
          </cell>
          <cell r="O2010" t="str">
            <v>HEKA</v>
          </cell>
          <cell r="P2010" t="str">
            <v>ADET</v>
          </cell>
          <cell r="R2010" t="str">
            <v>POLYESTER</v>
          </cell>
          <cell r="S2010" t="str">
            <v xml:space="preserve">RESİM </v>
          </cell>
          <cell r="T2010" t="str">
            <v>METAL</v>
          </cell>
          <cell r="U2010" t="str">
            <v>SİYAH</v>
          </cell>
          <cell r="AF2010">
            <v>8</v>
          </cell>
          <cell r="AG2010" t="str">
            <v>ADET</v>
          </cell>
          <cell r="AH2010">
            <v>150</v>
          </cell>
          <cell r="AI2010" t="str">
            <v>CNY</v>
          </cell>
          <cell r="AJ2010">
            <v>4950</v>
          </cell>
          <cell r="AK2010" t="str">
            <v>TL</v>
          </cell>
          <cell r="AL2010">
            <v>1</v>
          </cell>
          <cell r="AO2010">
            <v>0</v>
          </cell>
          <cell r="AQ2010">
            <v>0</v>
          </cell>
          <cell r="AS2010">
            <v>0</v>
          </cell>
          <cell r="AU2010">
            <v>0</v>
          </cell>
          <cell r="AW2010">
            <v>0</v>
          </cell>
        </row>
        <row r="2011">
          <cell r="B2011" t="str">
            <v>AVYHECB0005-019</v>
          </cell>
          <cell r="C2011" t="str">
            <v>YEŞİL BUZLU DEGRADE CAM VAZO 19x31CM</v>
          </cell>
          <cell r="D2011" t="str">
            <v>GREEN FROSTED DEGRADE GLASS VASE 19x31CM</v>
          </cell>
          <cell r="E2011" t="str">
            <v>CAM  YOK BUZLU YOK</v>
          </cell>
          <cell r="F2011" t="str">
            <v/>
          </cell>
          <cell r="G2011" t="str">
            <v>AKSESUAR</v>
          </cell>
          <cell r="H2011" t="str">
            <v/>
          </cell>
          <cell r="I2011" t="str">
            <v>İÇ</v>
          </cell>
          <cell r="J2011" t="str">
            <v>AKSESUAR</v>
          </cell>
          <cell r="K2011" t="str">
            <v>HEKA</v>
          </cell>
          <cell r="L2011" t="str">
            <v/>
          </cell>
          <cell r="M2011" t="str">
            <v/>
          </cell>
          <cell r="N2011" t="str">
            <v>HKA-250011</v>
          </cell>
          <cell r="O2011" t="str">
            <v>HEKA</v>
          </cell>
          <cell r="P2011" t="str">
            <v>ADET</v>
          </cell>
          <cell r="R2011" t="str">
            <v>CAM</v>
          </cell>
          <cell r="S2011" t="str">
            <v>BUZLU</v>
          </cell>
          <cell r="T2011" t="str">
            <v>YOK</v>
          </cell>
          <cell r="U2011" t="str">
            <v>YOK</v>
          </cell>
          <cell r="AD2011" t="str">
            <v>VAZO</v>
          </cell>
          <cell r="AF2011">
            <v>0</v>
          </cell>
          <cell r="AG2011" t="str">
            <v>ADET</v>
          </cell>
          <cell r="AH2011">
            <v>1739</v>
          </cell>
          <cell r="AI2011" t="str">
            <v>TL</v>
          </cell>
          <cell r="AJ2011">
            <v>4173.6000000000004</v>
          </cell>
          <cell r="AK2011" t="str">
            <v>TL</v>
          </cell>
          <cell r="AL2011">
            <v>1</v>
          </cell>
          <cell r="AO2011">
            <v>0</v>
          </cell>
          <cell r="AQ2011">
            <v>19</v>
          </cell>
          <cell r="AR2011" t="str">
            <v>CM</v>
          </cell>
          <cell r="AS2011">
            <v>19</v>
          </cell>
          <cell r="AT2011" t="str">
            <v>CM</v>
          </cell>
          <cell r="AU2011">
            <v>0</v>
          </cell>
          <cell r="AW2011">
            <v>0</v>
          </cell>
        </row>
        <row r="2012">
          <cell r="B2012" t="str">
            <v>AVYHECB0005-017</v>
          </cell>
          <cell r="C2012" t="str">
            <v>YEŞİL BUZLU DEGRADE CAM VAZO 17x28CM</v>
          </cell>
          <cell r="D2012" t="str">
            <v>GREEN FROSTED DEGRADE GLASS VASE 17x28CM</v>
          </cell>
          <cell r="E2012" t="str">
            <v>CAM  YOK BUZLU YOK</v>
          </cell>
          <cell r="F2012" t="str">
            <v/>
          </cell>
          <cell r="G2012" t="str">
            <v>AKSESUAR</v>
          </cell>
          <cell r="H2012" t="str">
            <v/>
          </cell>
          <cell r="I2012" t="str">
            <v>İÇ</v>
          </cell>
          <cell r="J2012" t="str">
            <v>AKSESUAR</v>
          </cell>
          <cell r="K2012" t="str">
            <v>HEKA</v>
          </cell>
          <cell r="L2012" t="str">
            <v/>
          </cell>
          <cell r="M2012" t="str">
            <v/>
          </cell>
          <cell r="N2012" t="str">
            <v>HKA-250012</v>
          </cell>
          <cell r="O2012" t="str">
            <v>HEKA</v>
          </cell>
          <cell r="P2012" t="str">
            <v>ADET</v>
          </cell>
          <cell r="R2012" t="str">
            <v>CAM</v>
          </cell>
          <cell r="S2012" t="str">
            <v>BUZLU</v>
          </cell>
          <cell r="T2012" t="str">
            <v>YOK</v>
          </cell>
          <cell r="AD2012" t="str">
            <v>VAZO</v>
          </cell>
          <cell r="AF2012">
            <v>0</v>
          </cell>
          <cell r="AG2012" t="str">
            <v>ADET</v>
          </cell>
          <cell r="AH2012">
            <v>1489</v>
          </cell>
          <cell r="AI2012" t="str">
            <v>TL</v>
          </cell>
          <cell r="AJ2012">
            <v>3573.6</v>
          </cell>
          <cell r="AK2012" t="str">
            <v>TL</v>
          </cell>
          <cell r="AL2012">
            <v>1</v>
          </cell>
          <cell r="AO2012">
            <v>0</v>
          </cell>
          <cell r="AQ2012">
            <v>17</v>
          </cell>
          <cell r="AR2012" t="str">
            <v>CM</v>
          </cell>
          <cell r="AS2012">
            <v>17</v>
          </cell>
          <cell r="AT2012" t="str">
            <v>CM</v>
          </cell>
          <cell r="AU2012">
            <v>0</v>
          </cell>
          <cell r="AW2012">
            <v>0</v>
          </cell>
        </row>
        <row r="2013">
          <cell r="B2013" t="str">
            <v>ADYHJRTJMK0-040</v>
          </cell>
          <cell r="C2013" t="str">
            <v>TURUNCU-KROM  GRAMOFON -  MİNİ MÜZİK ÇALAR</v>
          </cell>
          <cell r="D2013" t="str">
            <v>ORANGE-CHROMIUM GRAMOPHONE - MINI MUSIC PLAYER</v>
          </cell>
          <cell r="E2013" t="str">
            <v>METAL METAL TURUNCU KROM</v>
          </cell>
          <cell r="F2013" t="str">
            <v/>
          </cell>
          <cell r="G2013" t="str">
            <v>AKSESUAR</v>
          </cell>
          <cell r="H2013" t="str">
            <v/>
          </cell>
          <cell r="I2013" t="str">
            <v>İÇ</v>
          </cell>
          <cell r="J2013" t="str">
            <v>AKSESUAR</v>
          </cell>
          <cell r="K2013" t="str">
            <v>HEKA</v>
          </cell>
          <cell r="L2013" t="str">
            <v/>
          </cell>
          <cell r="M2013" t="str">
            <v/>
          </cell>
          <cell r="N2013" t="str">
            <v>HKA-250029</v>
          </cell>
          <cell r="O2013" t="str">
            <v>HEKA</v>
          </cell>
          <cell r="P2013" t="str">
            <v>ADET</v>
          </cell>
          <cell r="R2013" t="str">
            <v>METAL</v>
          </cell>
          <cell r="S2013" t="str">
            <v>TURUNCU</v>
          </cell>
          <cell r="T2013" t="str">
            <v>METAL</v>
          </cell>
          <cell r="U2013" t="str">
            <v>KROM</v>
          </cell>
          <cell r="AF2013">
            <v>0</v>
          </cell>
          <cell r="AG2013" t="str">
            <v>ADET</v>
          </cell>
          <cell r="AH2013">
            <v>350</v>
          </cell>
          <cell r="AI2013" t="str">
            <v>CNY</v>
          </cell>
          <cell r="AJ2013">
            <v>14950</v>
          </cell>
          <cell r="AK2013" t="str">
            <v>TL</v>
          </cell>
          <cell r="AL2013">
            <v>1</v>
          </cell>
          <cell r="AO2013">
            <v>0</v>
          </cell>
          <cell r="AQ2013">
            <v>24</v>
          </cell>
          <cell r="AS2013">
            <v>18</v>
          </cell>
          <cell r="AU2013">
            <v>0</v>
          </cell>
          <cell r="AW2013">
            <v>0</v>
          </cell>
        </row>
        <row r="2014">
          <cell r="B2014" t="str">
            <v>H1W6JMELRBH-048</v>
          </cell>
          <cell r="C2014" t="str">
            <v>CARTE ESKİTME LED APLİK 48cm</v>
          </cell>
          <cell r="D2014" t="str">
            <v>CARTE BRUSHED BRASS  LED WALL LAMP 48cm</v>
          </cell>
          <cell r="E2014" t="str">
            <v>METAL PLEKSİ ESKİTME BEYAZ</v>
          </cell>
          <cell r="F2014" t="str">
            <v/>
          </cell>
          <cell r="G2014" t="str">
            <v>APLİK</v>
          </cell>
          <cell r="H2014" t="str">
            <v/>
          </cell>
          <cell r="I2014" t="str">
            <v>İÇ</v>
          </cell>
          <cell r="J2014" t="str">
            <v>APLİK</v>
          </cell>
          <cell r="K2014" t="str">
            <v>CARTE</v>
          </cell>
          <cell r="L2014" t="str">
            <v/>
          </cell>
          <cell r="M2014" t="str">
            <v/>
          </cell>
          <cell r="N2014" t="str">
            <v>HKA-25051</v>
          </cell>
          <cell r="O2014" t="str">
            <v>HEKA</v>
          </cell>
          <cell r="P2014" t="str">
            <v>ADET</v>
          </cell>
          <cell r="Q2014" t="str">
            <v>LED</v>
          </cell>
          <cell r="R2014" t="str">
            <v>METAL</v>
          </cell>
          <cell r="S2014" t="str">
            <v>ESKİTME</v>
          </cell>
          <cell r="T2014" t="str">
            <v>PLEKSİ</v>
          </cell>
          <cell r="U2014" t="str">
            <v>BEYAZ</v>
          </cell>
          <cell r="Y2014" t="str">
            <v>12 WATT</v>
          </cell>
          <cell r="AA2014" t="str">
            <v>DIMMSIZ</v>
          </cell>
          <cell r="AD2014" t="str">
            <v>HAREKETLİ</v>
          </cell>
          <cell r="AE2014" t="str">
            <v>01</v>
          </cell>
          <cell r="AF2014">
            <v>100</v>
          </cell>
          <cell r="AG2014" t="str">
            <v>ADET</v>
          </cell>
          <cell r="AH2014">
            <v>58.2</v>
          </cell>
          <cell r="AI2014" t="str">
            <v>CNY</v>
          </cell>
          <cell r="AL2014">
            <v>1</v>
          </cell>
          <cell r="AM2014" t="str">
            <v>8684127516785</v>
          </cell>
          <cell r="AO2014">
            <v>0</v>
          </cell>
          <cell r="AQ2014">
            <v>0</v>
          </cell>
          <cell r="AS2014">
            <v>0</v>
          </cell>
          <cell r="AU2014">
            <v>0</v>
          </cell>
          <cell r="AW2014">
            <v>0</v>
          </cell>
        </row>
        <row r="2015">
          <cell r="B2015" t="str">
            <v>H1W6JME000H-062</v>
          </cell>
          <cell r="C2015" t="str">
            <v>NATE  ESKİTME LED APLİK 62CM</v>
          </cell>
          <cell r="D2015" t="str">
            <v>NATE BRUSHED BRASS LED WALL LAMP 62CM</v>
          </cell>
          <cell r="E2015" t="str">
            <v>METAL YOK ESKİTME YOK</v>
          </cell>
          <cell r="F2015" t="str">
            <v/>
          </cell>
          <cell r="G2015" t="str">
            <v>APLİK</v>
          </cell>
          <cell r="H2015" t="str">
            <v/>
          </cell>
          <cell r="I2015" t="str">
            <v>İÇ</v>
          </cell>
          <cell r="J2015" t="str">
            <v>APLİK</v>
          </cell>
          <cell r="K2015" t="str">
            <v>NATE</v>
          </cell>
          <cell r="L2015" t="str">
            <v/>
          </cell>
          <cell r="M2015" t="str">
            <v/>
          </cell>
          <cell r="N2015" t="str">
            <v>HKA-25054</v>
          </cell>
          <cell r="O2015" t="str">
            <v>HEKA</v>
          </cell>
          <cell r="P2015" t="str">
            <v>ADET</v>
          </cell>
          <cell r="Q2015" t="str">
            <v>LED</v>
          </cell>
          <cell r="R2015" t="str">
            <v>METAL</v>
          </cell>
          <cell r="S2015" t="str">
            <v>ESKİTME</v>
          </cell>
          <cell r="T2015" t="str">
            <v>YOK</v>
          </cell>
          <cell r="U2015" t="str">
            <v>YOK</v>
          </cell>
          <cell r="Z2015" t="str">
            <v>3000 K</v>
          </cell>
          <cell r="AA2015" t="str">
            <v>DIMMSIZ</v>
          </cell>
          <cell r="AD2015" t="str">
            <v>HAREKETLİ</v>
          </cell>
          <cell r="AE2015" t="str">
            <v>01</v>
          </cell>
          <cell r="AF2015">
            <v>50</v>
          </cell>
          <cell r="AG2015" t="str">
            <v>ADET</v>
          </cell>
          <cell r="AH2015">
            <v>101.85</v>
          </cell>
          <cell r="AI2015" t="str">
            <v>CNY</v>
          </cell>
          <cell r="AL2015">
            <v>1</v>
          </cell>
          <cell r="AM2015" t="str">
            <v>8684127516815</v>
          </cell>
          <cell r="AO2015">
            <v>0</v>
          </cell>
          <cell r="AQ2015">
            <v>0</v>
          </cell>
          <cell r="AS2015">
            <v>0</v>
          </cell>
          <cell r="AU2015">
            <v>0</v>
          </cell>
          <cell r="AW2015">
            <v>0</v>
          </cell>
        </row>
        <row r="2016">
          <cell r="B2016" t="str">
            <v>H1W3KMKECSV-100</v>
          </cell>
          <cell r="C2016" t="str">
            <v>LUCETTA ŞEFFAF KRİSTAL KROM APLİK 100CM</v>
          </cell>
          <cell r="D2016" t="str">
            <v>LUCETTA CLEAR CRYSTAL CHROME WALL LAMP 100CM</v>
          </cell>
          <cell r="E2016" t="str">
            <v>PASLANMAZ CAM KROM ŞEFFAF</v>
          </cell>
          <cell r="F2016" t="str">
            <v/>
          </cell>
          <cell r="G2016" t="str">
            <v>APLİK</v>
          </cell>
          <cell r="H2016" t="str">
            <v/>
          </cell>
          <cell r="I2016" t="str">
            <v>İÇ</v>
          </cell>
          <cell r="J2016" t="str">
            <v>APLİK</v>
          </cell>
          <cell r="K2016" t="str">
            <v>LUCETTA</v>
          </cell>
          <cell r="L2016" t="str">
            <v/>
          </cell>
          <cell r="M2016" t="str">
            <v/>
          </cell>
          <cell r="N2016" t="str">
            <v>HKA-25068</v>
          </cell>
          <cell r="O2016" t="str">
            <v>HEKA</v>
          </cell>
          <cell r="P2016" t="str">
            <v>ADET</v>
          </cell>
          <cell r="Q2016" t="str">
            <v>G9</v>
          </cell>
          <cell r="R2016" t="str">
            <v>PASLANMAZ</v>
          </cell>
          <cell r="S2016" t="str">
            <v>KROM</v>
          </cell>
          <cell r="T2016" t="str">
            <v>CAM</v>
          </cell>
          <cell r="U2016" t="str">
            <v>ŞEFFAF</v>
          </cell>
          <cell r="AD2016" t="str">
            <v>YAMUK</v>
          </cell>
          <cell r="AE2016" t="str">
            <v>04</v>
          </cell>
          <cell r="AF2016">
            <v>10</v>
          </cell>
          <cell r="AG2016" t="str">
            <v>ADET</v>
          </cell>
          <cell r="AH2016">
            <v>396</v>
          </cell>
          <cell r="AI2016" t="str">
            <v>CNY</v>
          </cell>
          <cell r="AL2016">
            <v>1</v>
          </cell>
          <cell r="AM2016" t="str">
            <v>8684127516952</v>
          </cell>
          <cell r="AO2016">
            <v>0</v>
          </cell>
          <cell r="AQ2016">
            <v>12</v>
          </cell>
          <cell r="AS2016">
            <v>10.5</v>
          </cell>
          <cell r="AU2016">
            <v>0</v>
          </cell>
          <cell r="AW2016">
            <v>0</v>
          </cell>
        </row>
        <row r="2017">
          <cell r="B2017" t="str">
            <v>H1C1KMKECSV-085</v>
          </cell>
          <cell r="C2017" t="str">
            <v>LUCETTA ŞEFFAF KRİSTAL KROM SALON AVİZE</v>
          </cell>
          <cell r="D2017" t="str">
            <v>LUCETTA CLEAR CRYSTAL CHROME LIVING ROOM CHANDELIER</v>
          </cell>
          <cell r="E2017" t="str">
            <v>PASLANMAZ CAM KROM ŞEFFAF</v>
          </cell>
          <cell r="F2017" t="str">
            <v/>
          </cell>
          <cell r="G2017" t="str">
            <v>AVİZE</v>
          </cell>
          <cell r="H2017" t="str">
            <v/>
          </cell>
          <cell r="I2017" t="str">
            <v>İÇ</v>
          </cell>
          <cell r="J2017" t="str">
            <v>AVİZE</v>
          </cell>
          <cell r="K2017" t="str">
            <v>LUCETTA</v>
          </cell>
          <cell r="L2017" t="str">
            <v/>
          </cell>
          <cell r="M2017" t="str">
            <v/>
          </cell>
          <cell r="N2017" t="str">
            <v>HKA-25069</v>
          </cell>
          <cell r="O2017" t="str">
            <v>HEKA</v>
          </cell>
          <cell r="P2017" t="str">
            <v>ADET</v>
          </cell>
          <cell r="Q2017" t="str">
            <v>E14</v>
          </cell>
          <cell r="R2017" t="str">
            <v>PASLANMAZ</v>
          </cell>
          <cell r="S2017" t="str">
            <v>KROM</v>
          </cell>
          <cell r="T2017" t="str">
            <v>CAM</v>
          </cell>
          <cell r="U2017" t="str">
            <v>ŞEFFAF</v>
          </cell>
          <cell r="AD2017" t="str">
            <v>YAMUK</v>
          </cell>
          <cell r="AE2017" t="str">
            <v>08</v>
          </cell>
          <cell r="AF2017">
            <v>6</v>
          </cell>
          <cell r="AG2017" t="str">
            <v>ADET</v>
          </cell>
          <cell r="AH2017">
            <v>2596</v>
          </cell>
          <cell r="AI2017" t="str">
            <v>CNY</v>
          </cell>
          <cell r="AL2017">
            <v>1</v>
          </cell>
          <cell r="AM2017" t="str">
            <v>8684127516969</v>
          </cell>
          <cell r="AO2017">
            <v>0</v>
          </cell>
          <cell r="AQ2017">
            <v>85</v>
          </cell>
          <cell r="AS2017">
            <v>85</v>
          </cell>
          <cell r="AU2017">
            <v>0</v>
          </cell>
          <cell r="AW2017">
            <v>0</v>
          </cell>
        </row>
        <row r="2018">
          <cell r="B2018" t="str">
            <v>H1P6CANBRBR-040</v>
          </cell>
          <cell r="C2018" t="str">
            <v>PETRA MAT NİKEL ALUMİNYUM PLAFONYER 40CM</v>
          </cell>
          <cell r="D2018" t="str">
            <v>PETRA MATTE NICKEL ALUMINUM PLAFONIER 40CM</v>
          </cell>
          <cell r="E2018" t="str">
            <v>ALUMİNYUM AKRiLİK MAT NİKEL BEYAZ</v>
          </cell>
          <cell r="F2018" t="str">
            <v/>
          </cell>
          <cell r="G2018" t="str">
            <v>AVİZE</v>
          </cell>
          <cell r="H2018" t="str">
            <v/>
          </cell>
          <cell r="I2018" t="str">
            <v>İÇ</v>
          </cell>
          <cell r="J2018" t="str">
            <v>AVİZE.PLF</v>
          </cell>
          <cell r="K2018" t="str">
            <v>PETRA</v>
          </cell>
          <cell r="L2018" t="str">
            <v/>
          </cell>
          <cell r="M2018" t="str">
            <v/>
          </cell>
          <cell r="N2018" t="str">
            <v>HKA-25098</v>
          </cell>
          <cell r="O2018" t="str">
            <v>HEKA</v>
          </cell>
          <cell r="P2018" t="str">
            <v>ADET</v>
          </cell>
          <cell r="Q2018" t="str">
            <v>LED</v>
          </cell>
          <cell r="R2018" t="str">
            <v>ALUMİNYUM</v>
          </cell>
          <cell r="S2018" t="str">
            <v>MAT NİKEL</v>
          </cell>
          <cell r="T2018" t="str">
            <v>AKRİLİK</v>
          </cell>
          <cell r="U2018" t="str">
            <v>BEYAZ</v>
          </cell>
          <cell r="AA2018" t="str">
            <v>DIMMSIZ</v>
          </cell>
          <cell r="AD2018" t="str">
            <v>DAİRE</v>
          </cell>
          <cell r="AE2018" t="str">
            <v>01</v>
          </cell>
          <cell r="AF2018">
            <v>10</v>
          </cell>
          <cell r="AG2018" t="str">
            <v>ADET</v>
          </cell>
          <cell r="AH2018">
            <v>312</v>
          </cell>
          <cell r="AI2018" t="str">
            <v>CNY</v>
          </cell>
          <cell r="AL2018">
            <v>1</v>
          </cell>
          <cell r="AM2018" t="str">
            <v>8684127517126</v>
          </cell>
          <cell r="AO2018">
            <v>0</v>
          </cell>
          <cell r="AQ2018">
            <v>40</v>
          </cell>
          <cell r="AR2018" t="str">
            <v>CM</v>
          </cell>
          <cell r="AS2018">
            <v>40</v>
          </cell>
          <cell r="AT2018" t="str">
            <v>CM</v>
          </cell>
          <cell r="AU2018">
            <v>0</v>
          </cell>
          <cell r="AW2018">
            <v>0</v>
          </cell>
        </row>
        <row r="2019">
          <cell r="B2019" t="str">
            <v>H1C6CANBRBD-129</v>
          </cell>
          <cell r="C2019" t="str">
            <v>STELLA MAT NİKEL ALUMİNYUM Y.MASASI AVİZE</v>
          </cell>
          <cell r="D2019" t="str">
            <v>STELLA MATTE NICKEL ALUMINUM DINNING ROOM CHANDELIER</v>
          </cell>
          <cell r="E2019" t="str">
            <v>ALUMİNYUM AKRiLİK MAT NİKEL BEYAZ</v>
          </cell>
          <cell r="F2019" t="str">
            <v/>
          </cell>
          <cell r="G2019" t="str">
            <v>AVİZE</v>
          </cell>
          <cell r="H2019" t="str">
            <v/>
          </cell>
          <cell r="I2019" t="str">
            <v>İÇ</v>
          </cell>
          <cell r="J2019" t="str">
            <v>AVİZE</v>
          </cell>
          <cell r="K2019" t="str">
            <v>STELLA</v>
          </cell>
          <cell r="L2019" t="str">
            <v/>
          </cell>
          <cell r="M2019" t="str">
            <v/>
          </cell>
          <cell r="N2019" t="str">
            <v>HKA-25099</v>
          </cell>
          <cell r="O2019" t="str">
            <v>HEKA</v>
          </cell>
          <cell r="P2019" t="str">
            <v>ADET</v>
          </cell>
          <cell r="Q2019" t="str">
            <v>LED</v>
          </cell>
          <cell r="R2019" t="str">
            <v>ALUMİNYUM</v>
          </cell>
          <cell r="S2019" t="str">
            <v>MAT NİKEL</v>
          </cell>
          <cell r="T2019" t="str">
            <v>AKRİLİK</v>
          </cell>
          <cell r="U2019" t="str">
            <v>BEYAZ</v>
          </cell>
          <cell r="AA2019" t="str">
            <v>DIMMSIZ</v>
          </cell>
          <cell r="AD2019" t="str">
            <v>DİKDÖRTGEN</v>
          </cell>
          <cell r="AE2019" t="str">
            <v>01</v>
          </cell>
          <cell r="AF2019">
            <v>25</v>
          </cell>
          <cell r="AG2019" t="str">
            <v>ADET</v>
          </cell>
          <cell r="AH2019">
            <v>880</v>
          </cell>
          <cell r="AI2019" t="str">
            <v>CNY</v>
          </cell>
          <cell r="AL2019">
            <v>1</v>
          </cell>
          <cell r="AM2019" t="str">
            <v>8684127518277</v>
          </cell>
          <cell r="AO2019">
            <v>0</v>
          </cell>
          <cell r="AQ2019">
            <v>11</v>
          </cell>
          <cell r="AS2019">
            <v>129</v>
          </cell>
          <cell r="AU2019">
            <v>0</v>
          </cell>
          <cell r="AW2019">
            <v>0</v>
          </cell>
        </row>
        <row r="2020">
          <cell r="B2020" t="str">
            <v>H1S6CME000P-010</v>
          </cell>
          <cell r="C2020" t="str">
            <v>FEDORA ESKİTME DÜZ SPOT 10x10 CM</v>
          </cell>
          <cell r="D2020" t="str">
            <v>FEDORA BRUSHED BRASS PLAIN SPOTLIGHT 10x10 CM</v>
          </cell>
          <cell r="E2020" t="str">
            <v>ALUMİNYUM YOK ESKİTME YOK</v>
          </cell>
          <cell r="F2020" t="str">
            <v/>
          </cell>
          <cell r="G2020" t="str">
            <v>OKUMA APLİKLERİ</v>
          </cell>
          <cell r="H2020" t="str">
            <v/>
          </cell>
          <cell r="I2020" t="str">
            <v/>
          </cell>
          <cell r="J2020" t="str">
            <v>OKUMA APLİ</v>
          </cell>
          <cell r="K2020" t="str">
            <v>FEDORA</v>
          </cell>
          <cell r="L2020" t="str">
            <v>Y</v>
          </cell>
          <cell r="M2020" t="str">
            <v/>
          </cell>
          <cell r="N2020" t="str">
            <v>HKA-25167</v>
          </cell>
          <cell r="O2020" t="str">
            <v>HEKA</v>
          </cell>
          <cell r="P2020" t="str">
            <v>ADET</v>
          </cell>
          <cell r="Q2020" t="str">
            <v>LED</v>
          </cell>
          <cell r="R2020" t="str">
            <v>ALUMİNYUM</v>
          </cell>
          <cell r="S2020" t="str">
            <v>ESKİTME</v>
          </cell>
          <cell r="T2020" t="str">
            <v>YOK</v>
          </cell>
          <cell r="U2020" t="str">
            <v>YOK</v>
          </cell>
          <cell r="Z2020" t="str">
            <v>3000 K</v>
          </cell>
          <cell r="AA2020" t="str">
            <v>DIMMSIZ</v>
          </cell>
          <cell r="AE2020" t="str">
            <v>01</v>
          </cell>
          <cell r="AF2020">
            <v>370</v>
          </cell>
          <cell r="AG2020" t="str">
            <v>ADET</v>
          </cell>
          <cell r="AH2020">
            <v>32.979999999999997</v>
          </cell>
          <cell r="AI2020" t="str">
            <v>CNY</v>
          </cell>
          <cell r="AJ2020">
            <v>67</v>
          </cell>
          <cell r="AK2020" t="str">
            <v>USD</v>
          </cell>
          <cell r="AL2020">
            <v>1</v>
          </cell>
          <cell r="AM2020" t="str">
            <v>8684127517256</v>
          </cell>
          <cell r="AO2020">
            <v>0</v>
          </cell>
          <cell r="AQ2020">
            <v>3.3</v>
          </cell>
          <cell r="AR2020" t="str">
            <v>CM</v>
          </cell>
          <cell r="AS2020">
            <v>9.5</v>
          </cell>
          <cell r="AT2020" t="str">
            <v>CM</v>
          </cell>
          <cell r="AU2020">
            <v>0</v>
          </cell>
          <cell r="AW2020">
            <v>0</v>
          </cell>
        </row>
        <row r="2021">
          <cell r="B2021" t="str">
            <v>H1C6KRVWRFD-120</v>
          </cell>
          <cell r="C2021" t="str">
            <v>ENZO PASLANMAZ MERMER Y.MASASI AVİZE</v>
          </cell>
          <cell r="D2021" t="str">
            <v>ENZO STEEL MARBLE DINING ROOM CHANDELIER</v>
          </cell>
          <cell r="E2021" t="str">
            <v>PASLANMAZ MERMER KAHVERENGİ BEYAZ</v>
          </cell>
          <cell r="F2021" t="str">
            <v/>
          </cell>
          <cell r="G2021" t="str">
            <v>AVİZE</v>
          </cell>
          <cell r="H2021" t="str">
            <v/>
          </cell>
          <cell r="I2021" t="str">
            <v>İÇ</v>
          </cell>
          <cell r="J2021" t="str">
            <v>AVİZE</v>
          </cell>
          <cell r="K2021" t="str">
            <v>ENZO</v>
          </cell>
          <cell r="L2021" t="str">
            <v/>
          </cell>
          <cell r="M2021" t="str">
            <v/>
          </cell>
          <cell r="N2021" t="str">
            <v>HKA-25103</v>
          </cell>
          <cell r="O2021" t="str">
            <v>HEKA</v>
          </cell>
          <cell r="P2021" t="str">
            <v>ADET</v>
          </cell>
          <cell r="Q2021" t="str">
            <v>LED</v>
          </cell>
          <cell r="R2021" t="str">
            <v>PASLANMAZ</v>
          </cell>
          <cell r="S2021" t="str">
            <v>KAHVERENGİ</v>
          </cell>
          <cell r="T2021" t="str">
            <v>MERMER</v>
          </cell>
          <cell r="U2021" t="str">
            <v>BEYAZ</v>
          </cell>
          <cell r="AA2021" t="str">
            <v>DIMMSIZ</v>
          </cell>
          <cell r="AD2021" t="str">
            <v>DİKDÖRTGEN</v>
          </cell>
          <cell r="AE2021" t="str">
            <v>01</v>
          </cell>
          <cell r="AF2021">
            <v>30</v>
          </cell>
          <cell r="AG2021" t="str">
            <v>ADET</v>
          </cell>
          <cell r="AH2021">
            <v>1008.15</v>
          </cell>
          <cell r="AI2021" t="str">
            <v>CNY</v>
          </cell>
          <cell r="AL2021">
            <v>1</v>
          </cell>
          <cell r="AM2021" t="str">
            <v>8684127517294</v>
          </cell>
          <cell r="AO2021">
            <v>0</v>
          </cell>
          <cell r="AQ2021">
            <v>0</v>
          </cell>
          <cell r="AS2021">
            <v>120</v>
          </cell>
          <cell r="AT2021" t="str">
            <v>CM</v>
          </cell>
          <cell r="AU2021">
            <v>0</v>
          </cell>
          <cell r="AW2021">
            <v>0</v>
          </cell>
        </row>
        <row r="2022">
          <cell r="B2022" t="str">
            <v>H1C6JMEERL1-040</v>
          </cell>
          <cell r="C2022" t="str">
            <v>SKYLİNE TEKLİ BAL CAM SARKIT 40cm</v>
          </cell>
          <cell r="D2022" t="str">
            <v>SYKLINE SINGLE AMBER GLASS PENDANT 40cm</v>
          </cell>
          <cell r="E2022" t="str">
            <v>METAL CAM ESKİTME BAL</v>
          </cell>
          <cell r="F2022" t="str">
            <v/>
          </cell>
          <cell r="G2022" t="str">
            <v>AVİZE</v>
          </cell>
          <cell r="H2022" t="str">
            <v/>
          </cell>
          <cell r="I2022" t="str">
            <v>İÇ</v>
          </cell>
          <cell r="J2022" t="str">
            <v>AVİZE.SARK</v>
          </cell>
          <cell r="K2022" t="str">
            <v>SKYLİNE</v>
          </cell>
          <cell r="L2022" t="str">
            <v/>
          </cell>
          <cell r="M2022" t="str">
            <v>30.01.2026</v>
          </cell>
          <cell r="N2022" t="str">
            <v>HKA-25117</v>
          </cell>
          <cell r="O2022" t="str">
            <v>HEKA</v>
          </cell>
          <cell r="P2022" t="str">
            <v>ADET</v>
          </cell>
          <cell r="Q2022" t="str">
            <v>LED</v>
          </cell>
          <cell r="R2022" t="str">
            <v>METAL</v>
          </cell>
          <cell r="S2022" t="str">
            <v>ESKİTME</v>
          </cell>
          <cell r="T2022" t="str">
            <v>CAM</v>
          </cell>
          <cell r="U2022" t="str">
            <v>BAL</v>
          </cell>
          <cell r="AA2022" t="str">
            <v>DIMMSIZ</v>
          </cell>
          <cell r="AD2022" t="str">
            <v>TEKLİ</v>
          </cell>
          <cell r="AE2022" t="str">
            <v>01</v>
          </cell>
          <cell r="AF2022">
            <v>30</v>
          </cell>
          <cell r="AG2022" t="str">
            <v>ADET</v>
          </cell>
          <cell r="AH2022">
            <v>268</v>
          </cell>
          <cell r="AI2022" t="str">
            <v>CNY</v>
          </cell>
          <cell r="AL2022">
            <v>1</v>
          </cell>
          <cell r="AM2022" t="str">
            <v>8684127517430</v>
          </cell>
          <cell r="AO2022">
            <v>0</v>
          </cell>
          <cell r="AQ2022">
            <v>2</v>
          </cell>
          <cell r="AR2022" t="str">
            <v>CM</v>
          </cell>
          <cell r="AS2022">
            <v>40</v>
          </cell>
          <cell r="AT2022" t="str">
            <v>CM</v>
          </cell>
          <cell r="AU2022">
            <v>0</v>
          </cell>
          <cell r="AW2022">
            <v>0</v>
          </cell>
        </row>
        <row r="2023">
          <cell r="B2023" t="str">
            <v>3YCOGMG0004-015</v>
          </cell>
          <cell r="C2023" t="str">
            <v>GOLD OVAL AVİZE CAMI 15CM</v>
          </cell>
          <cell r="D2023" t="str">
            <v>GOLD OVAL PENDANT GLASS 15CM</v>
          </cell>
          <cell r="E2023" t="str">
            <v>CAM YOK GOLD YOK</v>
          </cell>
          <cell r="F2023" t="str">
            <v/>
          </cell>
          <cell r="G2023" t="str">
            <v>ZPARCA</v>
          </cell>
          <cell r="H2023" t="str">
            <v/>
          </cell>
          <cell r="I2023" t="str">
            <v>İÇ</v>
          </cell>
          <cell r="J2023" t="str">
            <v>ZPARCA</v>
          </cell>
          <cell r="K2023" t="str">
            <v/>
          </cell>
          <cell r="L2023" t="str">
            <v/>
          </cell>
          <cell r="M2023" t="str">
            <v/>
          </cell>
          <cell r="N2023" t="str">
            <v>HKA-250059</v>
          </cell>
          <cell r="O2023" t="str">
            <v>HEKA</v>
          </cell>
          <cell r="P2023" t="str">
            <v>ADET</v>
          </cell>
          <cell r="R2023" t="str">
            <v>CAM</v>
          </cell>
          <cell r="S2023" t="str">
            <v>GOLD</v>
          </cell>
          <cell r="T2023" t="str">
            <v>YOK</v>
          </cell>
          <cell r="U2023" t="str">
            <v>YOK</v>
          </cell>
          <cell r="AF2023">
            <v>500</v>
          </cell>
          <cell r="AG2023" t="str">
            <v>ADET</v>
          </cell>
          <cell r="AH2023">
            <v>13</v>
          </cell>
          <cell r="AI2023" t="str">
            <v>CNY</v>
          </cell>
          <cell r="AJ2023">
            <v>650</v>
          </cell>
          <cell r="AK2023" t="str">
            <v>TL</v>
          </cell>
          <cell r="AL2023">
            <v>0</v>
          </cell>
          <cell r="AO2023">
            <v>0</v>
          </cell>
          <cell r="AQ2023">
            <v>0</v>
          </cell>
          <cell r="AS2023">
            <v>0</v>
          </cell>
          <cell r="AU2023">
            <v>0</v>
          </cell>
          <cell r="AW2023">
            <v>0</v>
          </cell>
        </row>
        <row r="2024">
          <cell r="B2024" t="str">
            <v>H1C3ECTJMKY-017</v>
          </cell>
          <cell r="C2024" t="str">
            <v>HELSİNGÖR TEKLİ KABARCIKLI SOFT CAM KROM SARKIT</v>
          </cell>
          <cell r="D2024" t="str">
            <v>HELSİNGÖR SINGLE CLEAR  BUBBLY SOFT WHITE GLASS CHROME PENDANT</v>
          </cell>
          <cell r="E2024" t="str">
            <v>CAM METAL SOFT KROM</v>
          </cell>
          <cell r="F2024" t="str">
            <v/>
          </cell>
          <cell r="G2024" t="str">
            <v>AVİZE</v>
          </cell>
          <cell r="H2024" t="str">
            <v/>
          </cell>
          <cell r="I2024" t="str">
            <v>İÇ</v>
          </cell>
          <cell r="J2024" t="str">
            <v>AVİZE.SARK</v>
          </cell>
          <cell r="K2024" t="str">
            <v>HELSİNGÖR</v>
          </cell>
          <cell r="L2024" t="str">
            <v/>
          </cell>
          <cell r="M2024" t="str">
            <v>ÜRTM:3GÜN</v>
          </cell>
          <cell r="N2024" t="str">
            <v>HKA-25223</v>
          </cell>
          <cell r="O2024" t="str">
            <v>HEKA</v>
          </cell>
          <cell r="P2024" t="str">
            <v>ADET</v>
          </cell>
          <cell r="Q2024" t="str">
            <v>G9</v>
          </cell>
          <cell r="R2024" t="str">
            <v>CAM</v>
          </cell>
          <cell r="S2024" t="str">
            <v>SOFT</v>
          </cell>
          <cell r="T2024" t="str">
            <v>METAL</v>
          </cell>
          <cell r="U2024" t="str">
            <v>KROM</v>
          </cell>
          <cell r="AD2024" t="str">
            <v>KÜRE</v>
          </cell>
          <cell r="AE2024" t="str">
            <v>01</v>
          </cell>
          <cell r="AF2024">
            <v>0</v>
          </cell>
          <cell r="AG2024" t="str">
            <v>ADET</v>
          </cell>
          <cell r="AJ2024">
            <v>7540</v>
          </cell>
          <cell r="AK2024" t="str">
            <v>TL</v>
          </cell>
          <cell r="AL2024">
            <v>1</v>
          </cell>
          <cell r="AM2024" t="str">
            <v>8684127518543</v>
          </cell>
          <cell r="AO2024">
            <v>0</v>
          </cell>
          <cell r="AQ2024">
            <v>12</v>
          </cell>
          <cell r="AR2024" t="str">
            <v>CM</v>
          </cell>
          <cell r="AS2024">
            <v>12</v>
          </cell>
          <cell r="AT2024" t="str">
            <v>CM</v>
          </cell>
          <cell r="AU2024">
            <v>1.9</v>
          </cell>
          <cell r="AW2024">
            <v>0</v>
          </cell>
        </row>
        <row r="2025">
          <cell r="B2025" t="str">
            <v>ADYHMRVHRHB-080</v>
          </cell>
          <cell r="C2025" t="str">
            <v>YÜKSÜKOTU ANTİK YEŞİL ÇİÇEK 80CM</v>
          </cell>
          <cell r="D2025" t="str">
            <v>FOXGLOVE ANTIQUE GREEN FLOWER 80CM</v>
          </cell>
          <cell r="E2025" t="str">
            <v>POLİKARBON KUMAŞ KAHVERENGİ ANTİK YEŞİL</v>
          </cell>
          <cell r="F2025" t="str">
            <v/>
          </cell>
          <cell r="G2025" t="str">
            <v>AKSESUAR</v>
          </cell>
          <cell r="H2025" t="str">
            <v/>
          </cell>
          <cell r="I2025" t="str">
            <v>İÇ</v>
          </cell>
          <cell r="J2025" t="str">
            <v>AKSESUAR</v>
          </cell>
          <cell r="K2025" t="str">
            <v>HEKA</v>
          </cell>
          <cell r="L2025" t="str">
            <v/>
          </cell>
          <cell r="M2025" t="str">
            <v/>
          </cell>
          <cell r="N2025" t="str">
            <v>HKA-250065</v>
          </cell>
          <cell r="O2025" t="str">
            <v>HEKA</v>
          </cell>
          <cell r="P2025" t="str">
            <v>ADET</v>
          </cell>
          <cell r="R2025" t="str">
            <v>POLİKARBON</v>
          </cell>
          <cell r="S2025" t="str">
            <v>KAHVERENGİ</v>
          </cell>
          <cell r="T2025" t="str">
            <v>KUMAŞ</v>
          </cell>
          <cell r="U2025" t="str">
            <v>ANTİK YEŞİL</v>
          </cell>
          <cell r="AD2025" t="str">
            <v>BUKLE</v>
          </cell>
          <cell r="AF2025">
            <v>0</v>
          </cell>
          <cell r="AG2025" t="str">
            <v>ADET</v>
          </cell>
          <cell r="AH2025">
            <v>471.79500000000002</v>
          </cell>
          <cell r="AI2025" t="str">
            <v>TL</v>
          </cell>
          <cell r="AJ2025">
            <v>1132.308</v>
          </cell>
          <cell r="AK2025" t="str">
            <v>TL</v>
          </cell>
          <cell r="AL2025">
            <v>0</v>
          </cell>
          <cell r="AO2025">
            <v>0</v>
          </cell>
          <cell r="AQ2025">
            <v>8</v>
          </cell>
          <cell r="AR2025" t="str">
            <v>CM</v>
          </cell>
          <cell r="AS2025">
            <v>12</v>
          </cell>
          <cell r="AT2025" t="str">
            <v>CM</v>
          </cell>
          <cell r="AU2025">
            <v>0</v>
          </cell>
          <cell r="AW2025">
            <v>0</v>
          </cell>
        </row>
        <row r="2026">
          <cell r="B2026" t="str">
            <v>H1C6ERFJRS0-125</v>
          </cell>
          <cell r="C2026" t="str">
            <v>GAMBİA FÜME CAM SİYAH Y.MASASI AVİZE</v>
          </cell>
          <cell r="D2026" t="str">
            <v>GAMBİA LIGHT SMOKY GLASS BLACK DINNING ROOM CHANDELIER</v>
          </cell>
          <cell r="E2026" t="str">
            <v>CAM METAL FÜME SİYAH</v>
          </cell>
          <cell r="F2026" t="str">
            <v/>
          </cell>
          <cell r="G2026" t="str">
            <v>AVİZE</v>
          </cell>
          <cell r="H2026" t="str">
            <v/>
          </cell>
          <cell r="I2026" t="str">
            <v>İÇ</v>
          </cell>
          <cell r="J2026" t="str">
            <v/>
          </cell>
          <cell r="K2026" t="str">
            <v>GAMBİA</v>
          </cell>
          <cell r="L2026" t="str">
            <v/>
          </cell>
          <cell r="M2026" t="str">
            <v>30.01.2026</v>
          </cell>
          <cell r="N2026" t="str">
            <v>HKA-25242</v>
          </cell>
          <cell r="O2026" t="str">
            <v>HEKA</v>
          </cell>
          <cell r="P2026" t="str">
            <v>ADET</v>
          </cell>
          <cell r="Q2026" t="str">
            <v>LED</v>
          </cell>
          <cell r="R2026" t="str">
            <v>CAM</v>
          </cell>
          <cell r="S2026" t="str">
            <v>FÜME</v>
          </cell>
          <cell r="T2026" t="str">
            <v>METAL</v>
          </cell>
          <cell r="U2026" t="str">
            <v>SİYAH</v>
          </cell>
          <cell r="Z2026" t="str">
            <v xml:space="preserve">2700 K </v>
          </cell>
          <cell r="AF2026">
            <v>0</v>
          </cell>
          <cell r="AG2026" t="str">
            <v>ADET</v>
          </cell>
          <cell r="AH2026">
            <v>1896</v>
          </cell>
          <cell r="AI2026" t="str">
            <v>CNY</v>
          </cell>
          <cell r="AL2026">
            <v>0</v>
          </cell>
          <cell r="AM2026" t="str">
            <v>8684127518758</v>
          </cell>
          <cell r="AO2026">
            <v>0</v>
          </cell>
          <cell r="AQ2026">
            <v>0</v>
          </cell>
          <cell r="AS2026">
            <v>125</v>
          </cell>
          <cell r="AU2026">
            <v>0</v>
          </cell>
          <cell r="AW2026">
            <v>0</v>
          </cell>
        </row>
        <row r="2027">
          <cell r="B2027" t="str">
            <v>H1C2JMEERB1-030</v>
          </cell>
          <cell r="C2027" t="str">
            <v>CASTEL BEYAZ SATİNA CAM SARKIT 30cm</v>
          </cell>
          <cell r="D2027" t="str">
            <v>CASTEL WHITE SATINA GLASS PENDANT 30cm</v>
          </cell>
          <cell r="E2027" t="str">
            <v>METAL CAM ESKİTME BEYAZ</v>
          </cell>
          <cell r="F2027" t="str">
            <v/>
          </cell>
          <cell r="G2027" t="str">
            <v>AVİZE</v>
          </cell>
          <cell r="H2027" t="str">
            <v/>
          </cell>
          <cell r="I2027" t="str">
            <v>İÇ</v>
          </cell>
          <cell r="J2027" t="str">
            <v/>
          </cell>
          <cell r="K2027" t="str">
            <v>CASTEL</v>
          </cell>
          <cell r="L2027" t="str">
            <v/>
          </cell>
          <cell r="M2027" t="str">
            <v>30.01.2026</v>
          </cell>
          <cell r="N2027" t="str">
            <v>HKA-25244</v>
          </cell>
          <cell r="O2027" t="str">
            <v>HEKA</v>
          </cell>
          <cell r="P2027" t="str">
            <v>ADET</v>
          </cell>
          <cell r="Q2027" t="str">
            <v>E27</v>
          </cell>
          <cell r="R2027" t="str">
            <v>METAL</v>
          </cell>
          <cell r="S2027" t="str">
            <v>ESKİTME</v>
          </cell>
          <cell r="T2027" t="str">
            <v>CAM</v>
          </cell>
          <cell r="U2027" t="str">
            <v>BEYAZ</v>
          </cell>
          <cell r="AD2027" t="str">
            <v>TEKLİ</v>
          </cell>
          <cell r="AE2027" t="str">
            <v>01</v>
          </cell>
          <cell r="AF2027">
            <v>0</v>
          </cell>
          <cell r="AG2027" t="str">
            <v>ADET</v>
          </cell>
          <cell r="AH2027">
            <v>181.2</v>
          </cell>
          <cell r="AI2027" t="str">
            <v>CNY</v>
          </cell>
          <cell r="AL2027">
            <v>0</v>
          </cell>
          <cell r="AM2027" t="str">
            <v>8684127518772</v>
          </cell>
          <cell r="AO2027">
            <v>0</v>
          </cell>
          <cell r="AQ2027">
            <v>25</v>
          </cell>
          <cell r="AS2027">
            <v>25</v>
          </cell>
          <cell r="AU2027">
            <v>0</v>
          </cell>
          <cell r="AW2027">
            <v>0</v>
          </cell>
        </row>
        <row r="2028">
          <cell r="B2028" t="str">
            <v>H1W2JMEERV1-024</v>
          </cell>
          <cell r="C2028" t="str">
            <v>CASTEL KAHVERENGİ SATİNA CAM APLİK 24cm</v>
          </cell>
          <cell r="D2028" t="str">
            <v>CASTEL BROWN COLOR SATINA GLASS WALL LAMP 24cm</v>
          </cell>
          <cell r="E2028" t="str">
            <v>METAL CAM ESKİTME KAHVERENGİ</v>
          </cell>
          <cell r="F2028" t="str">
            <v/>
          </cell>
          <cell r="G2028" t="str">
            <v>APLİK</v>
          </cell>
          <cell r="H2028" t="str">
            <v/>
          </cell>
          <cell r="I2028" t="str">
            <v>İÇ</v>
          </cell>
          <cell r="J2028" t="str">
            <v/>
          </cell>
          <cell r="K2028" t="str">
            <v>CASTEL</v>
          </cell>
          <cell r="L2028" t="str">
            <v/>
          </cell>
          <cell r="M2028" t="str">
            <v>30.01.2026</v>
          </cell>
          <cell r="N2028" t="str">
            <v>HKA-25251</v>
          </cell>
          <cell r="O2028" t="str">
            <v>HEKA</v>
          </cell>
          <cell r="P2028" t="str">
            <v>ADET</v>
          </cell>
          <cell r="Q2028" t="str">
            <v>E27</v>
          </cell>
          <cell r="R2028" t="str">
            <v>METAL</v>
          </cell>
          <cell r="S2028" t="str">
            <v>ESKİTME</v>
          </cell>
          <cell r="T2028" t="str">
            <v>CAM</v>
          </cell>
          <cell r="U2028" t="str">
            <v>KAHVERENGİ</v>
          </cell>
          <cell r="AD2028" t="str">
            <v>TEKLİ</v>
          </cell>
          <cell r="AE2028" t="str">
            <v>01</v>
          </cell>
          <cell r="AF2028">
            <v>0</v>
          </cell>
          <cell r="AG2028" t="str">
            <v>ADET</v>
          </cell>
          <cell r="AH2028">
            <v>89.4</v>
          </cell>
          <cell r="AI2028" t="str">
            <v>CNY</v>
          </cell>
          <cell r="AL2028">
            <v>0</v>
          </cell>
          <cell r="AM2028" t="str">
            <v>8684127518840</v>
          </cell>
          <cell r="AO2028">
            <v>0</v>
          </cell>
          <cell r="AQ2028">
            <v>18</v>
          </cell>
          <cell r="AS2028">
            <v>18</v>
          </cell>
          <cell r="AU2028">
            <v>0</v>
          </cell>
          <cell r="AW2028">
            <v>0</v>
          </cell>
        </row>
        <row r="2029">
          <cell r="B2029" t="str">
            <v>MPHHZBJ000T-042</v>
          </cell>
          <cell r="C2029" t="str">
            <v>MİNERVA TEKLİ POLİÜRETAN ORTA SEHPA 42x52 cm</v>
          </cell>
          <cell r="D2029" t="str">
            <v>MINERVA SINGLE POLYURETHANE COFFEE TABLE 42x52 cm</v>
          </cell>
          <cell r="E2029" t="str">
            <v>POLİÜRETAN YOK BEJ YOK</v>
          </cell>
          <cell r="F2029" t="str">
            <v/>
          </cell>
          <cell r="G2029" t="str">
            <v>MOBİLYA</v>
          </cell>
          <cell r="H2029" t="str">
            <v/>
          </cell>
          <cell r="I2029" t="str">
            <v/>
          </cell>
          <cell r="J2029" t="str">
            <v/>
          </cell>
          <cell r="K2029" t="str">
            <v>MİNERVA</v>
          </cell>
          <cell r="L2029" t="str">
            <v/>
          </cell>
          <cell r="M2029" t="str">
            <v/>
          </cell>
          <cell r="N2029" t="str">
            <v>HKM-250006</v>
          </cell>
          <cell r="O2029" t="str">
            <v>HEKA</v>
          </cell>
          <cell r="P2029" t="str">
            <v>ADET</v>
          </cell>
          <cell r="R2029" t="str">
            <v>POLİÜRETAN</v>
          </cell>
          <cell r="S2029" t="str">
            <v>BEJ</v>
          </cell>
          <cell r="AD2029" t="str">
            <v>TEKLİ</v>
          </cell>
          <cell r="AF2029">
            <v>2</v>
          </cell>
          <cell r="AG2029" t="str">
            <v>ADET</v>
          </cell>
          <cell r="AL2029">
            <v>0</v>
          </cell>
          <cell r="AO2029">
            <v>0</v>
          </cell>
          <cell r="AQ2029">
            <v>42</v>
          </cell>
          <cell r="AR2029" t="str">
            <v>CM</v>
          </cell>
          <cell r="AS2029">
            <v>42</v>
          </cell>
          <cell r="AT2029" t="str">
            <v>CM</v>
          </cell>
          <cell r="AU2029">
            <v>0</v>
          </cell>
          <cell r="AW2029">
            <v>0</v>
          </cell>
        </row>
        <row r="2030">
          <cell r="B2030" t="str">
            <v>H1W6JRSJMER-020</v>
          </cell>
          <cell r="C2030" t="str">
            <v>VERO SİYAH-ESKİTME LED APLİK 20cm</v>
          </cell>
          <cell r="D2030" t="str">
            <v>VERO BLACK-BRUSHED BRASS LED WALL LAMP 20cm</v>
          </cell>
          <cell r="E2030" t="str">
            <v>METAL METAL SİYAH ESKİTME</v>
          </cell>
          <cell r="F2030" t="str">
            <v/>
          </cell>
          <cell r="G2030" t="str">
            <v>APLİK</v>
          </cell>
          <cell r="H2030" t="str">
            <v/>
          </cell>
          <cell r="I2030" t="str">
            <v/>
          </cell>
          <cell r="J2030" t="str">
            <v>APLİK</v>
          </cell>
          <cell r="K2030" t="str">
            <v>VERO</v>
          </cell>
          <cell r="L2030" t="str">
            <v>Y</v>
          </cell>
          <cell r="M2030" t="str">
            <v/>
          </cell>
          <cell r="N2030" t="str">
            <v>HKA-25253</v>
          </cell>
          <cell r="O2030" t="str">
            <v>HEKA</v>
          </cell>
          <cell r="P2030" t="str">
            <v>ADET</v>
          </cell>
          <cell r="Q2030" t="str">
            <v>LED</v>
          </cell>
          <cell r="R2030" t="str">
            <v>METAL</v>
          </cell>
          <cell r="S2030" t="str">
            <v>SİYAH</v>
          </cell>
          <cell r="T2030" t="str">
            <v>METAL</v>
          </cell>
          <cell r="U2030" t="str">
            <v>ESKİTME</v>
          </cell>
          <cell r="Y2030" t="str">
            <v>3 WATT</v>
          </cell>
          <cell r="Z2030" t="str">
            <v>3000 K</v>
          </cell>
          <cell r="AB2030" t="str">
            <v>601-700</v>
          </cell>
          <cell r="AD2030" t="str">
            <v>DAİRE</v>
          </cell>
          <cell r="AE2030" t="str">
            <v>01</v>
          </cell>
          <cell r="AF2030">
            <v>28</v>
          </cell>
          <cell r="AG2030" t="str">
            <v>ADET</v>
          </cell>
          <cell r="AJ2030">
            <v>3650</v>
          </cell>
          <cell r="AK2030" t="str">
            <v>TL</v>
          </cell>
          <cell r="AL2030">
            <v>1</v>
          </cell>
          <cell r="AM2030" t="str">
            <v>8684127519045</v>
          </cell>
          <cell r="AO2030">
            <v>0</v>
          </cell>
          <cell r="AQ2030">
            <v>10</v>
          </cell>
          <cell r="AR2030" t="str">
            <v>CM</v>
          </cell>
          <cell r="AS2030">
            <v>20</v>
          </cell>
          <cell r="AT2030" t="str">
            <v>CM</v>
          </cell>
          <cell r="AU2030">
            <v>0</v>
          </cell>
          <cell r="AW2030">
            <v>0</v>
          </cell>
        </row>
        <row r="2031">
          <cell r="B2031" t="str">
            <v>H1P5JRSJME0-046</v>
          </cell>
          <cell r="C2031" t="str">
            <v>NODUS BEŞLİ METAL SİYAH PLAFONYER 46CM</v>
          </cell>
          <cell r="D2031" t="str">
            <v>NODUS QUINTET METAL BLACK PLAFONIER 46CM</v>
          </cell>
          <cell r="E2031" t="str">
            <v>METAL METAL SİYAH ESKİTME</v>
          </cell>
          <cell r="F2031" t="str">
            <v/>
          </cell>
          <cell r="G2031" t="str">
            <v>PLAFONYER</v>
          </cell>
          <cell r="H2031" t="str">
            <v/>
          </cell>
          <cell r="I2031" t="str">
            <v/>
          </cell>
          <cell r="J2031" t="str">
            <v/>
          </cell>
          <cell r="K2031" t="str">
            <v>NODUS</v>
          </cell>
          <cell r="L2031" t="str">
            <v/>
          </cell>
          <cell r="M2031" t="str">
            <v/>
          </cell>
          <cell r="N2031" t="str">
            <v>HKA-25260</v>
          </cell>
          <cell r="O2031" t="str">
            <v>HEKA</v>
          </cell>
          <cell r="P2031" t="str">
            <v>ADET</v>
          </cell>
          <cell r="Q2031" t="str">
            <v>GU10</v>
          </cell>
          <cell r="R2031" t="str">
            <v>METAL</v>
          </cell>
          <cell r="S2031" t="str">
            <v>SİYAH</v>
          </cell>
          <cell r="T2031" t="str">
            <v>METAL</v>
          </cell>
          <cell r="U2031" t="str">
            <v>ESKİTME</v>
          </cell>
          <cell r="AE2031" t="str">
            <v>05</v>
          </cell>
          <cell r="AF2031">
            <v>25</v>
          </cell>
          <cell r="AG2031" t="str">
            <v>ADET</v>
          </cell>
          <cell r="AJ2031">
            <v>2950</v>
          </cell>
          <cell r="AK2031" t="str">
            <v>TL</v>
          </cell>
          <cell r="AL2031">
            <v>0</v>
          </cell>
          <cell r="AM2031" t="str">
            <v>8684127519069</v>
          </cell>
          <cell r="AO2031">
            <v>0</v>
          </cell>
          <cell r="AQ2031">
            <v>44</v>
          </cell>
          <cell r="AR2031" t="str">
            <v>CM</v>
          </cell>
          <cell r="AS2031">
            <v>46</v>
          </cell>
          <cell r="AT2031" t="str">
            <v>CM</v>
          </cell>
          <cell r="AU2031">
            <v>0</v>
          </cell>
          <cell r="AW2031">
            <v>0</v>
          </cell>
        </row>
        <row r="2032">
          <cell r="B2032" t="str">
            <v>ADFEURB0004-028</v>
          </cell>
          <cell r="C2032" t="str">
            <v>SERAMİK YAMALI KÜP 27.5x27.5x15 CM</v>
          </cell>
          <cell r="D2032" t="str">
            <v>CERAMIC PATCHED CUBE 27.5x27.5x15 CM</v>
          </cell>
          <cell r="E2032" t="str">
            <v>SERAMİK YOK BEYAZ YOK</v>
          </cell>
          <cell r="F2032" t="str">
            <v/>
          </cell>
          <cell r="G2032" t="str">
            <v>AKSESUAR</v>
          </cell>
          <cell r="H2032" t="str">
            <v/>
          </cell>
          <cell r="I2032" t="str">
            <v/>
          </cell>
          <cell r="J2032" t="str">
            <v/>
          </cell>
          <cell r="K2032" t="str">
            <v>EVDEMA</v>
          </cell>
          <cell r="L2032" t="str">
            <v/>
          </cell>
          <cell r="M2032" t="str">
            <v/>
          </cell>
          <cell r="N2032" t="str">
            <v>HKA-250078</v>
          </cell>
          <cell r="O2032" t="str">
            <v>HEKA</v>
          </cell>
          <cell r="P2032" t="str">
            <v>ADET</v>
          </cell>
          <cell r="R2032" t="str">
            <v>SERAMİK</v>
          </cell>
          <cell r="S2032" t="str">
            <v>BEYAZ</v>
          </cell>
          <cell r="AD2032" t="str">
            <v>KÜP</v>
          </cell>
          <cell r="AF2032">
            <v>1</v>
          </cell>
          <cell r="AG2032" t="str">
            <v>ADET</v>
          </cell>
          <cell r="AH2032">
            <v>1995.84</v>
          </cell>
          <cell r="AI2032" t="str">
            <v>TL</v>
          </cell>
          <cell r="AJ2032">
            <v>5500</v>
          </cell>
          <cell r="AK2032" t="str">
            <v>TL</v>
          </cell>
          <cell r="AL2032">
            <v>0</v>
          </cell>
          <cell r="AO2032">
            <v>0</v>
          </cell>
          <cell r="AQ2032">
            <v>27.5</v>
          </cell>
          <cell r="AR2032" t="str">
            <v>CM</v>
          </cell>
          <cell r="AS2032">
            <v>27.5</v>
          </cell>
          <cell r="AT2032" t="str">
            <v>CM</v>
          </cell>
          <cell r="AU2032">
            <v>0</v>
          </cell>
          <cell r="AW2032">
            <v>0</v>
          </cell>
        </row>
        <row r="2033">
          <cell r="B2033" t="str">
            <v>H1W6WRFJMEP-022</v>
          </cell>
          <cell r="C2033" t="str">
            <v>NARVİ BEYAZ MERMER APLİK 22cm</v>
          </cell>
          <cell r="D2033" t="str">
            <v>NARVİ WHITE MARBLE WALL LAMP 22cm</v>
          </cell>
          <cell r="E2033" t="str">
            <v>MERMER METAL BEYAZ ESKİTME</v>
          </cell>
          <cell r="F2033" t="str">
            <v/>
          </cell>
          <cell r="G2033" t="str">
            <v>APLİK</v>
          </cell>
          <cell r="H2033" t="str">
            <v/>
          </cell>
          <cell r="I2033" t="str">
            <v/>
          </cell>
          <cell r="J2033" t="str">
            <v/>
          </cell>
          <cell r="K2033" t="str">
            <v>NARVİ</v>
          </cell>
          <cell r="L2033" t="str">
            <v/>
          </cell>
          <cell r="M2033" t="str">
            <v/>
          </cell>
          <cell r="N2033" t="str">
            <v>HKA-25262</v>
          </cell>
          <cell r="O2033" t="str">
            <v>HEKA</v>
          </cell>
          <cell r="P2033" t="str">
            <v>ADET</v>
          </cell>
          <cell r="Q2033" t="str">
            <v>LED</v>
          </cell>
          <cell r="R2033" t="str">
            <v>MERMER</v>
          </cell>
          <cell r="S2033" t="str">
            <v>BEYAZ</v>
          </cell>
          <cell r="T2033" t="str">
            <v>METAL</v>
          </cell>
          <cell r="U2033" t="str">
            <v>ESKİTME</v>
          </cell>
          <cell r="AD2033" t="str">
            <v>POLİGONAL</v>
          </cell>
          <cell r="AE2033" t="str">
            <v>01</v>
          </cell>
          <cell r="AG2033" t="str">
            <v>ADET</v>
          </cell>
          <cell r="AJ2033">
            <v>4450</v>
          </cell>
          <cell r="AK2033" t="str">
            <v>TL</v>
          </cell>
          <cell r="AL2033">
            <v>0</v>
          </cell>
          <cell r="AM2033" t="str">
            <v>8684127519106</v>
          </cell>
          <cell r="AO2033">
            <v>0</v>
          </cell>
          <cell r="AQ2033">
            <v>7</v>
          </cell>
          <cell r="AR2033" t="str">
            <v>CM</v>
          </cell>
          <cell r="AS2033">
            <v>22</v>
          </cell>
          <cell r="AT2033" t="str">
            <v>CM</v>
          </cell>
          <cell r="AU2033">
            <v>0</v>
          </cell>
          <cell r="AW2033">
            <v>0</v>
          </cell>
        </row>
        <row r="2034">
          <cell r="B2034" t="str">
            <v>H1W5DRB000U-023</v>
          </cell>
          <cell r="C2034" t="str">
            <v>CONE BETON BEYAZ APLİK</v>
          </cell>
          <cell r="D2034" t="str">
            <v>CONE CONCRETE WHITE WALL LAMP</v>
          </cell>
          <cell r="E2034" t="str">
            <v>BETON YOK BEYAZ YOK</v>
          </cell>
          <cell r="F2034" t="str">
            <v/>
          </cell>
          <cell r="G2034" t="str">
            <v>APLİK</v>
          </cell>
          <cell r="H2034" t="str">
            <v/>
          </cell>
          <cell r="I2034" t="str">
            <v/>
          </cell>
          <cell r="J2034" t="str">
            <v/>
          </cell>
          <cell r="K2034" t="str">
            <v>CONE</v>
          </cell>
          <cell r="L2034" t="str">
            <v/>
          </cell>
          <cell r="M2034" t="str">
            <v/>
          </cell>
          <cell r="N2034" t="str">
            <v>HKA-25265</v>
          </cell>
          <cell r="O2034" t="str">
            <v>HEKA</v>
          </cell>
          <cell r="P2034" t="str">
            <v>ADET</v>
          </cell>
          <cell r="Q2034" t="str">
            <v>GU10</v>
          </cell>
          <cell r="R2034" t="str">
            <v>BETON</v>
          </cell>
          <cell r="S2034" t="str">
            <v>BEYAZ</v>
          </cell>
          <cell r="AD2034" t="str">
            <v>ÜÇGEN</v>
          </cell>
          <cell r="AE2034" t="str">
            <v>01</v>
          </cell>
          <cell r="AF2034">
            <v>0</v>
          </cell>
          <cell r="AG2034" t="str">
            <v>ADET</v>
          </cell>
          <cell r="AJ2034">
            <v>4950</v>
          </cell>
          <cell r="AK2034" t="str">
            <v>TL</v>
          </cell>
          <cell r="AL2034">
            <v>0</v>
          </cell>
          <cell r="AO2034">
            <v>0</v>
          </cell>
          <cell r="AQ2034">
            <v>0</v>
          </cell>
          <cell r="AS2034">
            <v>0</v>
          </cell>
          <cell r="AU2034">
            <v>0</v>
          </cell>
          <cell r="AW2034">
            <v>0</v>
          </cell>
        </row>
        <row r="2035">
          <cell r="B2035" t="str">
            <v>H1W5DRK000U-023</v>
          </cell>
          <cell r="C2035" t="str">
            <v>CONE BETON KIRMIZI APLİK</v>
          </cell>
          <cell r="D2035" t="str">
            <v>CONE CONCRETE RED WALL LAMP</v>
          </cell>
          <cell r="E2035" t="str">
            <v>BETON YOK KIRMIZI YOK</v>
          </cell>
          <cell r="F2035" t="str">
            <v/>
          </cell>
          <cell r="G2035" t="str">
            <v>APLİK</v>
          </cell>
          <cell r="H2035" t="str">
            <v/>
          </cell>
          <cell r="I2035" t="str">
            <v/>
          </cell>
          <cell r="J2035" t="str">
            <v/>
          </cell>
          <cell r="K2035" t="str">
            <v>CONE</v>
          </cell>
          <cell r="L2035" t="str">
            <v/>
          </cell>
          <cell r="M2035" t="str">
            <v/>
          </cell>
          <cell r="N2035" t="str">
            <v>HKA-25267</v>
          </cell>
          <cell r="O2035" t="str">
            <v>HEKA</v>
          </cell>
          <cell r="P2035" t="str">
            <v>ADET</v>
          </cell>
          <cell r="Q2035" t="str">
            <v>GU10</v>
          </cell>
          <cell r="R2035" t="str">
            <v>BETON</v>
          </cell>
          <cell r="S2035" t="str">
            <v>KIRMIZI</v>
          </cell>
          <cell r="AD2035" t="str">
            <v>ÜÇGEN</v>
          </cell>
          <cell r="AE2035" t="str">
            <v>01</v>
          </cell>
          <cell r="AF2035">
            <v>0</v>
          </cell>
          <cell r="AG2035" t="str">
            <v>ADET</v>
          </cell>
          <cell r="AJ2035">
            <v>4950</v>
          </cell>
          <cell r="AK2035" t="str">
            <v>TL</v>
          </cell>
          <cell r="AL2035">
            <v>0</v>
          </cell>
          <cell r="AO2035">
            <v>0</v>
          </cell>
          <cell r="AQ2035">
            <v>0</v>
          </cell>
          <cell r="AS2035">
            <v>0</v>
          </cell>
          <cell r="AU2035">
            <v>0</v>
          </cell>
          <cell r="AW2035">
            <v>0</v>
          </cell>
        </row>
        <row r="2036">
          <cell r="B2036" t="str">
            <v>ADFVERV0000-045</v>
          </cell>
          <cell r="C2036" t="str">
            <v>VİTALE CAM KAHVE KARAF 13x13x45 CM</v>
          </cell>
          <cell r="D2036" t="str">
            <v>VİTALE GLASS BROWN CARAFE 13x13x45 CM</v>
          </cell>
          <cell r="E2036" t="str">
            <v>CAM  YOK KAHVERENGİ YOK</v>
          </cell>
          <cell r="F2036" t="str">
            <v/>
          </cell>
          <cell r="G2036" t="str">
            <v>AKSESUAR</v>
          </cell>
          <cell r="H2036" t="str">
            <v/>
          </cell>
          <cell r="I2036" t="str">
            <v/>
          </cell>
          <cell r="J2036" t="str">
            <v/>
          </cell>
          <cell r="K2036" t="str">
            <v>VİTALE</v>
          </cell>
          <cell r="L2036" t="str">
            <v/>
          </cell>
          <cell r="M2036" t="str">
            <v/>
          </cell>
          <cell r="N2036" t="str">
            <v>HKA-250100</v>
          </cell>
          <cell r="O2036" t="str">
            <v>HEKA</v>
          </cell>
          <cell r="P2036" t="str">
            <v>ADET</v>
          </cell>
          <cell r="R2036" t="str">
            <v>CAM</v>
          </cell>
          <cell r="S2036" t="str">
            <v>KAHVERENGİ</v>
          </cell>
          <cell r="AF2036">
            <v>1</v>
          </cell>
          <cell r="AG2036" t="str">
            <v>ADET</v>
          </cell>
          <cell r="AH2036">
            <v>905.7</v>
          </cell>
          <cell r="AI2036" t="str">
            <v>TL</v>
          </cell>
          <cell r="AL2036">
            <v>0</v>
          </cell>
          <cell r="AO2036">
            <v>0</v>
          </cell>
          <cell r="AQ2036">
            <v>45</v>
          </cell>
          <cell r="AR2036" t="str">
            <v>CM</v>
          </cell>
          <cell r="AS2036">
            <v>13</v>
          </cell>
          <cell r="AT2036" t="str">
            <v>CM</v>
          </cell>
          <cell r="AU2036">
            <v>0</v>
          </cell>
          <cell r="AW2036">
            <v>0</v>
          </cell>
        </row>
        <row r="2037">
          <cell r="B2037" t="str">
            <v>ADFVERV0000-024</v>
          </cell>
          <cell r="C2037" t="str">
            <v>VİTALE CAM KAHVE KARAF 8x19x24 CM</v>
          </cell>
          <cell r="D2037" t="str">
            <v>VİTALE GLASS BROWN CARAFE 8x19x24 CM</v>
          </cell>
          <cell r="E2037" t="str">
            <v>CAM  YOK KAHVERENGİ YOK</v>
          </cell>
          <cell r="F2037" t="str">
            <v/>
          </cell>
          <cell r="G2037" t="str">
            <v>AKSESUAR</v>
          </cell>
          <cell r="H2037" t="str">
            <v/>
          </cell>
          <cell r="I2037" t="str">
            <v/>
          </cell>
          <cell r="J2037" t="str">
            <v/>
          </cell>
          <cell r="K2037" t="str">
            <v>VİTALE</v>
          </cell>
          <cell r="L2037" t="str">
            <v/>
          </cell>
          <cell r="M2037" t="str">
            <v/>
          </cell>
          <cell r="N2037" t="str">
            <v>HKA-250102</v>
          </cell>
          <cell r="O2037" t="str">
            <v>HEKA</v>
          </cell>
          <cell r="P2037" t="str">
            <v>ADET</v>
          </cell>
          <cell r="R2037" t="str">
            <v>CAM</v>
          </cell>
          <cell r="S2037" t="str">
            <v>KAHVERENGİ</v>
          </cell>
          <cell r="AF2037">
            <v>1</v>
          </cell>
          <cell r="AG2037" t="str">
            <v>ADET</v>
          </cell>
          <cell r="AH2037">
            <v>2697.49</v>
          </cell>
          <cell r="AI2037" t="str">
            <v>TL</v>
          </cell>
          <cell r="AL2037">
            <v>0</v>
          </cell>
          <cell r="AO2037">
            <v>0</v>
          </cell>
          <cell r="AQ2037">
            <v>24</v>
          </cell>
          <cell r="AR2037" t="str">
            <v>CM</v>
          </cell>
          <cell r="AS2037">
            <v>8</v>
          </cell>
          <cell r="AT2037" t="str">
            <v>CM</v>
          </cell>
          <cell r="AU2037">
            <v>0</v>
          </cell>
          <cell r="AW2037">
            <v>0</v>
          </cell>
        </row>
        <row r="2038">
          <cell r="B2038" t="str">
            <v>CA2D1C302I5N1</v>
          </cell>
          <cell r="C2038" t="str">
            <v>ERD-313 E27 220V 10W 3000K FİLAMENT LED AMPUL</v>
          </cell>
          <cell r="D2038" t="str">
            <v>ERD-313 E27 220V 10W 3000K FILAMENT LED BULB</v>
          </cell>
          <cell r="E2038" t="str">
            <v xml:space="preserve">CAM  ŞEFFAF </v>
          </cell>
          <cell r="F2038" t="str">
            <v/>
          </cell>
          <cell r="G2038" t="str">
            <v>AMPUL</v>
          </cell>
          <cell r="H2038" t="str">
            <v/>
          </cell>
          <cell r="I2038" t="str">
            <v/>
          </cell>
          <cell r="J2038" t="str">
            <v/>
          </cell>
          <cell r="K2038" t="str">
            <v>ERD-313</v>
          </cell>
          <cell r="L2038" t="str">
            <v/>
          </cell>
          <cell r="M2038" t="str">
            <v/>
          </cell>
          <cell r="N2038" t="str">
            <v>ERD-313</v>
          </cell>
          <cell r="O2038" t="str">
            <v>HEKA</v>
          </cell>
          <cell r="P2038" t="str">
            <v>ADET</v>
          </cell>
          <cell r="Q2038" t="str">
            <v>E27</v>
          </cell>
          <cell r="R2038" t="str">
            <v>CAM</v>
          </cell>
          <cell r="S2038" t="str">
            <v>ŞEFFAF</v>
          </cell>
          <cell r="V2038" t="str">
            <v>D</v>
          </cell>
          <cell r="W2038" t="str">
            <v>FLAMENT</v>
          </cell>
          <cell r="X2038" t="str">
            <v>220V</v>
          </cell>
          <cell r="Y2038" t="str">
            <v>10 WATT</v>
          </cell>
          <cell r="Z2038" t="str">
            <v>3000 K</v>
          </cell>
          <cell r="AA2038" t="str">
            <v>DIMMLI</v>
          </cell>
          <cell r="AB2038" t="str">
            <v>1301-1400</v>
          </cell>
          <cell r="AC2038" t="str">
            <v>A60</v>
          </cell>
          <cell r="AG2038" t="str">
            <v>ADET</v>
          </cell>
          <cell r="AL2038">
            <v>0</v>
          </cell>
          <cell r="AM2038" t="str">
            <v>8684127519441</v>
          </cell>
          <cell r="AN2038" t="str">
            <v>8684127519458</v>
          </cell>
          <cell r="AO2038">
            <v>0</v>
          </cell>
          <cell r="AQ2038">
            <v>0</v>
          </cell>
          <cell r="AS2038">
            <v>0</v>
          </cell>
          <cell r="AU2038">
            <v>0</v>
          </cell>
          <cell r="AW2038">
            <v>0</v>
          </cell>
        </row>
        <row r="2039">
          <cell r="B2039" t="str">
            <v>CD1D1C302E5I1</v>
          </cell>
          <cell r="C2039" t="str">
            <v>ERD-308 C35 ŞEFFAF 6W DÜZ 3000K E14 LED AMPUL</v>
          </cell>
          <cell r="D2039" t="str">
            <v>ERD-308 C35 CLEAR 6W CANDLE 3000K E14 LED BULB</v>
          </cell>
          <cell r="E2039" t="str">
            <v xml:space="preserve">CAM  ŞEFFAF </v>
          </cell>
          <cell r="F2039" t="str">
            <v/>
          </cell>
          <cell r="G2039" t="str">
            <v>AMPUL</v>
          </cell>
          <cell r="H2039" t="str">
            <v/>
          </cell>
          <cell r="I2039" t="str">
            <v/>
          </cell>
          <cell r="J2039" t="str">
            <v/>
          </cell>
          <cell r="K2039" t="str">
            <v>ERD-308</v>
          </cell>
          <cell r="L2039" t="str">
            <v/>
          </cell>
          <cell r="M2039" t="str">
            <v/>
          </cell>
          <cell r="N2039" t="str">
            <v>ERD-308</v>
          </cell>
          <cell r="O2039" t="str">
            <v>HEKA</v>
          </cell>
          <cell r="P2039" t="str">
            <v>ADET</v>
          </cell>
          <cell r="Q2039" t="str">
            <v>E14</v>
          </cell>
          <cell r="R2039" t="str">
            <v>CAM</v>
          </cell>
          <cell r="S2039" t="str">
            <v>ŞEFFAF</v>
          </cell>
          <cell r="V2039" t="str">
            <v>D</v>
          </cell>
          <cell r="W2039" t="str">
            <v>FLAMENT</v>
          </cell>
          <cell r="X2039" t="str">
            <v>220V</v>
          </cell>
          <cell r="Y2039" t="str">
            <v>6 WATT</v>
          </cell>
          <cell r="Z2039" t="str">
            <v>3000 K</v>
          </cell>
          <cell r="AA2039" t="str">
            <v>DIMMLI</v>
          </cell>
          <cell r="AB2039" t="str">
            <v>801-900</v>
          </cell>
          <cell r="AC2039" t="str">
            <v>C35 - DÜZ</v>
          </cell>
          <cell r="AG2039" t="str">
            <v>ADET</v>
          </cell>
          <cell r="AL2039">
            <v>0</v>
          </cell>
          <cell r="AM2039" t="str">
            <v>8684127519489</v>
          </cell>
          <cell r="AN2039" t="str">
            <v>8684127519496</v>
          </cell>
          <cell r="AO2039">
            <v>0</v>
          </cell>
          <cell r="AQ2039">
            <v>0</v>
          </cell>
          <cell r="AS2039">
            <v>0</v>
          </cell>
          <cell r="AU2039">
            <v>0</v>
          </cell>
          <cell r="AW2039">
            <v>0</v>
          </cell>
        </row>
        <row r="2040">
          <cell r="B2040" t="str">
            <v>H1W6CME000E-061</v>
          </cell>
          <cell r="C2040" t="str">
            <v>COLLESİUM ESKİTME APLİK 61 cm</v>
          </cell>
          <cell r="D2040" t="str">
            <v>COLLESİUM BRUSHED BRASS WALL LAMP 61 cm</v>
          </cell>
          <cell r="E2040" t="str">
            <v>ALUMİNYUM YOK ESKİTME YOK</v>
          </cell>
          <cell r="F2040" t="str">
            <v/>
          </cell>
          <cell r="G2040" t="str">
            <v>APLİK</v>
          </cell>
          <cell r="H2040" t="str">
            <v/>
          </cell>
          <cell r="I2040" t="str">
            <v>İÇ</v>
          </cell>
          <cell r="J2040" t="str">
            <v/>
          </cell>
          <cell r="K2040" t="str">
            <v>COLLESİUM</v>
          </cell>
          <cell r="L2040" t="str">
            <v/>
          </cell>
          <cell r="M2040" t="str">
            <v>15.02.2026</v>
          </cell>
          <cell r="N2040" t="str">
            <v>HKA-25228</v>
          </cell>
          <cell r="O2040" t="str">
            <v>HEKA</v>
          </cell>
          <cell r="P2040" t="str">
            <v>ADET</v>
          </cell>
          <cell r="Q2040" t="str">
            <v>LED</v>
          </cell>
          <cell r="R2040" t="str">
            <v>ALUMİNYUM</v>
          </cell>
          <cell r="S2040" t="str">
            <v>ESKİTME</v>
          </cell>
          <cell r="Z2040" t="str">
            <v>3000 K</v>
          </cell>
          <cell r="AD2040" t="str">
            <v>ELİPS</v>
          </cell>
          <cell r="AF2040">
            <v>0</v>
          </cell>
          <cell r="AG2040" t="str">
            <v>ADET</v>
          </cell>
          <cell r="AH2040">
            <v>390</v>
          </cell>
          <cell r="AI2040" t="str">
            <v>CNY</v>
          </cell>
          <cell r="AL2040">
            <v>0</v>
          </cell>
          <cell r="AM2040" t="str">
            <v>8684127518611</v>
          </cell>
          <cell r="AO2040">
            <v>0</v>
          </cell>
          <cell r="AQ2040">
            <v>7.5</v>
          </cell>
          <cell r="AS2040">
            <v>61</v>
          </cell>
          <cell r="AU2040">
            <v>0</v>
          </cell>
          <cell r="AW2040">
            <v>0</v>
          </cell>
        </row>
        <row r="2041">
          <cell r="B2041" t="str">
            <v>H1T6ERFJRS0-038</v>
          </cell>
          <cell r="C2041" t="str">
            <v>GAMBİA FÜME CAM SİYAH MASA LAMBASI 38cm</v>
          </cell>
          <cell r="D2041" t="str">
            <v>GAMBİA LIGHT SMOKY GLASS BLACK TABLE LAMP 38cm</v>
          </cell>
          <cell r="E2041" t="str">
            <v>CAM METAL FÜME SİYAH</v>
          </cell>
          <cell r="F2041" t="str">
            <v/>
          </cell>
          <cell r="G2041" t="str">
            <v>MASA LAMBASI</v>
          </cell>
          <cell r="H2041" t="str">
            <v/>
          </cell>
          <cell r="I2041" t="str">
            <v>İÇ</v>
          </cell>
          <cell r="J2041" t="str">
            <v/>
          </cell>
          <cell r="K2041" t="str">
            <v>GAMBİA</v>
          </cell>
          <cell r="L2041" t="str">
            <v/>
          </cell>
          <cell r="M2041" t="str">
            <v>30.01.2026</v>
          </cell>
          <cell r="N2041" t="str">
            <v>HKA-25233</v>
          </cell>
          <cell r="O2041" t="str">
            <v>HEKA</v>
          </cell>
          <cell r="P2041" t="str">
            <v>ADET</v>
          </cell>
          <cell r="Q2041" t="str">
            <v>LED</v>
          </cell>
          <cell r="R2041" t="str">
            <v>CAM</v>
          </cell>
          <cell r="S2041" t="str">
            <v>FÜME</v>
          </cell>
          <cell r="T2041" t="str">
            <v>METAL</v>
          </cell>
          <cell r="U2041" t="str">
            <v>SİYAH</v>
          </cell>
          <cell r="Z2041" t="str">
            <v xml:space="preserve">2700 K </v>
          </cell>
          <cell r="AF2041">
            <v>0</v>
          </cell>
          <cell r="AG2041" t="str">
            <v>ADET</v>
          </cell>
          <cell r="AH2041">
            <v>448</v>
          </cell>
          <cell r="AI2041" t="str">
            <v>CNY</v>
          </cell>
          <cell r="AL2041">
            <v>0</v>
          </cell>
          <cell r="AM2041" t="str">
            <v>8684127518666</v>
          </cell>
          <cell r="AO2041">
            <v>0</v>
          </cell>
          <cell r="AQ2041">
            <v>0</v>
          </cell>
          <cell r="AS2041">
            <v>0</v>
          </cell>
          <cell r="AU2041">
            <v>0</v>
          </cell>
          <cell r="AW2041">
            <v>0</v>
          </cell>
        </row>
        <row r="2042">
          <cell r="B2042" t="str">
            <v>H1T6ERFJRS0-028</v>
          </cell>
          <cell r="C2042" t="str">
            <v>GAMBİA FÜME CAM SİYAH MASA LAMBASI 28cm</v>
          </cell>
          <cell r="D2042" t="str">
            <v>GAMBİA LIGHT SMOKY GLASS BLACK TABLE LAMP 28cm</v>
          </cell>
          <cell r="E2042" t="str">
            <v>CAM METAL FÜME SİYAH</v>
          </cell>
          <cell r="F2042" t="str">
            <v/>
          </cell>
          <cell r="G2042" t="str">
            <v>MASA LAMBASI</v>
          </cell>
          <cell r="H2042" t="str">
            <v/>
          </cell>
          <cell r="I2042" t="str">
            <v>İÇ</v>
          </cell>
          <cell r="J2042" t="str">
            <v/>
          </cell>
          <cell r="K2042" t="str">
            <v>GAMBİA</v>
          </cell>
          <cell r="L2042" t="str">
            <v/>
          </cell>
          <cell r="M2042" t="str">
            <v>30.01.2026</v>
          </cell>
          <cell r="N2042" t="str">
            <v>HKA-25235</v>
          </cell>
          <cell r="O2042" t="str">
            <v>HEKA</v>
          </cell>
          <cell r="P2042" t="str">
            <v>ADET</v>
          </cell>
          <cell r="Q2042" t="str">
            <v>LED</v>
          </cell>
          <cell r="R2042" t="str">
            <v>CAM</v>
          </cell>
          <cell r="S2042" t="str">
            <v>FÜME</v>
          </cell>
          <cell r="T2042" t="str">
            <v>METAL</v>
          </cell>
          <cell r="U2042" t="str">
            <v>SİYAH</v>
          </cell>
          <cell r="Z2042" t="str">
            <v xml:space="preserve">2700 K </v>
          </cell>
          <cell r="AF2042">
            <v>0</v>
          </cell>
          <cell r="AG2042" t="str">
            <v>ADET</v>
          </cell>
          <cell r="AH2042">
            <v>584</v>
          </cell>
          <cell r="AI2042" t="str">
            <v>CNY</v>
          </cell>
          <cell r="AL2042">
            <v>0</v>
          </cell>
          <cell r="AM2042" t="str">
            <v>8684127518680</v>
          </cell>
          <cell r="AO2042">
            <v>0</v>
          </cell>
          <cell r="AQ2042">
            <v>0</v>
          </cell>
          <cell r="AS2042">
            <v>0</v>
          </cell>
          <cell r="AU2042">
            <v>0</v>
          </cell>
          <cell r="AW2042">
            <v>0</v>
          </cell>
        </row>
        <row r="2043">
          <cell r="B2043" t="str">
            <v>AVFHERL0005-025</v>
          </cell>
          <cell r="C2043" t="str">
            <v>BOLOGNA KARAMEL KAPAKLI VAZO</v>
          </cell>
          <cell r="D2043" t="str">
            <v>BOLOGNA CARAMEL COVER VASE</v>
          </cell>
          <cell r="E2043" t="str">
            <v>CAM  YOK BAL YOK</v>
          </cell>
          <cell r="F2043" t="str">
            <v/>
          </cell>
          <cell r="G2043" t="str">
            <v>AKSESUAR</v>
          </cell>
          <cell r="H2043" t="str">
            <v/>
          </cell>
          <cell r="I2043" t="str">
            <v/>
          </cell>
          <cell r="J2043" t="str">
            <v/>
          </cell>
          <cell r="K2043" t="str">
            <v>BOLOGNA</v>
          </cell>
          <cell r="L2043" t="str">
            <v/>
          </cell>
          <cell r="M2043" t="str">
            <v/>
          </cell>
          <cell r="N2043" t="str">
            <v>HKA-250068</v>
          </cell>
          <cell r="O2043" t="str">
            <v>HEKA</v>
          </cell>
          <cell r="P2043" t="str">
            <v>ADET</v>
          </cell>
          <cell r="R2043" t="str">
            <v>CAM</v>
          </cell>
          <cell r="S2043" t="str">
            <v>BAL</v>
          </cell>
          <cell r="AD2043" t="str">
            <v>VAZO</v>
          </cell>
          <cell r="AF2043">
            <v>1</v>
          </cell>
          <cell r="AG2043" t="str">
            <v>ADET</v>
          </cell>
          <cell r="AH2043">
            <v>2570.48</v>
          </cell>
          <cell r="AI2043" t="str">
            <v>TL</v>
          </cell>
          <cell r="AJ2043">
            <v>5000</v>
          </cell>
          <cell r="AK2043" t="str">
            <v>TL</v>
          </cell>
          <cell r="AL2043">
            <v>0</v>
          </cell>
          <cell r="AO2043">
            <v>0</v>
          </cell>
          <cell r="AQ2043">
            <v>14</v>
          </cell>
          <cell r="AS2043">
            <v>14</v>
          </cell>
          <cell r="AU2043">
            <v>0</v>
          </cell>
          <cell r="AW2043">
            <v>0</v>
          </cell>
        </row>
        <row r="2044">
          <cell r="B2044" t="str">
            <v>34 RG 0660</v>
          </cell>
          <cell r="C2044" t="str">
            <v xml:space="preserve">34 RG 0660 </v>
          </cell>
          <cell r="D2044" t="str">
            <v xml:space="preserve">34 RG 0660 </v>
          </cell>
          <cell r="E2044" t="str">
            <v xml:space="preserve">34 RG 0660 </v>
          </cell>
          <cell r="F2044" t="str">
            <v/>
          </cell>
          <cell r="G2044" t="str">
            <v/>
          </cell>
          <cell r="H2044" t="str">
            <v/>
          </cell>
          <cell r="I2044" t="str">
            <v/>
          </cell>
          <cell r="J2044" t="str">
            <v/>
          </cell>
          <cell r="K2044" t="str">
            <v/>
          </cell>
          <cell r="L2044" t="str">
            <v/>
          </cell>
          <cell r="M2044" t="str">
            <v/>
          </cell>
          <cell r="N2044" t="str">
            <v/>
          </cell>
          <cell r="P2044" t="str">
            <v>ADET</v>
          </cell>
          <cell r="AF2044">
            <v>-1</v>
          </cell>
          <cell r="AG2044" t="str">
            <v>ADET</v>
          </cell>
          <cell r="AL2044">
            <v>0</v>
          </cell>
          <cell r="AO2044">
            <v>0</v>
          </cell>
          <cell r="AQ2044">
            <v>0</v>
          </cell>
          <cell r="AS2044">
            <v>0</v>
          </cell>
          <cell r="AU2044">
            <v>0</v>
          </cell>
          <cell r="AW2044">
            <v>0</v>
          </cell>
        </row>
        <row r="2045">
          <cell r="B2045" t="str">
            <v>H1W6JME000M-038</v>
          </cell>
          <cell r="C2045" t="str">
            <v>ESVATİNİ İKİLİ ESKİTME APLİK</v>
          </cell>
          <cell r="D2045" t="str">
            <v>ESVATİNİ DOUBLE BRUSHED BRASS WALL LAMP</v>
          </cell>
          <cell r="E2045" t="str">
            <v>METAL YOK ESKİTME YOK</v>
          </cell>
          <cell r="F2045" t="str">
            <v/>
          </cell>
          <cell r="G2045" t="str">
            <v>APLİK</v>
          </cell>
          <cell r="H2045" t="str">
            <v/>
          </cell>
          <cell r="I2045" t="str">
            <v/>
          </cell>
          <cell r="J2045" t="str">
            <v/>
          </cell>
          <cell r="K2045" t="str">
            <v>ESVATİNİ</v>
          </cell>
          <cell r="L2045" t="str">
            <v/>
          </cell>
          <cell r="M2045" t="str">
            <v>15.02.2026</v>
          </cell>
          <cell r="N2045" t="str">
            <v>HKA-25256</v>
          </cell>
          <cell r="O2045" t="str">
            <v>HEKA</v>
          </cell>
          <cell r="P2045" t="str">
            <v>ADET</v>
          </cell>
          <cell r="Q2045" t="str">
            <v>LED</v>
          </cell>
          <cell r="R2045" t="str">
            <v>METAL</v>
          </cell>
          <cell r="S2045" t="str">
            <v>ESKİTME</v>
          </cell>
          <cell r="Z2045" t="str">
            <v>3000 K</v>
          </cell>
          <cell r="AD2045" t="str">
            <v>ÇİFT AYDINLATMA</v>
          </cell>
          <cell r="AE2045" t="str">
            <v>01</v>
          </cell>
          <cell r="AF2045">
            <v>0</v>
          </cell>
          <cell r="AG2045" t="str">
            <v>ADET</v>
          </cell>
          <cell r="AH2045">
            <v>205</v>
          </cell>
          <cell r="AI2045" t="str">
            <v>CNY</v>
          </cell>
          <cell r="AL2045">
            <v>0</v>
          </cell>
          <cell r="AM2045" t="str">
            <v>8684127518970</v>
          </cell>
          <cell r="AO2045">
            <v>0</v>
          </cell>
          <cell r="AQ2045">
            <v>8</v>
          </cell>
          <cell r="AS2045">
            <v>10</v>
          </cell>
          <cell r="AU2045">
            <v>0</v>
          </cell>
          <cell r="AW2045">
            <v>0</v>
          </cell>
        </row>
        <row r="2046">
          <cell r="B2046" t="str">
            <v>AVFVURB0005-036</v>
          </cell>
          <cell r="C2046" t="str">
            <v>VİTALE LİDYA TERAKOTA DAİRESEL VAZO 27x10,5x36 CM</v>
          </cell>
          <cell r="D2046" t="str">
            <v>VİTALE LIDYA TERRACOTTA CIRCULAR VASE 27x10,5x36 CM</v>
          </cell>
          <cell r="E2046" t="str">
            <v>SERAMİK YOK BEYAZ YOK</v>
          </cell>
          <cell r="F2046" t="str">
            <v/>
          </cell>
          <cell r="G2046" t="str">
            <v>AKSESUAR</v>
          </cell>
          <cell r="H2046" t="str">
            <v/>
          </cell>
          <cell r="I2046" t="str">
            <v/>
          </cell>
          <cell r="J2046" t="str">
            <v/>
          </cell>
          <cell r="K2046" t="str">
            <v>VİTALE</v>
          </cell>
          <cell r="L2046" t="str">
            <v/>
          </cell>
          <cell r="M2046" t="str">
            <v/>
          </cell>
          <cell r="N2046" t="str">
            <v>HKA-250082</v>
          </cell>
          <cell r="O2046" t="str">
            <v>HEKA</v>
          </cell>
          <cell r="P2046" t="str">
            <v>ADET</v>
          </cell>
          <cell r="R2046" t="str">
            <v>SERAMİK</v>
          </cell>
          <cell r="S2046" t="str">
            <v>BEYAZ</v>
          </cell>
          <cell r="AD2046" t="str">
            <v>VAZO</v>
          </cell>
          <cell r="AF2046">
            <v>1</v>
          </cell>
          <cell r="AG2046" t="str">
            <v>ADET</v>
          </cell>
          <cell r="AH2046">
            <v>1689.65</v>
          </cell>
          <cell r="AI2046" t="str">
            <v>TL</v>
          </cell>
          <cell r="AL2046">
            <v>0</v>
          </cell>
          <cell r="AO2046">
            <v>0</v>
          </cell>
          <cell r="AQ2046">
            <v>36</v>
          </cell>
          <cell r="AR2046" t="str">
            <v>CM</v>
          </cell>
          <cell r="AS2046">
            <v>27</v>
          </cell>
          <cell r="AT2046" t="str">
            <v>CM</v>
          </cell>
          <cell r="AU2046">
            <v>0</v>
          </cell>
          <cell r="AW2046">
            <v>0</v>
          </cell>
        </row>
        <row r="2047">
          <cell r="B2047" t="str">
            <v>AVFVURB0000-049</v>
          </cell>
          <cell r="C2047" t="str">
            <v>VİTALE LİGHT SERAMİK KAYA ÇİÇEKLİK 22x14,5x49 CM</v>
          </cell>
          <cell r="D2047" t="str">
            <v>VİTALE LİGHT CERAMIC ROCK PLANTER 22x14,5x49 CM</v>
          </cell>
          <cell r="E2047" t="str">
            <v>SERAMİK YOK BEYAZ YOK</v>
          </cell>
          <cell r="F2047" t="str">
            <v/>
          </cell>
          <cell r="G2047" t="str">
            <v>AKSESUAR</v>
          </cell>
          <cell r="H2047" t="str">
            <v/>
          </cell>
          <cell r="I2047" t="str">
            <v/>
          </cell>
          <cell r="J2047" t="str">
            <v/>
          </cell>
          <cell r="K2047" t="str">
            <v>VİTALE</v>
          </cell>
          <cell r="L2047" t="str">
            <v/>
          </cell>
          <cell r="M2047" t="str">
            <v/>
          </cell>
          <cell r="N2047" t="str">
            <v>HKA-250084</v>
          </cell>
          <cell r="O2047" t="str">
            <v>HEKA</v>
          </cell>
          <cell r="P2047" t="str">
            <v>ADET</v>
          </cell>
          <cell r="R2047" t="str">
            <v>SERAMİK</v>
          </cell>
          <cell r="S2047" t="str">
            <v>BEYAZ</v>
          </cell>
          <cell r="AF2047">
            <v>1</v>
          </cell>
          <cell r="AG2047" t="str">
            <v>ADET</v>
          </cell>
          <cell r="AH2047">
            <v>2295.2199999999998</v>
          </cell>
          <cell r="AI2047" t="str">
            <v>TL</v>
          </cell>
          <cell r="AL2047">
            <v>0</v>
          </cell>
          <cell r="AO2047">
            <v>0</v>
          </cell>
          <cell r="AQ2047">
            <v>49</v>
          </cell>
          <cell r="AR2047" t="str">
            <v>CM</v>
          </cell>
          <cell r="AS2047">
            <v>22</v>
          </cell>
          <cell r="AT2047" t="str">
            <v>CM</v>
          </cell>
          <cell r="AU2047">
            <v>0</v>
          </cell>
          <cell r="AW2047">
            <v>0</v>
          </cell>
        </row>
        <row r="2048">
          <cell r="B2048" t="str">
            <v>ADFVYRV0000-137</v>
          </cell>
          <cell r="C2048" t="str">
            <v>VİTALE KAHVE BEZELYE DALI 137 CM</v>
          </cell>
          <cell r="D2048" t="str">
            <v>VİTALE BROWN PEA BRANCH 137 CM</v>
          </cell>
          <cell r="E2048" t="str">
            <v>POLYESTER YOK KAHVERENGİ YOK</v>
          </cell>
          <cell r="F2048" t="str">
            <v/>
          </cell>
          <cell r="G2048" t="str">
            <v>AKSESUAR</v>
          </cell>
          <cell r="H2048" t="str">
            <v/>
          </cell>
          <cell r="I2048" t="str">
            <v/>
          </cell>
          <cell r="J2048" t="str">
            <v/>
          </cell>
          <cell r="K2048" t="str">
            <v>VİTALE</v>
          </cell>
          <cell r="L2048" t="str">
            <v/>
          </cell>
          <cell r="M2048" t="str">
            <v/>
          </cell>
          <cell r="N2048" t="str">
            <v>HKA-250091</v>
          </cell>
          <cell r="O2048" t="str">
            <v>HEKA</v>
          </cell>
          <cell r="P2048" t="str">
            <v>ADET</v>
          </cell>
          <cell r="R2048" t="str">
            <v>POLYESTER</v>
          </cell>
          <cell r="S2048" t="str">
            <v>KAHVERENGİ</v>
          </cell>
          <cell r="AF2048">
            <v>3</v>
          </cell>
          <cell r="AG2048" t="str">
            <v>ADET</v>
          </cell>
          <cell r="AH2048">
            <v>1275.56</v>
          </cell>
          <cell r="AI2048" t="str">
            <v>TL</v>
          </cell>
          <cell r="AL2048">
            <v>0</v>
          </cell>
          <cell r="AO2048">
            <v>0</v>
          </cell>
          <cell r="AQ2048">
            <v>0</v>
          </cell>
          <cell r="AS2048">
            <v>0</v>
          </cell>
          <cell r="AU2048">
            <v>0</v>
          </cell>
          <cell r="AW2048">
            <v>0</v>
          </cell>
        </row>
        <row r="2049">
          <cell r="B2049" t="str">
            <v>ADFVYRV0000-053</v>
          </cell>
          <cell r="C2049" t="str">
            <v>VİTALE DEVEDİKENİ DALI 53 CM</v>
          </cell>
          <cell r="D2049" t="str">
            <v>VİTALE THISTLE BRANCH 53 CM</v>
          </cell>
          <cell r="E2049" t="str">
            <v>POLYESTER YOK KAHVERENGİ YOK</v>
          </cell>
          <cell r="F2049" t="str">
            <v/>
          </cell>
          <cell r="G2049" t="str">
            <v>AKSESUAR</v>
          </cell>
          <cell r="H2049" t="str">
            <v/>
          </cell>
          <cell r="I2049" t="str">
            <v/>
          </cell>
          <cell r="J2049" t="str">
            <v/>
          </cell>
          <cell r="K2049" t="str">
            <v>VİTALE</v>
          </cell>
          <cell r="L2049" t="str">
            <v/>
          </cell>
          <cell r="M2049" t="str">
            <v/>
          </cell>
          <cell r="N2049" t="str">
            <v>HKA-250093</v>
          </cell>
          <cell r="O2049" t="str">
            <v>HEKA</v>
          </cell>
          <cell r="P2049" t="str">
            <v>ADET</v>
          </cell>
          <cell r="R2049" t="str">
            <v>POLYESTER</v>
          </cell>
          <cell r="S2049" t="str">
            <v>KAHVERENGİ</v>
          </cell>
          <cell r="AF2049">
            <v>3</v>
          </cell>
          <cell r="AG2049" t="str">
            <v>ADET</v>
          </cell>
          <cell r="AH2049">
            <v>627.97</v>
          </cell>
          <cell r="AI2049" t="str">
            <v>TL</v>
          </cell>
          <cell r="AL2049">
            <v>0</v>
          </cell>
          <cell r="AO2049">
            <v>0</v>
          </cell>
          <cell r="AQ2049">
            <v>0</v>
          </cell>
          <cell r="AS2049">
            <v>0</v>
          </cell>
          <cell r="AU2049">
            <v>0</v>
          </cell>
          <cell r="AW2049">
            <v>0</v>
          </cell>
        </row>
        <row r="2050">
          <cell r="B2050" t="str">
            <v>CE2D1C302F8J0</v>
          </cell>
          <cell r="C2050" t="str">
            <v>ERD-323 G95 ŞEFFAF 7W 6500K E27 LED AMPUL</v>
          </cell>
          <cell r="D2050" t="str">
            <v>ERD-323 G95 CLEAR 7W 6500K E27 LED BULB</v>
          </cell>
          <cell r="E2050" t="str">
            <v xml:space="preserve">CAM  ŞEFFAF </v>
          </cell>
          <cell r="F2050" t="str">
            <v/>
          </cell>
          <cell r="G2050" t="str">
            <v>AMPUL</v>
          </cell>
          <cell r="H2050" t="str">
            <v/>
          </cell>
          <cell r="I2050" t="str">
            <v/>
          </cell>
          <cell r="J2050" t="str">
            <v/>
          </cell>
          <cell r="K2050" t="str">
            <v>ERD-323</v>
          </cell>
          <cell r="L2050" t="str">
            <v/>
          </cell>
          <cell r="M2050" t="str">
            <v/>
          </cell>
          <cell r="N2050" t="str">
            <v>ERD-323</v>
          </cell>
          <cell r="O2050" t="str">
            <v>HEKA</v>
          </cell>
          <cell r="P2050" t="str">
            <v>ADET</v>
          </cell>
          <cell r="Q2050" t="str">
            <v>E27</v>
          </cell>
          <cell r="R2050" t="str">
            <v>CAM</v>
          </cell>
          <cell r="S2050" t="str">
            <v>ŞEFFAF</v>
          </cell>
          <cell r="V2050" t="str">
            <v>D</v>
          </cell>
          <cell r="W2050" t="str">
            <v>FLAMENT</v>
          </cell>
          <cell r="X2050" t="str">
            <v>220V</v>
          </cell>
          <cell r="Y2050" t="str">
            <v>7 WATT</v>
          </cell>
          <cell r="Z2050" t="str">
            <v>6500 K</v>
          </cell>
          <cell r="AA2050" t="str">
            <v>DIMMSIZ</v>
          </cell>
          <cell r="AB2050" t="str">
            <v>901-1000</v>
          </cell>
          <cell r="AC2050" t="str">
            <v>G95-TOP</v>
          </cell>
          <cell r="AG2050" t="str">
            <v>ADET</v>
          </cell>
          <cell r="AL2050">
            <v>0</v>
          </cell>
          <cell r="AM2050" t="str">
            <v>8684127519625</v>
          </cell>
          <cell r="AN2050" t="str">
            <v>8684127519632</v>
          </cell>
          <cell r="AO2050">
            <v>0</v>
          </cell>
          <cell r="AQ2050">
            <v>0</v>
          </cell>
          <cell r="AS2050">
            <v>0</v>
          </cell>
          <cell r="AU2050">
            <v>0</v>
          </cell>
          <cell r="AW2050">
            <v>0</v>
          </cell>
        </row>
        <row r="2051">
          <cell r="B2051" t="str">
            <v>CE2E1C102I3L1</v>
          </cell>
          <cell r="C2051" t="str">
            <v>ERD-316 G95 BAL 10W 2500K E27 LED AMPUL</v>
          </cell>
          <cell r="D2051" t="str">
            <v>ERD-316 G95 AMBER 10W 2500K E27 LED BULB</v>
          </cell>
          <cell r="E2051" t="str">
            <v xml:space="preserve">CAM  BAL </v>
          </cell>
          <cell r="F2051" t="str">
            <v/>
          </cell>
          <cell r="G2051" t="str">
            <v>AMPUL</v>
          </cell>
          <cell r="H2051" t="str">
            <v/>
          </cell>
          <cell r="I2051" t="str">
            <v/>
          </cell>
          <cell r="J2051" t="str">
            <v/>
          </cell>
          <cell r="K2051" t="str">
            <v>ERD-316</v>
          </cell>
          <cell r="L2051" t="str">
            <v/>
          </cell>
          <cell r="M2051" t="str">
            <v/>
          </cell>
          <cell r="N2051" t="str">
            <v>ERD-316</v>
          </cell>
          <cell r="O2051" t="str">
            <v>HEKA</v>
          </cell>
          <cell r="P2051" t="str">
            <v>ADET</v>
          </cell>
          <cell r="Q2051" t="str">
            <v>E27</v>
          </cell>
          <cell r="R2051" t="str">
            <v>CAM</v>
          </cell>
          <cell r="S2051" t="str">
            <v>BAL</v>
          </cell>
          <cell r="V2051" t="str">
            <v>E</v>
          </cell>
          <cell r="W2051" t="str">
            <v>FLAMENT</v>
          </cell>
          <cell r="X2051" t="str">
            <v>220V</v>
          </cell>
          <cell r="Y2051" t="str">
            <v>10 WATT</v>
          </cell>
          <cell r="Z2051" t="str">
            <v>2500 K</v>
          </cell>
          <cell r="AA2051" t="str">
            <v>DIMMLI</v>
          </cell>
          <cell r="AB2051" t="str">
            <v>1101-1200</v>
          </cell>
          <cell r="AC2051" t="str">
            <v>G95-TOP</v>
          </cell>
          <cell r="AG2051" t="str">
            <v>ADET</v>
          </cell>
          <cell r="AL2051">
            <v>0</v>
          </cell>
          <cell r="AM2051" t="str">
            <v>8684127519663</v>
          </cell>
          <cell r="AN2051" t="str">
            <v>8684127519670</v>
          </cell>
          <cell r="AO2051">
            <v>0</v>
          </cell>
          <cell r="AQ2051">
            <v>0</v>
          </cell>
          <cell r="AS2051">
            <v>0</v>
          </cell>
          <cell r="AU2051">
            <v>0</v>
          </cell>
          <cell r="AW2051">
            <v>0</v>
          </cell>
        </row>
        <row r="2052">
          <cell r="B2052" t="str">
            <v>H1C6YRBJRS0-130</v>
          </cell>
          <cell r="C2052" t="str">
            <v>GALAXY BEYAZ SOFT TOUCH DALGA SARKIT 130cm</v>
          </cell>
          <cell r="D2052" t="str">
            <v>GALAXY WHITE SOFT TOUCH WAVE PENDANT LAMP 130cm</v>
          </cell>
          <cell r="E2052" t="str">
            <v xml:space="preserve">POLİMER METAL BEYAZ SİYAH   </v>
          </cell>
          <cell r="F2052" t="str">
            <v/>
          </cell>
          <cell r="G2052" t="str">
            <v>AVİZE</v>
          </cell>
          <cell r="H2052" t="str">
            <v/>
          </cell>
          <cell r="I2052" t="str">
            <v>İÇ</v>
          </cell>
          <cell r="J2052" t="str">
            <v>AVİZE</v>
          </cell>
          <cell r="K2052" t="str">
            <v>GALAXY</v>
          </cell>
          <cell r="L2052" t="str">
            <v/>
          </cell>
          <cell r="M2052" t="str">
            <v>ÜRTM:45GÜN</v>
          </cell>
          <cell r="N2052" t="str">
            <v>HKA-25040</v>
          </cell>
          <cell r="O2052" t="str">
            <v>HEKA</v>
          </cell>
          <cell r="P2052" t="str">
            <v>ADET</v>
          </cell>
          <cell r="Q2052" t="str">
            <v>LED</v>
          </cell>
          <cell r="R2052" t="str">
            <v>POLİMER</v>
          </cell>
          <cell r="S2052" t="str">
            <v>BEYAZ</v>
          </cell>
          <cell r="T2052" t="str">
            <v>METAL</v>
          </cell>
          <cell r="U2052" t="str">
            <v>SİYAH</v>
          </cell>
          <cell r="AD2052" t="str">
            <v>N/A</v>
          </cell>
          <cell r="AF2052">
            <v>1</v>
          </cell>
          <cell r="AG2052" t="str">
            <v>ADET</v>
          </cell>
          <cell r="AH2052">
            <v>650</v>
          </cell>
          <cell r="AI2052" t="str">
            <v>TL</v>
          </cell>
          <cell r="AJ2052">
            <v>59500</v>
          </cell>
          <cell r="AK2052" t="str">
            <v>TL</v>
          </cell>
          <cell r="AL2052">
            <v>0</v>
          </cell>
          <cell r="AM2052" t="str">
            <v>8684127516433</v>
          </cell>
          <cell r="AO2052">
            <v>0</v>
          </cell>
          <cell r="AQ2052">
            <v>0</v>
          </cell>
          <cell r="AS2052">
            <v>0</v>
          </cell>
          <cell r="AU2052">
            <v>0</v>
          </cell>
          <cell r="AW2052">
            <v>0</v>
          </cell>
        </row>
        <row r="2053">
          <cell r="B2053" t="str">
            <v>ATYHERBHMG0-120</v>
          </cell>
          <cell r="C2053" t="str">
            <v>GOLD KABARTMALI TABLO 90x120CM</v>
          </cell>
          <cell r="D2053" t="str">
            <v>GOLD EMBOSSED TABLE 90x120CM</v>
          </cell>
          <cell r="E2053" t="str">
            <v>CAM  KUMAŞ BEYAZ GOLD</v>
          </cell>
          <cell r="F2053" t="str">
            <v/>
          </cell>
          <cell r="G2053" t="str">
            <v>AKSESUAR</v>
          </cell>
          <cell r="H2053" t="str">
            <v/>
          </cell>
          <cell r="I2053" t="str">
            <v/>
          </cell>
          <cell r="J2053" t="str">
            <v>AKSESUAR</v>
          </cell>
          <cell r="K2053" t="str">
            <v>HEKA</v>
          </cell>
          <cell r="L2053" t="str">
            <v/>
          </cell>
          <cell r="M2053" t="str">
            <v/>
          </cell>
          <cell r="N2053" t="str">
            <v>HKA-250017</v>
          </cell>
          <cell r="O2053" t="str">
            <v>HEKA</v>
          </cell>
          <cell r="P2053" t="str">
            <v>ADET</v>
          </cell>
          <cell r="R2053" t="str">
            <v>CAM</v>
          </cell>
          <cell r="S2053" t="str">
            <v>BEYAZ</v>
          </cell>
          <cell r="T2053" t="str">
            <v>KUMAŞ</v>
          </cell>
          <cell r="U2053" t="str">
            <v>GOLD</v>
          </cell>
          <cell r="AF2053">
            <v>1</v>
          </cell>
          <cell r="AG2053" t="str">
            <v>ADET</v>
          </cell>
          <cell r="AH2053">
            <v>6790</v>
          </cell>
          <cell r="AI2053" t="str">
            <v>TL</v>
          </cell>
          <cell r="AJ2053">
            <v>16296</v>
          </cell>
          <cell r="AK2053" t="str">
            <v>TL</v>
          </cell>
          <cell r="AL2053">
            <v>1</v>
          </cell>
          <cell r="AO2053">
            <v>0</v>
          </cell>
          <cell r="AQ2053">
            <v>0</v>
          </cell>
          <cell r="AS2053">
            <v>90</v>
          </cell>
          <cell r="AT2053" t="str">
            <v>CM</v>
          </cell>
          <cell r="AU2053">
            <v>0</v>
          </cell>
          <cell r="AW2053">
            <v>0</v>
          </cell>
        </row>
        <row r="2054">
          <cell r="B2054" t="str">
            <v>ADYHURY0002-023</v>
          </cell>
          <cell r="C2054" t="str">
            <v>YEŞİL BORDO KÜP 23x36CM</v>
          </cell>
          <cell r="D2054" t="str">
            <v>GREEN CLARET CUBE 23x36CM</v>
          </cell>
          <cell r="E2054" t="str">
            <v>SERAMİK YOK YEŞİL YOK</v>
          </cell>
          <cell r="F2054" t="str">
            <v/>
          </cell>
          <cell r="G2054" t="str">
            <v>AKSESUAR</v>
          </cell>
          <cell r="H2054" t="str">
            <v/>
          </cell>
          <cell r="I2054" t="str">
            <v>İÇ</v>
          </cell>
          <cell r="J2054" t="str">
            <v>AKSESUAR</v>
          </cell>
          <cell r="K2054" t="str">
            <v>HEKA</v>
          </cell>
          <cell r="L2054" t="str">
            <v/>
          </cell>
          <cell r="M2054" t="str">
            <v/>
          </cell>
          <cell r="N2054" t="str">
            <v>HKA-250024</v>
          </cell>
          <cell r="O2054" t="str">
            <v>HEKA</v>
          </cell>
          <cell r="P2054" t="str">
            <v>ADET</v>
          </cell>
          <cell r="R2054" t="str">
            <v>SERAMİK</v>
          </cell>
          <cell r="S2054" t="str">
            <v>YEŞİL</v>
          </cell>
          <cell r="T2054" t="str">
            <v>YOK</v>
          </cell>
          <cell r="U2054" t="str">
            <v>YOK</v>
          </cell>
          <cell r="AD2054" t="str">
            <v>BİBLO</v>
          </cell>
          <cell r="AF2054">
            <v>1</v>
          </cell>
          <cell r="AG2054" t="str">
            <v>ADET</v>
          </cell>
          <cell r="AH2054">
            <v>2174</v>
          </cell>
          <cell r="AI2054" t="str">
            <v>TL</v>
          </cell>
          <cell r="AJ2054">
            <v>5217.6000000000004</v>
          </cell>
          <cell r="AK2054" t="str">
            <v>TL</v>
          </cell>
          <cell r="AL2054">
            <v>1</v>
          </cell>
          <cell r="AO2054">
            <v>0</v>
          </cell>
          <cell r="AQ2054">
            <v>23</v>
          </cell>
          <cell r="AR2054" t="str">
            <v>CM</v>
          </cell>
          <cell r="AS2054">
            <v>23</v>
          </cell>
          <cell r="AT2054" t="str">
            <v>CM</v>
          </cell>
          <cell r="AU2054">
            <v>0</v>
          </cell>
          <cell r="AW2054">
            <v>0</v>
          </cell>
        </row>
        <row r="2055">
          <cell r="B2055" t="str">
            <v>H1C6JMPWRFD-157</v>
          </cell>
          <cell r="C2055" t="str">
            <v>PONTE MERMER PLATİN Y.MASASI AVİZE 157CM</v>
          </cell>
          <cell r="D2055" t="str">
            <v>PONTE MARBLE PLATINUM DINNING ROOM CHANDELIER 157CM</v>
          </cell>
          <cell r="E2055" t="str">
            <v>METAL MERMER PLATİN BEYAZ</v>
          </cell>
          <cell r="F2055" t="str">
            <v/>
          </cell>
          <cell r="G2055" t="str">
            <v>AVİZE</v>
          </cell>
          <cell r="H2055" t="str">
            <v/>
          </cell>
          <cell r="I2055" t="str">
            <v>İÇ</v>
          </cell>
          <cell r="J2055" t="str">
            <v>AVİZE</v>
          </cell>
          <cell r="K2055" t="str">
            <v>PONTE</v>
          </cell>
          <cell r="L2055" t="str">
            <v/>
          </cell>
          <cell r="M2055" t="str">
            <v/>
          </cell>
          <cell r="N2055" t="str">
            <v>HKA-25049</v>
          </cell>
          <cell r="O2055" t="str">
            <v>HEKA</v>
          </cell>
          <cell r="P2055" t="str">
            <v>ADET</v>
          </cell>
          <cell r="Q2055" t="str">
            <v>LED</v>
          </cell>
          <cell r="R2055" t="str">
            <v>METAL</v>
          </cell>
          <cell r="S2055" t="str">
            <v>PLATİN</v>
          </cell>
          <cell r="T2055" t="str">
            <v>MERMER</v>
          </cell>
          <cell r="U2055" t="str">
            <v>BEYAZ</v>
          </cell>
          <cell r="Y2055" t="str">
            <v>100 WATT</v>
          </cell>
          <cell r="Z2055" t="str">
            <v>3000 K</v>
          </cell>
          <cell r="AA2055" t="str">
            <v>DIMMLI</v>
          </cell>
          <cell r="AD2055" t="str">
            <v>DİKDÖRTGEN</v>
          </cell>
          <cell r="AE2055" t="str">
            <v>01</v>
          </cell>
          <cell r="AF2055">
            <v>25</v>
          </cell>
          <cell r="AG2055" t="str">
            <v>ADET</v>
          </cell>
          <cell r="AH2055">
            <v>10246.5</v>
          </cell>
          <cell r="AI2055" t="str">
            <v>TL</v>
          </cell>
          <cell r="AL2055">
            <v>1</v>
          </cell>
          <cell r="AM2055" t="str">
            <v>8684127516761</v>
          </cell>
          <cell r="AO2055">
            <v>0</v>
          </cell>
          <cell r="AQ2055">
            <v>0</v>
          </cell>
          <cell r="AS2055">
            <v>0</v>
          </cell>
          <cell r="AU2055">
            <v>0</v>
          </cell>
          <cell r="AW2055">
            <v>0</v>
          </cell>
        </row>
        <row r="2056">
          <cell r="B2056" t="str">
            <v>H1W6JMELRBH-052</v>
          </cell>
          <cell r="C2056" t="str">
            <v>ARNE  ESKİTME LED APLİK 52CM</v>
          </cell>
          <cell r="D2056" t="str">
            <v>ARNE BRUSHED BRASS LED WALL LAMP 52CM</v>
          </cell>
          <cell r="E2056" t="str">
            <v>METAL PLEKSİ ESKİTME BEYAZ</v>
          </cell>
          <cell r="F2056" t="str">
            <v/>
          </cell>
          <cell r="G2056" t="str">
            <v>APLİK</v>
          </cell>
          <cell r="H2056" t="str">
            <v/>
          </cell>
          <cell r="I2056" t="str">
            <v>İÇ</v>
          </cell>
          <cell r="J2056" t="str">
            <v>APLİK</v>
          </cell>
          <cell r="K2056" t="str">
            <v>ARNE</v>
          </cell>
          <cell r="L2056" t="str">
            <v/>
          </cell>
          <cell r="M2056" t="str">
            <v/>
          </cell>
          <cell r="N2056" t="str">
            <v>HKA-25056</v>
          </cell>
          <cell r="O2056" t="str">
            <v>HEKA</v>
          </cell>
          <cell r="P2056" t="str">
            <v>ADET</v>
          </cell>
          <cell r="Q2056" t="str">
            <v>LED</v>
          </cell>
          <cell r="R2056" t="str">
            <v>METAL</v>
          </cell>
          <cell r="S2056" t="str">
            <v>ESKİTME</v>
          </cell>
          <cell r="T2056" t="str">
            <v>PLEKSİ</v>
          </cell>
          <cell r="U2056" t="str">
            <v>BEYAZ</v>
          </cell>
          <cell r="Z2056" t="str">
            <v>3000 K</v>
          </cell>
          <cell r="AA2056" t="str">
            <v>DIMMSIZ</v>
          </cell>
          <cell r="AD2056" t="str">
            <v>HAREKETLİ</v>
          </cell>
          <cell r="AE2056" t="str">
            <v>01</v>
          </cell>
          <cell r="AF2056">
            <v>100</v>
          </cell>
          <cell r="AG2056" t="str">
            <v>ADET</v>
          </cell>
          <cell r="AH2056">
            <v>72.75</v>
          </cell>
          <cell r="AI2056" t="str">
            <v>CNY</v>
          </cell>
          <cell r="AL2056">
            <v>1</v>
          </cell>
          <cell r="AM2056" t="str">
            <v>8684127516839</v>
          </cell>
          <cell r="AO2056">
            <v>0</v>
          </cell>
          <cell r="AQ2056">
            <v>0</v>
          </cell>
          <cell r="AS2056">
            <v>0</v>
          </cell>
          <cell r="AU2056">
            <v>0</v>
          </cell>
          <cell r="AW2056">
            <v>0</v>
          </cell>
        </row>
        <row r="2057">
          <cell r="B2057" t="str">
            <v>H1C1KMEECSV-085</v>
          </cell>
          <cell r="C2057" t="str">
            <v>LUCETTA ŞEFFAF KRİSTAL ESKİTME SALON AVİZE</v>
          </cell>
          <cell r="D2057" t="str">
            <v>LUCETTA CLEAR CRYSTAL BRUSHED BRASS LIVING ROOM CHANDELIER</v>
          </cell>
          <cell r="E2057" t="str">
            <v>PASLANMAZ CAM ESKİTME ŞEFFAF</v>
          </cell>
          <cell r="F2057" t="str">
            <v/>
          </cell>
          <cell r="G2057" t="str">
            <v>AVİZE</v>
          </cell>
          <cell r="H2057" t="str">
            <v/>
          </cell>
          <cell r="I2057" t="str">
            <v>İÇ</v>
          </cell>
          <cell r="J2057" t="str">
            <v>AVİZE</v>
          </cell>
          <cell r="K2057" t="str">
            <v>LUCETTA</v>
          </cell>
          <cell r="L2057" t="str">
            <v/>
          </cell>
          <cell r="M2057" t="str">
            <v/>
          </cell>
          <cell r="N2057" t="str">
            <v>HKA-25063</v>
          </cell>
          <cell r="O2057" t="str">
            <v>HEKA</v>
          </cell>
          <cell r="P2057" t="str">
            <v>ADET</v>
          </cell>
          <cell r="Q2057" t="str">
            <v>E14</v>
          </cell>
          <cell r="R2057" t="str">
            <v>PASLANMAZ</v>
          </cell>
          <cell r="S2057" t="str">
            <v>ESKİTME</v>
          </cell>
          <cell r="T2057" t="str">
            <v>CAM</v>
          </cell>
          <cell r="U2057" t="str">
            <v>ŞEFFAF</v>
          </cell>
          <cell r="AD2057" t="str">
            <v>YAMUK</v>
          </cell>
          <cell r="AE2057" t="str">
            <v>8</v>
          </cell>
          <cell r="AF2057">
            <v>15</v>
          </cell>
          <cell r="AG2057" t="str">
            <v>ADET</v>
          </cell>
          <cell r="AH2057">
            <v>2855.6</v>
          </cell>
          <cell r="AI2057" t="str">
            <v>CNY</v>
          </cell>
          <cell r="AL2057">
            <v>1</v>
          </cell>
          <cell r="AM2057" t="str">
            <v>8684127516907</v>
          </cell>
          <cell r="AO2057">
            <v>0</v>
          </cell>
          <cell r="AQ2057">
            <v>85</v>
          </cell>
          <cell r="AS2057">
            <v>85</v>
          </cell>
          <cell r="AU2057">
            <v>0</v>
          </cell>
          <cell r="AW2057">
            <v>0</v>
          </cell>
        </row>
        <row r="2058">
          <cell r="B2058" t="str">
            <v>H1W3JMEECBD-060</v>
          </cell>
          <cell r="C2058" t="str">
            <v>LUMİ CAMLI ESKİTME APLİK 60CM</v>
          </cell>
          <cell r="D2058" t="str">
            <v>LUMİ GLASS BRUSHED BRASS WALL LAMP 60CM</v>
          </cell>
          <cell r="E2058" t="str">
            <v>METAL CAM ESKİTME BUZLU</v>
          </cell>
          <cell r="F2058" t="str">
            <v/>
          </cell>
          <cell r="G2058" t="str">
            <v>APLİK</v>
          </cell>
          <cell r="H2058" t="str">
            <v/>
          </cell>
          <cell r="I2058" t="str">
            <v>İÇ</v>
          </cell>
          <cell r="J2058" t="str">
            <v>APLİK</v>
          </cell>
          <cell r="K2058" t="str">
            <v>LUMİ</v>
          </cell>
          <cell r="L2058" t="str">
            <v/>
          </cell>
          <cell r="M2058" t="str">
            <v/>
          </cell>
          <cell r="N2058" t="str">
            <v>HKA-25074</v>
          </cell>
          <cell r="O2058" t="str">
            <v>HEKA</v>
          </cell>
          <cell r="P2058" t="str">
            <v>ADET</v>
          </cell>
          <cell r="Q2058" t="str">
            <v>G9</v>
          </cell>
          <cell r="R2058" t="str">
            <v>METAL</v>
          </cell>
          <cell r="S2058" t="str">
            <v>ESKİTME</v>
          </cell>
          <cell r="T2058" t="str">
            <v>CAM</v>
          </cell>
          <cell r="U2058" t="str">
            <v>BUZLU</v>
          </cell>
          <cell r="AD2058" t="str">
            <v>DİKDÖRTGEN</v>
          </cell>
          <cell r="AE2058" t="str">
            <v>07</v>
          </cell>
          <cell r="AF2058">
            <v>15</v>
          </cell>
          <cell r="AG2058" t="str">
            <v>ADET</v>
          </cell>
          <cell r="AH2058">
            <v>284</v>
          </cell>
          <cell r="AI2058" t="str">
            <v>CNY</v>
          </cell>
          <cell r="AL2058">
            <v>1</v>
          </cell>
          <cell r="AM2058" t="str">
            <v>8684127517010</v>
          </cell>
          <cell r="AO2058">
            <v>0</v>
          </cell>
          <cell r="AQ2058">
            <v>10</v>
          </cell>
          <cell r="AS2058">
            <v>10</v>
          </cell>
          <cell r="AU2058">
            <v>0</v>
          </cell>
          <cell r="AW2058">
            <v>0</v>
          </cell>
        </row>
        <row r="2059">
          <cell r="B2059" t="str">
            <v>H1C6RMEWRFV-117</v>
          </cell>
          <cell r="C2059" t="str">
            <v>ALBATRE PİRİNÇ DÖKÜMLÜ MERMERLİ SARKIT 117 CM</v>
          </cell>
          <cell r="D2059" t="str">
            <v>ALBATRE BRASS CASTING MARBLE PENDANT 117CM</v>
          </cell>
          <cell r="E2059" t="str">
            <v>PRİNÇ MERMER ESKİTME BEYAZ</v>
          </cell>
          <cell r="F2059" t="str">
            <v/>
          </cell>
          <cell r="G2059" t="str">
            <v>AVİZE</v>
          </cell>
          <cell r="H2059" t="str">
            <v/>
          </cell>
          <cell r="I2059" t="str">
            <v>İÇ</v>
          </cell>
          <cell r="J2059" t="str">
            <v>AVİZE.SARK</v>
          </cell>
          <cell r="K2059" t="str">
            <v>ALBATRE</v>
          </cell>
          <cell r="L2059" t="str">
            <v/>
          </cell>
          <cell r="M2059" t="str">
            <v/>
          </cell>
          <cell r="N2059" t="str">
            <v>HKA-25092</v>
          </cell>
          <cell r="O2059" t="str">
            <v>HEKA</v>
          </cell>
          <cell r="P2059" t="str">
            <v>ADET</v>
          </cell>
          <cell r="Q2059" t="str">
            <v>LED</v>
          </cell>
          <cell r="R2059" t="str">
            <v>PİRİNÇ</v>
          </cell>
          <cell r="S2059" t="str">
            <v>ESKİTME</v>
          </cell>
          <cell r="T2059" t="str">
            <v>MERMER</v>
          </cell>
          <cell r="U2059" t="str">
            <v>BEYAZ</v>
          </cell>
          <cell r="AD2059" t="str">
            <v>YAMUK</v>
          </cell>
          <cell r="AF2059">
            <v>6</v>
          </cell>
          <cell r="AG2059" t="str">
            <v>ADET</v>
          </cell>
          <cell r="AH2059">
            <v>2622</v>
          </cell>
          <cell r="AI2059" t="str">
            <v>CNY</v>
          </cell>
          <cell r="AL2059">
            <v>1</v>
          </cell>
          <cell r="AM2059" t="str">
            <v>8684127517072</v>
          </cell>
          <cell r="AO2059">
            <v>0</v>
          </cell>
          <cell r="AQ2059">
            <v>117</v>
          </cell>
          <cell r="AR2059" t="str">
            <v>CM</v>
          </cell>
          <cell r="AS2059">
            <v>62</v>
          </cell>
          <cell r="AT2059" t="str">
            <v>CM</v>
          </cell>
          <cell r="AU2059">
            <v>0</v>
          </cell>
          <cell r="AW2059">
            <v>0</v>
          </cell>
        </row>
        <row r="2060">
          <cell r="B2060" t="str">
            <v>H1C6CANBRBK-084</v>
          </cell>
          <cell r="C2060" t="str">
            <v>STELLA MAT NİKEL ALUMİNYUM SALON AVİZE 84CM</v>
          </cell>
          <cell r="D2060" t="str">
            <v>STELLA MATTE NICKEL ALUMINUM LIVING ROOM CHANDELIER 84CM</v>
          </cell>
          <cell r="E2060" t="str">
            <v>ALUMİNYUM AKRiLİK MAT NİKEL BEYAZ</v>
          </cell>
          <cell r="F2060" t="str">
            <v/>
          </cell>
          <cell r="G2060" t="str">
            <v>AVİZE</v>
          </cell>
          <cell r="H2060" t="str">
            <v/>
          </cell>
          <cell r="I2060" t="str">
            <v>İÇ</v>
          </cell>
          <cell r="J2060" t="str">
            <v>AVİZE</v>
          </cell>
          <cell r="K2060" t="str">
            <v>STELLA</v>
          </cell>
          <cell r="L2060" t="str">
            <v/>
          </cell>
          <cell r="M2060" t="str">
            <v/>
          </cell>
          <cell r="N2060" t="str">
            <v>HKA-25100</v>
          </cell>
          <cell r="O2060" t="str">
            <v>HEKA</v>
          </cell>
          <cell r="P2060" t="str">
            <v>ADET</v>
          </cell>
          <cell r="Q2060" t="str">
            <v>LED</v>
          </cell>
          <cell r="R2060" t="str">
            <v>ALUMİNYUM</v>
          </cell>
          <cell r="S2060" t="str">
            <v>MAT NİKEL</v>
          </cell>
          <cell r="T2060" t="str">
            <v>AKRİLİK</v>
          </cell>
          <cell r="U2060" t="str">
            <v>BEYAZ</v>
          </cell>
          <cell r="AA2060" t="str">
            <v>DIMMSIZ</v>
          </cell>
          <cell r="AD2060" t="str">
            <v>KARE</v>
          </cell>
          <cell r="AE2060" t="str">
            <v>01</v>
          </cell>
          <cell r="AF2060">
            <v>15</v>
          </cell>
          <cell r="AG2060" t="str">
            <v>ADET</v>
          </cell>
          <cell r="AH2060">
            <v>1628</v>
          </cell>
          <cell r="AI2060" t="str">
            <v>CNY</v>
          </cell>
          <cell r="AL2060">
            <v>1</v>
          </cell>
          <cell r="AM2060" t="str">
            <v>8684127518260</v>
          </cell>
          <cell r="AO2060">
            <v>0</v>
          </cell>
          <cell r="AQ2060">
            <v>84</v>
          </cell>
          <cell r="AR2060" t="str">
            <v>CM</v>
          </cell>
          <cell r="AS2060">
            <v>84</v>
          </cell>
          <cell r="AT2060" t="str">
            <v>CM</v>
          </cell>
          <cell r="AU2060">
            <v>0</v>
          </cell>
          <cell r="AW2060">
            <v>0</v>
          </cell>
        </row>
        <row r="2061">
          <cell r="B2061" t="str">
            <v>H1S6CME000Z-016</v>
          </cell>
          <cell r="C2061" t="str">
            <v>AVVENİ ESKİTME DÜZ SPOT 6x16 CM</v>
          </cell>
          <cell r="D2061" t="str">
            <v>AVVENİ BRUSHED BRASS PLAIN SPOTLIGHT 6x16 CM</v>
          </cell>
          <cell r="E2061" t="str">
            <v>ALUMİNYUM YOK SİYAH YOK</v>
          </cell>
          <cell r="F2061" t="str">
            <v/>
          </cell>
          <cell r="G2061" t="str">
            <v>OKUMA APLİKLERİ</v>
          </cell>
          <cell r="H2061" t="str">
            <v/>
          </cell>
          <cell r="I2061" t="str">
            <v>İÇ</v>
          </cell>
          <cell r="J2061" t="str">
            <v>OKUMA APLİ</v>
          </cell>
          <cell r="K2061" t="str">
            <v>AVVENİ</v>
          </cell>
          <cell r="L2061" t="str">
            <v>Y</v>
          </cell>
          <cell r="M2061" t="str">
            <v/>
          </cell>
          <cell r="N2061" t="str">
            <v>HKA-25165</v>
          </cell>
          <cell r="O2061" t="str">
            <v>HEKA</v>
          </cell>
          <cell r="P2061" t="str">
            <v>ADET</v>
          </cell>
          <cell r="Q2061" t="str">
            <v>LED</v>
          </cell>
          <cell r="R2061" t="str">
            <v>ALUMİNYUM</v>
          </cell>
          <cell r="S2061" t="str">
            <v>ESKİTME</v>
          </cell>
          <cell r="T2061" t="str">
            <v>YOK</v>
          </cell>
          <cell r="U2061" t="str">
            <v>YOK</v>
          </cell>
          <cell r="Z2061" t="str">
            <v>3000 K</v>
          </cell>
          <cell r="AA2061" t="str">
            <v>DIMMSIZ</v>
          </cell>
          <cell r="AD2061" t="str">
            <v>KOLLU</v>
          </cell>
          <cell r="AE2061" t="str">
            <v>01</v>
          </cell>
          <cell r="AF2061">
            <v>2000</v>
          </cell>
          <cell r="AG2061" t="str">
            <v>ADET</v>
          </cell>
          <cell r="AH2061">
            <v>32.979999999999997</v>
          </cell>
          <cell r="AI2061" t="str">
            <v>CNY</v>
          </cell>
          <cell r="AJ2061">
            <v>67</v>
          </cell>
          <cell r="AK2061" t="str">
            <v>USD</v>
          </cell>
          <cell r="AL2061">
            <v>1</v>
          </cell>
          <cell r="AM2061" t="str">
            <v>8684127517232</v>
          </cell>
          <cell r="AO2061">
            <v>0</v>
          </cell>
          <cell r="AQ2061">
            <v>3</v>
          </cell>
          <cell r="AR2061" t="str">
            <v>CM</v>
          </cell>
          <cell r="AS2061">
            <v>6</v>
          </cell>
          <cell r="AT2061" t="str">
            <v>CM</v>
          </cell>
          <cell r="AU2061">
            <v>0</v>
          </cell>
          <cell r="AW2061">
            <v>0</v>
          </cell>
        </row>
        <row r="2062">
          <cell r="B2062" t="str">
            <v>H1C6KRVWRFR-081</v>
          </cell>
          <cell r="C2062" t="str">
            <v>ENZO PASLANMAZ MERMER SALON AVİZE 81CM</v>
          </cell>
          <cell r="D2062" t="str">
            <v>ENZO STEEL MARBLE LIVING ROOM CHANDELIER 81CM</v>
          </cell>
          <cell r="E2062" t="str">
            <v>PASLANMAZ MERMER KAHVERENGİ BEYAZ</v>
          </cell>
          <cell r="F2062" t="str">
            <v/>
          </cell>
          <cell r="G2062" t="str">
            <v>AVİZE</v>
          </cell>
          <cell r="H2062" t="str">
            <v/>
          </cell>
          <cell r="I2062" t="str">
            <v>İÇ</v>
          </cell>
          <cell r="J2062" t="str">
            <v>AVİZE</v>
          </cell>
          <cell r="K2062" t="str">
            <v>ENZO</v>
          </cell>
          <cell r="L2062" t="str">
            <v/>
          </cell>
          <cell r="M2062" t="str">
            <v/>
          </cell>
          <cell r="N2062" t="str">
            <v>HKA-25105</v>
          </cell>
          <cell r="O2062" t="str">
            <v>HEKA</v>
          </cell>
          <cell r="P2062" t="str">
            <v>ADET</v>
          </cell>
          <cell r="Q2062" t="str">
            <v>LED</v>
          </cell>
          <cell r="R2062" t="str">
            <v>PASLANMAZ</v>
          </cell>
          <cell r="S2062" t="str">
            <v>KAHVERENGİ</v>
          </cell>
          <cell r="T2062" t="str">
            <v>MERMER</v>
          </cell>
          <cell r="U2062" t="str">
            <v>BEYAZ</v>
          </cell>
          <cell r="AA2062" t="str">
            <v>DIMMSIZ</v>
          </cell>
          <cell r="AD2062" t="str">
            <v>DAİRE</v>
          </cell>
          <cell r="AE2062" t="str">
            <v>01</v>
          </cell>
          <cell r="AF2062">
            <v>20</v>
          </cell>
          <cell r="AG2062" t="str">
            <v>ADET</v>
          </cell>
          <cell r="AH2062">
            <v>1225.9000000000001</v>
          </cell>
          <cell r="AI2062" t="str">
            <v>CNY</v>
          </cell>
          <cell r="AL2062">
            <v>1</v>
          </cell>
          <cell r="AM2062" t="str">
            <v>8684127517317</v>
          </cell>
          <cell r="AO2062">
            <v>0</v>
          </cell>
          <cell r="AQ2062">
            <v>81</v>
          </cell>
          <cell r="AR2062" t="str">
            <v>CM</v>
          </cell>
          <cell r="AS2062">
            <v>81</v>
          </cell>
          <cell r="AT2062" t="str">
            <v>CM</v>
          </cell>
          <cell r="AU2062">
            <v>0</v>
          </cell>
          <cell r="AW2062">
            <v>0</v>
          </cell>
        </row>
        <row r="2063">
          <cell r="B2063" t="str">
            <v>H1C6JMEERM1-030</v>
          </cell>
          <cell r="C2063" t="str">
            <v>SKYLİNE TEKLİ MAVİ CAM SARKIT 30cm</v>
          </cell>
          <cell r="D2063" t="str">
            <v>SYKLINE SINGLE BLUE GLASS PENDANT 30cm</v>
          </cell>
          <cell r="E2063" t="str">
            <v>METAL CAM ESKİTME MAVİ</v>
          </cell>
          <cell r="F2063" t="str">
            <v/>
          </cell>
          <cell r="G2063" t="str">
            <v>AVİZE</v>
          </cell>
          <cell r="H2063" t="str">
            <v/>
          </cell>
          <cell r="I2063" t="str">
            <v>İÇ</v>
          </cell>
          <cell r="J2063" t="str">
            <v>AVİZE.SARK</v>
          </cell>
          <cell r="K2063" t="str">
            <v/>
          </cell>
          <cell r="L2063" t="str">
            <v/>
          </cell>
          <cell r="M2063" t="str">
            <v/>
          </cell>
          <cell r="N2063" t="str">
            <v>HKA-25112</v>
          </cell>
          <cell r="O2063" t="str">
            <v>HEKA</v>
          </cell>
          <cell r="P2063" t="str">
            <v>ADET</v>
          </cell>
          <cell r="Q2063" t="str">
            <v>LED</v>
          </cell>
          <cell r="R2063" t="str">
            <v>METAL</v>
          </cell>
          <cell r="S2063" t="str">
            <v>ESKİTME</v>
          </cell>
          <cell r="T2063" t="str">
            <v>CAM</v>
          </cell>
          <cell r="U2063" t="str">
            <v>MAVİ</v>
          </cell>
          <cell r="AA2063" t="str">
            <v>DIMMSIZ</v>
          </cell>
          <cell r="AD2063" t="str">
            <v>TEKLİ</v>
          </cell>
          <cell r="AE2063" t="str">
            <v>01</v>
          </cell>
          <cell r="AF2063">
            <v>40</v>
          </cell>
          <cell r="AG2063" t="str">
            <v>ADET</v>
          </cell>
          <cell r="AH2063">
            <v>209</v>
          </cell>
          <cell r="AI2063" t="str">
            <v>CNY</v>
          </cell>
          <cell r="AL2063">
            <v>1</v>
          </cell>
          <cell r="AM2063" t="str">
            <v>8684127517386</v>
          </cell>
          <cell r="AO2063">
            <v>0</v>
          </cell>
          <cell r="AQ2063">
            <v>2</v>
          </cell>
          <cell r="AS2063">
            <v>30</v>
          </cell>
          <cell r="AU2063">
            <v>0</v>
          </cell>
          <cell r="AW2063">
            <v>0</v>
          </cell>
        </row>
        <row r="2064">
          <cell r="B2064" t="str">
            <v>H1C6JMEECS1-040</v>
          </cell>
          <cell r="C2064" t="str">
            <v>SKYLİNE TEKLİ ŞEFFAF CAM SARKIT 40cm</v>
          </cell>
          <cell r="D2064" t="str">
            <v>SYKLINE SINGLE CLEAR GLASS PENDANT 40cm</v>
          </cell>
          <cell r="E2064" t="str">
            <v>METAL CAM ESKİTME ŞEFFAF</v>
          </cell>
          <cell r="F2064" t="str">
            <v/>
          </cell>
          <cell r="G2064" t="str">
            <v>AVİZE</v>
          </cell>
          <cell r="H2064" t="str">
            <v/>
          </cell>
          <cell r="I2064" t="str">
            <v>İÇ</v>
          </cell>
          <cell r="J2064" t="str">
            <v>AVİZE.SARK</v>
          </cell>
          <cell r="K2064" t="str">
            <v>SKYLİNE</v>
          </cell>
          <cell r="L2064" t="str">
            <v/>
          </cell>
          <cell r="M2064" t="str">
            <v/>
          </cell>
          <cell r="N2064" t="str">
            <v>HKA-25116</v>
          </cell>
          <cell r="O2064" t="str">
            <v>HEKA</v>
          </cell>
          <cell r="P2064" t="str">
            <v>ADET</v>
          </cell>
          <cell r="Q2064" t="str">
            <v>LED</v>
          </cell>
          <cell r="R2064" t="str">
            <v>METAL</v>
          </cell>
          <cell r="S2064" t="str">
            <v>ESKİTME</v>
          </cell>
          <cell r="T2064" t="str">
            <v>CAM</v>
          </cell>
          <cell r="U2064" t="str">
            <v>ŞEFFAF</v>
          </cell>
          <cell r="AA2064" t="str">
            <v>DIMMSIZ</v>
          </cell>
          <cell r="AD2064" t="str">
            <v>TEKLİ</v>
          </cell>
          <cell r="AE2064" t="str">
            <v>01</v>
          </cell>
          <cell r="AF2064">
            <v>75</v>
          </cell>
          <cell r="AG2064" t="str">
            <v>ADET</v>
          </cell>
          <cell r="AH2064">
            <v>268</v>
          </cell>
          <cell r="AI2064" t="str">
            <v>CNY</v>
          </cell>
          <cell r="AL2064">
            <v>1</v>
          </cell>
          <cell r="AM2064" t="str">
            <v>8684127517423</v>
          </cell>
          <cell r="AO2064">
            <v>0</v>
          </cell>
          <cell r="AQ2064">
            <v>2</v>
          </cell>
          <cell r="AR2064" t="str">
            <v>CM</v>
          </cell>
          <cell r="AS2064">
            <v>40</v>
          </cell>
          <cell r="AT2064" t="str">
            <v>CM</v>
          </cell>
          <cell r="AU2064">
            <v>0</v>
          </cell>
          <cell r="AW2064">
            <v>0</v>
          </cell>
        </row>
        <row r="2065">
          <cell r="B2065" t="str">
            <v>H1W6JME000H-037</v>
          </cell>
          <cell r="C2065" t="str">
            <v>NATE  ESKİTME LED APLİK 37CM</v>
          </cell>
          <cell r="D2065" t="str">
            <v>NATE BRUSHED BRASS LED WALL LAMP 37CM</v>
          </cell>
          <cell r="E2065" t="str">
            <v>METAL YOK ESKİTME YOK</v>
          </cell>
          <cell r="F2065" t="str">
            <v/>
          </cell>
          <cell r="G2065" t="str">
            <v>APLİK</v>
          </cell>
          <cell r="H2065" t="str">
            <v/>
          </cell>
          <cell r="I2065" t="str">
            <v>İÇ</v>
          </cell>
          <cell r="J2065" t="str">
            <v>APLİK</v>
          </cell>
          <cell r="K2065" t="str">
            <v>NATE</v>
          </cell>
          <cell r="L2065" t="str">
            <v/>
          </cell>
          <cell r="M2065" t="str">
            <v/>
          </cell>
          <cell r="N2065" t="str">
            <v>HKA-25052</v>
          </cell>
          <cell r="O2065" t="str">
            <v>HEKA</v>
          </cell>
          <cell r="P2065" t="str">
            <v>ADET</v>
          </cell>
          <cell r="Q2065" t="str">
            <v>LED</v>
          </cell>
          <cell r="R2065" t="str">
            <v>METAL</v>
          </cell>
          <cell r="S2065" t="str">
            <v>ESKİTME</v>
          </cell>
          <cell r="T2065" t="str">
            <v>YOK</v>
          </cell>
          <cell r="U2065" t="str">
            <v>YOK</v>
          </cell>
          <cell r="Z2065" t="str">
            <v>3000 K</v>
          </cell>
          <cell r="AA2065" t="str">
            <v>DIMMSIZ</v>
          </cell>
          <cell r="AD2065" t="str">
            <v>HAREKETLİ</v>
          </cell>
          <cell r="AE2065" t="str">
            <v>01</v>
          </cell>
          <cell r="AF2065">
            <v>100</v>
          </cell>
          <cell r="AG2065" t="str">
            <v>ADET</v>
          </cell>
          <cell r="AH2065">
            <v>63.05</v>
          </cell>
          <cell r="AI2065" t="str">
            <v>CNY</v>
          </cell>
          <cell r="AL2065">
            <v>1</v>
          </cell>
          <cell r="AM2065" t="str">
            <v>8684127516792</v>
          </cell>
          <cell r="AO2065">
            <v>0</v>
          </cell>
          <cell r="AQ2065">
            <v>0</v>
          </cell>
          <cell r="AS2065">
            <v>0</v>
          </cell>
          <cell r="AU2065">
            <v>0</v>
          </cell>
          <cell r="AW2065">
            <v>0</v>
          </cell>
        </row>
        <row r="2066">
          <cell r="B2066" t="str">
            <v>H1W6JME000H-052</v>
          </cell>
          <cell r="C2066" t="str">
            <v>NATE  ESKİTME LED APLİK 52CM</v>
          </cell>
          <cell r="D2066" t="str">
            <v>NATE BRUSHED BRASS LED WALL LAMP 52CM</v>
          </cell>
          <cell r="E2066" t="str">
            <v>METAL YOK ESKİTME YOK</v>
          </cell>
          <cell r="F2066" t="str">
            <v/>
          </cell>
          <cell r="G2066" t="str">
            <v>APLİK</v>
          </cell>
          <cell r="H2066" t="str">
            <v/>
          </cell>
          <cell r="I2066" t="str">
            <v>İÇ</v>
          </cell>
          <cell r="J2066" t="str">
            <v>APLİK</v>
          </cell>
          <cell r="K2066" t="str">
            <v>NATE</v>
          </cell>
          <cell r="L2066" t="str">
            <v/>
          </cell>
          <cell r="M2066" t="str">
            <v/>
          </cell>
          <cell r="N2066" t="str">
            <v>HKA-25053</v>
          </cell>
          <cell r="O2066" t="str">
            <v>HEKA</v>
          </cell>
          <cell r="P2066" t="str">
            <v>ADET</v>
          </cell>
          <cell r="Q2066" t="str">
            <v>LED</v>
          </cell>
          <cell r="R2066" t="str">
            <v>METAL</v>
          </cell>
          <cell r="S2066" t="str">
            <v>ESKİTME</v>
          </cell>
          <cell r="T2066" t="str">
            <v>YOK</v>
          </cell>
          <cell r="U2066" t="str">
            <v>YOK</v>
          </cell>
          <cell r="AA2066" t="str">
            <v>DIMMSIZ</v>
          </cell>
          <cell r="AD2066" t="str">
            <v>HAREKETLİ</v>
          </cell>
          <cell r="AE2066" t="str">
            <v>01</v>
          </cell>
          <cell r="AF2066">
            <v>100</v>
          </cell>
          <cell r="AG2066" t="str">
            <v>ADET</v>
          </cell>
          <cell r="AH2066">
            <v>82.45</v>
          </cell>
          <cell r="AI2066" t="str">
            <v>CNY</v>
          </cell>
          <cell r="AL2066">
            <v>1</v>
          </cell>
          <cell r="AM2066" t="str">
            <v>8684127516808</v>
          </cell>
          <cell r="AO2066">
            <v>0</v>
          </cell>
          <cell r="AQ2066">
            <v>0</v>
          </cell>
          <cell r="AS2066">
            <v>0</v>
          </cell>
          <cell r="AU2066">
            <v>0</v>
          </cell>
          <cell r="AW2066">
            <v>0</v>
          </cell>
        </row>
        <row r="2067">
          <cell r="B2067" t="str">
            <v>H1W3KMKECSV-051</v>
          </cell>
          <cell r="C2067" t="str">
            <v>LUCETTA ŞEFFAF KRİSTAL KROM APLİK 51CM</v>
          </cell>
          <cell r="D2067" t="str">
            <v>LUCETTA CLEAR CRYSTAL CHROME WALL LAMP 51CM</v>
          </cell>
          <cell r="E2067" t="str">
            <v>PASLANMAZ CAM KROM ŞEFFAF</v>
          </cell>
          <cell r="F2067" t="str">
            <v/>
          </cell>
          <cell r="G2067" t="str">
            <v>APLİK</v>
          </cell>
          <cell r="H2067" t="str">
            <v/>
          </cell>
          <cell r="I2067" t="str">
            <v>İÇ</v>
          </cell>
          <cell r="J2067" t="str">
            <v>APLİK</v>
          </cell>
          <cell r="K2067" t="str">
            <v>LUCETTA</v>
          </cell>
          <cell r="L2067" t="str">
            <v/>
          </cell>
          <cell r="M2067" t="str">
            <v/>
          </cell>
          <cell r="N2067" t="str">
            <v>HKA-25067</v>
          </cell>
          <cell r="O2067" t="str">
            <v>HEKA</v>
          </cell>
          <cell r="P2067" t="str">
            <v>ADET</v>
          </cell>
          <cell r="Q2067" t="str">
            <v>G9</v>
          </cell>
          <cell r="R2067" t="str">
            <v>PASLANMAZ</v>
          </cell>
          <cell r="S2067" t="str">
            <v>KROM</v>
          </cell>
          <cell r="T2067" t="str">
            <v>CAM</v>
          </cell>
          <cell r="U2067" t="str">
            <v>ŞEFFAF</v>
          </cell>
          <cell r="AD2067" t="str">
            <v>YAMUK</v>
          </cell>
          <cell r="AE2067" t="str">
            <v>02</v>
          </cell>
          <cell r="AF2067">
            <v>10</v>
          </cell>
          <cell r="AG2067" t="str">
            <v>ADET</v>
          </cell>
          <cell r="AH2067">
            <v>256</v>
          </cell>
          <cell r="AI2067" t="str">
            <v>CNY</v>
          </cell>
          <cell r="AL2067">
            <v>1</v>
          </cell>
          <cell r="AM2067" t="str">
            <v>8684127516945</v>
          </cell>
          <cell r="AO2067">
            <v>0</v>
          </cell>
          <cell r="AQ2067">
            <v>12</v>
          </cell>
          <cell r="AS2067">
            <v>10.5</v>
          </cell>
          <cell r="AU2067">
            <v>0</v>
          </cell>
          <cell r="AW2067">
            <v>0</v>
          </cell>
        </row>
        <row r="2068">
          <cell r="B2068" t="str">
            <v>H1C1KMKECSV-130</v>
          </cell>
          <cell r="C2068" t="str">
            <v>LUCETTA ŞEFFAF KRİSTAL KROM Y.MASASI AVİZE</v>
          </cell>
          <cell r="D2068" t="str">
            <v>LUCETTA CLEAR CRYSTAL CHROME DINNING ROOM CHANDELIER</v>
          </cell>
          <cell r="E2068" t="str">
            <v>PASLANMAZ CAM KROM ŞEFFAF</v>
          </cell>
          <cell r="F2068" t="str">
            <v/>
          </cell>
          <cell r="G2068" t="str">
            <v>AVİZE</v>
          </cell>
          <cell r="H2068" t="str">
            <v/>
          </cell>
          <cell r="I2068" t="str">
            <v>İÇ</v>
          </cell>
          <cell r="J2068" t="str">
            <v>AVİZE</v>
          </cell>
          <cell r="K2068" t="str">
            <v>LUCETTA</v>
          </cell>
          <cell r="L2068" t="str">
            <v/>
          </cell>
          <cell r="M2068" t="str">
            <v/>
          </cell>
          <cell r="N2068" t="str">
            <v>HKA-25070</v>
          </cell>
          <cell r="O2068" t="str">
            <v>HEKA</v>
          </cell>
          <cell r="P2068" t="str">
            <v>ADET</v>
          </cell>
          <cell r="Q2068" t="str">
            <v>E14</v>
          </cell>
          <cell r="R2068" t="str">
            <v>PASLANMAZ</v>
          </cell>
          <cell r="S2068" t="str">
            <v>KROM</v>
          </cell>
          <cell r="T2068" t="str">
            <v>CAM</v>
          </cell>
          <cell r="U2068" t="str">
            <v>ŞEFFAF</v>
          </cell>
          <cell r="AD2068" t="str">
            <v>YAMUK</v>
          </cell>
          <cell r="AE2068" t="str">
            <v>06</v>
          </cell>
          <cell r="AF2068">
            <v>6</v>
          </cell>
          <cell r="AG2068" t="str">
            <v>ADET</v>
          </cell>
          <cell r="AH2068">
            <v>1744</v>
          </cell>
          <cell r="AI2068" t="str">
            <v>CNY</v>
          </cell>
          <cell r="AL2068">
            <v>1</v>
          </cell>
          <cell r="AM2068" t="str">
            <v>8684127516976</v>
          </cell>
          <cell r="AO2068">
            <v>0</v>
          </cell>
          <cell r="AQ2068">
            <v>28.5</v>
          </cell>
          <cell r="AS2068">
            <v>130</v>
          </cell>
          <cell r="AU2068">
            <v>0</v>
          </cell>
          <cell r="AW2068">
            <v>0</v>
          </cell>
        </row>
        <row r="2069">
          <cell r="B2069" t="str">
            <v>H1C6ERLJRS0-125</v>
          </cell>
          <cell r="C2069" t="str">
            <v>GAMBİA BAL CAM SİYAH Y.MASASI AVİZE</v>
          </cell>
          <cell r="D2069" t="str">
            <v>GAMBİA AMBER GLASS BLACK DINNING ROOM CHANDELIER</v>
          </cell>
          <cell r="E2069" t="str">
            <v>CAM METAL BAL SİYAH</v>
          </cell>
          <cell r="F2069" t="str">
            <v/>
          </cell>
          <cell r="G2069" t="str">
            <v>AVİZE</v>
          </cell>
          <cell r="H2069" t="str">
            <v/>
          </cell>
          <cell r="I2069" t="str">
            <v>İÇ</v>
          </cell>
          <cell r="J2069" t="str">
            <v>AVİZE</v>
          </cell>
          <cell r="K2069" t="str">
            <v>GAMBİA</v>
          </cell>
          <cell r="L2069" t="str">
            <v/>
          </cell>
          <cell r="M2069" t="str">
            <v/>
          </cell>
          <cell r="N2069" t="str">
            <v>HKA-25071</v>
          </cell>
          <cell r="O2069" t="str">
            <v>HEKA</v>
          </cell>
          <cell r="P2069" t="str">
            <v>ADET</v>
          </cell>
          <cell r="Q2069" t="str">
            <v>LED</v>
          </cell>
          <cell r="R2069" t="str">
            <v>CAM</v>
          </cell>
          <cell r="S2069" t="str">
            <v>BAL</v>
          </cell>
          <cell r="T2069" t="str">
            <v>METAL</v>
          </cell>
          <cell r="U2069" t="str">
            <v>SİYAH</v>
          </cell>
          <cell r="Z2069" t="str">
            <v>3000 K</v>
          </cell>
          <cell r="AA2069" t="str">
            <v>DIMMSIZ</v>
          </cell>
          <cell r="AE2069" t="str">
            <v>01</v>
          </cell>
          <cell r="AF2069">
            <v>10</v>
          </cell>
          <cell r="AG2069" t="str">
            <v>ADET</v>
          </cell>
          <cell r="AH2069">
            <v>1896</v>
          </cell>
          <cell r="AI2069" t="str">
            <v>CNY</v>
          </cell>
          <cell r="AL2069">
            <v>1</v>
          </cell>
          <cell r="AM2069" t="str">
            <v>8684127516983</v>
          </cell>
          <cell r="AO2069">
            <v>0</v>
          </cell>
          <cell r="AQ2069">
            <v>25</v>
          </cell>
          <cell r="AS2069">
            <v>125</v>
          </cell>
          <cell r="AU2069">
            <v>0</v>
          </cell>
          <cell r="AW2069">
            <v>0</v>
          </cell>
        </row>
        <row r="2070">
          <cell r="B2070" t="str">
            <v>H1P6CANBRBR-060</v>
          </cell>
          <cell r="C2070" t="str">
            <v>PETRA MAT NİKEL ALUMİNYUM PLAFONYER 60CM</v>
          </cell>
          <cell r="D2070" t="str">
            <v>PETRA MATTE NICKEL ALUMINUM PLAFONIER 60CM</v>
          </cell>
          <cell r="E2070" t="str">
            <v>ALUMİNYUM AKRiLİK MAT NİKEL BEYAZ</v>
          </cell>
          <cell r="F2070" t="str">
            <v/>
          </cell>
          <cell r="G2070" t="str">
            <v>AVİZE</v>
          </cell>
          <cell r="H2070" t="str">
            <v/>
          </cell>
          <cell r="I2070" t="str">
            <v>İÇ</v>
          </cell>
          <cell r="J2070" t="str">
            <v>AVİZE.PLF</v>
          </cell>
          <cell r="K2070" t="str">
            <v>PETRA</v>
          </cell>
          <cell r="L2070" t="str">
            <v/>
          </cell>
          <cell r="M2070" t="str">
            <v/>
          </cell>
          <cell r="N2070" t="str">
            <v>HKA-25096</v>
          </cell>
          <cell r="O2070" t="str">
            <v>HEKA</v>
          </cell>
          <cell r="P2070" t="str">
            <v>ADET</v>
          </cell>
          <cell r="Q2070" t="str">
            <v>LED</v>
          </cell>
          <cell r="R2070" t="str">
            <v>ALUMİNYUM</v>
          </cell>
          <cell r="S2070" t="str">
            <v>MAT NİKEL</v>
          </cell>
          <cell r="T2070" t="str">
            <v>AKRİLİK</v>
          </cell>
          <cell r="U2070" t="str">
            <v>BEYAZ</v>
          </cell>
          <cell r="AA2070" t="str">
            <v>DIMMSIZ</v>
          </cell>
          <cell r="AD2070" t="str">
            <v>DAİRE</v>
          </cell>
          <cell r="AF2070">
            <v>10</v>
          </cell>
          <cell r="AG2070" t="str">
            <v>ADET</v>
          </cell>
          <cell r="AH2070">
            <v>472</v>
          </cell>
          <cell r="AI2070" t="str">
            <v>CNY</v>
          </cell>
          <cell r="AL2070">
            <v>1</v>
          </cell>
          <cell r="AM2070" t="str">
            <v>8684127517102</v>
          </cell>
          <cell r="AO2070">
            <v>0</v>
          </cell>
          <cell r="AQ2070">
            <v>0</v>
          </cell>
          <cell r="AS2070">
            <v>0</v>
          </cell>
          <cell r="AU2070">
            <v>0</v>
          </cell>
          <cell r="AW2070">
            <v>0</v>
          </cell>
        </row>
        <row r="2071">
          <cell r="B2071" t="str">
            <v>H1P6CANBRBR-050</v>
          </cell>
          <cell r="C2071" t="str">
            <v>PETRA MAT NİKEL ALUMİNYUM PLAFONYER 50CM</v>
          </cell>
          <cell r="D2071" t="str">
            <v>PETRA MATTE NICKEL ALUMINUM PLAFONIER 50CM</v>
          </cell>
          <cell r="E2071" t="str">
            <v>ALUMİNYUM AKRiLİK MAT NİKEL BEYAZ</v>
          </cell>
          <cell r="F2071" t="str">
            <v/>
          </cell>
          <cell r="G2071" t="str">
            <v>AVİZE</v>
          </cell>
          <cell r="H2071" t="str">
            <v/>
          </cell>
          <cell r="I2071" t="str">
            <v>İÇ</v>
          </cell>
          <cell r="J2071" t="str">
            <v>AVİZE.PLF</v>
          </cell>
          <cell r="K2071" t="str">
            <v>PETRA</v>
          </cell>
          <cell r="L2071" t="str">
            <v/>
          </cell>
          <cell r="M2071" t="str">
            <v/>
          </cell>
          <cell r="N2071" t="str">
            <v>HKA-25097</v>
          </cell>
          <cell r="O2071" t="str">
            <v>HEKA</v>
          </cell>
          <cell r="P2071" t="str">
            <v>ADET</v>
          </cell>
          <cell r="Q2071" t="str">
            <v>LED</v>
          </cell>
          <cell r="R2071" t="str">
            <v>ALUMİNYUM</v>
          </cell>
          <cell r="S2071" t="str">
            <v>MAT NİKEL</v>
          </cell>
          <cell r="T2071" t="str">
            <v>AKRİLİK</v>
          </cell>
          <cell r="U2071" t="str">
            <v>BEYAZ</v>
          </cell>
          <cell r="AD2071" t="str">
            <v>DAİRE</v>
          </cell>
          <cell r="AE2071" t="str">
            <v>01</v>
          </cell>
          <cell r="AF2071">
            <v>10</v>
          </cell>
          <cell r="AG2071" t="str">
            <v>ADET</v>
          </cell>
          <cell r="AH2071">
            <v>392</v>
          </cell>
          <cell r="AI2071" t="str">
            <v>CNY</v>
          </cell>
          <cell r="AL2071">
            <v>1</v>
          </cell>
          <cell r="AM2071" t="str">
            <v>8684127517119</v>
          </cell>
          <cell r="AO2071">
            <v>0</v>
          </cell>
          <cell r="AQ2071">
            <v>50</v>
          </cell>
          <cell r="AR2071" t="str">
            <v>CM</v>
          </cell>
          <cell r="AS2071">
            <v>50</v>
          </cell>
          <cell r="AT2071" t="str">
            <v>CM</v>
          </cell>
          <cell r="AU2071">
            <v>0</v>
          </cell>
          <cell r="AW2071">
            <v>0</v>
          </cell>
        </row>
        <row r="2072">
          <cell r="B2072" t="str">
            <v>H1C6JMEWRFU-075</v>
          </cell>
          <cell r="C2072" t="str">
            <v>ORKOS ÜÇLÜ MERMER SARKIT 75CM</v>
          </cell>
          <cell r="D2072" t="str">
            <v>ORKOS TRIPLE MARBLE PENDANT 75CM</v>
          </cell>
          <cell r="E2072" t="str">
            <v>METAL MERMER ESKİTME BEYAZ</v>
          </cell>
          <cell r="F2072" t="str">
            <v/>
          </cell>
          <cell r="G2072" t="str">
            <v>AVİZE</v>
          </cell>
          <cell r="H2072" t="str">
            <v/>
          </cell>
          <cell r="I2072" t="str">
            <v>İÇ</v>
          </cell>
          <cell r="J2072" t="str">
            <v>AVİZE.SARK</v>
          </cell>
          <cell r="K2072" t="str">
            <v>ORKOS</v>
          </cell>
          <cell r="L2072" t="str">
            <v>Y</v>
          </cell>
          <cell r="M2072" t="str">
            <v/>
          </cell>
          <cell r="N2072" t="str">
            <v>HKA-25088</v>
          </cell>
          <cell r="O2072" t="str">
            <v>HEKA</v>
          </cell>
          <cell r="P2072" t="str">
            <v>ADET</v>
          </cell>
          <cell r="Q2072" t="str">
            <v>LED</v>
          </cell>
          <cell r="R2072" t="str">
            <v>METAL</v>
          </cell>
          <cell r="S2072" t="str">
            <v>ESKİTME</v>
          </cell>
          <cell r="T2072" t="str">
            <v>MERMER</v>
          </cell>
          <cell r="U2072" t="str">
            <v>BEYAZ</v>
          </cell>
          <cell r="Z2072" t="str">
            <v>3000 K</v>
          </cell>
          <cell r="AD2072" t="str">
            <v>ÜÇGEN</v>
          </cell>
          <cell r="AF2072">
            <v>14</v>
          </cell>
          <cell r="AG2072" t="str">
            <v>ADET</v>
          </cell>
          <cell r="AH2072">
            <v>980</v>
          </cell>
          <cell r="AI2072" t="str">
            <v>CNY</v>
          </cell>
          <cell r="AJ2072">
            <v>75800</v>
          </cell>
          <cell r="AK2072" t="str">
            <v>TL</v>
          </cell>
          <cell r="AL2072">
            <v>1</v>
          </cell>
          <cell r="AM2072" t="str">
            <v>8684127517270</v>
          </cell>
          <cell r="AO2072">
            <v>0</v>
          </cell>
          <cell r="AQ2072">
            <v>75</v>
          </cell>
          <cell r="AR2072" t="str">
            <v>CM</v>
          </cell>
          <cell r="AS2072">
            <v>75</v>
          </cell>
          <cell r="AT2072" t="str">
            <v>CM</v>
          </cell>
          <cell r="AU2072">
            <v>0</v>
          </cell>
          <cell r="AW2072">
            <v>0</v>
          </cell>
        </row>
        <row r="2073">
          <cell r="B2073" t="str">
            <v>H1C6KRVWRF1-014</v>
          </cell>
          <cell r="C2073" t="str">
            <v>ENZO PASLANMAZ MERMER SARKIT</v>
          </cell>
          <cell r="D2073" t="str">
            <v>ENZO STEEL MARBLE PENDANT</v>
          </cell>
          <cell r="E2073" t="str">
            <v>PASLANMAZ MERMER KAHVERENGİ BEYAZ</v>
          </cell>
          <cell r="F2073" t="str">
            <v/>
          </cell>
          <cell r="G2073" t="str">
            <v>AVİZE</v>
          </cell>
          <cell r="H2073" t="str">
            <v/>
          </cell>
          <cell r="I2073" t="str">
            <v>İÇ</v>
          </cell>
          <cell r="J2073" t="str">
            <v>AVİZE.SARK</v>
          </cell>
          <cell r="K2073" t="str">
            <v>ENZO</v>
          </cell>
          <cell r="L2073" t="str">
            <v/>
          </cell>
          <cell r="M2073" t="str">
            <v/>
          </cell>
          <cell r="N2073" t="str">
            <v>HKA-25102</v>
          </cell>
          <cell r="O2073" t="str">
            <v>HEKA</v>
          </cell>
          <cell r="P2073" t="str">
            <v>ADET</v>
          </cell>
          <cell r="Q2073" t="str">
            <v>LED</v>
          </cell>
          <cell r="R2073" t="str">
            <v>PASLANMAZ</v>
          </cell>
          <cell r="S2073" t="str">
            <v>KAHVERENGİ</v>
          </cell>
          <cell r="T2073" t="str">
            <v>MERMER</v>
          </cell>
          <cell r="U2073" t="str">
            <v>BEYAZ</v>
          </cell>
          <cell r="AA2073" t="str">
            <v>DIMMSIZ</v>
          </cell>
          <cell r="AD2073" t="str">
            <v>TEKLİ</v>
          </cell>
          <cell r="AE2073" t="str">
            <v>01</v>
          </cell>
          <cell r="AF2073">
            <v>60</v>
          </cell>
          <cell r="AG2073" t="str">
            <v>ADET</v>
          </cell>
          <cell r="AH2073">
            <v>282.75</v>
          </cell>
          <cell r="AI2073" t="str">
            <v>CNY</v>
          </cell>
          <cell r="AL2073">
            <v>1</v>
          </cell>
          <cell r="AM2073" t="str">
            <v>8684127517287</v>
          </cell>
          <cell r="AO2073">
            <v>0</v>
          </cell>
          <cell r="AQ2073">
            <v>14</v>
          </cell>
          <cell r="AR2073" t="str">
            <v>CM</v>
          </cell>
          <cell r="AS2073">
            <v>14</v>
          </cell>
          <cell r="AT2073" t="str">
            <v>CM</v>
          </cell>
          <cell r="AU2073">
            <v>0</v>
          </cell>
          <cell r="AW2073">
            <v>0</v>
          </cell>
        </row>
        <row r="2074">
          <cell r="B2074" t="str">
            <v>H1C6JMEERM1-040</v>
          </cell>
          <cell r="C2074" t="str">
            <v>SKYLİNE TEKLİ MAVİ CAM SARKIT 40cm</v>
          </cell>
          <cell r="D2074" t="str">
            <v>SYKLINE SINGLE BLUE GLASS PENDANT 40cm</v>
          </cell>
          <cell r="E2074" t="str">
            <v>METAL CAM ESKİTME MAVİ</v>
          </cell>
          <cell r="F2074" t="str">
            <v/>
          </cell>
          <cell r="G2074" t="str">
            <v>AVİZE</v>
          </cell>
          <cell r="H2074" t="str">
            <v/>
          </cell>
          <cell r="I2074" t="str">
            <v>İÇ</v>
          </cell>
          <cell r="J2074" t="str">
            <v>AVİZE.SARK</v>
          </cell>
          <cell r="K2074" t="str">
            <v>SKYLİNE</v>
          </cell>
          <cell r="L2074" t="str">
            <v/>
          </cell>
          <cell r="M2074" t="str">
            <v>30.01.2026</v>
          </cell>
          <cell r="N2074" t="str">
            <v>HKA-25119</v>
          </cell>
          <cell r="O2074" t="str">
            <v>HEKA</v>
          </cell>
          <cell r="P2074" t="str">
            <v>ADET</v>
          </cell>
          <cell r="Q2074" t="str">
            <v>LED</v>
          </cell>
          <cell r="R2074" t="str">
            <v>METAL</v>
          </cell>
          <cell r="S2074" t="str">
            <v>ESKİTME</v>
          </cell>
          <cell r="T2074" t="str">
            <v>CAM</v>
          </cell>
          <cell r="U2074" t="str">
            <v>MAVİ</v>
          </cell>
          <cell r="AA2074" t="str">
            <v>DIMMSIZ</v>
          </cell>
          <cell r="AD2074" t="str">
            <v>TEKLİ</v>
          </cell>
          <cell r="AE2074" t="str">
            <v>01</v>
          </cell>
          <cell r="AF2074">
            <v>27</v>
          </cell>
          <cell r="AG2074" t="str">
            <v>ADET</v>
          </cell>
          <cell r="AH2074">
            <v>268</v>
          </cell>
          <cell r="AI2074" t="str">
            <v>CNY</v>
          </cell>
          <cell r="AL2074">
            <v>1</v>
          </cell>
          <cell r="AM2074" t="str">
            <v>8684127517454</v>
          </cell>
          <cell r="AO2074">
            <v>0</v>
          </cell>
          <cell r="AQ2074">
            <v>2</v>
          </cell>
          <cell r="AR2074" t="str">
            <v>CM</v>
          </cell>
          <cell r="AS2074">
            <v>40</v>
          </cell>
          <cell r="AT2074" t="str">
            <v>CM</v>
          </cell>
          <cell r="AU2074">
            <v>0</v>
          </cell>
          <cell r="AW2074">
            <v>0</v>
          </cell>
        </row>
        <row r="2075">
          <cell r="B2075" t="str">
            <v>H1C6JMEERF1-040</v>
          </cell>
          <cell r="C2075" t="str">
            <v>SKYLİNE TEKLİ FÜME CAM SARKIT 40cm</v>
          </cell>
          <cell r="D2075" t="str">
            <v>SYKLINE SINGLE LIGHT SMOKY GLASS PENDANT 40cm</v>
          </cell>
          <cell r="E2075" t="str">
            <v>METAL CAM ESKİTME FÜME</v>
          </cell>
          <cell r="F2075" t="str">
            <v/>
          </cell>
          <cell r="G2075" t="str">
            <v>AVİZE</v>
          </cell>
          <cell r="H2075" t="str">
            <v/>
          </cell>
          <cell r="I2075" t="str">
            <v>İÇ</v>
          </cell>
          <cell r="J2075" t="str">
            <v>AVİZE.SARK</v>
          </cell>
          <cell r="K2075" t="str">
            <v>SKYLİNE</v>
          </cell>
          <cell r="L2075" t="str">
            <v/>
          </cell>
          <cell r="M2075" t="str">
            <v>30.01.2026</v>
          </cell>
          <cell r="N2075" t="str">
            <v>HKA-25120</v>
          </cell>
          <cell r="O2075" t="str">
            <v>HEKA</v>
          </cell>
          <cell r="P2075" t="str">
            <v>ADET</v>
          </cell>
          <cell r="Q2075" t="str">
            <v>LED</v>
          </cell>
          <cell r="R2075" t="str">
            <v>METAL</v>
          </cell>
          <cell r="S2075" t="str">
            <v>ESKİTME</v>
          </cell>
          <cell r="T2075" t="str">
            <v>CAM</v>
          </cell>
          <cell r="U2075" t="str">
            <v>FÜME</v>
          </cell>
          <cell r="AA2075" t="str">
            <v>DIMMSIZ</v>
          </cell>
          <cell r="AD2075" t="str">
            <v>TEKLİ</v>
          </cell>
          <cell r="AE2075" t="str">
            <v>01</v>
          </cell>
          <cell r="AF2075">
            <v>13</v>
          </cell>
          <cell r="AG2075" t="str">
            <v>ADET</v>
          </cell>
          <cell r="AH2075">
            <v>268</v>
          </cell>
          <cell r="AI2075" t="str">
            <v>CNY</v>
          </cell>
          <cell r="AL2075">
            <v>1</v>
          </cell>
          <cell r="AM2075" t="str">
            <v>8684127517461</v>
          </cell>
          <cell r="AO2075">
            <v>0</v>
          </cell>
          <cell r="AQ2075">
            <v>2</v>
          </cell>
          <cell r="AR2075" t="str">
            <v>CM</v>
          </cell>
          <cell r="AS2075">
            <v>40</v>
          </cell>
          <cell r="AT2075" t="str">
            <v>CM</v>
          </cell>
          <cell r="AU2075">
            <v>0</v>
          </cell>
          <cell r="AW2075">
            <v>0</v>
          </cell>
        </row>
        <row r="2076">
          <cell r="B2076" t="str">
            <v>H1W6JMEERL1-030</v>
          </cell>
          <cell r="C2076" t="str">
            <v>SKYLİNE TEKLİ BAL CAM APLİK 30CM</v>
          </cell>
          <cell r="D2076" t="str">
            <v>SYKLINE SINGLE AMBER GLASS WALL LAMP 30CM</v>
          </cell>
          <cell r="E2076" t="str">
            <v>METAL CAM ESKİTME BAL</v>
          </cell>
          <cell r="F2076" t="str">
            <v/>
          </cell>
          <cell r="G2076" t="str">
            <v>APLİK</v>
          </cell>
          <cell r="H2076" t="str">
            <v/>
          </cell>
          <cell r="I2076" t="str">
            <v>İÇ</v>
          </cell>
          <cell r="J2076" t="str">
            <v>APLİK</v>
          </cell>
          <cell r="K2076" t="str">
            <v>SKYLİNE</v>
          </cell>
          <cell r="L2076" t="str">
            <v/>
          </cell>
          <cell r="M2076" t="str">
            <v/>
          </cell>
          <cell r="N2076" t="str">
            <v>HKA-25133</v>
          </cell>
          <cell r="O2076" t="str">
            <v>HEKA</v>
          </cell>
          <cell r="P2076" t="str">
            <v>ADET</v>
          </cell>
          <cell r="Q2076" t="str">
            <v>LED</v>
          </cell>
          <cell r="R2076" t="str">
            <v>METAL</v>
          </cell>
          <cell r="S2076" t="str">
            <v>ESKİTME</v>
          </cell>
          <cell r="T2076" t="str">
            <v>CAM</v>
          </cell>
          <cell r="U2076" t="str">
            <v>BAL</v>
          </cell>
          <cell r="AA2076" t="str">
            <v>DIMMSIZ</v>
          </cell>
          <cell r="AD2076" t="str">
            <v>TEKLİ</v>
          </cell>
          <cell r="AE2076" t="str">
            <v>01</v>
          </cell>
          <cell r="AF2076">
            <v>60</v>
          </cell>
          <cell r="AG2076" t="str">
            <v>ADET</v>
          </cell>
          <cell r="AH2076">
            <v>209</v>
          </cell>
          <cell r="AI2076" t="str">
            <v>CNY</v>
          </cell>
          <cell r="AL2076">
            <v>1</v>
          </cell>
          <cell r="AM2076" t="str">
            <v>8684127517591</v>
          </cell>
          <cell r="AO2076">
            <v>0</v>
          </cell>
          <cell r="AQ2076">
            <v>2</v>
          </cell>
          <cell r="AR2076" t="str">
            <v>CM</v>
          </cell>
          <cell r="AS2076">
            <v>30</v>
          </cell>
          <cell r="AT2076" t="str">
            <v>CM</v>
          </cell>
          <cell r="AU2076">
            <v>0</v>
          </cell>
          <cell r="AW2076">
            <v>0</v>
          </cell>
        </row>
        <row r="2077">
          <cell r="B2077" t="str">
            <v>H1W6JMEERP1-030</v>
          </cell>
          <cell r="C2077" t="str">
            <v>SKYLİNE TEKLİ PEMBE CAM APLİK 30CM</v>
          </cell>
          <cell r="D2077" t="str">
            <v>SYKLINE SINGLE PİNK GLASS WALL LAMP 30CM</v>
          </cell>
          <cell r="E2077" t="str">
            <v>METAL CAM ESKİTME PEMBE</v>
          </cell>
          <cell r="F2077" t="str">
            <v/>
          </cell>
          <cell r="G2077" t="str">
            <v>APLİK</v>
          </cell>
          <cell r="H2077" t="str">
            <v/>
          </cell>
          <cell r="I2077" t="str">
            <v>İÇ</v>
          </cell>
          <cell r="J2077" t="str">
            <v>APLİK</v>
          </cell>
          <cell r="K2077" t="str">
            <v>SKYLİNE</v>
          </cell>
          <cell r="L2077" t="str">
            <v/>
          </cell>
          <cell r="M2077" t="str">
            <v>30.01.2026</v>
          </cell>
          <cell r="N2077" t="str">
            <v>HKA-25134</v>
          </cell>
          <cell r="O2077" t="str">
            <v>HEKA</v>
          </cell>
          <cell r="P2077" t="str">
            <v>ADET</v>
          </cell>
          <cell r="Q2077" t="str">
            <v>LED</v>
          </cell>
          <cell r="R2077" t="str">
            <v>METAL</v>
          </cell>
          <cell r="S2077" t="str">
            <v>ESKİTME</v>
          </cell>
          <cell r="T2077" t="str">
            <v>CAM</v>
          </cell>
          <cell r="U2077" t="str">
            <v>PEMBE</v>
          </cell>
          <cell r="AA2077" t="str">
            <v>DIMMSIZ</v>
          </cell>
          <cell r="AD2077" t="str">
            <v>TEKLİ</v>
          </cell>
          <cell r="AE2077" t="str">
            <v>01</v>
          </cell>
          <cell r="AF2077">
            <v>5</v>
          </cell>
          <cell r="AG2077" t="str">
            <v>ADET</v>
          </cell>
          <cell r="AH2077">
            <v>209</v>
          </cell>
          <cell r="AI2077" t="str">
            <v>CNY</v>
          </cell>
          <cell r="AL2077">
            <v>1</v>
          </cell>
          <cell r="AM2077" t="str">
            <v>8684127517607</v>
          </cell>
          <cell r="AO2077">
            <v>0</v>
          </cell>
          <cell r="AQ2077">
            <v>2</v>
          </cell>
          <cell r="AR2077" t="str">
            <v>CM</v>
          </cell>
          <cell r="AS2077">
            <v>30</v>
          </cell>
          <cell r="AT2077" t="str">
            <v>CM</v>
          </cell>
          <cell r="AU2077">
            <v>0</v>
          </cell>
          <cell r="AW2077">
            <v>0</v>
          </cell>
        </row>
        <row r="2078">
          <cell r="B2078" t="str">
            <v>H1S6CME000Z-009</v>
          </cell>
          <cell r="C2078" t="str">
            <v>DARELL ESKİTME DÜZ SPOT 8x8 CM</v>
          </cell>
          <cell r="D2078" t="str">
            <v>DARELL BRUSHED BRASS PLAIN SPOTLIGHT 8x8 CM</v>
          </cell>
          <cell r="E2078" t="str">
            <v>ALUMİNYUM YOK ESKİTME YOK</v>
          </cell>
          <cell r="F2078" t="str">
            <v/>
          </cell>
          <cell r="G2078" t="str">
            <v>OKUMA APLİKLERİ</v>
          </cell>
          <cell r="H2078" t="str">
            <v/>
          </cell>
          <cell r="I2078" t="str">
            <v>İÇ</v>
          </cell>
          <cell r="J2078" t="str">
            <v>OKUMA APLİ</v>
          </cell>
          <cell r="K2078" t="str">
            <v>DARELL</v>
          </cell>
          <cell r="L2078" t="str">
            <v>Y</v>
          </cell>
          <cell r="M2078" t="str">
            <v/>
          </cell>
          <cell r="N2078" t="str">
            <v>HKA-25161</v>
          </cell>
          <cell r="O2078" t="str">
            <v>HEKA</v>
          </cell>
          <cell r="P2078" t="str">
            <v>ADET</v>
          </cell>
          <cell r="Q2078" t="str">
            <v>LED</v>
          </cell>
          <cell r="R2078" t="str">
            <v>ALUMİNYUM</v>
          </cell>
          <cell r="S2078" t="str">
            <v>ESKİTME</v>
          </cell>
          <cell r="T2078" t="str">
            <v>YOK</v>
          </cell>
          <cell r="U2078" t="str">
            <v>YOK</v>
          </cell>
          <cell r="Z2078" t="str">
            <v>3000 K</v>
          </cell>
          <cell r="AA2078" t="str">
            <v>DIMMSIZ</v>
          </cell>
          <cell r="AD2078" t="str">
            <v>KOLLU</v>
          </cell>
          <cell r="AE2078" t="str">
            <v>01</v>
          </cell>
          <cell r="AF2078">
            <v>500</v>
          </cell>
          <cell r="AG2078" t="str">
            <v>ADET</v>
          </cell>
          <cell r="AH2078">
            <v>27.16</v>
          </cell>
          <cell r="AI2078" t="str">
            <v>CNY</v>
          </cell>
          <cell r="AJ2078">
            <v>53</v>
          </cell>
          <cell r="AK2078" t="str">
            <v>USD</v>
          </cell>
          <cell r="AL2078">
            <v>1</v>
          </cell>
          <cell r="AM2078" t="str">
            <v>8684127517195</v>
          </cell>
          <cell r="AO2078">
            <v>0</v>
          </cell>
          <cell r="AQ2078">
            <v>1</v>
          </cell>
          <cell r="AR2078" t="str">
            <v>CM</v>
          </cell>
          <cell r="AS2078">
            <v>8.5</v>
          </cell>
          <cell r="AT2078" t="str">
            <v>CM</v>
          </cell>
          <cell r="AU2078">
            <v>0</v>
          </cell>
          <cell r="AW2078">
            <v>0</v>
          </cell>
        </row>
        <row r="2079">
          <cell r="B2079" t="str">
            <v>H1S6CME000Z-012</v>
          </cell>
          <cell r="C2079" t="str">
            <v>TERESA ESKİTME TIRTIKLI SPOT 12CM</v>
          </cell>
          <cell r="D2079" t="str">
            <v>TERESA BRUSHED BRASS SERRATED SPOTLIGHT 12CM</v>
          </cell>
          <cell r="E2079" t="str">
            <v>ALUMİNYUM YOK ESKİTME YOK</v>
          </cell>
          <cell r="F2079" t="str">
            <v/>
          </cell>
          <cell r="G2079" t="str">
            <v>OKUMA APLİKLERİ</v>
          </cell>
          <cell r="H2079" t="str">
            <v/>
          </cell>
          <cell r="I2079" t="str">
            <v>İÇ</v>
          </cell>
          <cell r="J2079" t="str">
            <v>OKUMA APLİ</v>
          </cell>
          <cell r="K2079" t="str">
            <v>TERESA</v>
          </cell>
          <cell r="L2079" t="str">
            <v>Y</v>
          </cell>
          <cell r="M2079" t="str">
            <v/>
          </cell>
          <cell r="N2079" t="str">
            <v>HKA-25163</v>
          </cell>
          <cell r="O2079" t="str">
            <v>HEKA</v>
          </cell>
          <cell r="P2079" t="str">
            <v>ADET</v>
          </cell>
          <cell r="Q2079" t="str">
            <v>LED</v>
          </cell>
          <cell r="R2079" t="str">
            <v>ALUMİNYUM</v>
          </cell>
          <cell r="S2079" t="str">
            <v>ESKİTME</v>
          </cell>
          <cell r="T2079" t="str">
            <v>YOK</v>
          </cell>
          <cell r="U2079" t="str">
            <v>YOK</v>
          </cell>
          <cell r="Z2079" t="str">
            <v>3000 K</v>
          </cell>
          <cell r="AA2079" t="str">
            <v>DIMMSIZ</v>
          </cell>
          <cell r="AD2079" t="str">
            <v>KOLLU</v>
          </cell>
          <cell r="AE2079" t="str">
            <v>01</v>
          </cell>
          <cell r="AF2079">
            <v>1999</v>
          </cell>
          <cell r="AG2079" t="str">
            <v>ADET</v>
          </cell>
          <cell r="AH2079">
            <v>27.16</v>
          </cell>
          <cell r="AI2079" t="str">
            <v>CNY</v>
          </cell>
          <cell r="AJ2079">
            <v>53</v>
          </cell>
          <cell r="AK2079" t="str">
            <v>USD</v>
          </cell>
          <cell r="AL2079">
            <v>1</v>
          </cell>
          <cell r="AM2079" t="str">
            <v>8684127517218</v>
          </cell>
          <cell r="AO2079">
            <v>0</v>
          </cell>
          <cell r="AQ2079">
            <v>12</v>
          </cell>
          <cell r="AR2079" t="str">
            <v>CM</v>
          </cell>
          <cell r="AS2079">
            <v>5</v>
          </cell>
          <cell r="AT2079" t="str">
            <v>CM</v>
          </cell>
          <cell r="AU2079">
            <v>0</v>
          </cell>
          <cell r="AW2079">
            <v>0</v>
          </cell>
        </row>
        <row r="2080">
          <cell r="B2080" t="str">
            <v>H1C6JMEECS1-030</v>
          </cell>
          <cell r="C2080" t="str">
            <v>SKYLİNE TEKLİ ŞEFFAF CAM SARKIT 30cm</v>
          </cell>
          <cell r="D2080" t="str">
            <v>SYKLINE SINGLE CLEAR GLASS PENDANT 30cm</v>
          </cell>
          <cell r="E2080" t="str">
            <v>METAL CAM ESKİTME ŞEFFAF</v>
          </cell>
          <cell r="F2080" t="str">
            <v/>
          </cell>
          <cell r="G2080" t="str">
            <v>AVİZE</v>
          </cell>
          <cell r="H2080" t="str">
            <v/>
          </cell>
          <cell r="I2080" t="str">
            <v>İÇ</v>
          </cell>
          <cell r="J2080" t="str">
            <v>AVİZE.SARK</v>
          </cell>
          <cell r="K2080" t="str">
            <v>SKYLİNE</v>
          </cell>
          <cell r="L2080" t="str">
            <v/>
          </cell>
          <cell r="M2080" t="str">
            <v/>
          </cell>
          <cell r="N2080" t="str">
            <v>HKA-25109</v>
          </cell>
          <cell r="O2080" t="str">
            <v>HEKA</v>
          </cell>
          <cell r="P2080" t="str">
            <v>ADET</v>
          </cell>
          <cell r="Q2080" t="str">
            <v>LED</v>
          </cell>
          <cell r="R2080" t="str">
            <v>METAL</v>
          </cell>
          <cell r="S2080" t="str">
            <v>ESKİTME</v>
          </cell>
          <cell r="T2080" t="str">
            <v>CAM</v>
          </cell>
          <cell r="U2080" t="str">
            <v>ŞEFFAF</v>
          </cell>
          <cell r="AA2080" t="str">
            <v>DIMMSIZ</v>
          </cell>
          <cell r="AD2080" t="str">
            <v>TEKLİ</v>
          </cell>
          <cell r="AE2080" t="str">
            <v>01</v>
          </cell>
          <cell r="AF2080">
            <v>100</v>
          </cell>
          <cell r="AG2080" t="str">
            <v>ADET</v>
          </cell>
          <cell r="AH2080">
            <v>209</v>
          </cell>
          <cell r="AI2080" t="str">
            <v>CNY</v>
          </cell>
          <cell r="AL2080">
            <v>1</v>
          </cell>
          <cell r="AM2080" t="str">
            <v>8684127517355</v>
          </cell>
          <cell r="AO2080">
            <v>0</v>
          </cell>
          <cell r="AQ2080">
            <v>2</v>
          </cell>
          <cell r="AR2080" t="str">
            <v>CM</v>
          </cell>
          <cell r="AS2080">
            <v>30</v>
          </cell>
          <cell r="AT2080" t="str">
            <v>CM</v>
          </cell>
          <cell r="AU2080">
            <v>0</v>
          </cell>
          <cell r="AW2080">
            <v>0</v>
          </cell>
        </row>
        <row r="2081">
          <cell r="B2081" t="str">
            <v>H1C6JMEERP1-030</v>
          </cell>
          <cell r="C2081" t="str">
            <v>SKYLİNE TEKLİ PEMBE CAM SARKIT 30cm</v>
          </cell>
          <cell r="D2081" t="str">
            <v>SYKLINE SINGLE PINK GLASS PENDANT 30cm</v>
          </cell>
          <cell r="E2081" t="str">
            <v>METAL CAM ESKİTME PEMBE</v>
          </cell>
          <cell r="F2081" t="str">
            <v/>
          </cell>
          <cell r="G2081" t="str">
            <v>AVİZE</v>
          </cell>
          <cell r="H2081" t="str">
            <v/>
          </cell>
          <cell r="I2081" t="str">
            <v>İÇ</v>
          </cell>
          <cell r="J2081" t="str">
            <v>AVİZE.SARK</v>
          </cell>
          <cell r="K2081" t="str">
            <v>SKYLİNE</v>
          </cell>
          <cell r="L2081" t="str">
            <v/>
          </cell>
          <cell r="M2081" t="str">
            <v/>
          </cell>
          <cell r="N2081" t="str">
            <v>HKA-25111</v>
          </cell>
          <cell r="O2081" t="str">
            <v>HEKA</v>
          </cell>
          <cell r="P2081" t="str">
            <v>ADET</v>
          </cell>
          <cell r="Q2081" t="str">
            <v>LED</v>
          </cell>
          <cell r="R2081" t="str">
            <v>METAL</v>
          </cell>
          <cell r="S2081" t="str">
            <v>ESKİTME</v>
          </cell>
          <cell r="T2081" t="str">
            <v>CAM</v>
          </cell>
          <cell r="U2081" t="str">
            <v>PEMBE</v>
          </cell>
          <cell r="AA2081" t="str">
            <v>DIMMSIZ</v>
          </cell>
          <cell r="AD2081" t="str">
            <v>TEKLİ</v>
          </cell>
          <cell r="AE2081" t="str">
            <v>01</v>
          </cell>
          <cell r="AF2081">
            <v>50</v>
          </cell>
          <cell r="AG2081" t="str">
            <v>ADET</v>
          </cell>
          <cell r="AH2081">
            <v>209</v>
          </cell>
          <cell r="AI2081" t="str">
            <v>CNY</v>
          </cell>
          <cell r="AL2081">
            <v>1</v>
          </cell>
          <cell r="AM2081" t="str">
            <v>8684127517379</v>
          </cell>
          <cell r="AO2081">
            <v>0</v>
          </cell>
          <cell r="AQ2081">
            <v>2</v>
          </cell>
          <cell r="AR2081" t="str">
            <v>CM</v>
          </cell>
          <cell r="AS2081">
            <v>30</v>
          </cell>
          <cell r="AT2081" t="str">
            <v>CM</v>
          </cell>
          <cell r="AU2081">
            <v>0</v>
          </cell>
          <cell r="AW2081">
            <v>0</v>
          </cell>
        </row>
        <row r="2082">
          <cell r="B2082" t="str">
            <v>H1C6JMEERM1-050</v>
          </cell>
          <cell r="C2082" t="str">
            <v>SKYLİNE TEKLİ MAVİ CAM SARKIT 50cm</v>
          </cell>
          <cell r="D2082" t="str">
            <v>SYKLINE SINGLE BLUE GLASS PENDANT 50cm</v>
          </cell>
          <cell r="E2082" t="str">
            <v>METAL CAM ESKİTME MAVİ</v>
          </cell>
          <cell r="F2082" t="str">
            <v/>
          </cell>
          <cell r="G2082" t="str">
            <v>AVİZE</v>
          </cell>
          <cell r="H2082" t="str">
            <v/>
          </cell>
          <cell r="I2082" t="str">
            <v>İÇ</v>
          </cell>
          <cell r="J2082" t="str">
            <v>AVİZE.SARK</v>
          </cell>
          <cell r="K2082" t="str">
            <v>SKYLİNE</v>
          </cell>
          <cell r="L2082" t="str">
            <v/>
          </cell>
          <cell r="M2082" t="str">
            <v/>
          </cell>
          <cell r="N2082" t="str">
            <v>HKA-25126</v>
          </cell>
          <cell r="O2082" t="str">
            <v>HEKA</v>
          </cell>
          <cell r="P2082" t="str">
            <v>ADET</v>
          </cell>
          <cell r="Q2082" t="str">
            <v>LED</v>
          </cell>
          <cell r="R2082" t="str">
            <v>METAL</v>
          </cell>
          <cell r="S2082" t="str">
            <v>ESKİTME</v>
          </cell>
          <cell r="T2082" t="str">
            <v>CAM</v>
          </cell>
          <cell r="U2082" t="str">
            <v>MAVİ</v>
          </cell>
          <cell r="AA2082" t="str">
            <v>DIMMSIZ</v>
          </cell>
          <cell r="AD2082" t="str">
            <v>TEKLİ</v>
          </cell>
          <cell r="AE2082" t="str">
            <v>01</v>
          </cell>
          <cell r="AG2082" t="str">
            <v>ADET</v>
          </cell>
          <cell r="AL2082">
            <v>1</v>
          </cell>
          <cell r="AM2082" t="str">
            <v>8684127517522</v>
          </cell>
          <cell r="AO2082">
            <v>0</v>
          </cell>
          <cell r="AQ2082">
            <v>2</v>
          </cell>
          <cell r="AR2082" t="str">
            <v>CM</v>
          </cell>
          <cell r="AS2082">
            <v>50</v>
          </cell>
          <cell r="AT2082" t="str">
            <v>CM</v>
          </cell>
          <cell r="AU2082">
            <v>0</v>
          </cell>
          <cell r="AW2082">
            <v>0</v>
          </cell>
        </row>
        <row r="2083">
          <cell r="B2083" t="str">
            <v>H1C6JMEERY1-050</v>
          </cell>
          <cell r="C2083" t="str">
            <v>SKYLİNE TEKLİ YEŞİL CAM SARKIT 50cm</v>
          </cell>
          <cell r="D2083" t="str">
            <v>SYKLINE SINGLE GREEN GLASS PENDANT 50cm</v>
          </cell>
          <cell r="E2083" t="str">
            <v>METAL CAM ESKİTME YEŞİL</v>
          </cell>
          <cell r="F2083" t="str">
            <v/>
          </cell>
          <cell r="G2083" t="str">
            <v>AVİZE</v>
          </cell>
          <cell r="H2083" t="str">
            <v/>
          </cell>
          <cell r="I2083" t="str">
            <v>İÇ</v>
          </cell>
          <cell r="J2083" t="str">
            <v>AVİZE.SARK</v>
          </cell>
          <cell r="K2083" t="str">
            <v>SKYLİNE</v>
          </cell>
          <cell r="L2083" t="str">
            <v/>
          </cell>
          <cell r="M2083" t="str">
            <v/>
          </cell>
          <cell r="N2083" t="str">
            <v>HKA-25128</v>
          </cell>
          <cell r="O2083" t="str">
            <v>HEKA</v>
          </cell>
          <cell r="P2083" t="str">
            <v>ADET</v>
          </cell>
          <cell r="Q2083" t="str">
            <v>LED</v>
          </cell>
          <cell r="R2083" t="str">
            <v>METAL</v>
          </cell>
          <cell r="S2083" t="str">
            <v>ESKİTME</v>
          </cell>
          <cell r="T2083" t="str">
            <v>CAM</v>
          </cell>
          <cell r="U2083" t="str">
            <v>YEŞİL</v>
          </cell>
          <cell r="AA2083" t="str">
            <v>DIMMSIZ</v>
          </cell>
          <cell r="AD2083" t="str">
            <v>TEKLİ</v>
          </cell>
          <cell r="AE2083" t="str">
            <v>01</v>
          </cell>
          <cell r="AG2083" t="str">
            <v>ADET</v>
          </cell>
          <cell r="AL2083">
            <v>1</v>
          </cell>
          <cell r="AM2083" t="str">
            <v>8684127517546</v>
          </cell>
          <cell r="AO2083">
            <v>0</v>
          </cell>
          <cell r="AQ2083">
            <v>2</v>
          </cell>
          <cell r="AR2083" t="str">
            <v>CM</v>
          </cell>
          <cell r="AS2083">
            <v>50</v>
          </cell>
          <cell r="AT2083" t="str">
            <v>CM</v>
          </cell>
          <cell r="AU2083">
            <v>0</v>
          </cell>
          <cell r="AW2083">
            <v>0</v>
          </cell>
        </row>
        <row r="2084">
          <cell r="B2084" t="str">
            <v>H1C6JMEESB0-040</v>
          </cell>
          <cell r="C2084" t="str">
            <v>PİETRO TEKLİ ŞEFFAF-BEYAZ CAM SARKIT 40CM</v>
          </cell>
          <cell r="D2084" t="str">
            <v>PİETRO SINGLE CLEAR-WHITE GLASS PENDANT 40CM</v>
          </cell>
          <cell r="E2084" t="str">
            <v>METAL CAM ESKİTME ŞEFFAF-BEYAZ</v>
          </cell>
          <cell r="F2084" t="str">
            <v/>
          </cell>
          <cell r="G2084" t="str">
            <v>AVİZE</v>
          </cell>
          <cell r="H2084" t="str">
            <v/>
          </cell>
          <cell r="I2084" t="str">
            <v>İÇ</v>
          </cell>
          <cell r="J2084" t="str">
            <v>AVİZE.SARK</v>
          </cell>
          <cell r="K2084" t="str">
            <v>PİETRO</v>
          </cell>
          <cell r="L2084" t="str">
            <v>Y</v>
          </cell>
          <cell r="M2084" t="str">
            <v/>
          </cell>
          <cell r="N2084" t="str">
            <v>HKA-25032</v>
          </cell>
          <cell r="O2084" t="str">
            <v>HEKA</v>
          </cell>
          <cell r="P2084" t="str">
            <v>ADET</v>
          </cell>
          <cell r="Q2084" t="str">
            <v>LED</v>
          </cell>
          <cell r="R2084" t="str">
            <v>METAL</v>
          </cell>
          <cell r="S2084" t="str">
            <v>ESKİTME</v>
          </cell>
          <cell r="T2084" t="str">
            <v>CAM</v>
          </cell>
          <cell r="U2084" t="str">
            <v>ŞEFFAF-BEYAZ</v>
          </cell>
          <cell r="Z2084" t="str">
            <v>3000 K</v>
          </cell>
          <cell r="AA2084" t="str">
            <v>DIMMSIZ</v>
          </cell>
          <cell r="AF2084">
            <v>62</v>
          </cell>
          <cell r="AG2084" t="str">
            <v>ADET</v>
          </cell>
          <cell r="AH2084">
            <v>110</v>
          </cell>
          <cell r="AI2084" t="str">
            <v>CNY</v>
          </cell>
          <cell r="AJ2084">
            <v>7950</v>
          </cell>
          <cell r="AK2084" t="str">
            <v>TL</v>
          </cell>
          <cell r="AL2084">
            <v>1</v>
          </cell>
          <cell r="AM2084" t="str">
            <v>8684127518857</v>
          </cell>
          <cell r="AO2084">
            <v>0</v>
          </cell>
          <cell r="AQ2084">
            <v>16</v>
          </cell>
          <cell r="AR2084" t="str">
            <v>CM</v>
          </cell>
          <cell r="AS2084">
            <v>16</v>
          </cell>
          <cell r="AT2084" t="str">
            <v>CM</v>
          </cell>
          <cell r="AU2084">
            <v>0</v>
          </cell>
          <cell r="AW2084">
            <v>0</v>
          </cell>
        </row>
        <row r="2085">
          <cell r="B2085" t="str">
            <v>H1C6JMEEFB0-040</v>
          </cell>
          <cell r="C2085" t="str">
            <v>PİETRO TEKLİ ŞEFFAF-FÜME CAM SARKIT 40CM</v>
          </cell>
          <cell r="D2085" t="str">
            <v>PİETRO SINGLE CLEAR-SMOKY GLASS PENDANT 40CM</v>
          </cell>
          <cell r="E2085" t="str">
            <v>METAL CAM ESKİTME FÜME-BEYAZ</v>
          </cell>
          <cell r="F2085" t="str">
            <v/>
          </cell>
          <cell r="G2085" t="str">
            <v>AVİZE</v>
          </cell>
          <cell r="H2085" t="str">
            <v/>
          </cell>
          <cell r="I2085" t="str">
            <v>İÇ</v>
          </cell>
          <cell r="J2085" t="str">
            <v>AVİZE.SARK</v>
          </cell>
          <cell r="K2085" t="str">
            <v>PİETRO</v>
          </cell>
          <cell r="L2085" t="str">
            <v>Y</v>
          </cell>
          <cell r="M2085" t="str">
            <v/>
          </cell>
          <cell r="N2085" t="str">
            <v>HKA-25034</v>
          </cell>
          <cell r="O2085" t="str">
            <v>HEKA</v>
          </cell>
          <cell r="P2085" t="str">
            <v>ADET</v>
          </cell>
          <cell r="Q2085" t="str">
            <v>LED</v>
          </cell>
          <cell r="R2085" t="str">
            <v>METAL</v>
          </cell>
          <cell r="S2085" t="str">
            <v>ESKİTME</v>
          </cell>
          <cell r="T2085" t="str">
            <v>CAM</v>
          </cell>
          <cell r="U2085" t="str">
            <v>FÜME-BEYAZ</v>
          </cell>
          <cell r="Z2085" t="str">
            <v>3000 K</v>
          </cell>
          <cell r="AA2085" t="str">
            <v>DIMMSIZ</v>
          </cell>
          <cell r="AF2085">
            <v>159</v>
          </cell>
          <cell r="AG2085" t="str">
            <v>ADET</v>
          </cell>
          <cell r="AH2085">
            <v>110</v>
          </cell>
          <cell r="AI2085" t="str">
            <v>CNY</v>
          </cell>
          <cell r="AJ2085">
            <v>7950</v>
          </cell>
          <cell r="AK2085" t="str">
            <v>TL</v>
          </cell>
          <cell r="AL2085">
            <v>1</v>
          </cell>
          <cell r="AM2085" t="str">
            <v>8684127518871</v>
          </cell>
          <cell r="AO2085">
            <v>0</v>
          </cell>
          <cell r="AQ2085">
            <v>16</v>
          </cell>
          <cell r="AR2085" t="str">
            <v>CM</v>
          </cell>
          <cell r="AS2085">
            <v>16</v>
          </cell>
          <cell r="AT2085" t="str">
            <v>CM</v>
          </cell>
          <cell r="AU2085">
            <v>0</v>
          </cell>
          <cell r="AW2085">
            <v>0</v>
          </cell>
        </row>
        <row r="2086">
          <cell r="B2086" t="str">
            <v>H1P6ERB000S-035</v>
          </cell>
          <cell r="C2086" t="str">
            <v>PERLA BEYAZ CAM PLAFONYER 35CM</v>
          </cell>
          <cell r="D2086" t="str">
            <v>PERLA WHITE GLASS PLAFONIER 35CM</v>
          </cell>
          <cell r="E2086" t="str">
            <v>CAM YOK BEYAZ YOK</v>
          </cell>
          <cell r="F2086" t="str">
            <v/>
          </cell>
          <cell r="G2086" t="str">
            <v>AVİZE</v>
          </cell>
          <cell r="H2086" t="str">
            <v/>
          </cell>
          <cell r="I2086" t="str">
            <v>İÇ</v>
          </cell>
          <cell r="J2086" t="str">
            <v>AVİZE.PLF</v>
          </cell>
          <cell r="K2086" t="str">
            <v>PERLA</v>
          </cell>
          <cell r="L2086" t="str">
            <v/>
          </cell>
          <cell r="M2086" t="str">
            <v>30.01.2026</v>
          </cell>
          <cell r="N2086" t="str">
            <v>HKA-25141</v>
          </cell>
          <cell r="O2086" t="str">
            <v>HEKA</v>
          </cell>
          <cell r="P2086" t="str">
            <v>ADET</v>
          </cell>
          <cell r="Q2086" t="str">
            <v>LED</v>
          </cell>
          <cell r="R2086" t="str">
            <v>CAM</v>
          </cell>
          <cell r="S2086" t="str">
            <v>BEYAZ</v>
          </cell>
          <cell r="T2086" t="str">
            <v>YOK</v>
          </cell>
          <cell r="U2086" t="str">
            <v>YOK</v>
          </cell>
          <cell r="AA2086" t="str">
            <v>DIMMSIZ</v>
          </cell>
          <cell r="AD2086" t="str">
            <v>SABİT</v>
          </cell>
          <cell r="AE2086" t="str">
            <v>01</v>
          </cell>
          <cell r="AF2086">
            <v>39</v>
          </cell>
          <cell r="AG2086" t="str">
            <v>ADET</v>
          </cell>
          <cell r="AH2086">
            <v>228</v>
          </cell>
          <cell r="AI2086" t="str">
            <v>CNY</v>
          </cell>
          <cell r="AL2086">
            <v>1</v>
          </cell>
          <cell r="AM2086" t="str">
            <v>8684127517812</v>
          </cell>
          <cell r="AO2086">
            <v>0</v>
          </cell>
          <cell r="AQ2086">
            <v>16.399999999999999</v>
          </cell>
          <cell r="AR2086" t="str">
            <v>CM</v>
          </cell>
          <cell r="AS2086">
            <v>16.399999999999999</v>
          </cell>
          <cell r="AT2086" t="str">
            <v>CM</v>
          </cell>
          <cell r="AU2086">
            <v>0</v>
          </cell>
          <cell r="AW2086">
            <v>0</v>
          </cell>
        </row>
        <row r="2087">
          <cell r="B2087" t="str">
            <v>H1P6ERF000S-035</v>
          </cell>
          <cell r="C2087" t="str">
            <v>PERLA FÜME CAM PLAFONYER 35CM</v>
          </cell>
          <cell r="D2087" t="str">
            <v>PERLA LIGHT SMOKY GLASS PLAFONIER 35CM</v>
          </cell>
          <cell r="E2087" t="str">
            <v>CAM YOK FÜME YOK</v>
          </cell>
          <cell r="F2087" t="str">
            <v/>
          </cell>
          <cell r="G2087" t="str">
            <v>AVİZE</v>
          </cell>
          <cell r="H2087" t="str">
            <v/>
          </cell>
          <cell r="I2087" t="str">
            <v>İÇ</v>
          </cell>
          <cell r="J2087" t="str">
            <v>AVİZE.PLF</v>
          </cell>
          <cell r="K2087" t="str">
            <v>PERLA</v>
          </cell>
          <cell r="L2087" t="str">
            <v/>
          </cell>
          <cell r="M2087" t="str">
            <v/>
          </cell>
          <cell r="N2087" t="str">
            <v>HKA-25143</v>
          </cell>
          <cell r="O2087" t="str">
            <v>HEKA</v>
          </cell>
          <cell r="P2087" t="str">
            <v>ADET</v>
          </cell>
          <cell r="Q2087" t="str">
            <v>LED</v>
          </cell>
          <cell r="R2087" t="str">
            <v>CAM</v>
          </cell>
          <cell r="S2087" t="str">
            <v>FÜME</v>
          </cell>
          <cell r="T2087" t="str">
            <v>YOK</v>
          </cell>
          <cell r="U2087" t="str">
            <v>YOK</v>
          </cell>
          <cell r="AA2087" t="str">
            <v>DIMMSIZ</v>
          </cell>
          <cell r="AD2087" t="str">
            <v>SABİT</v>
          </cell>
          <cell r="AE2087" t="str">
            <v>01</v>
          </cell>
          <cell r="AF2087">
            <v>40</v>
          </cell>
          <cell r="AG2087" t="str">
            <v>ADET</v>
          </cell>
          <cell r="AH2087">
            <v>228</v>
          </cell>
          <cell r="AI2087" t="str">
            <v>CNY</v>
          </cell>
          <cell r="AL2087">
            <v>1</v>
          </cell>
          <cell r="AM2087" t="str">
            <v>8684127517836</v>
          </cell>
          <cell r="AO2087">
            <v>0</v>
          </cell>
          <cell r="AQ2087">
            <v>16.399999999999999</v>
          </cell>
          <cell r="AR2087" t="str">
            <v>CM</v>
          </cell>
          <cell r="AS2087">
            <v>16.399999999999999</v>
          </cell>
          <cell r="AT2087" t="str">
            <v>CM</v>
          </cell>
          <cell r="AU2087">
            <v>0</v>
          </cell>
          <cell r="AW2087">
            <v>0</v>
          </cell>
        </row>
        <row r="2088">
          <cell r="B2088" t="str">
            <v>H1T6KMPERF0-060</v>
          </cell>
          <cell r="C2088" t="str">
            <v>ARİETTA FÜME KRİSTAL PLATİN MASA LAMBASI 60CM</v>
          </cell>
          <cell r="D2088" t="str">
            <v>ARİETTA LIGHT SMOKY CRYSTAL PLATINUM TABLE LAMP 60CM</v>
          </cell>
          <cell r="E2088" t="str">
            <v>PASLANMAZ CAM PLATİN FÜME</v>
          </cell>
          <cell r="F2088" t="str">
            <v/>
          </cell>
          <cell r="G2088" t="str">
            <v>MASA LAMBASI</v>
          </cell>
          <cell r="H2088" t="str">
            <v/>
          </cell>
          <cell r="I2088" t="str">
            <v>İÇ</v>
          </cell>
          <cell r="J2088" t="str">
            <v>MASAABAJ</v>
          </cell>
          <cell r="K2088" t="str">
            <v>ARİETTA</v>
          </cell>
          <cell r="L2088" t="str">
            <v/>
          </cell>
          <cell r="M2088" t="str">
            <v/>
          </cell>
          <cell r="N2088" t="str">
            <v>HKA-25078</v>
          </cell>
          <cell r="O2088" t="str">
            <v>HEKA</v>
          </cell>
          <cell r="P2088" t="str">
            <v>ADET</v>
          </cell>
          <cell r="Q2088" t="str">
            <v>LED</v>
          </cell>
          <cell r="R2088" t="str">
            <v>PASLANMAZ</v>
          </cell>
          <cell r="S2088" t="str">
            <v>PLATİN</v>
          </cell>
          <cell r="T2088" t="str">
            <v>CAM</v>
          </cell>
          <cell r="U2088" t="str">
            <v>FÜME</v>
          </cell>
          <cell r="Z2088" t="str">
            <v>3000 K</v>
          </cell>
          <cell r="AA2088" t="str">
            <v>DIMMSIZ</v>
          </cell>
          <cell r="AE2088" t="str">
            <v>01</v>
          </cell>
          <cell r="AF2088">
            <v>10</v>
          </cell>
          <cell r="AG2088" t="str">
            <v>ADET</v>
          </cell>
          <cell r="AH2088">
            <v>555</v>
          </cell>
          <cell r="AI2088" t="str">
            <v>CNY</v>
          </cell>
          <cell r="AL2088">
            <v>1</v>
          </cell>
          <cell r="AM2088" t="str">
            <v>8684127517980</v>
          </cell>
          <cell r="AO2088">
            <v>0</v>
          </cell>
          <cell r="AQ2088">
            <v>35</v>
          </cell>
          <cell r="AR2088" t="str">
            <v>CM</v>
          </cell>
          <cell r="AS2088">
            <v>35</v>
          </cell>
          <cell r="AT2088" t="str">
            <v>CM</v>
          </cell>
          <cell r="AU2088">
            <v>0</v>
          </cell>
          <cell r="AW2088">
            <v>0</v>
          </cell>
        </row>
        <row r="2089">
          <cell r="B2089" t="str">
            <v>H1C6KMPERY0-020</v>
          </cell>
          <cell r="C2089" t="str">
            <v>ARİETTA YEŞİL KRİSTAL PLATİN SARKIT 20CM</v>
          </cell>
          <cell r="D2089" t="str">
            <v>ARİETTA GREEN CRYSTAL PLATINUM PENDANT 20CM</v>
          </cell>
          <cell r="E2089" t="str">
            <v>PASLANMAZ CAM PLATİN YEŞİL</v>
          </cell>
          <cell r="F2089" t="str">
            <v/>
          </cell>
          <cell r="G2089" t="str">
            <v>AVİZE</v>
          </cell>
          <cell r="H2089" t="str">
            <v/>
          </cell>
          <cell r="I2089" t="str">
            <v>İÇ</v>
          </cell>
          <cell r="J2089" t="str">
            <v>AVİZE.SARK</v>
          </cell>
          <cell r="K2089" t="str">
            <v>ARİETTA</v>
          </cell>
          <cell r="L2089" t="str">
            <v/>
          </cell>
          <cell r="M2089" t="str">
            <v/>
          </cell>
          <cell r="N2089" t="str">
            <v>HKA-25080</v>
          </cell>
          <cell r="O2089" t="str">
            <v>HEKA</v>
          </cell>
          <cell r="P2089" t="str">
            <v>ADET</v>
          </cell>
          <cell r="Q2089" t="str">
            <v>LED</v>
          </cell>
          <cell r="R2089" t="str">
            <v>PASLANMAZ</v>
          </cell>
          <cell r="S2089" t="str">
            <v>PLATİN</v>
          </cell>
          <cell r="T2089" t="str">
            <v>CAM</v>
          </cell>
          <cell r="U2089" t="str">
            <v>YEŞİL</v>
          </cell>
          <cell r="Z2089" t="str">
            <v>3000 K</v>
          </cell>
          <cell r="AA2089" t="str">
            <v>DIMMSIZ</v>
          </cell>
          <cell r="AE2089" t="str">
            <v>01</v>
          </cell>
          <cell r="AF2089">
            <v>20</v>
          </cell>
          <cell r="AG2089" t="str">
            <v>ADET</v>
          </cell>
          <cell r="AH2089">
            <v>284.89999999999998</v>
          </cell>
          <cell r="AI2089" t="str">
            <v>CNY</v>
          </cell>
          <cell r="AL2089">
            <v>1</v>
          </cell>
          <cell r="AM2089" t="str">
            <v>8684127518000</v>
          </cell>
          <cell r="AO2089">
            <v>0</v>
          </cell>
          <cell r="AQ2089">
            <v>20</v>
          </cell>
          <cell r="AR2089" t="str">
            <v>CM</v>
          </cell>
          <cell r="AS2089">
            <v>20</v>
          </cell>
          <cell r="AT2089" t="str">
            <v>CM</v>
          </cell>
          <cell r="AU2089">
            <v>0</v>
          </cell>
          <cell r="AW2089">
            <v>0</v>
          </cell>
        </row>
        <row r="2090">
          <cell r="B2090" t="str">
            <v>H1W6JMEBCO0-030</v>
          </cell>
          <cell r="C2090" t="str">
            <v>ARTEA TEKLİ OPAL AKRİLİK APLİK 30CM</v>
          </cell>
          <cell r="D2090" t="str">
            <v>ARTEA SINGLE OPAL ACYRLIC WALL LAMP 30CM</v>
          </cell>
          <cell r="E2090" t="str">
            <v>METAL AKRİLİK ESKİTME OPAL</v>
          </cell>
          <cell r="F2090" t="str">
            <v/>
          </cell>
          <cell r="G2090" t="str">
            <v>APLİK</v>
          </cell>
          <cell r="H2090" t="str">
            <v/>
          </cell>
          <cell r="I2090" t="str">
            <v>İÇ</v>
          </cell>
          <cell r="J2090" t="str">
            <v>APLİK</v>
          </cell>
          <cell r="K2090" t="str">
            <v>ARTEA</v>
          </cell>
          <cell r="L2090" t="str">
            <v/>
          </cell>
          <cell r="M2090" t="str">
            <v/>
          </cell>
          <cell r="N2090" t="str">
            <v>HKA-25175</v>
          </cell>
          <cell r="O2090" t="str">
            <v>HEKA</v>
          </cell>
          <cell r="P2090" t="str">
            <v>ADET</v>
          </cell>
          <cell r="Q2090" t="str">
            <v>LED</v>
          </cell>
          <cell r="R2090" t="str">
            <v>METAL</v>
          </cell>
          <cell r="S2090" t="str">
            <v>ESKİTME</v>
          </cell>
          <cell r="T2090" t="str">
            <v>AKRİLİK</v>
          </cell>
          <cell r="U2090" t="str">
            <v>OPAL</v>
          </cell>
          <cell r="Z2090" t="str">
            <v xml:space="preserve">2700 K </v>
          </cell>
          <cell r="AA2090" t="str">
            <v>DIMMSIZ</v>
          </cell>
          <cell r="AE2090" t="str">
            <v>01</v>
          </cell>
          <cell r="AF2090">
            <v>50</v>
          </cell>
          <cell r="AG2090" t="str">
            <v>ADET</v>
          </cell>
          <cell r="AH2090">
            <v>115.43</v>
          </cell>
          <cell r="AI2090" t="str">
            <v>CNY</v>
          </cell>
          <cell r="AL2090">
            <v>1</v>
          </cell>
          <cell r="AM2090" t="str">
            <v>8684127518154</v>
          </cell>
          <cell r="AO2090">
            <v>0</v>
          </cell>
          <cell r="AQ2090">
            <v>30</v>
          </cell>
          <cell r="AR2090" t="str">
            <v>CM</v>
          </cell>
          <cell r="AS2090">
            <v>30</v>
          </cell>
          <cell r="AT2090" t="str">
            <v>CM</v>
          </cell>
          <cell r="AU2090">
            <v>0</v>
          </cell>
          <cell r="AW2090">
            <v>0</v>
          </cell>
        </row>
        <row r="2091">
          <cell r="B2091" t="str">
            <v>H1C6XMEECOC-035</v>
          </cell>
          <cell r="C2091" t="str">
            <v>TERA TEKLİ OPAL CAM SARKIT 35CM</v>
          </cell>
          <cell r="D2091" t="str">
            <v>TERA SINGLE OPAL GLASS PENDANT 35CM</v>
          </cell>
          <cell r="E2091" t="str">
            <v>TRAVERTEN CAM ESKİTME OPAL</v>
          </cell>
          <cell r="F2091" t="str">
            <v/>
          </cell>
          <cell r="G2091" t="str">
            <v>AVİZE</v>
          </cell>
          <cell r="H2091" t="str">
            <v/>
          </cell>
          <cell r="I2091" t="str">
            <v>İÇ</v>
          </cell>
          <cell r="J2091" t="str">
            <v>AVİZE.SARK</v>
          </cell>
          <cell r="K2091" t="str">
            <v>TERA</v>
          </cell>
          <cell r="L2091" t="str">
            <v>Y</v>
          </cell>
          <cell r="M2091" t="str">
            <v/>
          </cell>
          <cell r="N2091" t="str">
            <v>HKA-25031</v>
          </cell>
          <cell r="O2091" t="str">
            <v>HEKA</v>
          </cell>
          <cell r="P2091" t="str">
            <v>ADET</v>
          </cell>
          <cell r="Q2091" t="str">
            <v>LED</v>
          </cell>
          <cell r="R2091" t="str">
            <v>TRAVERTEN</v>
          </cell>
          <cell r="S2091" t="str">
            <v>ESKİTME</v>
          </cell>
          <cell r="T2091" t="str">
            <v>CAM</v>
          </cell>
          <cell r="U2091" t="str">
            <v>OPAL</v>
          </cell>
          <cell r="AA2091" t="str">
            <v>DIMMSIZ</v>
          </cell>
          <cell r="AD2091" t="str">
            <v>SİLİNDİR</v>
          </cell>
          <cell r="AF2091">
            <v>159</v>
          </cell>
          <cell r="AG2091" t="str">
            <v>ADET</v>
          </cell>
          <cell r="AH2091">
            <v>100</v>
          </cell>
          <cell r="AI2091" t="str">
            <v>CNY</v>
          </cell>
          <cell r="AJ2091">
            <v>5950</v>
          </cell>
          <cell r="AK2091" t="str">
            <v>TL</v>
          </cell>
          <cell r="AL2091">
            <v>1</v>
          </cell>
          <cell r="AM2091" t="str">
            <v>8684127517720</v>
          </cell>
          <cell r="AO2091">
            <v>0</v>
          </cell>
          <cell r="AQ2091">
            <v>14</v>
          </cell>
          <cell r="AR2091" t="str">
            <v>CM</v>
          </cell>
          <cell r="AS2091">
            <v>14</v>
          </cell>
          <cell r="AT2091" t="str">
            <v>CM</v>
          </cell>
          <cell r="AU2091">
            <v>0</v>
          </cell>
          <cell r="AW2091">
            <v>0</v>
          </cell>
        </row>
        <row r="2092">
          <cell r="B2092" t="str">
            <v>H1C6ERT0001-035</v>
          </cell>
          <cell r="C2092" t="str">
            <v>PERLA TURUNCU CAM SARKIT 35CM</v>
          </cell>
          <cell r="D2092" t="str">
            <v>PERLA ORANGE GLASS PENDANT 35CM</v>
          </cell>
          <cell r="E2092" t="str">
            <v>CAM YOK TURUNCU YOK</v>
          </cell>
          <cell r="F2092" t="str">
            <v/>
          </cell>
          <cell r="G2092" t="str">
            <v>AVİZE</v>
          </cell>
          <cell r="H2092" t="str">
            <v/>
          </cell>
          <cell r="I2092" t="str">
            <v>İÇ</v>
          </cell>
          <cell r="J2092" t="str">
            <v>AVİZE.SARK</v>
          </cell>
          <cell r="K2092" t="str">
            <v>PERLA</v>
          </cell>
          <cell r="L2092" t="str">
            <v/>
          </cell>
          <cell r="M2092" t="str">
            <v/>
          </cell>
          <cell r="N2092" t="str">
            <v>HKA-25147</v>
          </cell>
          <cell r="O2092" t="str">
            <v>HEKA</v>
          </cell>
          <cell r="P2092" t="str">
            <v>ADET</v>
          </cell>
          <cell r="Q2092" t="str">
            <v>LED</v>
          </cell>
          <cell r="R2092" t="str">
            <v>CAM</v>
          </cell>
          <cell r="S2092" t="str">
            <v>TURUNCU</v>
          </cell>
          <cell r="T2092" t="str">
            <v>YOK</v>
          </cell>
          <cell r="U2092" t="str">
            <v>YOK</v>
          </cell>
          <cell r="AA2092" t="str">
            <v>DIMMSIZ</v>
          </cell>
          <cell r="AD2092" t="str">
            <v>TEKLİ</v>
          </cell>
          <cell r="AE2092" t="str">
            <v>01</v>
          </cell>
          <cell r="AF2092">
            <v>75</v>
          </cell>
          <cell r="AG2092" t="str">
            <v>ADET</v>
          </cell>
          <cell r="AH2092">
            <v>228</v>
          </cell>
          <cell r="AI2092" t="str">
            <v>CNY</v>
          </cell>
          <cell r="AL2092">
            <v>1</v>
          </cell>
          <cell r="AM2092" t="str">
            <v>8684127517874</v>
          </cell>
          <cell r="AO2092">
            <v>0</v>
          </cell>
          <cell r="AQ2092">
            <v>16.399999999999999</v>
          </cell>
          <cell r="AR2092" t="str">
            <v>CM</v>
          </cell>
          <cell r="AS2092">
            <v>16.399999999999999</v>
          </cell>
          <cell r="AT2092" t="str">
            <v>CM</v>
          </cell>
          <cell r="AU2092">
            <v>0</v>
          </cell>
          <cell r="AW2092">
            <v>0</v>
          </cell>
        </row>
        <row r="2093">
          <cell r="B2093" t="str">
            <v>H1C6ERM0001-074</v>
          </cell>
          <cell r="C2093" t="str">
            <v>PERLA MAVİ CAM SARKIT 74CM</v>
          </cell>
          <cell r="D2093" t="str">
            <v>PERLA BLUE GLASS PENDANT 74CM</v>
          </cell>
          <cell r="E2093" t="str">
            <v>CAM YOK MAVİ YOK</v>
          </cell>
          <cell r="F2093" t="str">
            <v/>
          </cell>
          <cell r="G2093" t="str">
            <v>AVİZE</v>
          </cell>
          <cell r="H2093" t="str">
            <v/>
          </cell>
          <cell r="I2093" t="str">
            <v>İÇ</v>
          </cell>
          <cell r="J2093" t="str">
            <v>AVİZE.SARK</v>
          </cell>
          <cell r="K2093" t="str">
            <v>PERLA</v>
          </cell>
          <cell r="L2093" t="str">
            <v/>
          </cell>
          <cell r="M2093" t="str">
            <v/>
          </cell>
          <cell r="N2093" t="str">
            <v>HKA-25154</v>
          </cell>
          <cell r="O2093" t="str">
            <v>HEKA</v>
          </cell>
          <cell r="P2093" t="str">
            <v>ADET</v>
          </cell>
          <cell r="Q2093" t="str">
            <v>LED</v>
          </cell>
          <cell r="R2093" t="str">
            <v>CAM</v>
          </cell>
          <cell r="S2093" t="str">
            <v>MAVİ</v>
          </cell>
          <cell r="T2093" t="str">
            <v>YOK</v>
          </cell>
          <cell r="U2093" t="str">
            <v>YOK</v>
          </cell>
          <cell r="AA2093" t="str">
            <v>DIMMSIZ</v>
          </cell>
          <cell r="AD2093" t="str">
            <v>TEKLİ</v>
          </cell>
          <cell r="AE2093" t="str">
            <v>01</v>
          </cell>
          <cell r="AF2093">
            <v>25</v>
          </cell>
          <cell r="AG2093" t="str">
            <v>ADET</v>
          </cell>
          <cell r="AH2093">
            <v>285</v>
          </cell>
          <cell r="AI2093" t="str">
            <v>CNY</v>
          </cell>
          <cell r="AL2093">
            <v>1</v>
          </cell>
          <cell r="AM2093" t="str">
            <v>8684127517942</v>
          </cell>
          <cell r="AO2093">
            <v>0</v>
          </cell>
          <cell r="AQ2093">
            <v>16.399999999999999</v>
          </cell>
          <cell r="AR2093" t="str">
            <v>CM</v>
          </cell>
          <cell r="AS2093">
            <v>16.399999999999999</v>
          </cell>
          <cell r="AT2093" t="str">
            <v>CM</v>
          </cell>
          <cell r="AU2093">
            <v>0</v>
          </cell>
          <cell r="AW2093">
            <v>0</v>
          </cell>
        </row>
        <row r="2094">
          <cell r="B2094" t="str">
            <v>H1C6KMPERF0-035</v>
          </cell>
          <cell r="C2094" t="str">
            <v>ARİETTA FÜME KRİSTAL PLATİN SARKIT 35CM</v>
          </cell>
          <cell r="D2094" t="str">
            <v>ARİETTA LIGHT SMOKY CRYSTAL PLATINUM PENDANT 35CM</v>
          </cell>
          <cell r="E2094" t="str">
            <v>PASLANMAZ CAM PLATİN FÜME</v>
          </cell>
          <cell r="F2094" t="str">
            <v/>
          </cell>
          <cell r="G2094" t="str">
            <v>AVİZE</v>
          </cell>
          <cell r="H2094" t="str">
            <v/>
          </cell>
          <cell r="I2094" t="str">
            <v>İÇ</v>
          </cell>
          <cell r="J2094" t="str">
            <v>AVİZE.SARK</v>
          </cell>
          <cell r="K2094" t="str">
            <v>ARİETTA</v>
          </cell>
          <cell r="L2094" t="str">
            <v/>
          </cell>
          <cell r="M2094" t="str">
            <v/>
          </cell>
          <cell r="N2094" t="str">
            <v>HKA-25085</v>
          </cell>
          <cell r="O2094" t="str">
            <v>HEKA</v>
          </cell>
          <cell r="P2094" t="str">
            <v>ADET</v>
          </cell>
          <cell r="Q2094" t="str">
            <v>LED</v>
          </cell>
          <cell r="R2094" t="str">
            <v>PASLANMAZ</v>
          </cell>
          <cell r="S2094" t="str">
            <v>PLATİN</v>
          </cell>
          <cell r="T2094" t="str">
            <v>CAM</v>
          </cell>
          <cell r="U2094" t="str">
            <v>FÜME</v>
          </cell>
          <cell r="Z2094" t="str">
            <v>3000 K</v>
          </cell>
          <cell r="AA2094" t="str">
            <v>DIMMSIZ</v>
          </cell>
          <cell r="AE2094" t="str">
            <v>01</v>
          </cell>
          <cell r="AF2094">
            <v>30</v>
          </cell>
          <cell r="AG2094" t="str">
            <v>ADET</v>
          </cell>
          <cell r="AH2094">
            <v>529.1</v>
          </cell>
          <cell r="AI2094" t="str">
            <v>CNY</v>
          </cell>
          <cell r="AL2094">
            <v>1</v>
          </cell>
          <cell r="AM2094" t="str">
            <v>8684127518055</v>
          </cell>
          <cell r="AO2094">
            <v>0</v>
          </cell>
          <cell r="AQ2094">
            <v>35</v>
          </cell>
          <cell r="AR2094" t="str">
            <v>CM</v>
          </cell>
          <cell r="AS2094">
            <v>35</v>
          </cell>
          <cell r="AT2094" t="str">
            <v>CM</v>
          </cell>
          <cell r="AU2094">
            <v>0</v>
          </cell>
          <cell r="AW2094">
            <v>0</v>
          </cell>
        </row>
        <row r="2095">
          <cell r="B2095" t="str">
            <v>H1P6JMEBCO0-050</v>
          </cell>
          <cell r="C2095" t="str">
            <v>ARTEA TEKLİ OPAL AKRİLİK PLAFONYER 50CM</v>
          </cell>
          <cell r="D2095" t="str">
            <v>ARTEA SINGLE OPAL ACYRLIC PLAFONIER 50CM</v>
          </cell>
          <cell r="E2095" t="str">
            <v>METAL AKRİLİK ESKİTME OPAL</v>
          </cell>
          <cell r="F2095" t="str">
            <v/>
          </cell>
          <cell r="G2095" t="str">
            <v>AVİZE</v>
          </cell>
          <cell r="H2095" t="str">
            <v/>
          </cell>
          <cell r="I2095" t="str">
            <v>İÇ</v>
          </cell>
          <cell r="J2095" t="str">
            <v>PLAFONYER</v>
          </cell>
          <cell r="K2095" t="str">
            <v>ARTEA</v>
          </cell>
          <cell r="L2095" t="str">
            <v/>
          </cell>
          <cell r="M2095" t="str">
            <v/>
          </cell>
          <cell r="N2095" t="str">
            <v>HKA-25172</v>
          </cell>
          <cell r="O2095" t="str">
            <v>HEKA</v>
          </cell>
          <cell r="P2095" t="str">
            <v>ADET</v>
          </cell>
          <cell r="Q2095" t="str">
            <v>LED</v>
          </cell>
          <cell r="R2095" t="str">
            <v>METAL</v>
          </cell>
          <cell r="S2095" t="str">
            <v>ESKİTME</v>
          </cell>
          <cell r="T2095" t="str">
            <v>AKRİLİK</v>
          </cell>
          <cell r="U2095" t="str">
            <v>OPAL</v>
          </cell>
          <cell r="Z2095" t="str">
            <v xml:space="preserve">2700 K </v>
          </cell>
          <cell r="AA2095" t="str">
            <v>DIMMSIZ</v>
          </cell>
          <cell r="AE2095" t="str">
            <v>01</v>
          </cell>
          <cell r="AF2095">
            <v>25</v>
          </cell>
          <cell r="AG2095" t="str">
            <v>ADET</v>
          </cell>
          <cell r="AH2095">
            <v>318.16000000000003</v>
          </cell>
          <cell r="AI2095" t="str">
            <v>CNY</v>
          </cell>
          <cell r="AL2095">
            <v>1</v>
          </cell>
          <cell r="AM2095" t="str">
            <v>8684127518123</v>
          </cell>
          <cell r="AO2095">
            <v>0</v>
          </cell>
          <cell r="AQ2095">
            <v>50</v>
          </cell>
          <cell r="AR2095" t="str">
            <v>CM</v>
          </cell>
          <cell r="AS2095">
            <v>50</v>
          </cell>
          <cell r="AT2095" t="str">
            <v>CM</v>
          </cell>
          <cell r="AU2095">
            <v>0</v>
          </cell>
          <cell r="AW2095">
            <v>0</v>
          </cell>
        </row>
        <row r="2096">
          <cell r="B2096" t="str">
            <v>H1C6JMEECO0-035</v>
          </cell>
          <cell r="C2096" t="str">
            <v>OYSTER TEKLİ OPAL CAM SARKIT 35CM</v>
          </cell>
          <cell r="D2096" t="str">
            <v>OYSTER SINGLE OPAL GLASS PENDANT 35CM</v>
          </cell>
          <cell r="E2096" t="str">
            <v>METAL CAM ESKİTME OPAL</v>
          </cell>
          <cell r="F2096" t="str">
            <v/>
          </cell>
          <cell r="G2096" t="str">
            <v>AVİZE</v>
          </cell>
          <cell r="H2096" t="str">
            <v/>
          </cell>
          <cell r="I2096" t="str">
            <v>İÇ</v>
          </cell>
          <cell r="J2096" t="str">
            <v>AVİZE.SARK</v>
          </cell>
          <cell r="K2096" t="str">
            <v>OYSTER</v>
          </cell>
          <cell r="L2096" t="str">
            <v/>
          </cell>
          <cell r="M2096" t="str">
            <v/>
          </cell>
          <cell r="N2096" t="str">
            <v>HKA-25179</v>
          </cell>
          <cell r="O2096" t="str">
            <v>HEKA</v>
          </cell>
          <cell r="P2096" t="str">
            <v>ADET</v>
          </cell>
          <cell r="Q2096" t="str">
            <v>LED</v>
          </cell>
          <cell r="R2096" t="str">
            <v>METAL</v>
          </cell>
          <cell r="S2096" t="str">
            <v>ESKİTME</v>
          </cell>
          <cell r="T2096" t="str">
            <v>CAM</v>
          </cell>
          <cell r="U2096" t="str">
            <v>OPAL</v>
          </cell>
          <cell r="Z2096" t="str">
            <v xml:space="preserve">2700 K </v>
          </cell>
          <cell r="AA2096" t="str">
            <v>DIMMSIZ</v>
          </cell>
          <cell r="AE2096" t="str">
            <v>01</v>
          </cell>
          <cell r="AF2096">
            <v>50</v>
          </cell>
          <cell r="AG2096" t="str">
            <v>ADET</v>
          </cell>
          <cell r="AH2096">
            <v>244.44</v>
          </cell>
          <cell r="AI2096" t="str">
            <v>CNY</v>
          </cell>
          <cell r="AL2096">
            <v>1</v>
          </cell>
          <cell r="AM2096" t="str">
            <v>8684127518192</v>
          </cell>
          <cell r="AO2096">
            <v>0</v>
          </cell>
          <cell r="AQ2096">
            <v>35</v>
          </cell>
          <cell r="AR2096" t="str">
            <v>CM</v>
          </cell>
          <cell r="AS2096">
            <v>35</v>
          </cell>
          <cell r="AT2096" t="str">
            <v>CM</v>
          </cell>
          <cell r="AU2096">
            <v>0</v>
          </cell>
          <cell r="AW2096">
            <v>0</v>
          </cell>
        </row>
        <row r="2097">
          <cell r="B2097" t="str">
            <v>H1C6WRFJMEU-060</v>
          </cell>
          <cell r="C2097" t="str">
            <v>ARON MERMER SARKIT 60CM</v>
          </cell>
          <cell r="D2097" t="str">
            <v>ARON MARBLE PENDANT 60CM</v>
          </cell>
          <cell r="E2097" t="str">
            <v>MERMER METAL BEYAZ ESKİTME</v>
          </cell>
          <cell r="F2097" t="str">
            <v/>
          </cell>
          <cell r="G2097" t="str">
            <v>AVİZE</v>
          </cell>
          <cell r="H2097" t="str">
            <v/>
          </cell>
          <cell r="I2097" t="str">
            <v>İÇ</v>
          </cell>
          <cell r="J2097" t="str">
            <v>AVİZE.SARK</v>
          </cell>
          <cell r="K2097" t="str">
            <v>ARON</v>
          </cell>
          <cell r="L2097" t="str">
            <v/>
          </cell>
          <cell r="M2097" t="str">
            <v/>
          </cell>
          <cell r="N2097" t="str">
            <v>HKA-25190</v>
          </cell>
          <cell r="O2097" t="str">
            <v>HEKA</v>
          </cell>
          <cell r="P2097" t="str">
            <v>ADET</v>
          </cell>
          <cell r="Q2097" t="str">
            <v>LED</v>
          </cell>
          <cell r="R2097" t="str">
            <v>MERMER</v>
          </cell>
          <cell r="S2097" t="str">
            <v>BEYAZ</v>
          </cell>
          <cell r="T2097" t="str">
            <v>METAL</v>
          </cell>
          <cell r="U2097" t="str">
            <v>ESKİTME</v>
          </cell>
          <cell r="Z2097" t="str">
            <v>3000 K</v>
          </cell>
          <cell r="AA2097" t="str">
            <v>DIMMSIZ</v>
          </cell>
          <cell r="AD2097" t="str">
            <v>ÜÇGEN</v>
          </cell>
          <cell r="AE2097" t="str">
            <v>01</v>
          </cell>
          <cell r="AF2097">
            <v>40</v>
          </cell>
          <cell r="AG2097" t="str">
            <v>ADET</v>
          </cell>
          <cell r="AH2097">
            <v>272.8</v>
          </cell>
          <cell r="AI2097" t="str">
            <v>CNY</v>
          </cell>
          <cell r="AL2097">
            <v>1</v>
          </cell>
          <cell r="AM2097" t="str">
            <v>8684127518338</v>
          </cell>
          <cell r="AO2097">
            <v>0</v>
          </cell>
          <cell r="AQ2097">
            <v>8</v>
          </cell>
          <cell r="AR2097" t="str">
            <v>CM</v>
          </cell>
          <cell r="AS2097">
            <v>12</v>
          </cell>
          <cell r="AT2097" t="str">
            <v>CM</v>
          </cell>
          <cell r="AU2097">
            <v>0</v>
          </cell>
          <cell r="AW2097">
            <v>0</v>
          </cell>
        </row>
        <row r="2098">
          <cell r="B2098" t="str">
            <v>H1C6JRSERF0-028</v>
          </cell>
          <cell r="C2098" t="str">
            <v>MODİNA FÜME CAMLI SİYAH SARKIT 28CM</v>
          </cell>
          <cell r="D2098" t="str">
            <v>MODİNA LIGHT SMOKY GLASS BLACK PENDANT 28CM</v>
          </cell>
          <cell r="E2098" t="str">
            <v>METAL CAM SİYAH FÜME</v>
          </cell>
          <cell r="F2098" t="str">
            <v/>
          </cell>
          <cell r="G2098" t="str">
            <v>AVİZE</v>
          </cell>
          <cell r="H2098" t="str">
            <v/>
          </cell>
          <cell r="I2098" t="str">
            <v>İÇ</v>
          </cell>
          <cell r="J2098" t="str">
            <v>AVİZE.SARK</v>
          </cell>
          <cell r="K2098" t="str">
            <v>MODİNA</v>
          </cell>
          <cell r="L2098" t="str">
            <v/>
          </cell>
          <cell r="M2098" t="str">
            <v/>
          </cell>
          <cell r="N2098" t="str">
            <v>HKA-25196</v>
          </cell>
          <cell r="O2098" t="str">
            <v>HEKA</v>
          </cell>
          <cell r="P2098" t="str">
            <v>ADET</v>
          </cell>
          <cell r="Q2098" t="str">
            <v>LED</v>
          </cell>
          <cell r="R2098" t="str">
            <v>METAL</v>
          </cell>
          <cell r="S2098" t="str">
            <v>SİYAH</v>
          </cell>
          <cell r="T2098" t="str">
            <v>CAM</v>
          </cell>
          <cell r="U2098" t="str">
            <v>FÜME</v>
          </cell>
          <cell r="AA2098" t="str">
            <v>DIMMSIZ</v>
          </cell>
          <cell r="AE2098" t="str">
            <v>01</v>
          </cell>
          <cell r="AF2098">
            <v>200</v>
          </cell>
          <cell r="AG2098" t="str">
            <v>ADET</v>
          </cell>
          <cell r="AH2098">
            <v>83</v>
          </cell>
          <cell r="AI2098" t="str">
            <v>CNY</v>
          </cell>
          <cell r="AL2098">
            <v>1</v>
          </cell>
          <cell r="AM2098" t="str">
            <v>8684127518390</v>
          </cell>
          <cell r="AO2098">
            <v>0</v>
          </cell>
          <cell r="AQ2098">
            <v>28</v>
          </cell>
          <cell r="AR2098" t="str">
            <v>CM</v>
          </cell>
          <cell r="AS2098">
            <v>28</v>
          </cell>
          <cell r="AT2098" t="str">
            <v>CM</v>
          </cell>
          <cell r="AU2098">
            <v>0</v>
          </cell>
          <cell r="AW2098">
            <v>0</v>
          </cell>
        </row>
        <row r="2099">
          <cell r="B2099" t="str">
            <v>H1T6JMPWRFP-050</v>
          </cell>
          <cell r="C2099" t="str">
            <v>ANVERS BEYAZ MERMER PLATİN MASA LAMBASI</v>
          </cell>
          <cell r="D2099" t="str">
            <v>ANVERS WHITE MARBLE PLATINUM TABLE LAMP</v>
          </cell>
          <cell r="E2099" t="str">
            <v>METAL MERMER PLATİN BEYAZ</v>
          </cell>
          <cell r="F2099" t="str">
            <v/>
          </cell>
          <cell r="G2099" t="str">
            <v>MASA LAMBASI</v>
          </cell>
          <cell r="H2099" t="str">
            <v/>
          </cell>
          <cell r="I2099" t="str">
            <v>İÇ</v>
          </cell>
          <cell r="J2099" t="str">
            <v>MASAABAJ</v>
          </cell>
          <cell r="K2099" t="str">
            <v>ANVERS</v>
          </cell>
          <cell r="L2099" t="str">
            <v/>
          </cell>
          <cell r="M2099" t="str">
            <v/>
          </cell>
          <cell r="N2099" t="str">
            <v>HKA-25203</v>
          </cell>
          <cell r="O2099" t="str">
            <v>HEKA</v>
          </cell>
          <cell r="P2099" t="str">
            <v>ADET</v>
          </cell>
          <cell r="Q2099" t="str">
            <v>LED</v>
          </cell>
          <cell r="R2099" t="str">
            <v>METAL</v>
          </cell>
          <cell r="S2099" t="str">
            <v>PLATİN</v>
          </cell>
          <cell r="T2099" t="str">
            <v>MERMER</v>
          </cell>
          <cell r="U2099" t="str">
            <v>BEYAZ</v>
          </cell>
          <cell r="AA2099" t="str">
            <v>DIMMSIZ</v>
          </cell>
          <cell r="AD2099" t="str">
            <v>POLİGONAL</v>
          </cell>
          <cell r="AE2099" t="str">
            <v>01</v>
          </cell>
          <cell r="AF2099">
            <v>6</v>
          </cell>
          <cell r="AG2099" t="str">
            <v>ADET</v>
          </cell>
          <cell r="AH2099">
            <v>315</v>
          </cell>
          <cell r="AI2099" t="str">
            <v>CNY</v>
          </cell>
          <cell r="AL2099">
            <v>0</v>
          </cell>
          <cell r="AM2099" t="str">
            <v>8684127518468</v>
          </cell>
          <cell r="AO2099">
            <v>0</v>
          </cell>
          <cell r="AQ2099">
            <v>0</v>
          </cell>
          <cell r="AS2099">
            <v>15</v>
          </cell>
          <cell r="AT2099" t="str">
            <v>CM</v>
          </cell>
          <cell r="AU2099">
            <v>0</v>
          </cell>
          <cell r="AW2099">
            <v>0</v>
          </cell>
        </row>
        <row r="2100">
          <cell r="B2100" t="str">
            <v>AVFVERV0005-066</v>
          </cell>
          <cell r="C2100" t="str">
            <v>OMBRE KAHVERENGİ UZUN VAZO 66CM</v>
          </cell>
          <cell r="D2100" t="str">
            <v>OMBRE BROWN LONG VASE 66CM</v>
          </cell>
          <cell r="E2100" t="str">
            <v>CAM  YOK KAHVERENGİ YOK</v>
          </cell>
          <cell r="F2100" t="str">
            <v/>
          </cell>
          <cell r="G2100" t="str">
            <v>AKSESUAR</v>
          </cell>
          <cell r="H2100" t="str">
            <v/>
          </cell>
          <cell r="I2100" t="str">
            <v>İÇ</v>
          </cell>
          <cell r="J2100" t="str">
            <v>AKSESUAR</v>
          </cell>
          <cell r="K2100" t="str">
            <v>OMBRE</v>
          </cell>
          <cell r="L2100" t="str">
            <v/>
          </cell>
          <cell r="M2100" t="str">
            <v/>
          </cell>
          <cell r="N2100" t="str">
            <v>HKA-250035</v>
          </cell>
          <cell r="O2100" t="str">
            <v>HEKA</v>
          </cell>
          <cell r="P2100" t="str">
            <v>ADET</v>
          </cell>
          <cell r="R2100" t="str">
            <v>CAM</v>
          </cell>
          <cell r="S2100" t="str">
            <v>KAHVERENGİ</v>
          </cell>
          <cell r="T2100" t="str">
            <v>YOK</v>
          </cell>
          <cell r="U2100" t="str">
            <v>YOK</v>
          </cell>
          <cell r="AD2100" t="str">
            <v>VAZO</v>
          </cell>
          <cell r="AF2100">
            <v>1</v>
          </cell>
          <cell r="AG2100" t="str">
            <v>ADET</v>
          </cell>
          <cell r="AH2100">
            <v>3171.96</v>
          </cell>
          <cell r="AI2100" t="str">
            <v>TL</v>
          </cell>
          <cell r="AJ2100">
            <v>7612.7039999999997</v>
          </cell>
          <cell r="AK2100" t="str">
            <v>TL</v>
          </cell>
          <cell r="AL2100">
            <v>0</v>
          </cell>
          <cell r="AO2100">
            <v>0</v>
          </cell>
          <cell r="AQ2100">
            <v>28</v>
          </cell>
          <cell r="AR2100" t="str">
            <v>CM</v>
          </cell>
          <cell r="AS2100">
            <v>28</v>
          </cell>
          <cell r="AT2100" t="str">
            <v>CM</v>
          </cell>
          <cell r="AU2100">
            <v>0</v>
          </cell>
          <cell r="AW2100">
            <v>0</v>
          </cell>
        </row>
        <row r="2101">
          <cell r="B2101" t="str">
            <v>ADFVHBJ0008-030</v>
          </cell>
          <cell r="C2101" t="str">
            <v>AURORA CLAUDE MONET KİTAP KUTU</v>
          </cell>
          <cell r="D2101" t="str">
            <v>AURORA CLAUDE MONET BOOK BOX</v>
          </cell>
          <cell r="E2101" t="str">
            <v>KUMAŞ YOK BEJ YOK</v>
          </cell>
          <cell r="F2101" t="str">
            <v/>
          </cell>
          <cell r="G2101" t="str">
            <v>AKSESUAR</v>
          </cell>
          <cell r="H2101" t="str">
            <v/>
          </cell>
          <cell r="I2101" t="str">
            <v>İÇ</v>
          </cell>
          <cell r="J2101" t="str">
            <v>AKSESUAR</v>
          </cell>
          <cell r="K2101" t="str">
            <v>AURORA</v>
          </cell>
          <cell r="L2101" t="str">
            <v/>
          </cell>
          <cell r="M2101" t="str">
            <v/>
          </cell>
          <cell r="N2101" t="str">
            <v>HKA-250042</v>
          </cell>
          <cell r="O2101" t="str">
            <v>HEKA</v>
          </cell>
          <cell r="P2101" t="str">
            <v>ADET</v>
          </cell>
          <cell r="R2101" t="str">
            <v>KUMAŞ</v>
          </cell>
          <cell r="S2101" t="str">
            <v>BEJ</v>
          </cell>
          <cell r="T2101" t="str">
            <v>YOK</v>
          </cell>
          <cell r="U2101" t="str">
            <v>YOK</v>
          </cell>
          <cell r="AD2101" t="str">
            <v>DESENLİ</v>
          </cell>
          <cell r="AF2101">
            <v>1</v>
          </cell>
          <cell r="AG2101" t="str">
            <v>ADET</v>
          </cell>
          <cell r="AH2101">
            <v>1203.8399999999999</v>
          </cell>
          <cell r="AI2101" t="str">
            <v>TL</v>
          </cell>
          <cell r="AJ2101">
            <v>2889.2159999999999</v>
          </cell>
          <cell r="AK2101" t="str">
            <v>TL</v>
          </cell>
          <cell r="AL2101">
            <v>0</v>
          </cell>
          <cell r="AO2101">
            <v>0</v>
          </cell>
          <cell r="AQ2101">
            <v>7</v>
          </cell>
          <cell r="AR2101" t="str">
            <v>CM</v>
          </cell>
          <cell r="AS2101">
            <v>30</v>
          </cell>
          <cell r="AT2101" t="str">
            <v>CM</v>
          </cell>
          <cell r="AU2101">
            <v>0</v>
          </cell>
          <cell r="AW2101">
            <v>0</v>
          </cell>
        </row>
        <row r="2102">
          <cell r="B2102" t="str">
            <v>ADFVMRS000T-025</v>
          </cell>
          <cell r="C2102" t="str">
            <v>PEA ANTİK YEŞİL BEZELYE ÇİÇEĞİ</v>
          </cell>
          <cell r="D2102" t="str">
            <v>ANTİQUE GREEN PEA FLOWER</v>
          </cell>
          <cell r="E2102" t="str">
            <v/>
          </cell>
          <cell r="F2102" t="str">
            <v/>
          </cell>
          <cell r="G2102" t="str">
            <v>AKSESUAR</v>
          </cell>
          <cell r="H2102" t="str">
            <v/>
          </cell>
          <cell r="I2102" t="str">
            <v>İÇ</v>
          </cell>
          <cell r="J2102" t="str">
            <v>AKSESUAR</v>
          </cell>
          <cell r="K2102" t="str">
            <v>PEA</v>
          </cell>
          <cell r="L2102" t="str">
            <v/>
          </cell>
          <cell r="M2102" t="str">
            <v/>
          </cell>
          <cell r="N2102" t="str">
            <v>HKA-250049</v>
          </cell>
          <cell r="O2102" t="str">
            <v>HEKA</v>
          </cell>
          <cell r="P2102" t="str">
            <v>ADET</v>
          </cell>
          <cell r="R2102" t="str">
            <v>POLİKARBON</v>
          </cell>
          <cell r="S2102" t="str">
            <v>YEŞİL</v>
          </cell>
          <cell r="T2102" t="str">
            <v>YOK</v>
          </cell>
          <cell r="U2102" t="str">
            <v>YOK</v>
          </cell>
          <cell r="AD2102" t="str">
            <v>TEKLİ</v>
          </cell>
          <cell r="AF2102">
            <v>2</v>
          </cell>
          <cell r="AG2102" t="str">
            <v>ADET</v>
          </cell>
          <cell r="AH2102">
            <v>260.8</v>
          </cell>
          <cell r="AI2102" t="str">
            <v>TL</v>
          </cell>
          <cell r="AJ2102">
            <v>625.91999999999996</v>
          </cell>
          <cell r="AK2102" t="str">
            <v>TL</v>
          </cell>
          <cell r="AL2102">
            <v>0</v>
          </cell>
          <cell r="AO2102">
            <v>0</v>
          </cell>
          <cell r="AQ2102">
            <v>25</v>
          </cell>
          <cell r="AR2102" t="str">
            <v>CM</v>
          </cell>
          <cell r="AS2102">
            <v>25</v>
          </cell>
          <cell r="AT2102" t="str">
            <v>CM</v>
          </cell>
          <cell r="AU2102">
            <v>0</v>
          </cell>
          <cell r="AW2102">
            <v>0</v>
          </cell>
        </row>
        <row r="2103">
          <cell r="B2103" t="str">
            <v>3YCKGMGGRB4-015</v>
          </cell>
          <cell r="C2103" t="str">
            <v>GOLD  KARE DALGALI BEYAZ AVİZE CAMI 15CM</v>
          </cell>
          <cell r="D2103" t="str">
            <v>GOLD SQUARE WAVY WHITE PENDANT GLASS 15CM</v>
          </cell>
          <cell r="E2103" t="str">
            <v>CAM CAM GOLD BEYAZ</v>
          </cell>
          <cell r="F2103" t="str">
            <v/>
          </cell>
          <cell r="G2103" t="str">
            <v>ZPARCA</v>
          </cell>
          <cell r="H2103" t="str">
            <v/>
          </cell>
          <cell r="I2103" t="str">
            <v>İÇ</v>
          </cell>
          <cell r="J2103" t="str">
            <v>ZPARCA</v>
          </cell>
          <cell r="K2103" t="str">
            <v>HEKA</v>
          </cell>
          <cell r="L2103" t="str">
            <v/>
          </cell>
          <cell r="M2103" t="str">
            <v/>
          </cell>
          <cell r="N2103" t="str">
            <v>HKA-250052</v>
          </cell>
          <cell r="O2103" t="str">
            <v>HEKA</v>
          </cell>
          <cell r="P2103" t="str">
            <v>ADET</v>
          </cell>
          <cell r="R2103" t="str">
            <v>CAM</v>
          </cell>
          <cell r="S2103" t="str">
            <v>GOLD</v>
          </cell>
          <cell r="T2103" t="str">
            <v>CAM</v>
          </cell>
          <cell r="U2103" t="str">
            <v>BEYAZ</v>
          </cell>
          <cell r="AF2103">
            <v>500</v>
          </cell>
          <cell r="AG2103" t="str">
            <v>ADET</v>
          </cell>
          <cell r="AH2103">
            <v>8.5</v>
          </cell>
          <cell r="AI2103" t="str">
            <v>CNY</v>
          </cell>
          <cell r="AJ2103">
            <v>425</v>
          </cell>
          <cell r="AK2103" t="str">
            <v>TL</v>
          </cell>
          <cell r="AL2103">
            <v>0</v>
          </cell>
          <cell r="AO2103">
            <v>0</v>
          </cell>
          <cell r="AQ2103">
            <v>0</v>
          </cell>
          <cell r="AS2103">
            <v>15</v>
          </cell>
          <cell r="AT2103" t="str">
            <v>CM</v>
          </cell>
          <cell r="AU2103">
            <v>0</v>
          </cell>
          <cell r="AW2103">
            <v>0</v>
          </cell>
        </row>
        <row r="2104">
          <cell r="B2104" t="str">
            <v>3YCOGMG0004-012</v>
          </cell>
          <cell r="C2104" t="str">
            <v>GOLD OVAL AVİZE CAMI 12CM</v>
          </cell>
          <cell r="D2104" t="str">
            <v>GOLD OVAL PENDANT GLASS 12CM</v>
          </cell>
          <cell r="E2104" t="str">
            <v>CAM YOK GOLD YOK</v>
          </cell>
          <cell r="F2104" t="str">
            <v/>
          </cell>
          <cell r="G2104" t="str">
            <v>ZPARCA</v>
          </cell>
          <cell r="H2104" t="str">
            <v/>
          </cell>
          <cell r="I2104" t="str">
            <v>İÇ</v>
          </cell>
          <cell r="J2104" t="str">
            <v>ZPARCA</v>
          </cell>
          <cell r="K2104" t="str">
            <v/>
          </cell>
          <cell r="L2104" t="str">
            <v/>
          </cell>
          <cell r="M2104" t="str">
            <v/>
          </cell>
          <cell r="N2104" t="str">
            <v>HKA-250058</v>
          </cell>
          <cell r="O2104" t="str">
            <v>HEKA</v>
          </cell>
          <cell r="P2104" t="str">
            <v>ADET</v>
          </cell>
          <cell r="R2104" t="str">
            <v>CAM</v>
          </cell>
          <cell r="S2104" t="str">
            <v>GOLD</v>
          </cell>
          <cell r="T2104" t="str">
            <v>YOK</v>
          </cell>
          <cell r="U2104" t="str">
            <v>YOK</v>
          </cell>
          <cell r="AF2104">
            <v>500</v>
          </cell>
          <cell r="AG2104" t="str">
            <v>ADET</v>
          </cell>
          <cell r="AH2104">
            <v>11</v>
          </cell>
          <cell r="AI2104" t="str">
            <v>CNY</v>
          </cell>
          <cell r="AJ2104">
            <v>550</v>
          </cell>
          <cell r="AK2104" t="str">
            <v>TL</v>
          </cell>
          <cell r="AL2104">
            <v>0</v>
          </cell>
          <cell r="AO2104">
            <v>0</v>
          </cell>
          <cell r="AQ2104">
            <v>0</v>
          </cell>
          <cell r="AS2104">
            <v>0</v>
          </cell>
          <cell r="AU2104">
            <v>0</v>
          </cell>
          <cell r="AW2104">
            <v>0</v>
          </cell>
        </row>
        <row r="2105">
          <cell r="B2105" t="str">
            <v>H1C6JMEERL1-030</v>
          </cell>
          <cell r="C2105" t="str">
            <v>SKYLİNE TEKLİ BAL CAM SARKIT 30cm</v>
          </cell>
          <cell r="D2105" t="str">
            <v>SYKLINE SINGLE AMBER GLASS PENDANT 30cm</v>
          </cell>
          <cell r="E2105" t="str">
            <v>METAL CAM ESKİTME BAL</v>
          </cell>
          <cell r="F2105" t="str">
            <v/>
          </cell>
          <cell r="G2105" t="str">
            <v>AVİZE</v>
          </cell>
          <cell r="H2105" t="str">
            <v/>
          </cell>
          <cell r="I2105" t="str">
            <v>İÇ</v>
          </cell>
          <cell r="J2105" t="str">
            <v>AVİZE.SARK</v>
          </cell>
          <cell r="K2105" t="str">
            <v>SKYLİNE</v>
          </cell>
          <cell r="L2105" t="str">
            <v/>
          </cell>
          <cell r="M2105" t="str">
            <v>30.01.2026</v>
          </cell>
          <cell r="N2105" t="str">
            <v>HKA-25110</v>
          </cell>
          <cell r="O2105" t="str">
            <v>HEKA</v>
          </cell>
          <cell r="P2105" t="str">
            <v>ADET</v>
          </cell>
          <cell r="Q2105" t="str">
            <v>LED</v>
          </cell>
          <cell r="R2105" t="str">
            <v>METAL</v>
          </cell>
          <cell r="S2105" t="str">
            <v>ESKİTME</v>
          </cell>
          <cell r="T2105" t="str">
            <v>CAM</v>
          </cell>
          <cell r="U2105" t="str">
            <v>BAL</v>
          </cell>
          <cell r="AA2105" t="str">
            <v>DIMMSIZ</v>
          </cell>
          <cell r="AD2105" t="str">
            <v>TEKLİ</v>
          </cell>
          <cell r="AE2105" t="str">
            <v>01</v>
          </cell>
          <cell r="AF2105">
            <v>59</v>
          </cell>
          <cell r="AG2105" t="str">
            <v>ADET</v>
          </cell>
          <cell r="AH2105">
            <v>209</v>
          </cell>
          <cell r="AI2105" t="str">
            <v>CNY</v>
          </cell>
          <cell r="AL2105">
            <v>1</v>
          </cell>
          <cell r="AM2105" t="str">
            <v>8684127517362</v>
          </cell>
          <cell r="AO2105">
            <v>0</v>
          </cell>
          <cell r="AQ2105">
            <v>2</v>
          </cell>
          <cell r="AR2105" t="str">
            <v>CM</v>
          </cell>
          <cell r="AS2105">
            <v>30</v>
          </cell>
          <cell r="AT2105" t="str">
            <v>CM</v>
          </cell>
          <cell r="AU2105">
            <v>0</v>
          </cell>
          <cell r="AW2105">
            <v>0</v>
          </cell>
        </row>
        <row r="2106">
          <cell r="B2106" t="str">
            <v>H1C6JMEERP1-050</v>
          </cell>
          <cell r="C2106" t="str">
            <v>SKYLİNE TEKLİ PEMBE CAM SARKIT 50cm</v>
          </cell>
          <cell r="D2106" t="str">
            <v>SYKLINE SINGLE PİNK GLASS PENDANT 50cm</v>
          </cell>
          <cell r="E2106" t="str">
            <v>METAL CAM ESKİTME PEMBE</v>
          </cell>
          <cell r="F2106" t="str">
            <v/>
          </cell>
          <cell r="G2106" t="str">
            <v>AVİZE</v>
          </cell>
          <cell r="H2106" t="str">
            <v/>
          </cell>
          <cell r="I2106" t="str">
            <v>İÇ</v>
          </cell>
          <cell r="J2106" t="str">
            <v>AVİZE.SARK</v>
          </cell>
          <cell r="K2106" t="str">
            <v>SKYLİNE</v>
          </cell>
          <cell r="L2106" t="str">
            <v/>
          </cell>
          <cell r="M2106" t="str">
            <v/>
          </cell>
          <cell r="N2106" t="str">
            <v>HKA-25125</v>
          </cell>
          <cell r="O2106" t="str">
            <v>HEKA</v>
          </cell>
          <cell r="P2106" t="str">
            <v>ADET</v>
          </cell>
          <cell r="Q2106" t="str">
            <v>LED</v>
          </cell>
          <cell r="R2106" t="str">
            <v>METAL</v>
          </cell>
          <cell r="S2106" t="str">
            <v>ESKİTME</v>
          </cell>
          <cell r="T2106" t="str">
            <v>CAM</v>
          </cell>
          <cell r="U2106" t="str">
            <v>PEMBE</v>
          </cell>
          <cell r="AA2106" t="str">
            <v>DIMMSIZ</v>
          </cell>
          <cell r="AD2106" t="str">
            <v>TEKLİ</v>
          </cell>
          <cell r="AE2106" t="str">
            <v>01</v>
          </cell>
          <cell r="AG2106" t="str">
            <v>ADET</v>
          </cell>
          <cell r="AL2106">
            <v>1</v>
          </cell>
          <cell r="AM2106" t="str">
            <v>8684127517515</v>
          </cell>
          <cell r="AO2106">
            <v>0</v>
          </cell>
          <cell r="AQ2106">
            <v>2</v>
          </cell>
          <cell r="AR2106" t="str">
            <v>CM</v>
          </cell>
          <cell r="AS2106">
            <v>50</v>
          </cell>
          <cell r="AT2106" t="str">
            <v>CM</v>
          </cell>
          <cell r="AU2106">
            <v>0</v>
          </cell>
          <cell r="AW2106">
            <v>0</v>
          </cell>
        </row>
        <row r="2107">
          <cell r="B2107" t="str">
            <v>H1C6JMEERF1-050</v>
          </cell>
          <cell r="C2107" t="str">
            <v>SKYLİNE TEKLİ FÜME CAM SARKIT 50cm</v>
          </cell>
          <cell r="D2107" t="str">
            <v>SYKLINE SINGLE LIGHT SMOKY GLASS PENDANT 50cm</v>
          </cell>
          <cell r="E2107" t="str">
            <v>METAL CAM ESKİTME FÜME</v>
          </cell>
          <cell r="F2107" t="str">
            <v/>
          </cell>
          <cell r="G2107" t="str">
            <v>AVİZE</v>
          </cell>
          <cell r="H2107" t="str">
            <v/>
          </cell>
          <cell r="I2107" t="str">
            <v>İÇ</v>
          </cell>
          <cell r="J2107" t="str">
            <v>AVİZE.SARK</v>
          </cell>
          <cell r="K2107" t="str">
            <v>SKYLİNE</v>
          </cell>
          <cell r="L2107" t="str">
            <v/>
          </cell>
          <cell r="M2107" t="str">
            <v/>
          </cell>
          <cell r="N2107" t="str">
            <v>HKA-25127</v>
          </cell>
          <cell r="O2107" t="str">
            <v>HEKA</v>
          </cell>
          <cell r="P2107" t="str">
            <v>ADET</v>
          </cell>
          <cell r="Q2107" t="str">
            <v>LED</v>
          </cell>
          <cell r="R2107" t="str">
            <v>METAL</v>
          </cell>
          <cell r="S2107" t="str">
            <v>ESKİTME</v>
          </cell>
          <cell r="T2107" t="str">
            <v>CAM</v>
          </cell>
          <cell r="U2107" t="str">
            <v>FÜME</v>
          </cell>
          <cell r="AA2107" t="str">
            <v>DIMMSIZ</v>
          </cell>
          <cell r="AD2107" t="str">
            <v>TEKLİ</v>
          </cell>
          <cell r="AE2107" t="str">
            <v>01</v>
          </cell>
          <cell r="AG2107" t="str">
            <v>ADET</v>
          </cell>
          <cell r="AL2107">
            <v>1</v>
          </cell>
          <cell r="AM2107" t="str">
            <v>8684127517539</v>
          </cell>
          <cell r="AO2107">
            <v>0</v>
          </cell>
          <cell r="AQ2107">
            <v>2</v>
          </cell>
          <cell r="AR2107" t="str">
            <v>CM</v>
          </cell>
          <cell r="AS2107">
            <v>50</v>
          </cell>
          <cell r="AT2107" t="str">
            <v>CM</v>
          </cell>
          <cell r="AU2107">
            <v>0</v>
          </cell>
          <cell r="AW2107">
            <v>0</v>
          </cell>
        </row>
        <row r="2108">
          <cell r="B2108" t="str">
            <v>H1C0VRV0000-095</v>
          </cell>
          <cell r="C2108" t="str">
            <v>LABRANDA KAHVERENGİ DERİ KEMER (CAMSIZ)</v>
          </cell>
          <cell r="D2108" t="str">
            <v>LABRANDA BROWN LEATHER BELT WITHOUT GLASS</v>
          </cell>
          <cell r="E2108" t="str">
            <v>DERİ YOK KAHVERENGİ YOK</v>
          </cell>
          <cell r="F2108" t="str">
            <v/>
          </cell>
          <cell r="G2108" t="str">
            <v>AVİZE</v>
          </cell>
          <cell r="H2108" t="str">
            <v/>
          </cell>
          <cell r="I2108" t="str">
            <v>İÇ</v>
          </cell>
          <cell r="J2108" t="str">
            <v>AVİZE</v>
          </cell>
          <cell r="K2108" t="str">
            <v>LABRANDA</v>
          </cell>
          <cell r="L2108" t="str">
            <v>Y</v>
          </cell>
          <cell r="M2108" t="str">
            <v>30.01.2026</v>
          </cell>
          <cell r="N2108" t="str">
            <v>HKA-25211</v>
          </cell>
          <cell r="O2108" t="str">
            <v>HEKA</v>
          </cell>
          <cell r="P2108" t="str">
            <v>ADET</v>
          </cell>
          <cell r="Q2108" t="str">
            <v>YOK</v>
          </cell>
          <cell r="R2108" t="str">
            <v>DERİ</v>
          </cell>
          <cell r="S2108" t="str">
            <v>KAHVERENGİ</v>
          </cell>
          <cell r="T2108" t="str">
            <v>YOK</v>
          </cell>
          <cell r="U2108" t="str">
            <v>YOK</v>
          </cell>
          <cell r="AE2108" t="str">
            <v>01</v>
          </cell>
          <cell r="AF2108">
            <v>9</v>
          </cell>
          <cell r="AG2108" t="str">
            <v>ADET</v>
          </cell>
          <cell r="AH2108">
            <v>160</v>
          </cell>
          <cell r="AI2108" t="str">
            <v>CNY</v>
          </cell>
          <cell r="AJ2108">
            <v>11900</v>
          </cell>
          <cell r="AK2108" t="str">
            <v>TL</v>
          </cell>
          <cell r="AL2108">
            <v>1</v>
          </cell>
          <cell r="AM2108" t="str">
            <v>8684127517683</v>
          </cell>
          <cell r="AO2108">
            <v>0</v>
          </cell>
          <cell r="AQ2108">
            <v>0</v>
          </cell>
          <cell r="AS2108">
            <v>240</v>
          </cell>
          <cell r="AT2108" t="str">
            <v>CM</v>
          </cell>
          <cell r="AU2108">
            <v>0</v>
          </cell>
          <cell r="AW2108">
            <v>0</v>
          </cell>
        </row>
        <row r="2109">
          <cell r="B2109" t="str">
            <v>H1C6JMEELB0-040</v>
          </cell>
          <cell r="C2109" t="str">
            <v>PİETRO TEKLİ ŞEFFAF-BAL CAM SARKIT 40CM</v>
          </cell>
          <cell r="D2109" t="str">
            <v>PİETRO SINGLE CLEAR-AMBER GLASS PENDANT 40CM</v>
          </cell>
          <cell r="E2109" t="str">
            <v>METAL CAM ESKİTME BAL-BEYAZ</v>
          </cell>
          <cell r="F2109" t="str">
            <v/>
          </cell>
          <cell r="G2109" t="str">
            <v>AVİZE</v>
          </cell>
          <cell r="H2109" t="str">
            <v/>
          </cell>
          <cell r="I2109" t="str">
            <v>İÇ</v>
          </cell>
          <cell r="J2109" t="str">
            <v>AVİZE.SARK</v>
          </cell>
          <cell r="K2109" t="str">
            <v>PİETRO</v>
          </cell>
          <cell r="L2109" t="str">
            <v>Y</v>
          </cell>
          <cell r="M2109" t="str">
            <v/>
          </cell>
          <cell r="N2109" t="str">
            <v>HKA-25033</v>
          </cell>
          <cell r="O2109" t="str">
            <v>HEKA</v>
          </cell>
          <cell r="P2109" t="str">
            <v>ADET</v>
          </cell>
          <cell r="Q2109" t="str">
            <v>LED</v>
          </cell>
          <cell r="R2109" t="str">
            <v>METAL</v>
          </cell>
          <cell r="S2109" t="str">
            <v>ESKİTME</v>
          </cell>
          <cell r="T2109" t="str">
            <v>CAM</v>
          </cell>
          <cell r="U2109" t="str">
            <v>BAL-BEYAZ</v>
          </cell>
          <cell r="Z2109" t="str">
            <v>3000 K</v>
          </cell>
          <cell r="AA2109" t="str">
            <v>DIMMSIZ</v>
          </cell>
          <cell r="AF2109">
            <v>110</v>
          </cell>
          <cell r="AG2109" t="str">
            <v>ADET</v>
          </cell>
          <cell r="AH2109">
            <v>110</v>
          </cell>
          <cell r="AI2109" t="str">
            <v>CNY</v>
          </cell>
          <cell r="AJ2109">
            <v>7950</v>
          </cell>
          <cell r="AK2109" t="str">
            <v>TL</v>
          </cell>
          <cell r="AL2109">
            <v>1</v>
          </cell>
          <cell r="AM2109" t="str">
            <v>8684127518864</v>
          </cell>
          <cell r="AO2109">
            <v>0</v>
          </cell>
          <cell r="AQ2109">
            <v>16</v>
          </cell>
          <cell r="AR2109" t="str">
            <v>CM</v>
          </cell>
          <cell r="AS2109">
            <v>16</v>
          </cell>
          <cell r="AT2109" t="str">
            <v>CM</v>
          </cell>
          <cell r="AU2109">
            <v>0</v>
          </cell>
          <cell r="AW2109">
            <v>0</v>
          </cell>
        </row>
        <row r="2110">
          <cell r="B2110" t="str">
            <v>H1P6ERT000S-035</v>
          </cell>
          <cell r="C2110" t="str">
            <v>PERLA TURUNCU CAM PLAFONYER 35CM</v>
          </cell>
          <cell r="D2110" t="str">
            <v>PERLA ORANGE GLASS PLAFONIER 35CM</v>
          </cell>
          <cell r="E2110" t="str">
            <v>CAM YOK TURUNCU YOK</v>
          </cell>
          <cell r="F2110" t="str">
            <v/>
          </cell>
          <cell r="G2110" t="str">
            <v>AVİZE</v>
          </cell>
          <cell r="H2110" t="str">
            <v/>
          </cell>
          <cell r="I2110" t="str">
            <v>İÇ</v>
          </cell>
          <cell r="J2110" t="str">
            <v>PLAFONYER</v>
          </cell>
          <cell r="K2110" t="str">
            <v>PERLA</v>
          </cell>
          <cell r="L2110" t="str">
            <v/>
          </cell>
          <cell r="M2110" t="str">
            <v/>
          </cell>
          <cell r="N2110" t="str">
            <v>HKA-25142</v>
          </cell>
          <cell r="O2110" t="str">
            <v>HEKA</v>
          </cell>
          <cell r="P2110" t="str">
            <v>ADET</v>
          </cell>
          <cell r="Q2110" t="str">
            <v>LED</v>
          </cell>
          <cell r="R2110" t="str">
            <v>CAM</v>
          </cell>
          <cell r="S2110" t="str">
            <v>TURUNCU</v>
          </cell>
          <cell r="T2110" t="str">
            <v>YOK</v>
          </cell>
          <cell r="U2110" t="str">
            <v>YOK</v>
          </cell>
          <cell r="AA2110" t="str">
            <v>DIMMSIZ</v>
          </cell>
          <cell r="AD2110" t="str">
            <v>SABİT</v>
          </cell>
          <cell r="AE2110" t="str">
            <v>01</v>
          </cell>
          <cell r="AF2110">
            <v>30</v>
          </cell>
          <cell r="AG2110" t="str">
            <v>ADET</v>
          </cell>
          <cell r="AH2110">
            <v>228</v>
          </cell>
          <cell r="AI2110" t="str">
            <v>CNY</v>
          </cell>
          <cell r="AL2110">
            <v>1</v>
          </cell>
          <cell r="AM2110" t="str">
            <v>8684127517829</v>
          </cell>
          <cell r="AO2110">
            <v>0</v>
          </cell>
          <cell r="AQ2110">
            <v>16.399999999999999</v>
          </cell>
          <cell r="AR2110" t="str">
            <v>CM</v>
          </cell>
          <cell r="AS2110">
            <v>16.399999999999999</v>
          </cell>
          <cell r="AT2110" t="str">
            <v>CM</v>
          </cell>
          <cell r="AU2110">
            <v>0</v>
          </cell>
          <cell r="AW2110">
            <v>0</v>
          </cell>
        </row>
        <row r="2111">
          <cell r="B2111" t="str">
            <v>H1P6ERM000S-035</v>
          </cell>
          <cell r="C2111" t="str">
            <v>PERLA MAVİ CAM PLAFONYER 35CM</v>
          </cell>
          <cell r="D2111" t="str">
            <v>PERLA BLUE GLASS PLAFONIER 35CM</v>
          </cell>
          <cell r="E2111" t="str">
            <v>CAM YOK MAVİ YOK</v>
          </cell>
          <cell r="F2111" t="str">
            <v/>
          </cell>
          <cell r="G2111" t="str">
            <v>AVİZE</v>
          </cell>
          <cell r="H2111" t="str">
            <v/>
          </cell>
          <cell r="I2111" t="str">
            <v>İÇ</v>
          </cell>
          <cell r="J2111" t="str">
            <v>PLAFONYER</v>
          </cell>
          <cell r="K2111" t="str">
            <v>PERLA</v>
          </cell>
          <cell r="L2111" t="str">
            <v/>
          </cell>
          <cell r="M2111" t="str">
            <v/>
          </cell>
          <cell r="N2111" t="str">
            <v>HKA-25144</v>
          </cell>
          <cell r="O2111" t="str">
            <v>HEKA</v>
          </cell>
          <cell r="P2111" t="str">
            <v>ADET</v>
          </cell>
          <cell r="Q2111" t="str">
            <v>LED</v>
          </cell>
          <cell r="R2111" t="str">
            <v>CAM</v>
          </cell>
          <cell r="S2111" t="str">
            <v>MAVİ</v>
          </cell>
          <cell r="T2111" t="str">
            <v>YOK</v>
          </cell>
          <cell r="U2111" t="str">
            <v>YOK</v>
          </cell>
          <cell r="AA2111" t="str">
            <v>DIMMSIZ</v>
          </cell>
          <cell r="AD2111" t="str">
            <v>SABİT</v>
          </cell>
          <cell r="AE2111" t="str">
            <v>01</v>
          </cell>
          <cell r="AF2111">
            <v>15</v>
          </cell>
          <cell r="AG2111" t="str">
            <v>ADET</v>
          </cell>
          <cell r="AH2111">
            <v>228</v>
          </cell>
          <cell r="AI2111" t="str">
            <v>CNY</v>
          </cell>
          <cell r="AL2111">
            <v>1</v>
          </cell>
          <cell r="AM2111" t="str">
            <v>8684127517843</v>
          </cell>
          <cell r="AO2111">
            <v>0</v>
          </cell>
          <cell r="AQ2111">
            <v>16.399999999999999</v>
          </cell>
          <cell r="AR2111" t="str">
            <v>CM</v>
          </cell>
          <cell r="AS2111">
            <v>16.399999999999999</v>
          </cell>
          <cell r="AT2111" t="str">
            <v>CM</v>
          </cell>
          <cell r="AU2111">
            <v>0</v>
          </cell>
          <cell r="AW2111">
            <v>0</v>
          </cell>
        </row>
        <row r="2112">
          <cell r="B2112" t="str">
            <v>H1F6KMPERF0-184</v>
          </cell>
          <cell r="C2112" t="str">
            <v>ARİETTA FÜME KRİSTAL PLATİN LAMBADER</v>
          </cell>
          <cell r="D2112" t="str">
            <v>ARİETTA LIGHT SMOKY CRYSTAL PLATINUM FLOOR LAMP</v>
          </cell>
          <cell r="E2112" t="str">
            <v>PASLANMAZ CAM PLATİN FÜME</v>
          </cell>
          <cell r="F2112" t="str">
            <v/>
          </cell>
          <cell r="G2112" t="str">
            <v>LAMBADER</v>
          </cell>
          <cell r="H2112" t="str">
            <v/>
          </cell>
          <cell r="I2112" t="str">
            <v>İÇ</v>
          </cell>
          <cell r="J2112" t="str">
            <v>LAMBADER</v>
          </cell>
          <cell r="K2112" t="str">
            <v>ARİETTA</v>
          </cell>
          <cell r="L2112" t="str">
            <v/>
          </cell>
          <cell r="M2112" t="str">
            <v/>
          </cell>
          <cell r="N2112" t="str">
            <v>HKA-25079</v>
          </cell>
          <cell r="O2112" t="str">
            <v>HEKA</v>
          </cell>
          <cell r="P2112" t="str">
            <v>ADET</v>
          </cell>
          <cell r="Q2112" t="str">
            <v>LED</v>
          </cell>
          <cell r="R2112" t="str">
            <v>PASLANMAZ</v>
          </cell>
          <cell r="S2112" t="str">
            <v>PLATİN</v>
          </cell>
          <cell r="T2112" t="str">
            <v>CAM</v>
          </cell>
          <cell r="U2112" t="str">
            <v>FÜME</v>
          </cell>
          <cell r="Z2112" t="str">
            <v>3000 K</v>
          </cell>
          <cell r="AA2112" t="str">
            <v>DIMMSIZ</v>
          </cell>
          <cell r="AE2112" t="str">
            <v>01</v>
          </cell>
          <cell r="AF2112">
            <v>15</v>
          </cell>
          <cell r="AG2112" t="str">
            <v>ADET</v>
          </cell>
          <cell r="AH2112">
            <v>880.6</v>
          </cell>
          <cell r="AI2112" t="str">
            <v>CNY</v>
          </cell>
          <cell r="AL2112">
            <v>1</v>
          </cell>
          <cell r="AM2112" t="str">
            <v>8684127517997</v>
          </cell>
          <cell r="AO2112">
            <v>0</v>
          </cell>
          <cell r="AQ2112">
            <v>35</v>
          </cell>
          <cell r="AR2112" t="str">
            <v>CM</v>
          </cell>
          <cell r="AS2112">
            <v>35</v>
          </cell>
          <cell r="AT2112" t="str">
            <v>CM</v>
          </cell>
          <cell r="AU2112">
            <v>0</v>
          </cell>
          <cell r="AW2112">
            <v>0</v>
          </cell>
        </row>
        <row r="2113">
          <cell r="B2113" t="str">
            <v>H1C6KMPERF0-020</v>
          </cell>
          <cell r="C2113" t="str">
            <v>ARİETTA FÜME KRİSTAL PLATİN SARKIT 20CM</v>
          </cell>
          <cell r="D2113" t="str">
            <v>ARİETTA LIGHT SMOKY CRYSTAL PLATINUM PENDANT 20CM</v>
          </cell>
          <cell r="E2113" t="str">
            <v>PASLANMAZ CAM PLATİN FÜME</v>
          </cell>
          <cell r="F2113" t="str">
            <v/>
          </cell>
          <cell r="G2113" t="str">
            <v>AVİZE</v>
          </cell>
          <cell r="H2113" t="str">
            <v/>
          </cell>
          <cell r="I2113" t="str">
            <v>İÇ</v>
          </cell>
          <cell r="J2113" t="str">
            <v>AVİZE.SARK</v>
          </cell>
          <cell r="K2113" t="str">
            <v>ARİETTA</v>
          </cell>
          <cell r="L2113" t="str">
            <v/>
          </cell>
          <cell r="M2113" t="str">
            <v/>
          </cell>
          <cell r="N2113" t="str">
            <v>HKA-25081</v>
          </cell>
          <cell r="O2113" t="str">
            <v>HEKA</v>
          </cell>
          <cell r="P2113" t="str">
            <v>ADET</v>
          </cell>
          <cell r="Q2113" t="str">
            <v>LED</v>
          </cell>
          <cell r="R2113" t="str">
            <v>PASLANMAZ</v>
          </cell>
          <cell r="S2113" t="str">
            <v>PLATİN</v>
          </cell>
          <cell r="T2113" t="str">
            <v>CAM</v>
          </cell>
          <cell r="U2113" t="str">
            <v>FÜME</v>
          </cell>
          <cell r="Z2113" t="str">
            <v>3000 K</v>
          </cell>
          <cell r="AA2113" t="str">
            <v>DIMMSIZ</v>
          </cell>
          <cell r="AE2113" t="str">
            <v>01</v>
          </cell>
          <cell r="AF2113">
            <v>75</v>
          </cell>
          <cell r="AG2113" t="str">
            <v>ADET</v>
          </cell>
          <cell r="AH2113">
            <v>284.89999999999998</v>
          </cell>
          <cell r="AI2113" t="str">
            <v>CNY</v>
          </cell>
          <cell r="AL2113">
            <v>1</v>
          </cell>
          <cell r="AM2113" t="str">
            <v>8684127518017</v>
          </cell>
          <cell r="AO2113">
            <v>0</v>
          </cell>
          <cell r="AQ2113">
            <v>20</v>
          </cell>
          <cell r="AR2113" t="str">
            <v>CM</v>
          </cell>
          <cell r="AS2113">
            <v>20</v>
          </cell>
          <cell r="AT2113" t="str">
            <v>CM</v>
          </cell>
          <cell r="AU2113">
            <v>0</v>
          </cell>
          <cell r="AW2113">
            <v>0</v>
          </cell>
        </row>
        <row r="2114">
          <cell r="B2114" t="str">
            <v>H1C6JMPERF0-038</v>
          </cell>
          <cell r="C2114" t="str">
            <v>NOVELLA TEKLİ FÜME CAM SARKIT 38CM</v>
          </cell>
          <cell r="D2114" t="str">
            <v>NOVELLA SINGLE LIGHT SMOKY GLASS PENDANT 38CM</v>
          </cell>
          <cell r="E2114" t="str">
            <v>METAL CAM PLATİN FÜME</v>
          </cell>
          <cell r="F2114" t="str">
            <v/>
          </cell>
          <cell r="G2114" t="str">
            <v>AVİZE</v>
          </cell>
          <cell r="H2114" t="str">
            <v/>
          </cell>
          <cell r="I2114" t="str">
            <v>İÇ</v>
          </cell>
          <cell r="J2114" t="str">
            <v>AVİZE.SARK</v>
          </cell>
          <cell r="K2114" t="str">
            <v>NOVELLA</v>
          </cell>
          <cell r="L2114" t="str">
            <v/>
          </cell>
          <cell r="M2114" t="str">
            <v/>
          </cell>
          <cell r="N2114" t="str">
            <v>HKA-25176</v>
          </cell>
          <cell r="O2114" t="str">
            <v>HEKA</v>
          </cell>
          <cell r="P2114" t="str">
            <v>ADET</v>
          </cell>
          <cell r="Q2114" t="str">
            <v>LED</v>
          </cell>
          <cell r="R2114" t="str">
            <v>METAL</v>
          </cell>
          <cell r="S2114" t="str">
            <v>PLATİN</v>
          </cell>
          <cell r="T2114" t="str">
            <v>CAM</v>
          </cell>
          <cell r="U2114" t="str">
            <v>FÜME</v>
          </cell>
          <cell r="Z2114" t="str">
            <v xml:space="preserve">2700 K </v>
          </cell>
          <cell r="AA2114" t="str">
            <v>DIMMSIZ</v>
          </cell>
          <cell r="AE2114" t="str">
            <v>01</v>
          </cell>
          <cell r="AF2114">
            <v>100</v>
          </cell>
          <cell r="AG2114" t="str">
            <v>ADET</v>
          </cell>
          <cell r="AH2114">
            <v>198.85</v>
          </cell>
          <cell r="AI2114" t="str">
            <v>CNY</v>
          </cell>
          <cell r="AL2114">
            <v>1</v>
          </cell>
          <cell r="AM2114" t="str">
            <v>8684127518161</v>
          </cell>
          <cell r="AO2114">
            <v>0</v>
          </cell>
          <cell r="AQ2114">
            <v>38</v>
          </cell>
          <cell r="AR2114" t="str">
            <v>CM</v>
          </cell>
          <cell r="AS2114">
            <v>38</v>
          </cell>
          <cell r="AT2114" t="str">
            <v>CM</v>
          </cell>
          <cell r="AU2114">
            <v>0</v>
          </cell>
          <cell r="AW2114">
            <v>0</v>
          </cell>
        </row>
        <row r="2115">
          <cell r="B2115" t="str">
            <v>H1C6JMEECO0-045</v>
          </cell>
          <cell r="C2115" t="str">
            <v>OYSTER TEKLİ OPAL CAM SARKIT 45CM</v>
          </cell>
          <cell r="D2115" t="str">
            <v>OYSTER SINGLE OPAL GLASS PENDANT 45CM</v>
          </cell>
          <cell r="E2115" t="str">
            <v>METAL CAM ESKİTME OPAL</v>
          </cell>
          <cell r="F2115" t="str">
            <v/>
          </cell>
          <cell r="G2115" t="str">
            <v>AVİZE</v>
          </cell>
          <cell r="H2115" t="str">
            <v/>
          </cell>
          <cell r="I2115" t="str">
            <v>İÇ</v>
          </cell>
          <cell r="J2115" t="str">
            <v>AVİZE.SARK</v>
          </cell>
          <cell r="K2115" t="str">
            <v>OYSTER</v>
          </cell>
          <cell r="L2115" t="str">
            <v/>
          </cell>
          <cell r="M2115" t="str">
            <v/>
          </cell>
          <cell r="N2115" t="str">
            <v>HKA-25178</v>
          </cell>
          <cell r="O2115" t="str">
            <v>HEKA</v>
          </cell>
          <cell r="P2115" t="str">
            <v>ADET</v>
          </cell>
          <cell r="Q2115" t="str">
            <v>LED</v>
          </cell>
          <cell r="R2115" t="str">
            <v>METAL</v>
          </cell>
          <cell r="S2115" t="str">
            <v>ESKİTME</v>
          </cell>
          <cell r="T2115" t="str">
            <v>CAM</v>
          </cell>
          <cell r="U2115" t="str">
            <v>OPAL</v>
          </cell>
          <cell r="Z2115" t="str">
            <v xml:space="preserve">2700 K </v>
          </cell>
          <cell r="AA2115" t="str">
            <v>DIMMSIZ</v>
          </cell>
          <cell r="AE2115" t="str">
            <v>01</v>
          </cell>
          <cell r="AF2115">
            <v>50</v>
          </cell>
          <cell r="AG2115" t="str">
            <v>ADET</v>
          </cell>
          <cell r="AH2115">
            <v>367.63</v>
          </cell>
          <cell r="AI2115" t="str">
            <v>CNY</v>
          </cell>
          <cell r="AL2115">
            <v>1</v>
          </cell>
          <cell r="AM2115" t="str">
            <v>8684127518185</v>
          </cell>
          <cell r="AO2115">
            <v>0</v>
          </cell>
          <cell r="AQ2115">
            <v>45</v>
          </cell>
          <cell r="AR2115" t="str">
            <v>CM</v>
          </cell>
          <cell r="AS2115">
            <v>45</v>
          </cell>
          <cell r="AT2115" t="str">
            <v>CM</v>
          </cell>
          <cell r="AU2115">
            <v>0</v>
          </cell>
          <cell r="AW2115">
            <v>0</v>
          </cell>
        </row>
        <row r="2116">
          <cell r="B2116" t="str">
            <v>H1C6WRFJMEU-050</v>
          </cell>
          <cell r="C2116" t="str">
            <v>ARON MERMER SARKIT 50CM</v>
          </cell>
          <cell r="D2116" t="str">
            <v>ARON MARBLE PENDANT 50CM</v>
          </cell>
          <cell r="E2116" t="str">
            <v>MERMER METAL BEYAZ ESKİTME</v>
          </cell>
          <cell r="F2116" t="str">
            <v/>
          </cell>
          <cell r="G2116" t="str">
            <v>AVİZE</v>
          </cell>
          <cell r="H2116" t="str">
            <v/>
          </cell>
          <cell r="I2116" t="str">
            <v>İÇ</v>
          </cell>
          <cell r="J2116" t="str">
            <v>AVİZE.SARK</v>
          </cell>
          <cell r="K2116" t="str">
            <v>ARON</v>
          </cell>
          <cell r="L2116" t="str">
            <v/>
          </cell>
          <cell r="M2116" t="str">
            <v/>
          </cell>
          <cell r="N2116" t="str">
            <v>HKA-25191</v>
          </cell>
          <cell r="O2116" t="str">
            <v>HEKA</v>
          </cell>
          <cell r="P2116" t="str">
            <v>ADET</v>
          </cell>
          <cell r="Q2116" t="str">
            <v>LED</v>
          </cell>
          <cell r="R2116" t="str">
            <v>MERMER</v>
          </cell>
          <cell r="S2116" t="str">
            <v>BEYAZ</v>
          </cell>
          <cell r="T2116" t="str">
            <v>METAL</v>
          </cell>
          <cell r="U2116" t="str">
            <v>ESKİTME</v>
          </cell>
          <cell r="Z2116" t="str">
            <v>3000 K</v>
          </cell>
          <cell r="AA2116" t="str">
            <v>DIMMSIZ</v>
          </cell>
          <cell r="AD2116" t="str">
            <v>ÜÇGEN</v>
          </cell>
          <cell r="AE2116" t="str">
            <v>01</v>
          </cell>
          <cell r="AF2116">
            <v>60</v>
          </cell>
          <cell r="AG2116" t="str">
            <v>ADET</v>
          </cell>
          <cell r="AH2116">
            <v>220</v>
          </cell>
          <cell r="AI2116" t="str">
            <v>CNY</v>
          </cell>
          <cell r="AL2116">
            <v>1</v>
          </cell>
          <cell r="AM2116" t="str">
            <v>8684127518345</v>
          </cell>
          <cell r="AO2116">
            <v>0</v>
          </cell>
          <cell r="AQ2116">
            <v>8</v>
          </cell>
          <cell r="AR2116" t="str">
            <v>CM</v>
          </cell>
          <cell r="AS2116">
            <v>12</v>
          </cell>
          <cell r="AT2116" t="str">
            <v>CM</v>
          </cell>
          <cell r="AU2116">
            <v>0</v>
          </cell>
          <cell r="AW2116">
            <v>0</v>
          </cell>
        </row>
        <row r="2117">
          <cell r="B2117" t="str">
            <v>H1C6WRFJMEV-150</v>
          </cell>
          <cell r="C2117" t="str">
            <v>HUGGER MERMER ESKİTME Y.MASASI AVİZE</v>
          </cell>
          <cell r="D2117" t="str">
            <v>HUGGER MARBLE BRUSHED BRASS DINNING ROOM CHANDELIER</v>
          </cell>
          <cell r="E2117" t="str">
            <v>MERMER METAL BEYAZ ESKİTME</v>
          </cell>
          <cell r="F2117" t="str">
            <v/>
          </cell>
          <cell r="G2117" t="str">
            <v>AVİZE</v>
          </cell>
          <cell r="H2117" t="str">
            <v/>
          </cell>
          <cell r="I2117" t="str">
            <v>İÇ</v>
          </cell>
          <cell r="J2117" t="str">
            <v>AVİZE</v>
          </cell>
          <cell r="K2117" t="str">
            <v>HUGGER</v>
          </cell>
          <cell r="L2117" t="str">
            <v/>
          </cell>
          <cell r="M2117" t="str">
            <v/>
          </cell>
          <cell r="N2117" t="str">
            <v>HKA-25193</v>
          </cell>
          <cell r="O2117" t="str">
            <v>HEKA</v>
          </cell>
          <cell r="P2117" t="str">
            <v>ADET</v>
          </cell>
          <cell r="Q2117" t="str">
            <v>LED</v>
          </cell>
          <cell r="R2117" t="str">
            <v>MERMER</v>
          </cell>
          <cell r="S2117" t="str">
            <v>BEYAZ</v>
          </cell>
          <cell r="T2117" t="str">
            <v>METAL</v>
          </cell>
          <cell r="U2117" t="str">
            <v>ESKİTME</v>
          </cell>
          <cell r="Z2117" t="str">
            <v>3000 K</v>
          </cell>
          <cell r="AA2117" t="str">
            <v>DIMMSIZ</v>
          </cell>
          <cell r="AD2117" t="str">
            <v>YAMUK</v>
          </cell>
          <cell r="AE2117" t="str">
            <v>01</v>
          </cell>
          <cell r="AF2117">
            <v>6</v>
          </cell>
          <cell r="AG2117" t="str">
            <v>ADET</v>
          </cell>
          <cell r="AH2117">
            <v>1126.4000000000001</v>
          </cell>
          <cell r="AI2117" t="str">
            <v>CNY</v>
          </cell>
          <cell r="AL2117">
            <v>1</v>
          </cell>
          <cell r="AM2117" t="str">
            <v>8684127518369</v>
          </cell>
          <cell r="AO2117">
            <v>0</v>
          </cell>
          <cell r="AQ2117">
            <v>0</v>
          </cell>
          <cell r="AS2117">
            <v>150</v>
          </cell>
          <cell r="AT2117" t="str">
            <v>CM</v>
          </cell>
          <cell r="AU2117">
            <v>0</v>
          </cell>
          <cell r="AW2117">
            <v>0</v>
          </cell>
        </row>
        <row r="2118">
          <cell r="B2118" t="str">
            <v>H1W6CME000E-044</v>
          </cell>
          <cell r="C2118" t="str">
            <v>COLLESİUM ESKİTME APLİK 44 cm</v>
          </cell>
          <cell r="D2118" t="str">
            <v>COLLESİUM BRUSHED BRASS WALL LAMP 44 cm</v>
          </cell>
          <cell r="E2118" t="str">
            <v>ALUMİNYUM YOK ESKİTME YOK</v>
          </cell>
          <cell r="F2118" t="str">
            <v/>
          </cell>
          <cell r="G2118" t="str">
            <v>APLİK</v>
          </cell>
          <cell r="H2118" t="str">
            <v/>
          </cell>
          <cell r="I2118" t="str">
            <v>İÇ</v>
          </cell>
          <cell r="J2118" t="str">
            <v/>
          </cell>
          <cell r="K2118" t="str">
            <v>COLLESİUM</v>
          </cell>
          <cell r="L2118" t="str">
            <v/>
          </cell>
          <cell r="M2118" t="str">
            <v>15.02.2026</v>
          </cell>
          <cell r="N2118" t="str">
            <v>HKA-25227</v>
          </cell>
          <cell r="O2118" t="str">
            <v>HEKA</v>
          </cell>
          <cell r="P2118" t="str">
            <v>ADET</v>
          </cell>
          <cell r="Q2118" t="str">
            <v>LED</v>
          </cell>
          <cell r="R2118" t="str">
            <v>ALUMİNYUM</v>
          </cell>
          <cell r="S2118" t="str">
            <v>ESKİTME</v>
          </cell>
          <cell r="Z2118" t="str">
            <v>3000 K</v>
          </cell>
          <cell r="AD2118" t="str">
            <v>ELİPS</v>
          </cell>
          <cell r="AF2118">
            <v>0</v>
          </cell>
          <cell r="AG2118" t="str">
            <v>ADET</v>
          </cell>
          <cell r="AH2118">
            <v>290</v>
          </cell>
          <cell r="AI2118" t="str">
            <v>CNY</v>
          </cell>
          <cell r="AL2118">
            <v>0</v>
          </cell>
          <cell r="AM2118" t="str">
            <v>8684127518604</v>
          </cell>
          <cell r="AO2118">
            <v>0</v>
          </cell>
          <cell r="AQ2118">
            <v>7.5</v>
          </cell>
          <cell r="AS2118">
            <v>44</v>
          </cell>
          <cell r="AU2118">
            <v>0</v>
          </cell>
          <cell r="AW2118">
            <v>0</v>
          </cell>
        </row>
        <row r="2119">
          <cell r="B2119" t="str">
            <v>H1W6ERFJRS0-030</v>
          </cell>
          <cell r="C2119" t="str">
            <v>GAMBİA FÜME CAM SİYAH APLİK 30cm</v>
          </cell>
          <cell r="D2119" t="str">
            <v>GAMBİA LIGHT SMOKY GLASS BLACK WALL LAMP 30cm</v>
          </cell>
          <cell r="E2119" t="str">
            <v>CAM METAL FÜME SİYAH</v>
          </cell>
          <cell r="F2119" t="str">
            <v/>
          </cell>
          <cell r="G2119" t="str">
            <v>APLİK</v>
          </cell>
          <cell r="H2119" t="str">
            <v/>
          </cell>
          <cell r="I2119" t="str">
            <v>İÇ</v>
          </cell>
          <cell r="J2119" t="str">
            <v/>
          </cell>
          <cell r="K2119" t="str">
            <v>GAMBİA</v>
          </cell>
          <cell r="L2119" t="str">
            <v/>
          </cell>
          <cell r="M2119" t="str">
            <v>30.01.2026</v>
          </cell>
          <cell r="N2119" t="str">
            <v>HKA-25234</v>
          </cell>
          <cell r="O2119" t="str">
            <v>HEKA</v>
          </cell>
          <cell r="P2119" t="str">
            <v>ADET</v>
          </cell>
          <cell r="Q2119" t="str">
            <v>LED</v>
          </cell>
          <cell r="R2119" t="str">
            <v>CAM</v>
          </cell>
          <cell r="S2119" t="str">
            <v>FÜME</v>
          </cell>
          <cell r="T2119" t="str">
            <v>METAL</v>
          </cell>
          <cell r="U2119" t="str">
            <v>SİYAH</v>
          </cell>
          <cell r="Z2119" t="str">
            <v xml:space="preserve">2700 K </v>
          </cell>
          <cell r="AF2119">
            <v>0</v>
          </cell>
          <cell r="AG2119" t="str">
            <v>ADET</v>
          </cell>
          <cell r="AH2119">
            <v>584</v>
          </cell>
          <cell r="AI2119" t="str">
            <v>CNY</v>
          </cell>
          <cell r="AL2119">
            <v>0</v>
          </cell>
          <cell r="AM2119" t="str">
            <v>8684127518673</v>
          </cell>
          <cell r="AO2119">
            <v>0</v>
          </cell>
          <cell r="AQ2119">
            <v>0</v>
          </cell>
          <cell r="AS2119">
            <v>0</v>
          </cell>
          <cell r="AU2119">
            <v>0</v>
          </cell>
          <cell r="AW2119">
            <v>0</v>
          </cell>
        </row>
        <row r="2120">
          <cell r="B2120" t="str">
            <v>H1W6ERFJRS0-036</v>
          </cell>
          <cell r="C2120" t="str">
            <v>GAMBİA FÜME CAM SİYAH APLİK 36cm</v>
          </cell>
          <cell r="D2120" t="str">
            <v>GAMBİA LIGHT SMOKY GLASS BLACK WALL LAMP 36cm</v>
          </cell>
          <cell r="E2120" t="str">
            <v>CAM METAL FÜME SİYAH</v>
          </cell>
          <cell r="F2120" t="str">
            <v/>
          </cell>
          <cell r="G2120" t="str">
            <v>APLİK</v>
          </cell>
          <cell r="H2120" t="str">
            <v/>
          </cell>
          <cell r="I2120" t="str">
            <v>İÇ</v>
          </cell>
          <cell r="J2120" t="str">
            <v/>
          </cell>
          <cell r="K2120" t="str">
            <v>GAMBİA</v>
          </cell>
          <cell r="L2120" t="str">
            <v/>
          </cell>
          <cell r="M2120" t="str">
            <v>30.01.2026</v>
          </cell>
          <cell r="N2120" t="str">
            <v>HKA-25241</v>
          </cell>
          <cell r="O2120" t="str">
            <v>HEKA</v>
          </cell>
          <cell r="P2120" t="str">
            <v>ADET</v>
          </cell>
          <cell r="Q2120" t="str">
            <v>LED</v>
          </cell>
          <cell r="R2120" t="str">
            <v>CAM</v>
          </cell>
          <cell r="S2120" t="str">
            <v>FÜME</v>
          </cell>
          <cell r="T2120" t="str">
            <v>METAL</v>
          </cell>
          <cell r="U2120" t="str">
            <v>SİYAH</v>
          </cell>
          <cell r="Z2120" t="str">
            <v xml:space="preserve">2700 K </v>
          </cell>
          <cell r="AF2120">
            <v>0</v>
          </cell>
          <cell r="AG2120" t="str">
            <v>ADET</v>
          </cell>
          <cell r="AH2120">
            <v>520</v>
          </cell>
          <cell r="AI2120" t="str">
            <v>CNY</v>
          </cell>
          <cell r="AL2120">
            <v>0</v>
          </cell>
          <cell r="AM2120" t="str">
            <v>8684127518741</v>
          </cell>
          <cell r="AO2120">
            <v>0</v>
          </cell>
          <cell r="AQ2120">
            <v>0</v>
          </cell>
          <cell r="AS2120">
            <v>0</v>
          </cell>
          <cell r="AU2120">
            <v>0</v>
          </cell>
          <cell r="AW2120">
            <v>0</v>
          </cell>
        </row>
        <row r="2121">
          <cell r="B2121" t="str">
            <v>SNC-HX-002</v>
          </cell>
          <cell r="C2121" t="str">
            <v>HX-002 ÖZEL SÜS AYDINLATMA</v>
          </cell>
          <cell r="D2121" t="str">
            <v>HX-002 SPECIAL ORNAMENTAL LIGHTING</v>
          </cell>
          <cell r="E2121" t="str">
            <v>0 0 0 0</v>
          </cell>
          <cell r="F2121" t="str">
            <v/>
          </cell>
          <cell r="G2121" t="str">
            <v>AKSESUAR</v>
          </cell>
          <cell r="H2121" t="str">
            <v/>
          </cell>
          <cell r="I2121" t="str">
            <v/>
          </cell>
          <cell r="J2121" t="str">
            <v/>
          </cell>
          <cell r="K2121" t="str">
            <v>ÖZEL SÜS A</v>
          </cell>
          <cell r="L2121" t="str">
            <v/>
          </cell>
          <cell r="M2121" t="str">
            <v/>
          </cell>
          <cell r="N2121" t="str">
            <v>HKA-250067</v>
          </cell>
          <cell r="O2121" t="str">
            <v>HEKA</v>
          </cell>
          <cell r="P2121" t="str">
            <v>ADET</v>
          </cell>
          <cell r="AF2121">
            <v>0</v>
          </cell>
          <cell r="AG2121" t="str">
            <v>ADET</v>
          </cell>
          <cell r="AL2121">
            <v>0</v>
          </cell>
          <cell r="AO2121">
            <v>0</v>
          </cell>
          <cell r="AQ2121">
            <v>0</v>
          </cell>
          <cell r="AS2121">
            <v>0</v>
          </cell>
          <cell r="AU2121">
            <v>0</v>
          </cell>
          <cell r="AW2121">
            <v>0</v>
          </cell>
        </row>
        <row r="2122">
          <cell r="B2122" t="str">
            <v>34 SM 1343 MEGANE</v>
          </cell>
          <cell r="C2122" t="str">
            <v>34 SM 1343 MEGANE</v>
          </cell>
          <cell r="D2122" t="str">
            <v>34 SM 1343 MEGANE</v>
          </cell>
          <cell r="E2122" t="str">
            <v>34 SM 1343 MEGANE</v>
          </cell>
          <cell r="F2122" t="str">
            <v/>
          </cell>
          <cell r="G2122" t="str">
            <v/>
          </cell>
          <cell r="H2122" t="str">
            <v/>
          </cell>
          <cell r="I2122" t="str">
            <v/>
          </cell>
          <cell r="J2122" t="str">
            <v/>
          </cell>
          <cell r="K2122" t="str">
            <v/>
          </cell>
          <cell r="L2122" t="str">
            <v/>
          </cell>
          <cell r="M2122" t="str">
            <v/>
          </cell>
          <cell r="N2122" t="str">
            <v/>
          </cell>
          <cell r="P2122" t="str">
            <v>ADET</v>
          </cell>
          <cell r="AF2122">
            <v>-1</v>
          </cell>
          <cell r="AG2122" t="str">
            <v>ADET</v>
          </cell>
          <cell r="AL2122">
            <v>0</v>
          </cell>
          <cell r="AO2122">
            <v>0</v>
          </cell>
          <cell r="AQ2122">
            <v>0</v>
          </cell>
          <cell r="AS2122">
            <v>0</v>
          </cell>
          <cell r="AU2122">
            <v>0</v>
          </cell>
          <cell r="AW2122">
            <v>0</v>
          </cell>
        </row>
        <row r="2123">
          <cell r="B2123" t="str">
            <v>H1W6JRSJMER-017</v>
          </cell>
          <cell r="C2123" t="str">
            <v>VERO SİYAH-ESKİTME LED APLİK 17cm</v>
          </cell>
          <cell r="D2123" t="str">
            <v>VERO BLACK-BRUSHED BRASS LED WALL LAMP 17cm</v>
          </cell>
          <cell r="E2123" t="str">
            <v>METAL METAL SİYAH ESKİTME</v>
          </cell>
          <cell r="F2123" t="str">
            <v/>
          </cell>
          <cell r="G2123" t="str">
            <v>APLİK</v>
          </cell>
          <cell r="H2123" t="str">
            <v/>
          </cell>
          <cell r="I2123" t="str">
            <v/>
          </cell>
          <cell r="J2123" t="str">
            <v>APLİK</v>
          </cell>
          <cell r="K2123" t="str">
            <v>VERO</v>
          </cell>
          <cell r="L2123" t="str">
            <v>Y</v>
          </cell>
          <cell r="M2123" t="str">
            <v/>
          </cell>
          <cell r="N2123" t="str">
            <v>HKA-25254</v>
          </cell>
          <cell r="O2123" t="str">
            <v>HEKA</v>
          </cell>
          <cell r="P2123" t="str">
            <v>ADET</v>
          </cell>
          <cell r="Q2123" t="str">
            <v>LED</v>
          </cell>
          <cell r="R2123" t="str">
            <v>METAL</v>
          </cell>
          <cell r="S2123" t="str">
            <v>SİYAH</v>
          </cell>
          <cell r="T2123" t="str">
            <v>METAL</v>
          </cell>
          <cell r="U2123" t="str">
            <v>SİYAH</v>
          </cell>
          <cell r="Y2123" t="str">
            <v>3 WATT</v>
          </cell>
          <cell r="Z2123" t="str">
            <v>3000 K</v>
          </cell>
          <cell r="AB2123" t="str">
            <v>701-800</v>
          </cell>
          <cell r="AD2123" t="str">
            <v>DAİRE</v>
          </cell>
          <cell r="AE2123" t="str">
            <v>01</v>
          </cell>
          <cell r="AF2123">
            <v>29</v>
          </cell>
          <cell r="AG2123" t="str">
            <v>ADET</v>
          </cell>
          <cell r="AJ2123">
            <v>3250</v>
          </cell>
          <cell r="AK2123" t="str">
            <v>TL</v>
          </cell>
          <cell r="AL2123">
            <v>1</v>
          </cell>
          <cell r="AM2123" t="str">
            <v>8684127519052</v>
          </cell>
          <cell r="AO2123">
            <v>0</v>
          </cell>
          <cell r="AQ2123">
            <v>10</v>
          </cell>
          <cell r="AR2123" t="str">
            <v>CM</v>
          </cell>
          <cell r="AS2123">
            <v>17</v>
          </cell>
          <cell r="AT2123" t="str">
            <v>CM</v>
          </cell>
          <cell r="AU2123">
            <v>0</v>
          </cell>
          <cell r="AW2123">
            <v>0</v>
          </cell>
        </row>
        <row r="2124">
          <cell r="B2124" t="str">
            <v>H1W6WRFJMEP-016</v>
          </cell>
          <cell r="C2124" t="str">
            <v>NARVİ BEYAZ MERMER APLİK 16cm</v>
          </cell>
          <cell r="D2124" t="str">
            <v>NARVİ WHITE MARBLE WALL LAMP 16cm</v>
          </cell>
          <cell r="E2124" t="str">
            <v>MERMER METAL BEYAZ ESKİTME</v>
          </cell>
          <cell r="F2124" t="str">
            <v/>
          </cell>
          <cell r="G2124" t="str">
            <v>APLİK</v>
          </cell>
          <cell r="H2124" t="str">
            <v/>
          </cell>
          <cell r="I2124" t="str">
            <v/>
          </cell>
          <cell r="J2124" t="str">
            <v/>
          </cell>
          <cell r="K2124" t="str">
            <v>NARVİ</v>
          </cell>
          <cell r="L2124" t="str">
            <v/>
          </cell>
          <cell r="M2124" t="str">
            <v/>
          </cell>
          <cell r="N2124" t="str">
            <v>HKA-25261</v>
          </cell>
          <cell r="O2124" t="str">
            <v>HEKA</v>
          </cell>
          <cell r="P2124" t="str">
            <v>ADET</v>
          </cell>
          <cell r="Q2124" t="str">
            <v>LED</v>
          </cell>
          <cell r="R2124" t="str">
            <v>MERMER</v>
          </cell>
          <cell r="S2124" t="str">
            <v>BEYAZ</v>
          </cell>
          <cell r="T2124" t="str">
            <v>METAL</v>
          </cell>
          <cell r="U2124" t="str">
            <v>ESKİTME</v>
          </cell>
          <cell r="AD2124" t="str">
            <v>POLİGONAL</v>
          </cell>
          <cell r="AE2124" t="str">
            <v>01</v>
          </cell>
          <cell r="AG2124" t="str">
            <v>ADET</v>
          </cell>
          <cell r="AJ2124">
            <v>3950</v>
          </cell>
          <cell r="AK2124" t="str">
            <v>TL</v>
          </cell>
          <cell r="AL2124">
            <v>0</v>
          </cell>
          <cell r="AM2124" t="str">
            <v>8684127519090</v>
          </cell>
          <cell r="AO2124">
            <v>0</v>
          </cell>
          <cell r="AQ2124">
            <v>7</v>
          </cell>
          <cell r="AR2124" t="str">
            <v>CM</v>
          </cell>
          <cell r="AS2124">
            <v>15.5</v>
          </cell>
          <cell r="AT2124" t="str">
            <v>CM</v>
          </cell>
          <cell r="AU2124">
            <v>0</v>
          </cell>
          <cell r="AW2124">
            <v>0</v>
          </cell>
        </row>
        <row r="2125">
          <cell r="B2125" t="str">
            <v>H1W5DRG000U-023</v>
          </cell>
          <cell r="C2125" t="str">
            <v>CONE BETON GRİ APLİK</v>
          </cell>
          <cell r="D2125" t="str">
            <v>CONE CONCRETE GREY WALL LAMP</v>
          </cell>
          <cell r="E2125" t="str">
            <v>BETON YOK GRİ YOK</v>
          </cell>
          <cell r="F2125" t="str">
            <v/>
          </cell>
          <cell r="G2125" t="str">
            <v>APLİK</v>
          </cell>
          <cell r="H2125" t="str">
            <v/>
          </cell>
          <cell r="I2125" t="str">
            <v/>
          </cell>
          <cell r="J2125" t="str">
            <v/>
          </cell>
          <cell r="K2125" t="str">
            <v>CONE</v>
          </cell>
          <cell r="L2125" t="str">
            <v/>
          </cell>
          <cell r="M2125" t="str">
            <v/>
          </cell>
          <cell r="N2125" t="str">
            <v>HKA-25266</v>
          </cell>
          <cell r="O2125" t="str">
            <v>HEKA</v>
          </cell>
          <cell r="P2125" t="str">
            <v>ADET</v>
          </cell>
          <cell r="Q2125" t="str">
            <v>GU10</v>
          </cell>
          <cell r="R2125" t="str">
            <v>BETON</v>
          </cell>
          <cell r="S2125" t="str">
            <v>GRİ</v>
          </cell>
          <cell r="AD2125" t="str">
            <v>ÜÇGEN</v>
          </cell>
          <cell r="AE2125" t="str">
            <v>01</v>
          </cell>
          <cell r="AF2125">
            <v>0</v>
          </cell>
          <cell r="AG2125" t="str">
            <v>ADET</v>
          </cell>
          <cell r="AJ2125">
            <v>4950</v>
          </cell>
          <cell r="AK2125" t="str">
            <v>TL</v>
          </cell>
          <cell r="AL2125">
            <v>0</v>
          </cell>
          <cell r="AO2125">
            <v>0</v>
          </cell>
          <cell r="AQ2125">
            <v>0</v>
          </cell>
          <cell r="AS2125">
            <v>0</v>
          </cell>
          <cell r="AU2125">
            <v>0</v>
          </cell>
          <cell r="AW2125">
            <v>0</v>
          </cell>
        </row>
        <row r="2126">
          <cell r="B2126" t="str">
            <v>ADFVERV0000-040</v>
          </cell>
          <cell r="C2126" t="str">
            <v>VİTALE CAM KAHVE ŞİŞE 15x15x40 CM</v>
          </cell>
          <cell r="D2126" t="str">
            <v>VİTALE GLASS BROWN BOTTLE 15x15x40 CM</v>
          </cell>
          <cell r="E2126" t="str">
            <v>CAM  YOK KAHVERENGİ YOK</v>
          </cell>
          <cell r="F2126" t="str">
            <v/>
          </cell>
          <cell r="G2126" t="str">
            <v>AKSESUAR</v>
          </cell>
          <cell r="H2126" t="str">
            <v/>
          </cell>
          <cell r="I2126" t="str">
            <v/>
          </cell>
          <cell r="J2126" t="str">
            <v/>
          </cell>
          <cell r="K2126" t="str">
            <v>VİTALE</v>
          </cell>
          <cell r="L2126" t="str">
            <v/>
          </cell>
          <cell r="M2126" t="str">
            <v/>
          </cell>
          <cell r="N2126" t="str">
            <v>HKA-250083</v>
          </cell>
          <cell r="O2126" t="str">
            <v>HEKA</v>
          </cell>
          <cell r="P2126" t="str">
            <v>ADET</v>
          </cell>
          <cell r="R2126" t="str">
            <v>CAM</v>
          </cell>
          <cell r="S2126" t="str">
            <v>KAHVERENGİ</v>
          </cell>
          <cell r="AF2126">
            <v>1</v>
          </cell>
          <cell r="AG2126" t="str">
            <v>ADET</v>
          </cell>
          <cell r="AH2126">
            <v>1048.71</v>
          </cell>
          <cell r="AI2126" t="str">
            <v>TL</v>
          </cell>
          <cell r="AL2126">
            <v>0</v>
          </cell>
          <cell r="AO2126">
            <v>0</v>
          </cell>
          <cell r="AQ2126">
            <v>40</v>
          </cell>
          <cell r="AR2126" t="str">
            <v>CM</v>
          </cell>
          <cell r="AS2126">
            <v>15</v>
          </cell>
          <cell r="AT2126" t="str">
            <v>CM</v>
          </cell>
          <cell r="AU2126">
            <v>0</v>
          </cell>
          <cell r="AW2126">
            <v>0</v>
          </cell>
        </row>
        <row r="2127">
          <cell r="B2127" t="str">
            <v>AVFVURB0005-037</v>
          </cell>
          <cell r="C2127" t="str">
            <v>VİTALE SERAMİK FİLE VAZO 20x20x37,3 CM</v>
          </cell>
          <cell r="D2127" t="str">
            <v>VİTALE CERAMIC MESH VASE 20x20x37,3 CM</v>
          </cell>
          <cell r="E2127" t="str">
            <v>SERAMİK YOK BEYAZ YOK</v>
          </cell>
          <cell r="F2127" t="str">
            <v/>
          </cell>
          <cell r="G2127" t="str">
            <v>AKSESUAR</v>
          </cell>
          <cell r="H2127" t="str">
            <v/>
          </cell>
          <cell r="I2127" t="str">
            <v/>
          </cell>
          <cell r="J2127" t="str">
            <v/>
          </cell>
          <cell r="K2127" t="str">
            <v>VİTALE</v>
          </cell>
          <cell r="L2127" t="str">
            <v/>
          </cell>
          <cell r="M2127" t="str">
            <v/>
          </cell>
          <cell r="N2127" t="str">
            <v>HKA-250090</v>
          </cell>
          <cell r="O2127" t="str">
            <v>HEKA</v>
          </cell>
          <cell r="P2127" t="str">
            <v>ADET</v>
          </cell>
          <cell r="R2127" t="str">
            <v>SERAMİK</v>
          </cell>
          <cell r="S2127" t="str">
            <v>BEYAZ</v>
          </cell>
          <cell r="AD2127" t="str">
            <v>VAZO</v>
          </cell>
          <cell r="AF2127">
            <v>1</v>
          </cell>
          <cell r="AG2127" t="str">
            <v>ADET</v>
          </cell>
          <cell r="AH2127">
            <v>2320.16</v>
          </cell>
          <cell r="AI2127" t="str">
            <v>TL</v>
          </cell>
          <cell r="AL2127">
            <v>0</v>
          </cell>
          <cell r="AO2127">
            <v>0</v>
          </cell>
          <cell r="AQ2127">
            <v>37.299999999999997</v>
          </cell>
          <cell r="AR2127" t="str">
            <v>CM</v>
          </cell>
          <cell r="AS2127">
            <v>20</v>
          </cell>
          <cell r="AT2127" t="str">
            <v>CM</v>
          </cell>
          <cell r="AU2127">
            <v>0</v>
          </cell>
          <cell r="AW2127">
            <v>0</v>
          </cell>
        </row>
        <row r="2128">
          <cell r="B2128" t="str">
            <v>ADFVYRE0000-081</v>
          </cell>
          <cell r="C2128" t="str">
            <v>VİTALE SOMON AYÇİÇEĞİ 81 CM</v>
          </cell>
          <cell r="D2128" t="str">
            <v>VİTALE SALMON SUNFLOWER 81 CM</v>
          </cell>
          <cell r="E2128" t="str">
            <v>POLYESTER YOK RESİM YOK</v>
          </cell>
          <cell r="F2128" t="str">
            <v/>
          </cell>
          <cell r="G2128" t="str">
            <v>AKSESUAR</v>
          </cell>
          <cell r="H2128" t="str">
            <v/>
          </cell>
          <cell r="I2128" t="str">
            <v/>
          </cell>
          <cell r="J2128" t="str">
            <v/>
          </cell>
          <cell r="K2128" t="str">
            <v>VİTALE</v>
          </cell>
          <cell r="L2128" t="str">
            <v/>
          </cell>
          <cell r="M2128" t="str">
            <v/>
          </cell>
          <cell r="N2128" t="str">
            <v>HKA-250094</v>
          </cell>
          <cell r="O2128" t="str">
            <v>HEKA</v>
          </cell>
          <cell r="P2128" t="str">
            <v>ADET</v>
          </cell>
          <cell r="R2128" t="str">
            <v>POLYESTER</v>
          </cell>
          <cell r="S2128" t="str">
            <v xml:space="preserve">RESİM </v>
          </cell>
          <cell r="AF2128">
            <v>3</v>
          </cell>
          <cell r="AG2128" t="str">
            <v>ADET</v>
          </cell>
          <cell r="AH2128">
            <v>1177.44</v>
          </cell>
          <cell r="AI2128" t="str">
            <v>TL</v>
          </cell>
          <cell r="AL2128">
            <v>0</v>
          </cell>
          <cell r="AO2128">
            <v>0</v>
          </cell>
          <cell r="AQ2128">
            <v>0</v>
          </cell>
          <cell r="AS2128">
            <v>0</v>
          </cell>
          <cell r="AU2128">
            <v>0</v>
          </cell>
          <cell r="AW2128">
            <v>0</v>
          </cell>
        </row>
        <row r="2129">
          <cell r="B2129" t="str">
            <v>ADFVERV0000-022</v>
          </cell>
          <cell r="C2129" t="str">
            <v>VİTALE CAM KAHVE KARAF 6,5x16,5x22 CM</v>
          </cell>
          <cell r="D2129" t="str">
            <v>VİTALE GLASS BROWN CARAFE 6,5x16,5x22 CM</v>
          </cell>
          <cell r="E2129" t="str">
            <v>CAM  YOK KAHVERENGİ YOK</v>
          </cell>
          <cell r="F2129" t="str">
            <v/>
          </cell>
          <cell r="G2129" t="str">
            <v>AKSESUAR</v>
          </cell>
          <cell r="H2129" t="str">
            <v/>
          </cell>
          <cell r="I2129" t="str">
            <v/>
          </cell>
          <cell r="J2129" t="str">
            <v/>
          </cell>
          <cell r="K2129" t="str">
            <v>VİTALE</v>
          </cell>
          <cell r="L2129" t="str">
            <v/>
          </cell>
          <cell r="M2129" t="str">
            <v/>
          </cell>
          <cell r="N2129" t="str">
            <v>HKA-250101</v>
          </cell>
          <cell r="O2129" t="str">
            <v>HEKA</v>
          </cell>
          <cell r="P2129" t="str">
            <v>ADET</v>
          </cell>
          <cell r="R2129" t="str">
            <v>CAM</v>
          </cell>
          <cell r="S2129" t="str">
            <v>KAHVERENGİ</v>
          </cell>
          <cell r="AF2129">
            <v>1</v>
          </cell>
          <cell r="AG2129" t="str">
            <v>ADET</v>
          </cell>
          <cell r="AH2129">
            <v>2697.49</v>
          </cell>
          <cell r="AI2129" t="str">
            <v>TL</v>
          </cell>
          <cell r="AL2129">
            <v>0</v>
          </cell>
          <cell r="AO2129">
            <v>0</v>
          </cell>
          <cell r="AQ2129">
            <v>22</v>
          </cell>
          <cell r="AR2129" t="str">
            <v>CM</v>
          </cell>
          <cell r="AS2129">
            <v>6.5</v>
          </cell>
          <cell r="AT2129" t="str">
            <v>CM</v>
          </cell>
          <cell r="AU2129">
            <v>0</v>
          </cell>
          <cell r="AW2129">
            <v>0</v>
          </cell>
        </row>
        <row r="2130">
          <cell r="B2130" t="str">
            <v>CA2E1C102F3I0</v>
          </cell>
          <cell r="C2130" t="str">
            <v>ERD-314 E27 BAL 7W 2500K FİLAMENT LED AMPUL</v>
          </cell>
          <cell r="D2130" t="str">
            <v>ERD-314 E27 AMBER 7W 2500K FILAMENT LED BULB</v>
          </cell>
          <cell r="E2130" t="str">
            <v xml:space="preserve">CAM  BAL </v>
          </cell>
          <cell r="F2130" t="str">
            <v/>
          </cell>
          <cell r="G2130" t="str">
            <v>AMPUL</v>
          </cell>
          <cell r="H2130" t="str">
            <v/>
          </cell>
          <cell r="I2130" t="str">
            <v/>
          </cell>
          <cell r="J2130" t="str">
            <v/>
          </cell>
          <cell r="K2130" t="str">
            <v>ERD-314</v>
          </cell>
          <cell r="L2130" t="str">
            <v/>
          </cell>
          <cell r="M2130" t="str">
            <v/>
          </cell>
          <cell r="N2130" t="str">
            <v>ERD-314</v>
          </cell>
          <cell r="O2130" t="str">
            <v>HEKA</v>
          </cell>
          <cell r="P2130" t="str">
            <v>ADET</v>
          </cell>
          <cell r="Q2130" t="str">
            <v>E27</v>
          </cell>
          <cell r="R2130" t="str">
            <v>CAM</v>
          </cell>
          <cell r="S2130" t="str">
            <v>BAL</v>
          </cell>
          <cell r="V2130" t="str">
            <v>E</v>
          </cell>
          <cell r="W2130" t="str">
            <v>FLAMENT</v>
          </cell>
          <cell r="X2130" t="str">
            <v>220V</v>
          </cell>
          <cell r="Y2130" t="str">
            <v>7 WATT</v>
          </cell>
          <cell r="Z2130" t="str">
            <v>2500 K</v>
          </cell>
          <cell r="AA2130" t="str">
            <v>DIMMSIZ</v>
          </cell>
          <cell r="AB2130" t="str">
            <v>801-900</v>
          </cell>
          <cell r="AC2130" t="str">
            <v>A60</v>
          </cell>
          <cell r="AG2130" t="str">
            <v>ADET</v>
          </cell>
          <cell r="AL2130">
            <v>0</v>
          </cell>
          <cell r="AM2130" t="str">
            <v>8684127519465</v>
          </cell>
          <cell r="AN2130" t="str">
            <v>8684127519472</v>
          </cell>
          <cell r="AO2130">
            <v>0</v>
          </cell>
          <cell r="AQ2130">
            <v>0</v>
          </cell>
          <cell r="AS2130">
            <v>0</v>
          </cell>
          <cell r="AU2130">
            <v>0</v>
          </cell>
          <cell r="AW2130">
            <v>0</v>
          </cell>
        </row>
        <row r="2131">
          <cell r="B2131" t="str">
            <v>CE2D1C302F4J0</v>
          </cell>
          <cell r="C2131" t="str">
            <v>ERD-322 G95 ŞEFFAF 7W 2700K E27 LED AMPUL</v>
          </cell>
          <cell r="D2131" t="str">
            <v>ERD-322 G95 CLEAR 7W 2700K E27 LED BULB</v>
          </cell>
          <cell r="E2131" t="str">
            <v xml:space="preserve">CAM  ŞEFFAF </v>
          </cell>
          <cell r="F2131" t="str">
            <v/>
          </cell>
          <cell r="G2131" t="str">
            <v>AMPUL</v>
          </cell>
          <cell r="H2131" t="str">
            <v/>
          </cell>
          <cell r="I2131" t="str">
            <v/>
          </cell>
          <cell r="J2131" t="str">
            <v/>
          </cell>
          <cell r="K2131" t="str">
            <v>ERD-322</v>
          </cell>
          <cell r="L2131" t="str">
            <v/>
          </cell>
          <cell r="M2131" t="str">
            <v/>
          </cell>
          <cell r="N2131" t="str">
            <v>ERD-322</v>
          </cell>
          <cell r="O2131" t="str">
            <v>HEKA</v>
          </cell>
          <cell r="P2131" t="str">
            <v>ADET</v>
          </cell>
          <cell r="Q2131" t="str">
            <v>E27</v>
          </cell>
          <cell r="R2131" t="str">
            <v>CAM</v>
          </cell>
          <cell r="S2131" t="str">
            <v>ŞEFFAF</v>
          </cell>
          <cell r="V2131" t="str">
            <v>D</v>
          </cell>
          <cell r="W2131" t="str">
            <v>FLAMENT</v>
          </cell>
          <cell r="X2131" t="str">
            <v>220V</v>
          </cell>
          <cell r="Y2131" t="str">
            <v>7 WATT</v>
          </cell>
          <cell r="Z2131" t="str">
            <v xml:space="preserve">2700 K </v>
          </cell>
          <cell r="AA2131" t="str">
            <v>DIMMSIZ</v>
          </cell>
          <cell r="AB2131" t="str">
            <v>901-1000</v>
          </cell>
          <cell r="AC2131" t="str">
            <v>G95-TOP</v>
          </cell>
          <cell r="AG2131" t="str">
            <v>ADET</v>
          </cell>
          <cell r="AL2131">
            <v>0</v>
          </cell>
          <cell r="AM2131" t="str">
            <v>8684127519601</v>
          </cell>
          <cell r="AN2131" t="str">
            <v>8684127519618</v>
          </cell>
          <cell r="AO2131">
            <v>0</v>
          </cell>
          <cell r="AQ2131">
            <v>0</v>
          </cell>
          <cell r="AS2131">
            <v>0</v>
          </cell>
          <cell r="AU2131">
            <v>0</v>
          </cell>
          <cell r="AW2131">
            <v>0</v>
          </cell>
        </row>
        <row r="2132">
          <cell r="B2132" t="str">
            <v>H1C6JMEERP1-040</v>
          </cell>
          <cell r="C2132" t="str">
            <v>SKYLİNE TEKLİ PEMBE CAM SARKIT 40cm</v>
          </cell>
          <cell r="D2132" t="str">
            <v>SYKLINE SINGLE PİNK GLASS PENDANT 40cm</v>
          </cell>
          <cell r="E2132" t="str">
            <v>METAL CAM ESKİTME PEMBE</v>
          </cell>
          <cell r="F2132" t="str">
            <v/>
          </cell>
          <cell r="G2132" t="str">
            <v>AVİZE</v>
          </cell>
          <cell r="H2132" t="str">
            <v/>
          </cell>
          <cell r="I2132" t="str">
            <v>İÇ</v>
          </cell>
          <cell r="J2132" t="str">
            <v>AVİZE.SARK</v>
          </cell>
          <cell r="K2132" t="str">
            <v>SKYLİNE</v>
          </cell>
          <cell r="L2132" t="str">
            <v/>
          </cell>
          <cell r="M2132" t="str">
            <v>30.01.2026</v>
          </cell>
          <cell r="N2132" t="str">
            <v>HKA-25118</v>
          </cell>
          <cell r="O2132" t="str">
            <v>HEKA</v>
          </cell>
          <cell r="P2132" t="str">
            <v>ADET</v>
          </cell>
          <cell r="Q2132" t="str">
            <v>LED</v>
          </cell>
          <cell r="R2132" t="str">
            <v>METAL</v>
          </cell>
          <cell r="S2132" t="str">
            <v>ESKİTME</v>
          </cell>
          <cell r="T2132" t="str">
            <v>CAM</v>
          </cell>
          <cell r="U2132" t="str">
            <v>PEMBE</v>
          </cell>
          <cell r="AA2132" t="str">
            <v>DIMMSIZ</v>
          </cell>
          <cell r="AD2132" t="str">
            <v>TEKLİ</v>
          </cell>
          <cell r="AE2132" t="str">
            <v>01</v>
          </cell>
          <cell r="AF2132">
            <v>22</v>
          </cell>
          <cell r="AG2132" t="str">
            <v>ADET</v>
          </cell>
          <cell r="AH2132">
            <v>268</v>
          </cell>
          <cell r="AI2132" t="str">
            <v>CNY</v>
          </cell>
          <cell r="AL2132">
            <v>1</v>
          </cell>
          <cell r="AM2132" t="str">
            <v>8684127517447</v>
          </cell>
          <cell r="AO2132">
            <v>0</v>
          </cell>
          <cell r="AQ2132">
            <v>2</v>
          </cell>
          <cell r="AR2132" t="str">
            <v>CM</v>
          </cell>
          <cell r="AS2132">
            <v>40</v>
          </cell>
          <cell r="AT2132" t="str">
            <v>CM</v>
          </cell>
          <cell r="AU2132">
            <v>0</v>
          </cell>
          <cell r="AW2132">
            <v>0</v>
          </cell>
        </row>
        <row r="2133">
          <cell r="B2133" t="str">
            <v>H1W6JMEERM1-030</v>
          </cell>
          <cell r="C2133" t="str">
            <v>SKYLİNE TEKLİ MAVİ CAM APLİK 30CM</v>
          </cell>
          <cell r="D2133" t="str">
            <v>SYKLINE SINGLE BLUE GLASS WALL LAMP 30CM</v>
          </cell>
          <cell r="E2133" t="str">
            <v>METAL CAM ESKİTME MAVİ</v>
          </cell>
          <cell r="F2133" t="str">
            <v/>
          </cell>
          <cell r="G2133" t="str">
            <v>APLİK</v>
          </cell>
          <cell r="H2133" t="str">
            <v/>
          </cell>
          <cell r="I2133" t="str">
            <v>İÇ</v>
          </cell>
          <cell r="J2133" t="str">
            <v>APLİK</v>
          </cell>
          <cell r="K2133" t="str">
            <v>SKYLİNE</v>
          </cell>
          <cell r="L2133" t="str">
            <v/>
          </cell>
          <cell r="M2133" t="str">
            <v>30.01.2026</v>
          </cell>
          <cell r="N2133" t="str">
            <v>HKA-25135</v>
          </cell>
          <cell r="O2133" t="str">
            <v>HEKA</v>
          </cell>
          <cell r="P2133" t="str">
            <v>ADET</v>
          </cell>
          <cell r="Q2133" t="str">
            <v>LED</v>
          </cell>
          <cell r="R2133" t="str">
            <v>METAL</v>
          </cell>
          <cell r="S2133" t="str">
            <v>ESKİTME</v>
          </cell>
          <cell r="T2133" t="str">
            <v>CAM</v>
          </cell>
          <cell r="U2133" t="str">
            <v>MAVİ</v>
          </cell>
          <cell r="AA2133" t="str">
            <v>DIMMSIZ</v>
          </cell>
          <cell r="AD2133" t="str">
            <v>TEKLİ</v>
          </cell>
          <cell r="AE2133" t="str">
            <v>01</v>
          </cell>
          <cell r="AF2133">
            <v>19</v>
          </cell>
          <cell r="AG2133" t="str">
            <v>ADET</v>
          </cell>
          <cell r="AH2133">
            <v>209</v>
          </cell>
          <cell r="AI2133" t="str">
            <v>CNY</v>
          </cell>
          <cell r="AL2133">
            <v>1</v>
          </cell>
          <cell r="AM2133" t="str">
            <v>8684127517614</v>
          </cell>
          <cell r="AO2133">
            <v>0</v>
          </cell>
          <cell r="AQ2133">
            <v>2</v>
          </cell>
          <cell r="AR2133" t="str">
            <v>CM</v>
          </cell>
          <cell r="AS2133">
            <v>30</v>
          </cell>
          <cell r="AT2133" t="str">
            <v>CM</v>
          </cell>
          <cell r="AU2133">
            <v>0</v>
          </cell>
          <cell r="AW2133">
            <v>0</v>
          </cell>
        </row>
        <row r="2134">
          <cell r="B2134" t="str">
            <v>H1W6JMEERF1-030</v>
          </cell>
          <cell r="C2134" t="str">
            <v>SKYLİNE TEKLİ FÜME CAM APLİK 30CM</v>
          </cell>
          <cell r="D2134" t="str">
            <v>SYKLINE SINGLE LIGHT SMOKY GLASS WALL LAMP 30CM</v>
          </cell>
          <cell r="E2134" t="str">
            <v>METAL CAM ESKİTME FÜME</v>
          </cell>
          <cell r="F2134" t="str">
            <v/>
          </cell>
          <cell r="G2134" t="str">
            <v>APLİK</v>
          </cell>
          <cell r="H2134" t="str">
            <v/>
          </cell>
          <cell r="I2134" t="str">
            <v>İÇ</v>
          </cell>
          <cell r="J2134" t="str">
            <v>APLİK</v>
          </cell>
          <cell r="K2134" t="str">
            <v>SKYLİNE</v>
          </cell>
          <cell r="L2134" t="str">
            <v/>
          </cell>
          <cell r="M2134" t="str">
            <v/>
          </cell>
          <cell r="N2134" t="str">
            <v>HKA-25136</v>
          </cell>
          <cell r="O2134" t="str">
            <v>HEKA</v>
          </cell>
          <cell r="P2134" t="str">
            <v>ADET</v>
          </cell>
          <cell r="Q2134" t="str">
            <v>LED</v>
          </cell>
          <cell r="R2134" t="str">
            <v>METAL</v>
          </cell>
          <cell r="S2134" t="str">
            <v>ESKİTME</v>
          </cell>
          <cell r="T2134" t="str">
            <v>CAM</v>
          </cell>
          <cell r="U2134" t="str">
            <v>FÜME</v>
          </cell>
          <cell r="AA2134" t="str">
            <v>DIMMSIZ</v>
          </cell>
          <cell r="AD2134" t="str">
            <v>TEKLİ</v>
          </cell>
          <cell r="AE2134" t="str">
            <v>01</v>
          </cell>
          <cell r="AF2134">
            <v>10</v>
          </cell>
          <cell r="AG2134" t="str">
            <v>ADET</v>
          </cell>
          <cell r="AH2134">
            <v>209</v>
          </cell>
          <cell r="AI2134" t="str">
            <v>CNY</v>
          </cell>
          <cell r="AL2134">
            <v>1</v>
          </cell>
          <cell r="AM2134" t="str">
            <v>8684127517621</v>
          </cell>
          <cell r="AO2134">
            <v>0</v>
          </cell>
          <cell r="AQ2134">
            <v>2</v>
          </cell>
          <cell r="AR2134" t="str">
            <v>CM</v>
          </cell>
          <cell r="AS2134">
            <v>30</v>
          </cell>
          <cell r="AT2134" t="str">
            <v>CM</v>
          </cell>
          <cell r="AU2134">
            <v>0</v>
          </cell>
          <cell r="AW2134">
            <v>0</v>
          </cell>
        </row>
        <row r="2135">
          <cell r="B2135" t="str">
            <v>H1C6XMEERL0-062</v>
          </cell>
          <cell r="C2135" t="str">
            <v>SİENA İKİLİ BAL CAM SARKIT 62CM</v>
          </cell>
          <cell r="D2135" t="str">
            <v>SİENA DOUBLE AMBER GLASS PENDANT 62CM</v>
          </cell>
          <cell r="E2135" t="str">
            <v>TRAVERTEN CAM ESKİTME BAL</v>
          </cell>
          <cell r="F2135" t="str">
            <v/>
          </cell>
          <cell r="G2135" t="str">
            <v>AVİZE</v>
          </cell>
          <cell r="H2135" t="str">
            <v/>
          </cell>
          <cell r="I2135" t="str">
            <v>İÇ</v>
          </cell>
          <cell r="J2135" t="str">
            <v>AVİZE.SARK</v>
          </cell>
          <cell r="K2135" t="str">
            <v>SİENA</v>
          </cell>
          <cell r="L2135" t="str">
            <v>Y</v>
          </cell>
          <cell r="M2135" t="str">
            <v>20.04.2026</v>
          </cell>
          <cell r="N2135" t="str">
            <v>HKA-25026</v>
          </cell>
          <cell r="O2135" t="str">
            <v>HEKA</v>
          </cell>
          <cell r="P2135" t="str">
            <v>ADET</v>
          </cell>
          <cell r="Q2135" t="str">
            <v>LED</v>
          </cell>
          <cell r="R2135" t="str">
            <v>TRAVERTEN</v>
          </cell>
          <cell r="S2135" t="str">
            <v>ESKİTME</v>
          </cell>
          <cell r="T2135" t="str">
            <v>CAM</v>
          </cell>
          <cell r="U2135" t="str">
            <v>BAL</v>
          </cell>
          <cell r="AA2135" t="str">
            <v>DIMMSIZ</v>
          </cell>
          <cell r="AF2135">
            <v>0</v>
          </cell>
          <cell r="AG2135" t="str">
            <v>ADET</v>
          </cell>
          <cell r="AH2135">
            <v>168</v>
          </cell>
          <cell r="AI2135" t="str">
            <v>CNY</v>
          </cell>
          <cell r="AJ2135">
            <v>10450</v>
          </cell>
          <cell r="AK2135" t="str">
            <v>TL</v>
          </cell>
          <cell r="AL2135">
            <v>1</v>
          </cell>
          <cell r="AM2135" t="str">
            <v>8684127517768</v>
          </cell>
          <cell r="AO2135">
            <v>0</v>
          </cell>
          <cell r="AQ2135">
            <v>20</v>
          </cell>
          <cell r="AR2135" t="str">
            <v>CM</v>
          </cell>
          <cell r="AS2135">
            <v>20</v>
          </cell>
          <cell r="AT2135" t="str">
            <v>CM</v>
          </cell>
          <cell r="AU2135">
            <v>0</v>
          </cell>
          <cell r="AW2135">
            <v>0</v>
          </cell>
        </row>
        <row r="2136">
          <cell r="B2136" t="str">
            <v>H1C6XBJERF0-050</v>
          </cell>
          <cell r="C2136" t="str">
            <v>SİENA TEKLİ FÜME CAM SARKIT 50CM</v>
          </cell>
          <cell r="D2136" t="str">
            <v>SİENA SINGLE SMOKY GLASS PENDANT 50CM</v>
          </cell>
          <cell r="E2136" t="str">
            <v>TRAVERTEN CAM BEJ FÜME</v>
          </cell>
          <cell r="F2136" t="str">
            <v/>
          </cell>
          <cell r="G2136" t="str">
            <v>AVİZE</v>
          </cell>
          <cell r="H2136" t="str">
            <v/>
          </cell>
          <cell r="I2136" t="str">
            <v>İÇ</v>
          </cell>
          <cell r="J2136" t="str">
            <v>AVİZE.SARK</v>
          </cell>
          <cell r="K2136" t="str">
            <v>SİENA</v>
          </cell>
          <cell r="L2136" t="str">
            <v>Y</v>
          </cell>
          <cell r="M2136" t="str">
            <v>20.04.2026</v>
          </cell>
          <cell r="N2136" t="str">
            <v>HKA-25029</v>
          </cell>
          <cell r="O2136" t="str">
            <v>HEKA</v>
          </cell>
          <cell r="P2136" t="str">
            <v>ADET</v>
          </cell>
          <cell r="Q2136" t="str">
            <v>LED</v>
          </cell>
          <cell r="R2136" t="str">
            <v>TRAVERTEN</v>
          </cell>
          <cell r="S2136" t="str">
            <v>BEJ</v>
          </cell>
          <cell r="T2136" t="str">
            <v>CAM</v>
          </cell>
          <cell r="U2136" t="str">
            <v>FÜME</v>
          </cell>
          <cell r="AA2136" t="str">
            <v>DIMMSIZ</v>
          </cell>
          <cell r="AF2136">
            <v>51</v>
          </cell>
          <cell r="AG2136" t="str">
            <v>ADET</v>
          </cell>
          <cell r="AH2136">
            <v>158</v>
          </cell>
          <cell r="AI2136" t="str">
            <v>CNY</v>
          </cell>
          <cell r="AJ2136">
            <v>9950</v>
          </cell>
          <cell r="AK2136" t="str">
            <v>TL</v>
          </cell>
          <cell r="AL2136">
            <v>1</v>
          </cell>
          <cell r="AM2136" t="str">
            <v>8684127517799</v>
          </cell>
          <cell r="AO2136">
            <v>0</v>
          </cell>
          <cell r="AQ2136">
            <v>20</v>
          </cell>
          <cell r="AR2136" t="str">
            <v>CM</v>
          </cell>
          <cell r="AS2136">
            <v>20</v>
          </cell>
          <cell r="AT2136" t="str">
            <v>CM</v>
          </cell>
          <cell r="AU2136">
            <v>0</v>
          </cell>
          <cell r="AW2136">
            <v>0</v>
          </cell>
        </row>
        <row r="2137">
          <cell r="B2137" t="str">
            <v>H1C6ERY0001-035</v>
          </cell>
          <cell r="C2137" t="str">
            <v>PERLA YEŞİL CAM SARKIT 35CM</v>
          </cell>
          <cell r="D2137" t="str">
            <v>PERLA GREEN GLASS PENDANT 35CM</v>
          </cell>
          <cell r="E2137" t="str">
            <v>CAM YOK YEŞİL YOK</v>
          </cell>
          <cell r="F2137" t="str">
            <v/>
          </cell>
          <cell r="G2137" t="str">
            <v>AVİZE</v>
          </cell>
          <cell r="H2137" t="str">
            <v/>
          </cell>
          <cell r="I2137" t="str">
            <v>İÇ</v>
          </cell>
          <cell r="J2137" t="str">
            <v>AVİZE.SARK</v>
          </cell>
          <cell r="K2137" t="str">
            <v>PERLA</v>
          </cell>
          <cell r="L2137" t="str">
            <v/>
          </cell>
          <cell r="M2137" t="str">
            <v/>
          </cell>
          <cell r="N2137" t="str">
            <v>HKA-25150</v>
          </cell>
          <cell r="O2137" t="str">
            <v>HEKA</v>
          </cell>
          <cell r="P2137" t="str">
            <v>ADET</v>
          </cell>
          <cell r="Q2137" t="str">
            <v>LED</v>
          </cell>
          <cell r="R2137" t="str">
            <v>CAM</v>
          </cell>
          <cell r="S2137" t="str">
            <v>YEŞİL</v>
          </cell>
          <cell r="T2137" t="str">
            <v>YOK</v>
          </cell>
          <cell r="U2137" t="str">
            <v>YOK</v>
          </cell>
          <cell r="AA2137" t="str">
            <v>DIMMSIZ</v>
          </cell>
          <cell r="AD2137" t="str">
            <v>TEKLİ</v>
          </cell>
          <cell r="AE2137" t="str">
            <v>01</v>
          </cell>
          <cell r="AF2137">
            <v>40</v>
          </cell>
          <cell r="AG2137" t="str">
            <v>ADET</v>
          </cell>
          <cell r="AH2137">
            <v>228</v>
          </cell>
          <cell r="AI2137" t="str">
            <v>CNY</v>
          </cell>
          <cell r="AL2137">
            <v>1</v>
          </cell>
          <cell r="AM2137" t="str">
            <v>8684127517928</v>
          </cell>
          <cell r="AO2137">
            <v>0</v>
          </cell>
          <cell r="AQ2137">
            <v>16.399999999999999</v>
          </cell>
          <cell r="AR2137" t="str">
            <v>CM</v>
          </cell>
          <cell r="AS2137">
            <v>16.399999999999999</v>
          </cell>
          <cell r="AT2137" t="str">
            <v>CM</v>
          </cell>
          <cell r="AU2137">
            <v>0</v>
          </cell>
          <cell r="AW2137">
            <v>0</v>
          </cell>
        </row>
        <row r="2138">
          <cell r="B2138" t="str">
            <v>H1C6ERB0001-074</v>
          </cell>
          <cell r="C2138" t="str">
            <v>PERLA BEYAZ CAM SARKIT 74CM</v>
          </cell>
          <cell r="D2138" t="str">
            <v>PERLA WHITE GLASS PENDANT 74CM</v>
          </cell>
          <cell r="E2138" t="str">
            <v>CAM YOK BEYAZ YOK</v>
          </cell>
          <cell r="F2138" t="str">
            <v/>
          </cell>
          <cell r="G2138" t="str">
            <v>AVİZE</v>
          </cell>
          <cell r="H2138" t="str">
            <v/>
          </cell>
          <cell r="I2138" t="str">
            <v>İÇ</v>
          </cell>
          <cell r="J2138" t="str">
            <v>AVİZE.SARK</v>
          </cell>
          <cell r="K2138" t="str">
            <v>PERLA</v>
          </cell>
          <cell r="L2138" t="str">
            <v/>
          </cell>
          <cell r="M2138" t="str">
            <v/>
          </cell>
          <cell r="N2138" t="str">
            <v>HKA-25151</v>
          </cell>
          <cell r="O2138" t="str">
            <v>HEKA</v>
          </cell>
          <cell r="P2138" t="str">
            <v>ADET</v>
          </cell>
          <cell r="Q2138" t="str">
            <v>LED</v>
          </cell>
          <cell r="R2138" t="str">
            <v>CAM</v>
          </cell>
          <cell r="S2138" t="str">
            <v>BEYAZ</v>
          </cell>
          <cell r="T2138" t="str">
            <v>YOK</v>
          </cell>
          <cell r="U2138" t="str">
            <v>YOK</v>
          </cell>
          <cell r="AA2138" t="str">
            <v>DIMMSIZ</v>
          </cell>
          <cell r="AD2138" t="str">
            <v>TEKLİ</v>
          </cell>
          <cell r="AE2138" t="str">
            <v>01</v>
          </cell>
          <cell r="AF2138">
            <v>60</v>
          </cell>
          <cell r="AG2138" t="str">
            <v>ADET</v>
          </cell>
          <cell r="AH2138">
            <v>285</v>
          </cell>
          <cell r="AI2138" t="str">
            <v>CNY</v>
          </cell>
          <cell r="AL2138">
            <v>1</v>
          </cell>
          <cell r="AM2138" t="str">
            <v>8684127517904</v>
          </cell>
          <cell r="AO2138">
            <v>0</v>
          </cell>
          <cell r="AQ2138">
            <v>16.399999999999999</v>
          </cell>
          <cell r="AR2138" t="str">
            <v>CM</v>
          </cell>
          <cell r="AS2138">
            <v>16.399999999999999</v>
          </cell>
          <cell r="AT2138" t="str">
            <v>CM</v>
          </cell>
          <cell r="AU2138">
            <v>0</v>
          </cell>
          <cell r="AW2138">
            <v>0</v>
          </cell>
        </row>
        <row r="2139">
          <cell r="B2139" t="str">
            <v>H1C6JMPECO0-020</v>
          </cell>
          <cell r="C2139" t="str">
            <v>LANCİA TEKLİ OPAL CAM AVİZE</v>
          </cell>
          <cell r="D2139" t="str">
            <v>LANCİA SINGLE OPAL GLASS CANDELIER</v>
          </cell>
          <cell r="E2139" t="str">
            <v>METAL CAM PLATİN OPAL</v>
          </cell>
          <cell r="F2139" t="str">
            <v/>
          </cell>
          <cell r="G2139" t="str">
            <v>AVİZE</v>
          </cell>
          <cell r="H2139" t="str">
            <v/>
          </cell>
          <cell r="I2139" t="str">
            <v>İÇ</v>
          </cell>
          <cell r="J2139" t="str">
            <v>AVİZE</v>
          </cell>
          <cell r="K2139" t="str">
            <v>LANCİA</v>
          </cell>
          <cell r="L2139" t="str">
            <v/>
          </cell>
          <cell r="M2139" t="str">
            <v/>
          </cell>
          <cell r="N2139" t="str">
            <v>HKA-25168</v>
          </cell>
          <cell r="O2139" t="str">
            <v>HEKA</v>
          </cell>
          <cell r="P2139" t="str">
            <v>ADET</v>
          </cell>
          <cell r="Q2139" t="str">
            <v>LED</v>
          </cell>
          <cell r="R2139" t="str">
            <v>METAL</v>
          </cell>
          <cell r="S2139" t="str">
            <v>PLATİN</v>
          </cell>
          <cell r="T2139" t="str">
            <v>CAM</v>
          </cell>
          <cell r="U2139" t="str">
            <v>OPAL</v>
          </cell>
          <cell r="Z2139" t="str">
            <v xml:space="preserve">2700 K </v>
          </cell>
          <cell r="AA2139" t="str">
            <v>DIMMSIZ</v>
          </cell>
          <cell r="AE2139" t="str">
            <v>01</v>
          </cell>
          <cell r="AF2139">
            <v>100</v>
          </cell>
          <cell r="AG2139" t="str">
            <v>ADET</v>
          </cell>
          <cell r="AH2139">
            <v>1086.4000000000001</v>
          </cell>
          <cell r="AI2139" t="str">
            <v>TL</v>
          </cell>
          <cell r="AL2139">
            <v>1</v>
          </cell>
          <cell r="AM2139" t="str">
            <v>8684127518086</v>
          </cell>
          <cell r="AO2139">
            <v>0</v>
          </cell>
          <cell r="AQ2139">
            <v>20</v>
          </cell>
          <cell r="AR2139" t="str">
            <v>CM</v>
          </cell>
          <cell r="AS2139">
            <v>20</v>
          </cell>
          <cell r="AT2139" t="str">
            <v>CM</v>
          </cell>
          <cell r="AU2139">
            <v>0</v>
          </cell>
          <cell r="AW2139">
            <v>0</v>
          </cell>
        </row>
        <row r="2140">
          <cell r="B2140" t="str">
            <v>H1C6JMEBCO0-050</v>
          </cell>
          <cell r="C2140" t="str">
            <v>ARTEA TEKLİ OPAL AKRİLİK SARKIT 50CM</v>
          </cell>
          <cell r="D2140" t="str">
            <v>ARTEA SINGLE OPAL ACYRLIC PENDANT 50CM</v>
          </cell>
          <cell r="E2140" t="str">
            <v>METAL AKRİLİK ESKİTME OPAL</v>
          </cell>
          <cell r="F2140" t="str">
            <v/>
          </cell>
          <cell r="G2140" t="str">
            <v>AVİZE</v>
          </cell>
          <cell r="H2140" t="str">
            <v/>
          </cell>
          <cell r="I2140" t="str">
            <v>İÇ</v>
          </cell>
          <cell r="J2140" t="str">
            <v>AVİZE.SARK</v>
          </cell>
          <cell r="K2140" t="str">
            <v>ARTEA</v>
          </cell>
          <cell r="L2140" t="str">
            <v/>
          </cell>
          <cell r="M2140" t="str">
            <v/>
          </cell>
          <cell r="N2140" t="str">
            <v>HKA-25169</v>
          </cell>
          <cell r="O2140" t="str">
            <v>HEKA</v>
          </cell>
          <cell r="P2140" t="str">
            <v>ADET</v>
          </cell>
          <cell r="Q2140" t="str">
            <v>LED</v>
          </cell>
          <cell r="R2140" t="str">
            <v>METAL</v>
          </cell>
          <cell r="S2140" t="str">
            <v>ESKİTME</v>
          </cell>
          <cell r="T2140" t="str">
            <v>AKRİLİK</v>
          </cell>
          <cell r="U2140" t="str">
            <v>OPAL</v>
          </cell>
          <cell r="Z2140" t="str">
            <v xml:space="preserve">2700 K </v>
          </cell>
          <cell r="AA2140" t="str">
            <v>DIMMSIZ</v>
          </cell>
          <cell r="AE2140" t="str">
            <v>01</v>
          </cell>
          <cell r="AF2140">
            <v>40</v>
          </cell>
          <cell r="AG2140" t="str">
            <v>ADET</v>
          </cell>
          <cell r="AH2140">
            <v>319.13</v>
          </cell>
          <cell r="AI2140" t="str">
            <v>CNY</v>
          </cell>
          <cell r="AL2140">
            <v>1</v>
          </cell>
          <cell r="AM2140" t="str">
            <v>8684127518093</v>
          </cell>
          <cell r="AO2140">
            <v>0</v>
          </cell>
          <cell r="AQ2140">
            <v>50</v>
          </cell>
          <cell r="AR2140" t="str">
            <v>CM</v>
          </cell>
          <cell r="AS2140">
            <v>50</v>
          </cell>
          <cell r="AT2140" t="str">
            <v>CM</v>
          </cell>
          <cell r="AU2140">
            <v>0</v>
          </cell>
          <cell r="AW2140">
            <v>0</v>
          </cell>
        </row>
        <row r="2141">
          <cell r="B2141" t="str">
            <v>H1W3JMEECDS-039</v>
          </cell>
          <cell r="C2141" t="str">
            <v>BONELLİ DOKULU CAM APLİK</v>
          </cell>
          <cell r="D2141" t="str">
            <v>BONELLİ TEXTURED GLASS WALL LAMP</v>
          </cell>
          <cell r="E2141" t="str">
            <v>METAL CAM ESKİTME DOKULU</v>
          </cell>
          <cell r="F2141" t="str">
            <v/>
          </cell>
          <cell r="G2141" t="str">
            <v>APLİK</v>
          </cell>
          <cell r="H2141" t="str">
            <v/>
          </cell>
          <cell r="I2141" t="str">
            <v>İÇ</v>
          </cell>
          <cell r="J2141" t="str">
            <v>APLİK</v>
          </cell>
          <cell r="K2141" t="str">
            <v>BONELLİ</v>
          </cell>
          <cell r="L2141" t="str">
            <v/>
          </cell>
          <cell r="M2141" t="str">
            <v/>
          </cell>
          <cell r="N2141" t="str">
            <v>HKA-25183</v>
          </cell>
          <cell r="O2141" t="str">
            <v>HEKA</v>
          </cell>
          <cell r="P2141" t="str">
            <v>ADET</v>
          </cell>
          <cell r="Q2141" t="str">
            <v>G9</v>
          </cell>
          <cell r="R2141" t="str">
            <v>METAL</v>
          </cell>
          <cell r="S2141" t="str">
            <v>ESKİTME</v>
          </cell>
          <cell r="T2141" t="str">
            <v>CAM</v>
          </cell>
          <cell r="U2141" t="str">
            <v>DOKULU</v>
          </cell>
          <cell r="AD2141" t="str">
            <v>SABİT</v>
          </cell>
          <cell r="AE2141" t="str">
            <v>01</v>
          </cell>
          <cell r="AF2141">
            <v>40</v>
          </cell>
          <cell r="AG2141" t="str">
            <v>ADET</v>
          </cell>
          <cell r="AH2141">
            <v>206.5</v>
          </cell>
          <cell r="AI2141" t="str">
            <v>CNY</v>
          </cell>
          <cell r="AL2141">
            <v>1</v>
          </cell>
          <cell r="AM2141" t="str">
            <v>8684127518239</v>
          </cell>
          <cell r="AO2141">
            <v>0</v>
          </cell>
          <cell r="AQ2141">
            <v>14.2</v>
          </cell>
          <cell r="AR2141" t="str">
            <v>CM</v>
          </cell>
          <cell r="AS2141">
            <v>11.5</v>
          </cell>
          <cell r="AT2141" t="str">
            <v>CM</v>
          </cell>
          <cell r="AU2141">
            <v>0</v>
          </cell>
          <cell r="AW2141">
            <v>0</v>
          </cell>
        </row>
        <row r="2142">
          <cell r="B2142" t="str">
            <v>H1C6JMEWRF0-130</v>
          </cell>
          <cell r="C2142" t="str">
            <v>LUCCA MERMER ESKİTME ÜÇLÜ SARKIT</v>
          </cell>
          <cell r="D2142" t="str">
            <v>LUCCA MARBLE BRUSHED BRASS TRIPLE PENDANT</v>
          </cell>
          <cell r="E2142" t="str">
            <v>METAL MERMER ESKİTME BEYAZ</v>
          </cell>
          <cell r="F2142" t="str">
            <v/>
          </cell>
          <cell r="G2142" t="str">
            <v>AVİZE</v>
          </cell>
          <cell r="H2142" t="str">
            <v/>
          </cell>
          <cell r="I2142" t="str">
            <v>İÇ</v>
          </cell>
          <cell r="J2142" t="str">
            <v>AVİZE.SARK</v>
          </cell>
          <cell r="K2142" t="str">
            <v>LUCCA</v>
          </cell>
          <cell r="L2142" t="str">
            <v/>
          </cell>
          <cell r="M2142" t="str">
            <v/>
          </cell>
          <cell r="N2142" t="str">
            <v>HKA-25186</v>
          </cell>
          <cell r="O2142" t="str">
            <v>HEKA</v>
          </cell>
          <cell r="P2142" t="str">
            <v>ADET</v>
          </cell>
          <cell r="Q2142" t="str">
            <v>LED</v>
          </cell>
          <cell r="R2142" t="str">
            <v>METAL</v>
          </cell>
          <cell r="S2142" t="str">
            <v>ESKİTME</v>
          </cell>
          <cell r="T2142" t="str">
            <v>MERMER</v>
          </cell>
          <cell r="U2142" t="str">
            <v>BEYAZ</v>
          </cell>
          <cell r="Z2142" t="str">
            <v>3000 K</v>
          </cell>
          <cell r="AE2142" t="str">
            <v>01</v>
          </cell>
          <cell r="AF2142">
            <v>30</v>
          </cell>
          <cell r="AG2142" t="str">
            <v>ADET</v>
          </cell>
          <cell r="AH2142">
            <v>1460.8</v>
          </cell>
          <cell r="AI2142" t="str">
            <v>CNY</v>
          </cell>
          <cell r="AL2142">
            <v>0</v>
          </cell>
          <cell r="AM2142" t="str">
            <v>8684127518291</v>
          </cell>
          <cell r="AO2142">
            <v>0</v>
          </cell>
          <cell r="AQ2142">
            <v>20</v>
          </cell>
          <cell r="AR2142" t="str">
            <v>CM</v>
          </cell>
          <cell r="AS2142">
            <v>130</v>
          </cell>
          <cell r="AT2142" t="str">
            <v>CM</v>
          </cell>
          <cell r="AU2142">
            <v>0</v>
          </cell>
          <cell r="AW2142">
            <v>0</v>
          </cell>
        </row>
        <row r="2143">
          <cell r="B2143" t="str">
            <v>H1C6JRSERFY-020</v>
          </cell>
          <cell r="C2143" t="str">
            <v>RUBY FÜME CAMLI SİYAH KÜRE SARKIT 20CM</v>
          </cell>
          <cell r="D2143" t="str">
            <v>RUBY LIGHT SMOKY GLASS BLACK SPHERE PENDANT 20CM</v>
          </cell>
          <cell r="E2143" t="str">
            <v>METAL CAM SİYAH FÜME</v>
          </cell>
          <cell r="F2143" t="str">
            <v/>
          </cell>
          <cell r="G2143" t="str">
            <v>AVİZE</v>
          </cell>
          <cell r="H2143" t="str">
            <v/>
          </cell>
          <cell r="I2143" t="str">
            <v>İÇ</v>
          </cell>
          <cell r="J2143" t="str">
            <v>AVİZE.SARK</v>
          </cell>
          <cell r="K2143" t="str">
            <v>RUBY</v>
          </cell>
          <cell r="L2143" t="str">
            <v/>
          </cell>
          <cell r="M2143" t="str">
            <v/>
          </cell>
          <cell r="N2143" t="str">
            <v>HKA-25199</v>
          </cell>
          <cell r="O2143" t="str">
            <v>HEKA</v>
          </cell>
          <cell r="P2143" t="str">
            <v>ADET</v>
          </cell>
          <cell r="Q2143" t="str">
            <v>LED</v>
          </cell>
          <cell r="R2143" t="str">
            <v>METAL</v>
          </cell>
          <cell r="S2143" t="str">
            <v>SİYAH</v>
          </cell>
          <cell r="T2143" t="str">
            <v>CAM</v>
          </cell>
          <cell r="U2143" t="str">
            <v>FÜME</v>
          </cell>
          <cell r="AA2143" t="str">
            <v>DIMMSIZ</v>
          </cell>
          <cell r="AD2143" t="str">
            <v>KÜRE</v>
          </cell>
          <cell r="AE2143" t="str">
            <v>01</v>
          </cell>
          <cell r="AF2143">
            <v>100</v>
          </cell>
          <cell r="AG2143" t="str">
            <v>ADET</v>
          </cell>
          <cell r="AH2143">
            <v>67</v>
          </cell>
          <cell r="AI2143" t="str">
            <v>CNY</v>
          </cell>
          <cell r="AL2143">
            <v>1</v>
          </cell>
          <cell r="AM2143" t="str">
            <v>8684127518420</v>
          </cell>
          <cell r="AO2143">
            <v>0</v>
          </cell>
          <cell r="AQ2143">
            <v>20</v>
          </cell>
          <cell r="AR2143" t="str">
            <v>CM</v>
          </cell>
          <cell r="AS2143">
            <v>20</v>
          </cell>
          <cell r="AT2143" t="str">
            <v>CM</v>
          </cell>
          <cell r="AU2143">
            <v>0</v>
          </cell>
          <cell r="AW2143">
            <v>0</v>
          </cell>
        </row>
        <row r="2144">
          <cell r="B2144" t="str">
            <v>H1C6JRSERFY-025</v>
          </cell>
          <cell r="C2144" t="str">
            <v>RUBY FÜME CAMLI SİYAH KÜRE SARKIT 25CM</v>
          </cell>
          <cell r="D2144" t="str">
            <v>RUBY LIGHT SMOKY GLASS BLACK SPHERE PENDANT 25CM</v>
          </cell>
          <cell r="E2144" t="str">
            <v>METAL CAM SİYAH FÜME</v>
          </cell>
          <cell r="F2144" t="str">
            <v/>
          </cell>
          <cell r="G2144" t="str">
            <v>AVİZE</v>
          </cell>
          <cell r="H2144" t="str">
            <v/>
          </cell>
          <cell r="I2144" t="str">
            <v>İÇ</v>
          </cell>
          <cell r="J2144" t="str">
            <v>AVİZE.SARK</v>
          </cell>
          <cell r="K2144" t="str">
            <v>RUBY</v>
          </cell>
          <cell r="L2144" t="str">
            <v/>
          </cell>
          <cell r="M2144" t="str">
            <v/>
          </cell>
          <cell r="N2144" t="str">
            <v>HKA-25200</v>
          </cell>
          <cell r="O2144" t="str">
            <v>HEKA</v>
          </cell>
          <cell r="P2144" t="str">
            <v>ADET</v>
          </cell>
          <cell r="Q2144" t="str">
            <v>LED</v>
          </cell>
          <cell r="R2144" t="str">
            <v>METAL</v>
          </cell>
          <cell r="S2144" t="str">
            <v>SİYAH</v>
          </cell>
          <cell r="T2144" t="str">
            <v>CAM</v>
          </cell>
          <cell r="U2144" t="str">
            <v>FÜME</v>
          </cell>
          <cell r="AA2144" t="str">
            <v>DIMMSIZ</v>
          </cell>
          <cell r="AD2144" t="str">
            <v>KÜRE</v>
          </cell>
          <cell r="AE2144" t="str">
            <v>01</v>
          </cell>
          <cell r="AF2144">
            <v>100</v>
          </cell>
          <cell r="AG2144" t="str">
            <v>ADET</v>
          </cell>
          <cell r="AH2144">
            <v>83.5</v>
          </cell>
          <cell r="AI2144" t="str">
            <v>CNY</v>
          </cell>
          <cell r="AL2144">
            <v>1</v>
          </cell>
          <cell r="AM2144" t="str">
            <v>8684127518437</v>
          </cell>
          <cell r="AO2144">
            <v>0</v>
          </cell>
          <cell r="AQ2144">
            <v>25</v>
          </cell>
          <cell r="AR2144" t="str">
            <v>CM</v>
          </cell>
          <cell r="AS2144">
            <v>25</v>
          </cell>
          <cell r="AT2144" t="str">
            <v>CM</v>
          </cell>
          <cell r="AU2144">
            <v>0</v>
          </cell>
          <cell r="AW2144">
            <v>0</v>
          </cell>
        </row>
        <row r="2145">
          <cell r="B2145" t="str">
            <v>CR2E1C102F3I0</v>
          </cell>
          <cell r="C2145" t="str">
            <v>ERD-317 T45 BAL 7W 2500K E27 LED AMPUL</v>
          </cell>
          <cell r="D2145" t="str">
            <v>ERD-317 T45 AMBER 7W 2500K E27 LED BULB</v>
          </cell>
          <cell r="E2145" t="str">
            <v xml:space="preserve">CAM  BAL </v>
          </cell>
          <cell r="F2145" t="str">
            <v/>
          </cell>
          <cell r="G2145" t="str">
            <v>AMPUL</v>
          </cell>
          <cell r="H2145" t="str">
            <v/>
          </cell>
          <cell r="I2145" t="str">
            <v/>
          </cell>
          <cell r="J2145" t="str">
            <v/>
          </cell>
          <cell r="K2145" t="str">
            <v>ERD-317</v>
          </cell>
          <cell r="L2145" t="str">
            <v/>
          </cell>
          <cell r="M2145" t="str">
            <v/>
          </cell>
          <cell r="N2145" t="str">
            <v>ERD-317</v>
          </cell>
          <cell r="O2145" t="str">
            <v>HEKA</v>
          </cell>
          <cell r="P2145" t="str">
            <v>ADET</v>
          </cell>
          <cell r="Q2145" t="str">
            <v>E27</v>
          </cell>
          <cell r="R2145" t="str">
            <v>CAM</v>
          </cell>
          <cell r="S2145" t="str">
            <v>BAL</v>
          </cell>
          <cell r="V2145" t="str">
            <v>E</v>
          </cell>
          <cell r="W2145" t="str">
            <v>FLAMENT</v>
          </cell>
          <cell r="X2145" t="str">
            <v>220V</v>
          </cell>
          <cell r="Y2145" t="str">
            <v>7 WATT</v>
          </cell>
          <cell r="Z2145" t="str">
            <v>2500 K</v>
          </cell>
          <cell r="AA2145" t="str">
            <v>DIMMSIZ</v>
          </cell>
          <cell r="AB2145" t="str">
            <v>801-900</v>
          </cell>
          <cell r="AC2145" t="str">
            <v>T45-GEMİCİ</v>
          </cell>
          <cell r="AG2145" t="str">
            <v>ADET</v>
          </cell>
          <cell r="AL2145">
            <v>0</v>
          </cell>
          <cell r="AM2145" t="str">
            <v>8684127519687</v>
          </cell>
          <cell r="AN2145" t="str">
            <v>8684127519694</v>
          </cell>
          <cell r="AO2145">
            <v>0</v>
          </cell>
          <cell r="AQ2145">
            <v>0</v>
          </cell>
          <cell r="AS2145">
            <v>0</v>
          </cell>
          <cell r="AU2145">
            <v>0</v>
          </cell>
          <cell r="AW2145">
            <v>0</v>
          </cell>
        </row>
        <row r="2146">
          <cell r="B2146" t="str">
            <v>YDK</v>
          </cell>
          <cell r="C2146" t="str">
            <v>YEDEK PARÇA</v>
          </cell>
          <cell r="D2146" t="str">
            <v/>
          </cell>
          <cell r="E2146" t="str">
            <v/>
          </cell>
          <cell r="F2146" t="str">
            <v>850440839011</v>
          </cell>
          <cell r="G2146" t="str">
            <v/>
          </cell>
          <cell r="H2146" t="str">
            <v/>
          </cell>
          <cell r="I2146" t="str">
            <v/>
          </cell>
          <cell r="J2146" t="str">
            <v/>
          </cell>
          <cell r="K2146" t="str">
            <v/>
          </cell>
          <cell r="L2146" t="str">
            <v/>
          </cell>
          <cell r="M2146" t="str">
            <v/>
          </cell>
          <cell r="N2146" t="str">
            <v/>
          </cell>
          <cell r="P2146" t="str">
            <v>ADET</v>
          </cell>
          <cell r="AF2146">
            <v>-120</v>
          </cell>
          <cell r="AG2146" t="str">
            <v>ADET</v>
          </cell>
          <cell r="AL2146">
            <v>0</v>
          </cell>
          <cell r="AO2146">
            <v>0</v>
          </cell>
          <cell r="AQ2146">
            <v>0</v>
          </cell>
          <cell r="AS2146">
            <v>0</v>
          </cell>
          <cell r="AU2146">
            <v>0</v>
          </cell>
          <cell r="AW2146">
            <v>0</v>
          </cell>
        </row>
        <row r="2147">
          <cell r="B2147" t="str">
            <v>H1F6JMEWRF0-160</v>
          </cell>
          <cell r="C2147" t="str">
            <v>TETA BEYAZ MERMERLİ ESKİTME LAMBADER</v>
          </cell>
          <cell r="D2147" t="str">
            <v>TETA WHITE MARBLE BRUSHED BRASS FLOOR LAMP</v>
          </cell>
          <cell r="E2147" t="str">
            <v>METAL MERMER ESKİTME BEYAZ</v>
          </cell>
          <cell r="F2147" t="str">
            <v/>
          </cell>
          <cell r="G2147" t="str">
            <v>LAMBADER</v>
          </cell>
          <cell r="H2147" t="str">
            <v/>
          </cell>
          <cell r="I2147" t="str">
            <v>İÇ</v>
          </cell>
          <cell r="J2147" t="str">
            <v>LAMBADER</v>
          </cell>
          <cell r="K2147" t="str">
            <v>TETA</v>
          </cell>
          <cell r="L2147" t="str">
            <v/>
          </cell>
          <cell r="M2147" t="str">
            <v/>
          </cell>
          <cell r="N2147" t="str">
            <v>HKA-25207</v>
          </cell>
          <cell r="O2147" t="str">
            <v>HEKA</v>
          </cell>
          <cell r="P2147" t="str">
            <v>ADET</v>
          </cell>
          <cell r="Q2147" t="str">
            <v>LED</v>
          </cell>
          <cell r="R2147" t="str">
            <v>METAL</v>
          </cell>
          <cell r="S2147" t="str">
            <v>ESKİTME</v>
          </cell>
          <cell r="T2147" t="str">
            <v>MERMER</v>
          </cell>
          <cell r="U2147" t="str">
            <v>BEYAZ</v>
          </cell>
          <cell r="AA2147" t="str">
            <v>DIMMSIZ</v>
          </cell>
          <cell r="AE2147" t="str">
            <v>01</v>
          </cell>
          <cell r="AF2147">
            <v>12</v>
          </cell>
          <cell r="AG2147" t="str">
            <v>ADET</v>
          </cell>
          <cell r="AH2147">
            <v>1215</v>
          </cell>
          <cell r="AI2147" t="str">
            <v>CNY</v>
          </cell>
          <cell r="AL2147">
            <v>0</v>
          </cell>
          <cell r="AM2147" t="str">
            <v>8684127518505</v>
          </cell>
          <cell r="AO2147">
            <v>0</v>
          </cell>
          <cell r="AQ2147">
            <v>0</v>
          </cell>
          <cell r="AS2147">
            <v>15</v>
          </cell>
          <cell r="AT2147" t="str">
            <v>CM</v>
          </cell>
          <cell r="AU2147">
            <v>0</v>
          </cell>
          <cell r="AW2147">
            <v>0</v>
          </cell>
        </row>
        <row r="2148">
          <cell r="B2148" t="str">
            <v>H1F6JMPWRFR-165</v>
          </cell>
          <cell r="C2148" t="str">
            <v>EKHO MERMER PLATİN LAMBADER</v>
          </cell>
          <cell r="D2148" t="str">
            <v>EKHO MARBLE PLATINUM FLOOR LAMP</v>
          </cell>
          <cell r="E2148" t="str">
            <v>METAL MERMER PLATİN BEYAZ</v>
          </cell>
          <cell r="F2148" t="str">
            <v/>
          </cell>
          <cell r="G2148" t="str">
            <v>LAMBADER</v>
          </cell>
          <cell r="H2148" t="str">
            <v/>
          </cell>
          <cell r="I2148" t="str">
            <v>İÇ</v>
          </cell>
          <cell r="J2148" t="str">
            <v>LAMBADER</v>
          </cell>
          <cell r="K2148" t="str">
            <v>EKHO</v>
          </cell>
          <cell r="L2148" t="str">
            <v/>
          </cell>
          <cell r="M2148" t="str">
            <v/>
          </cell>
          <cell r="N2148" t="str">
            <v>HKA-25209</v>
          </cell>
          <cell r="O2148" t="str">
            <v>HEKA</v>
          </cell>
          <cell r="P2148" t="str">
            <v>ADET</v>
          </cell>
          <cell r="Q2148" t="str">
            <v>LED</v>
          </cell>
          <cell r="R2148" t="str">
            <v>METAL</v>
          </cell>
          <cell r="S2148" t="str">
            <v>PLATİN</v>
          </cell>
          <cell r="T2148" t="str">
            <v>MERMER</v>
          </cell>
          <cell r="U2148" t="str">
            <v>BEYAZ</v>
          </cell>
          <cell r="AA2148" t="str">
            <v>DIMMSIZ</v>
          </cell>
          <cell r="AD2148" t="str">
            <v>DAİRE</v>
          </cell>
          <cell r="AE2148" t="str">
            <v>01</v>
          </cell>
          <cell r="AF2148">
            <v>10</v>
          </cell>
          <cell r="AG2148" t="str">
            <v>ADET</v>
          </cell>
          <cell r="AH2148">
            <v>765</v>
          </cell>
          <cell r="AI2148" t="str">
            <v>CNY</v>
          </cell>
          <cell r="AL2148">
            <v>0</v>
          </cell>
          <cell r="AM2148" t="str">
            <v>8684127518529</v>
          </cell>
          <cell r="AO2148">
            <v>0</v>
          </cell>
          <cell r="AQ2148">
            <v>0</v>
          </cell>
          <cell r="AS2148">
            <v>40</v>
          </cell>
          <cell r="AT2148" t="str">
            <v>CM</v>
          </cell>
          <cell r="AU2148">
            <v>0</v>
          </cell>
          <cell r="AW2148">
            <v>0</v>
          </cell>
        </row>
        <row r="2149">
          <cell r="B2149" t="str">
            <v>ADFVMRS000B-025</v>
          </cell>
          <cell r="C2149" t="str">
            <v>PEA SARI KAHVERENGİ BEZELYE ÇİÇEĞİ</v>
          </cell>
          <cell r="D2149" t="str">
            <v>PEA YELLOW BROWN PEA FLOWER</v>
          </cell>
          <cell r="E2149" t="str">
            <v>POLİKARBON YOK YEŞİL YOK</v>
          </cell>
          <cell r="F2149" t="str">
            <v/>
          </cell>
          <cell r="G2149" t="str">
            <v>AKSESUAR</v>
          </cell>
          <cell r="H2149" t="str">
            <v/>
          </cell>
          <cell r="I2149" t="str">
            <v>İÇ</v>
          </cell>
          <cell r="J2149" t="str">
            <v>AKSESUAR</v>
          </cell>
          <cell r="K2149" t="str">
            <v>PEA</v>
          </cell>
          <cell r="L2149" t="str">
            <v/>
          </cell>
          <cell r="M2149" t="str">
            <v/>
          </cell>
          <cell r="N2149" t="str">
            <v>HKA-250045</v>
          </cell>
          <cell r="O2149" t="str">
            <v>HEKA</v>
          </cell>
          <cell r="P2149" t="str">
            <v>ADET</v>
          </cell>
          <cell r="R2149" t="str">
            <v>POLİKARBON</v>
          </cell>
          <cell r="S2149" t="str">
            <v>YEŞİL</v>
          </cell>
          <cell r="T2149" t="str">
            <v>YOK</v>
          </cell>
          <cell r="U2149" t="str">
            <v>YOK</v>
          </cell>
          <cell r="AD2149" t="str">
            <v>BUKLE</v>
          </cell>
          <cell r="AF2149">
            <v>3</v>
          </cell>
          <cell r="AG2149" t="str">
            <v>ADET</v>
          </cell>
          <cell r="AH2149">
            <v>260.8</v>
          </cell>
          <cell r="AI2149" t="str">
            <v>TL</v>
          </cell>
          <cell r="AJ2149">
            <v>625.91999999999996</v>
          </cell>
          <cell r="AK2149" t="str">
            <v>TL</v>
          </cell>
          <cell r="AL2149">
            <v>0</v>
          </cell>
          <cell r="AO2149">
            <v>0</v>
          </cell>
          <cell r="AQ2149">
            <v>25</v>
          </cell>
          <cell r="AR2149" t="str">
            <v>CM</v>
          </cell>
          <cell r="AS2149">
            <v>25</v>
          </cell>
          <cell r="AT2149" t="str">
            <v>CM</v>
          </cell>
          <cell r="AU2149">
            <v>0</v>
          </cell>
          <cell r="AW2149">
            <v>0</v>
          </cell>
        </row>
        <row r="2150">
          <cell r="B2150" t="str">
            <v>ADFVMRS000B-100</v>
          </cell>
          <cell r="C2150" t="str">
            <v>CHERRY MOR KİRAZ ÇİÇEĞİ</v>
          </cell>
          <cell r="D2150" t="str">
            <v>CHERRY PURPLE CHERRY FLOWER</v>
          </cell>
          <cell r="E2150" t="str">
            <v/>
          </cell>
          <cell r="F2150" t="str">
            <v/>
          </cell>
          <cell r="G2150" t="str">
            <v>AKSESUAR</v>
          </cell>
          <cell r="H2150" t="str">
            <v/>
          </cell>
          <cell r="I2150" t="str">
            <v>İÇ</v>
          </cell>
          <cell r="J2150" t="str">
            <v>AKSESUAR</v>
          </cell>
          <cell r="K2150" t="str">
            <v>CHERRY</v>
          </cell>
          <cell r="L2150" t="str">
            <v/>
          </cell>
          <cell r="M2150" t="str">
            <v/>
          </cell>
          <cell r="N2150" t="str">
            <v>HKA-250047</v>
          </cell>
          <cell r="O2150" t="str">
            <v>HEKA</v>
          </cell>
          <cell r="P2150" t="str">
            <v>ADET</v>
          </cell>
          <cell r="R2150" t="str">
            <v>POLİKARBON</v>
          </cell>
          <cell r="S2150" t="str">
            <v>YEŞİL</v>
          </cell>
          <cell r="T2150" t="str">
            <v>YOK</v>
          </cell>
          <cell r="U2150" t="str">
            <v>YOK</v>
          </cell>
          <cell r="AD2150" t="str">
            <v>BUKLE</v>
          </cell>
          <cell r="AF2150">
            <v>1</v>
          </cell>
          <cell r="AG2150" t="str">
            <v>ADET</v>
          </cell>
          <cell r="AH2150">
            <v>654.95000000000005</v>
          </cell>
          <cell r="AI2150" t="str">
            <v>TL</v>
          </cell>
          <cell r="AJ2150">
            <v>1571.88</v>
          </cell>
          <cell r="AK2150" t="str">
            <v>TL</v>
          </cell>
          <cell r="AL2150">
            <v>0</v>
          </cell>
          <cell r="AO2150">
            <v>0</v>
          </cell>
          <cell r="AQ2150">
            <v>9</v>
          </cell>
          <cell r="AR2150" t="str">
            <v>CM</v>
          </cell>
          <cell r="AS2150">
            <v>20</v>
          </cell>
          <cell r="AT2150" t="str">
            <v>CM</v>
          </cell>
          <cell r="AU2150">
            <v>0</v>
          </cell>
          <cell r="AW2150">
            <v>0</v>
          </cell>
        </row>
        <row r="2151">
          <cell r="B2151" t="str">
            <v>3YCVGMG0004-025</v>
          </cell>
          <cell r="C2151" t="str">
            <v>GOLD BÜKÜMLÜ AVİZE CAMI 25CM</v>
          </cell>
          <cell r="D2151" t="str">
            <v>GOLD TWISTED PENDANT GLASS 25CM</v>
          </cell>
          <cell r="E2151" t="str">
            <v>CAM YOK GOLD YOK</v>
          </cell>
          <cell r="F2151" t="str">
            <v/>
          </cell>
          <cell r="G2151" t="str">
            <v>HEKA</v>
          </cell>
          <cell r="H2151" t="str">
            <v/>
          </cell>
          <cell r="I2151" t="str">
            <v>İÇ</v>
          </cell>
          <cell r="J2151" t="str">
            <v>ZPARCA</v>
          </cell>
          <cell r="K2151" t="str">
            <v>HEKA</v>
          </cell>
          <cell r="L2151" t="str">
            <v/>
          </cell>
          <cell r="M2151" t="str">
            <v/>
          </cell>
          <cell r="N2151" t="str">
            <v>HKA-250054</v>
          </cell>
          <cell r="O2151" t="str">
            <v>HEKA</v>
          </cell>
          <cell r="P2151" t="str">
            <v>ADET</v>
          </cell>
          <cell r="R2151" t="str">
            <v>CAM</v>
          </cell>
          <cell r="S2151" t="str">
            <v>GOLD</v>
          </cell>
          <cell r="T2151" t="str">
            <v>YOK</v>
          </cell>
          <cell r="U2151" t="str">
            <v>YOK</v>
          </cell>
          <cell r="AF2151">
            <v>250</v>
          </cell>
          <cell r="AG2151" t="str">
            <v>ADET</v>
          </cell>
          <cell r="AH2151">
            <v>18</v>
          </cell>
          <cell r="AI2151" t="str">
            <v>CNY</v>
          </cell>
          <cell r="AJ2151">
            <v>900</v>
          </cell>
          <cell r="AK2151" t="str">
            <v>TL</v>
          </cell>
          <cell r="AL2151">
            <v>0</v>
          </cell>
          <cell r="AO2151">
            <v>0</v>
          </cell>
          <cell r="AQ2151">
            <v>0</v>
          </cell>
          <cell r="AS2151">
            <v>5.5</v>
          </cell>
          <cell r="AT2151" t="str">
            <v>CM</v>
          </cell>
          <cell r="AU2151">
            <v>0</v>
          </cell>
          <cell r="AW2151">
            <v>0</v>
          </cell>
        </row>
        <row r="2152">
          <cell r="B2152" t="str">
            <v>H1C6JRSERF1-038</v>
          </cell>
          <cell r="C2152" t="str">
            <v>ONDA TEKLİ FÜME CAM SARKIT</v>
          </cell>
          <cell r="D2152" t="str">
            <v>ONDA SINGLE SMOKY GLASS PENDANT</v>
          </cell>
          <cell r="E2152" t="str">
            <v>METAL CAM SİYAH FÜME</v>
          </cell>
          <cell r="F2152" t="str">
            <v/>
          </cell>
          <cell r="G2152" t="str">
            <v>AVİZE</v>
          </cell>
          <cell r="H2152" t="str">
            <v/>
          </cell>
          <cell r="I2152" t="str">
            <v>İÇ</v>
          </cell>
          <cell r="J2152" t="str">
            <v>AVİZE.SARK</v>
          </cell>
          <cell r="K2152" t="str">
            <v>ONDA</v>
          </cell>
          <cell r="L2152" t="str">
            <v>Y</v>
          </cell>
          <cell r="M2152" t="str">
            <v/>
          </cell>
          <cell r="N2152" t="str">
            <v>HKA-25021</v>
          </cell>
          <cell r="O2152" t="str">
            <v>HEKA</v>
          </cell>
          <cell r="P2152" t="str">
            <v>ADET</v>
          </cell>
          <cell r="Q2152" t="str">
            <v>LED</v>
          </cell>
          <cell r="R2152" t="str">
            <v>METAL</v>
          </cell>
          <cell r="S2152" t="str">
            <v>SİYAH</v>
          </cell>
          <cell r="T2152" t="str">
            <v>CAM</v>
          </cell>
          <cell r="U2152" t="str">
            <v>FÜME</v>
          </cell>
          <cell r="AA2152" t="str">
            <v>DIMMSIZ</v>
          </cell>
          <cell r="AD2152" t="str">
            <v>TEKLİ</v>
          </cell>
          <cell r="AF2152">
            <v>192</v>
          </cell>
          <cell r="AG2152" t="str">
            <v>ADET</v>
          </cell>
          <cell r="AH2152">
            <v>104</v>
          </cell>
          <cell r="AI2152" t="str">
            <v>CNY</v>
          </cell>
          <cell r="AJ2152">
            <v>3950</v>
          </cell>
          <cell r="AK2152" t="str">
            <v>TL</v>
          </cell>
          <cell r="AL2152">
            <v>1</v>
          </cell>
          <cell r="AM2152" t="str">
            <v>8684127518567</v>
          </cell>
          <cell r="AO2152">
            <v>0</v>
          </cell>
          <cell r="AQ2152">
            <v>15</v>
          </cell>
          <cell r="AR2152" t="str">
            <v>CM</v>
          </cell>
          <cell r="AS2152">
            <v>16</v>
          </cell>
          <cell r="AT2152" t="str">
            <v>CM</v>
          </cell>
          <cell r="AU2152">
            <v>0</v>
          </cell>
          <cell r="AW2152">
            <v>0</v>
          </cell>
        </row>
        <row r="2153">
          <cell r="B2153" t="str">
            <v>1YLKSRB0002-006</v>
          </cell>
          <cell r="C2153" t="str">
            <v>İKİLİ WİFİ RÖLE MODÜLÜ</v>
          </cell>
          <cell r="D2153" t="str">
            <v>DUAL WIFI RELAY MODULE</v>
          </cell>
          <cell r="E2153" t="str">
            <v>PLASTİK YOK BEYAZ YOK</v>
          </cell>
          <cell r="F2153" t="str">
            <v/>
          </cell>
          <cell r="G2153" t="str">
            <v>LED DRIVER</v>
          </cell>
          <cell r="H2153" t="str">
            <v/>
          </cell>
          <cell r="I2153" t="str">
            <v>İÇ</v>
          </cell>
          <cell r="J2153" t="str">
            <v/>
          </cell>
          <cell r="K2153" t="str">
            <v>WRM02</v>
          </cell>
          <cell r="L2153" t="str">
            <v/>
          </cell>
          <cell r="M2153" t="str">
            <v/>
          </cell>
          <cell r="N2153" t="str">
            <v>HKA-250066</v>
          </cell>
          <cell r="O2153" t="str">
            <v>HEKA</v>
          </cell>
          <cell r="P2153" t="str">
            <v>ADET</v>
          </cell>
          <cell r="R2153" t="str">
            <v>PLASTİK</v>
          </cell>
          <cell r="S2153" t="str">
            <v>BEYAZ</v>
          </cell>
          <cell r="AF2153">
            <v>5</v>
          </cell>
          <cell r="AG2153" t="str">
            <v>ADET</v>
          </cell>
          <cell r="AL2153">
            <v>0</v>
          </cell>
          <cell r="AO2153">
            <v>0</v>
          </cell>
          <cell r="AQ2153">
            <v>0</v>
          </cell>
          <cell r="AS2153">
            <v>0</v>
          </cell>
          <cell r="AU2153">
            <v>0</v>
          </cell>
          <cell r="AW2153">
            <v>0</v>
          </cell>
        </row>
        <row r="2154">
          <cell r="B2154" t="str">
            <v>H1C6ERFJRS0-030</v>
          </cell>
          <cell r="C2154" t="str">
            <v>GAMBİA FÜME CAM SİYAH SARKIT 30cm</v>
          </cell>
          <cell r="D2154" t="str">
            <v>GAMBİA LIGHT SMOKY GLASS BLACK PENDANT 30cm</v>
          </cell>
          <cell r="E2154" t="str">
            <v>CAM METAL FÜME SİYAH</v>
          </cell>
          <cell r="F2154" t="str">
            <v/>
          </cell>
          <cell r="G2154" t="str">
            <v>AVİZE</v>
          </cell>
          <cell r="H2154" t="str">
            <v/>
          </cell>
          <cell r="I2154" t="str">
            <v>İÇ</v>
          </cell>
          <cell r="J2154" t="str">
            <v/>
          </cell>
          <cell r="K2154" t="str">
            <v>GAMBİA</v>
          </cell>
          <cell r="L2154" t="str">
            <v/>
          </cell>
          <cell r="M2154" t="str">
            <v>30.01.2026</v>
          </cell>
          <cell r="N2154" t="str">
            <v>HKA-25238</v>
          </cell>
          <cell r="O2154" t="str">
            <v>HEKA</v>
          </cell>
          <cell r="P2154" t="str">
            <v>ADET</v>
          </cell>
          <cell r="Q2154" t="str">
            <v>LED</v>
          </cell>
          <cell r="R2154" t="str">
            <v>CAM</v>
          </cell>
          <cell r="S2154" t="str">
            <v>FÜME</v>
          </cell>
          <cell r="T2154" t="str">
            <v>METAL</v>
          </cell>
          <cell r="U2154" t="str">
            <v>SİYAH</v>
          </cell>
          <cell r="Z2154" t="str">
            <v xml:space="preserve">2700 K </v>
          </cell>
          <cell r="AF2154">
            <v>0</v>
          </cell>
          <cell r="AG2154" t="str">
            <v>ADET</v>
          </cell>
          <cell r="AH2154">
            <v>520</v>
          </cell>
          <cell r="AI2154" t="str">
            <v>CNY</v>
          </cell>
          <cell r="AL2154">
            <v>0</v>
          </cell>
          <cell r="AM2154" t="str">
            <v>8684127518710</v>
          </cell>
          <cell r="AO2154">
            <v>0</v>
          </cell>
          <cell r="AQ2154">
            <v>0</v>
          </cell>
          <cell r="AS2154">
            <v>0</v>
          </cell>
          <cell r="AU2154">
            <v>0</v>
          </cell>
          <cell r="AW2154">
            <v>0</v>
          </cell>
        </row>
        <row r="2155">
          <cell r="B2155" t="str">
            <v>H1W6ERFJRS0-055</v>
          </cell>
          <cell r="C2155" t="str">
            <v>GAMBİA ÜÇ FÜME CAMLI SİYAH APLİK 55cm</v>
          </cell>
          <cell r="D2155" t="str">
            <v>GAMBİA THREE LIGHT SMOKY GLASS BLACK WALL LAMP 55cm</v>
          </cell>
          <cell r="E2155" t="str">
            <v>CAM METAL FÜME SİYAH</v>
          </cell>
          <cell r="F2155" t="str">
            <v/>
          </cell>
          <cell r="G2155" t="str">
            <v>APLİK</v>
          </cell>
          <cell r="H2155" t="str">
            <v/>
          </cell>
          <cell r="I2155" t="str">
            <v>İÇ</v>
          </cell>
          <cell r="J2155" t="str">
            <v/>
          </cell>
          <cell r="K2155" t="str">
            <v>GAMBİA</v>
          </cell>
          <cell r="L2155" t="str">
            <v/>
          </cell>
          <cell r="M2155" t="str">
            <v>30.01.2026</v>
          </cell>
          <cell r="N2155" t="str">
            <v>HKA-25240</v>
          </cell>
          <cell r="O2155" t="str">
            <v>HEKA</v>
          </cell>
          <cell r="P2155" t="str">
            <v>ADET</v>
          </cell>
          <cell r="Q2155" t="str">
            <v>LED</v>
          </cell>
          <cell r="R2155" t="str">
            <v>CAM</v>
          </cell>
          <cell r="S2155" t="str">
            <v>FÜME</v>
          </cell>
          <cell r="T2155" t="str">
            <v>METAL</v>
          </cell>
          <cell r="U2155" t="str">
            <v>SİYAH</v>
          </cell>
          <cell r="Z2155" t="str">
            <v xml:space="preserve">2700 K </v>
          </cell>
          <cell r="AF2155">
            <v>0</v>
          </cell>
          <cell r="AG2155" t="str">
            <v>ADET</v>
          </cell>
          <cell r="AH2155">
            <v>1448</v>
          </cell>
          <cell r="AI2155" t="str">
            <v>CNY</v>
          </cell>
          <cell r="AL2155">
            <v>0</v>
          </cell>
          <cell r="AM2155" t="str">
            <v>8684127518734</v>
          </cell>
          <cell r="AO2155">
            <v>0</v>
          </cell>
          <cell r="AQ2155">
            <v>0</v>
          </cell>
          <cell r="AS2155">
            <v>0</v>
          </cell>
          <cell r="AU2155">
            <v>0</v>
          </cell>
          <cell r="AW2155">
            <v>0</v>
          </cell>
        </row>
        <row r="2156">
          <cell r="B2156" t="str">
            <v>H1C6JMEECB0-040</v>
          </cell>
          <cell r="C2156" t="str">
            <v>ZAMBİYA BEYAZ BUZLU CAM ESKİTME DİKEY SARKIT 40cm</v>
          </cell>
          <cell r="D2156" t="str">
            <v>ZAMBİYA WHITE FROSTED GLASS BRUSHED BRASS HORIZONTAL PENDANT 40cm</v>
          </cell>
          <cell r="E2156" t="str">
            <v>METAL CAM ESKİTME BUZLU</v>
          </cell>
          <cell r="F2156" t="str">
            <v/>
          </cell>
          <cell r="G2156" t="str">
            <v>AVİZE</v>
          </cell>
          <cell r="H2156" t="str">
            <v/>
          </cell>
          <cell r="I2156" t="str">
            <v/>
          </cell>
          <cell r="J2156" t="str">
            <v/>
          </cell>
          <cell r="K2156" t="str">
            <v>ZAMBİYA</v>
          </cell>
          <cell r="L2156" t="str">
            <v/>
          </cell>
          <cell r="M2156" t="str">
            <v>28.02.2026</v>
          </cell>
          <cell r="N2156" t="str">
            <v>HKA-25257</v>
          </cell>
          <cell r="O2156" t="str">
            <v>HEKA</v>
          </cell>
          <cell r="P2156" t="str">
            <v>ADET</v>
          </cell>
          <cell r="Q2156" t="str">
            <v>LED</v>
          </cell>
          <cell r="R2156" t="str">
            <v>METAL</v>
          </cell>
          <cell r="S2156" t="str">
            <v>ESKİTME</v>
          </cell>
          <cell r="T2156" t="str">
            <v>CAM</v>
          </cell>
          <cell r="U2156" t="str">
            <v>BUZLU</v>
          </cell>
          <cell r="Z2156" t="str">
            <v>3000 K</v>
          </cell>
          <cell r="AE2156" t="str">
            <v>01</v>
          </cell>
          <cell r="AF2156">
            <v>0</v>
          </cell>
          <cell r="AG2156" t="str">
            <v>ADET</v>
          </cell>
          <cell r="AL2156">
            <v>0</v>
          </cell>
          <cell r="AM2156" t="str">
            <v>8684127518987</v>
          </cell>
          <cell r="AO2156">
            <v>0</v>
          </cell>
          <cell r="AQ2156">
            <v>10</v>
          </cell>
          <cell r="AS2156">
            <v>10</v>
          </cell>
          <cell r="AU2156">
            <v>0</v>
          </cell>
          <cell r="AW2156">
            <v>0</v>
          </cell>
        </row>
        <row r="2157">
          <cell r="B2157" t="str">
            <v>H1P00000000-000</v>
          </cell>
          <cell r="C2157" t="str">
            <v>ÖZEL TASARIM PLAFONYER</v>
          </cell>
          <cell r="D2157" t="str">
            <v/>
          </cell>
          <cell r="E2157" t="str">
            <v/>
          </cell>
          <cell r="F2157" t="str">
            <v/>
          </cell>
          <cell r="G2157" t="str">
            <v>PLAFONYER</v>
          </cell>
          <cell r="H2157" t="str">
            <v/>
          </cell>
          <cell r="I2157" t="str">
            <v>İÇ</v>
          </cell>
          <cell r="J2157" t="str">
            <v/>
          </cell>
          <cell r="K2157" t="str">
            <v/>
          </cell>
          <cell r="L2157" t="str">
            <v/>
          </cell>
          <cell r="M2157" t="str">
            <v>ÖZEL TASAR</v>
          </cell>
          <cell r="N2157" t="str">
            <v/>
          </cell>
          <cell r="O2157" t="str">
            <v>HEKA</v>
          </cell>
          <cell r="P2157" t="str">
            <v>ADET</v>
          </cell>
          <cell r="AF2157">
            <v>0</v>
          </cell>
          <cell r="AG2157" t="str">
            <v>ADET</v>
          </cell>
          <cell r="AL2157">
            <v>0</v>
          </cell>
          <cell r="AM2157" t="str">
            <v>H1P00000000-000</v>
          </cell>
          <cell r="AO2157">
            <v>0</v>
          </cell>
          <cell r="AQ2157">
            <v>0</v>
          </cell>
          <cell r="AS2157">
            <v>0</v>
          </cell>
          <cell r="AU2157">
            <v>0</v>
          </cell>
          <cell r="AW2157">
            <v>0</v>
          </cell>
        </row>
        <row r="2158">
          <cell r="B2158" t="str">
            <v>H1C6JMEECS1-020</v>
          </cell>
          <cell r="C2158" t="str">
            <v>MERGEN TEKLİ ESKİTME SARKIT 20cm</v>
          </cell>
          <cell r="D2158" t="str">
            <v>MERGEN SINGLE BRUSHED BRASS PENDANT 20cm</v>
          </cell>
          <cell r="E2158" t="str">
            <v>METAL CAM ESKİTME ŞEFFAF</v>
          </cell>
          <cell r="F2158" t="str">
            <v/>
          </cell>
          <cell r="G2158" t="str">
            <v>AVİZE</v>
          </cell>
          <cell r="H2158" t="str">
            <v/>
          </cell>
          <cell r="I2158" t="str">
            <v/>
          </cell>
          <cell r="J2158" t="str">
            <v/>
          </cell>
          <cell r="K2158" t="str">
            <v>MERGEN</v>
          </cell>
          <cell r="L2158" t="str">
            <v/>
          </cell>
          <cell r="M2158" t="str">
            <v>ÜRTM:3 GÜN</v>
          </cell>
          <cell r="N2158" t="str">
            <v>HKA-25264</v>
          </cell>
          <cell r="O2158" t="str">
            <v>HEKA</v>
          </cell>
          <cell r="P2158" t="str">
            <v>ADET</v>
          </cell>
          <cell r="Q2158" t="str">
            <v>LED</v>
          </cell>
          <cell r="R2158" t="str">
            <v>METAL</v>
          </cell>
          <cell r="S2158" t="str">
            <v>ESKİTME</v>
          </cell>
          <cell r="T2158" t="str">
            <v>CAM</v>
          </cell>
          <cell r="U2158" t="str">
            <v>ŞEFFAF</v>
          </cell>
          <cell r="Y2158" t="str">
            <v>3 WATT</v>
          </cell>
          <cell r="Z2158" t="str">
            <v>3500 K</v>
          </cell>
          <cell r="AD2158" t="str">
            <v>TEKLİ</v>
          </cell>
          <cell r="AE2158" t="str">
            <v>02</v>
          </cell>
          <cell r="AF2158">
            <v>7</v>
          </cell>
          <cell r="AG2158" t="str">
            <v>ADET</v>
          </cell>
          <cell r="AJ2158">
            <v>1950</v>
          </cell>
          <cell r="AK2158" t="str">
            <v>TL</v>
          </cell>
          <cell r="AL2158">
            <v>0</v>
          </cell>
          <cell r="AM2158" t="str">
            <v>8684127519083</v>
          </cell>
          <cell r="AO2158">
            <v>0</v>
          </cell>
          <cell r="AQ2158">
            <v>10</v>
          </cell>
          <cell r="AR2158" t="str">
            <v>CM</v>
          </cell>
          <cell r="AS2158">
            <v>20</v>
          </cell>
          <cell r="AT2158" t="str">
            <v>CM</v>
          </cell>
          <cell r="AU2158">
            <v>0</v>
          </cell>
          <cell r="AW2158">
            <v>0</v>
          </cell>
        </row>
        <row r="2159">
          <cell r="B2159" t="str">
            <v>ADFEJMEECS0-023</v>
          </cell>
          <cell r="C2159" t="str">
            <v>ESKİTME MUMLUK 26x26x22,5 CM</v>
          </cell>
          <cell r="D2159" t="str">
            <v>BRUSHED BRASS CANDLE HOLDER 26x26x22,5 CM</v>
          </cell>
          <cell r="E2159" t="str">
            <v>METAL CAM  ESKİTME ŞEFFAF</v>
          </cell>
          <cell r="F2159" t="str">
            <v/>
          </cell>
          <cell r="G2159" t="str">
            <v>AKSESUAR</v>
          </cell>
          <cell r="H2159" t="str">
            <v/>
          </cell>
          <cell r="I2159" t="str">
            <v/>
          </cell>
          <cell r="J2159" t="str">
            <v/>
          </cell>
          <cell r="K2159" t="str">
            <v>EVDEMA</v>
          </cell>
          <cell r="L2159" t="str">
            <v/>
          </cell>
          <cell r="M2159" t="str">
            <v/>
          </cell>
          <cell r="N2159" t="str">
            <v>HKA-250079</v>
          </cell>
          <cell r="O2159" t="str">
            <v>HEKA</v>
          </cell>
          <cell r="P2159" t="str">
            <v>ADET</v>
          </cell>
          <cell r="R2159" t="str">
            <v>METAL</v>
          </cell>
          <cell r="S2159" t="str">
            <v>ESKİTME</v>
          </cell>
          <cell r="T2159" t="str">
            <v>CAM</v>
          </cell>
          <cell r="U2159" t="str">
            <v>ŞEFFAF</v>
          </cell>
          <cell r="AF2159">
            <v>1</v>
          </cell>
          <cell r="AG2159" t="str">
            <v>ADET</v>
          </cell>
          <cell r="AH2159">
            <v>1895.79</v>
          </cell>
          <cell r="AI2159" t="str">
            <v>TL</v>
          </cell>
          <cell r="AL2159">
            <v>0</v>
          </cell>
          <cell r="AO2159">
            <v>0</v>
          </cell>
          <cell r="AQ2159">
            <v>22.5</v>
          </cell>
          <cell r="AR2159" t="str">
            <v>CM</v>
          </cell>
          <cell r="AS2159">
            <v>26</v>
          </cell>
          <cell r="AT2159" t="str">
            <v>CM</v>
          </cell>
          <cell r="AU2159">
            <v>0</v>
          </cell>
          <cell r="AW2159">
            <v>0</v>
          </cell>
        </row>
        <row r="2160">
          <cell r="B2160" t="str">
            <v>AVFVJMB0000-039</v>
          </cell>
          <cell r="C2160" t="str">
            <v>VİTALE METAL UZAY VAZO 11x10x39 CM</v>
          </cell>
          <cell r="D2160" t="str">
            <v>VİTALE METAL SPACE VASE 11x10x39 CM</v>
          </cell>
          <cell r="E2160" t="str">
            <v>METAL YOK BAKIR YOK</v>
          </cell>
          <cell r="F2160" t="str">
            <v/>
          </cell>
          <cell r="G2160" t="str">
            <v>AKSESUAR</v>
          </cell>
          <cell r="H2160" t="str">
            <v/>
          </cell>
          <cell r="I2160" t="str">
            <v/>
          </cell>
          <cell r="J2160" t="str">
            <v/>
          </cell>
          <cell r="K2160" t="str">
            <v>EVDEMA</v>
          </cell>
          <cell r="L2160" t="str">
            <v/>
          </cell>
          <cell r="M2160" t="str">
            <v/>
          </cell>
          <cell r="N2160" t="str">
            <v>HKA-250081</v>
          </cell>
          <cell r="O2160" t="str">
            <v>HEKA</v>
          </cell>
          <cell r="P2160" t="str">
            <v>ADET</v>
          </cell>
          <cell r="R2160" t="str">
            <v>METAL</v>
          </cell>
          <cell r="S2160" t="str">
            <v>BAKIR</v>
          </cell>
          <cell r="AF2160">
            <v>1</v>
          </cell>
          <cell r="AG2160" t="str">
            <v>ADET</v>
          </cell>
          <cell r="AH2160">
            <v>2020.05</v>
          </cell>
          <cell r="AI2160" t="str">
            <v>TL</v>
          </cell>
          <cell r="AL2160">
            <v>0</v>
          </cell>
          <cell r="AO2160">
            <v>0</v>
          </cell>
          <cell r="AQ2160">
            <v>39</v>
          </cell>
          <cell r="AR2160" t="str">
            <v>CM</v>
          </cell>
          <cell r="AS2160">
            <v>11</v>
          </cell>
          <cell r="AT2160" t="str">
            <v>CM</v>
          </cell>
          <cell r="AU2160">
            <v>0</v>
          </cell>
          <cell r="AW2160">
            <v>0</v>
          </cell>
        </row>
        <row r="2161">
          <cell r="B2161" t="str">
            <v>ADFVYRV0000-073</v>
          </cell>
          <cell r="C2161" t="str">
            <v>VİTALE KIRMIZI KIZILCIK DALI 73 CM</v>
          </cell>
          <cell r="D2161" t="str">
            <v>VİTALE RED CRANBERRY BRANCH 73 CM</v>
          </cell>
          <cell r="E2161" t="str">
            <v>POLYESTER YOK KAHVERENGİ YOK</v>
          </cell>
          <cell r="F2161" t="str">
            <v/>
          </cell>
          <cell r="G2161" t="str">
            <v>AKSESUAR</v>
          </cell>
          <cell r="H2161" t="str">
            <v/>
          </cell>
          <cell r="I2161" t="str">
            <v/>
          </cell>
          <cell r="J2161" t="str">
            <v/>
          </cell>
          <cell r="K2161" t="str">
            <v>VİTALE</v>
          </cell>
          <cell r="L2161" t="str">
            <v/>
          </cell>
          <cell r="M2161" t="str">
            <v/>
          </cell>
          <cell r="N2161" t="str">
            <v>HKA-250096</v>
          </cell>
          <cell r="O2161" t="str">
            <v>HEKA</v>
          </cell>
          <cell r="P2161" t="str">
            <v>ADET</v>
          </cell>
          <cell r="R2161" t="str">
            <v>POLYESTER</v>
          </cell>
          <cell r="S2161" t="str">
            <v>KAHVERENGİ</v>
          </cell>
          <cell r="AF2161">
            <v>3</v>
          </cell>
          <cell r="AG2161" t="str">
            <v>ADET</v>
          </cell>
          <cell r="AH2161">
            <v>621.42999999999995</v>
          </cell>
          <cell r="AI2161" t="str">
            <v>TL</v>
          </cell>
          <cell r="AL2161">
            <v>0</v>
          </cell>
          <cell r="AO2161">
            <v>0</v>
          </cell>
          <cell r="AQ2161">
            <v>0</v>
          </cell>
          <cell r="AS2161">
            <v>0</v>
          </cell>
          <cell r="AU2161">
            <v>0</v>
          </cell>
          <cell r="AW2161">
            <v>0</v>
          </cell>
        </row>
        <row r="2162">
          <cell r="B2162" t="str">
            <v>AVFVJME0005-035</v>
          </cell>
          <cell r="C2162" t="str">
            <v>VİTALE LYON ESKİTME METAL VAZO 16,5x9x34,5 CM</v>
          </cell>
          <cell r="D2162" t="str">
            <v>VİTALE LYON BRUSHED BRASS METAL VASE 16,5x9x34,5 CM</v>
          </cell>
          <cell r="E2162" t="str">
            <v>METAL YOK ESKİTME YOK</v>
          </cell>
          <cell r="F2162" t="str">
            <v/>
          </cell>
          <cell r="G2162" t="str">
            <v>AKSESUAR</v>
          </cell>
          <cell r="H2162" t="str">
            <v/>
          </cell>
          <cell r="I2162" t="str">
            <v/>
          </cell>
          <cell r="J2162" t="str">
            <v/>
          </cell>
          <cell r="K2162" t="str">
            <v>VİTALE</v>
          </cell>
          <cell r="L2162" t="str">
            <v/>
          </cell>
          <cell r="M2162" t="str">
            <v/>
          </cell>
          <cell r="N2162" t="str">
            <v>HKA-250098</v>
          </cell>
          <cell r="O2162" t="str">
            <v>HEKA</v>
          </cell>
          <cell r="P2162" t="str">
            <v>ADET</v>
          </cell>
          <cell r="R2162" t="str">
            <v>METAL</v>
          </cell>
          <cell r="S2162" t="str">
            <v>ESKİTME</v>
          </cell>
          <cell r="AD2162" t="str">
            <v>VAZO</v>
          </cell>
          <cell r="AF2162">
            <v>1</v>
          </cell>
          <cell r="AG2162" t="str">
            <v>ADET</v>
          </cell>
          <cell r="AH2162">
            <v>763.41</v>
          </cell>
          <cell r="AI2162" t="str">
            <v>TL</v>
          </cell>
          <cell r="AL2162">
            <v>0</v>
          </cell>
          <cell r="AO2162">
            <v>0</v>
          </cell>
          <cell r="AQ2162">
            <v>34.5</v>
          </cell>
          <cell r="AR2162" t="str">
            <v>CM</v>
          </cell>
          <cell r="AS2162">
            <v>16.5</v>
          </cell>
          <cell r="AT2162" t="str">
            <v>CM</v>
          </cell>
          <cell r="AU2162">
            <v>0</v>
          </cell>
          <cell r="AW2162">
            <v>0</v>
          </cell>
        </row>
        <row r="2163">
          <cell r="B2163" t="str">
            <v>CF2D1C302F4J0</v>
          </cell>
          <cell r="C2163" t="str">
            <v>ERD-319 ST64 ŞEFFAF 7W 2700K E27 LED AMPUL</v>
          </cell>
          <cell r="D2163" t="str">
            <v>ERD-319 ST64 CLEAR 7W 2700K E27 LED BULB</v>
          </cell>
          <cell r="E2163" t="str">
            <v xml:space="preserve">CAM  ŞEFFAF </v>
          </cell>
          <cell r="F2163" t="str">
            <v/>
          </cell>
          <cell r="G2163" t="str">
            <v>AMPUL</v>
          </cell>
          <cell r="H2163" t="str">
            <v/>
          </cell>
          <cell r="I2163" t="str">
            <v/>
          </cell>
          <cell r="J2163" t="str">
            <v/>
          </cell>
          <cell r="K2163" t="str">
            <v>ERD-319</v>
          </cell>
          <cell r="L2163" t="str">
            <v/>
          </cell>
          <cell r="M2163" t="str">
            <v/>
          </cell>
          <cell r="N2163" t="str">
            <v>ERD-319</v>
          </cell>
          <cell r="O2163" t="str">
            <v>HEKA</v>
          </cell>
          <cell r="P2163" t="str">
            <v>ADET</v>
          </cell>
          <cell r="Q2163" t="str">
            <v>E27</v>
          </cell>
          <cell r="R2163" t="str">
            <v>CAM</v>
          </cell>
          <cell r="S2163" t="str">
            <v>ŞEFFAF</v>
          </cell>
          <cell r="V2163" t="str">
            <v>D</v>
          </cell>
          <cell r="W2163" t="str">
            <v>FLAMENT</v>
          </cell>
          <cell r="X2163" t="str">
            <v>220V</v>
          </cell>
          <cell r="Y2163" t="str">
            <v>7 WATT</v>
          </cell>
          <cell r="Z2163" t="str">
            <v xml:space="preserve">2700 K </v>
          </cell>
          <cell r="AA2163" t="str">
            <v>DIMMSIZ</v>
          </cell>
          <cell r="AB2163" t="str">
            <v>901-1000</v>
          </cell>
          <cell r="AC2163" t="str">
            <v>ST64-ARMUT</v>
          </cell>
          <cell r="AG2163" t="str">
            <v>ADET</v>
          </cell>
          <cell r="AL2163">
            <v>0</v>
          </cell>
          <cell r="AM2163" t="str">
            <v>8684127519526</v>
          </cell>
          <cell r="AN2163" t="str">
            <v>8684127519533</v>
          </cell>
          <cell r="AO2163">
            <v>0</v>
          </cell>
          <cell r="AQ2163">
            <v>0</v>
          </cell>
          <cell r="AS2163">
            <v>0</v>
          </cell>
          <cell r="AU2163">
            <v>0</v>
          </cell>
          <cell r="AW2163">
            <v>0</v>
          </cell>
        </row>
        <row r="2164">
          <cell r="B2164" t="str">
            <v>CF2E1C102F3I0</v>
          </cell>
          <cell r="C2164" t="str">
            <v>ERD-321 ST64 BAL 7W 2500K E27 LED AMPUL</v>
          </cell>
          <cell r="D2164" t="str">
            <v>ERD-321 ST64 AMBER 7W 2500K E27 LED BULB</v>
          </cell>
          <cell r="E2164" t="str">
            <v xml:space="preserve">CAM  BAL </v>
          </cell>
          <cell r="F2164" t="str">
            <v/>
          </cell>
          <cell r="G2164" t="str">
            <v>AMPUL</v>
          </cell>
          <cell r="H2164" t="str">
            <v/>
          </cell>
          <cell r="I2164" t="str">
            <v/>
          </cell>
          <cell r="J2164" t="str">
            <v/>
          </cell>
          <cell r="K2164" t="str">
            <v>ERD-321</v>
          </cell>
          <cell r="L2164" t="str">
            <v/>
          </cell>
          <cell r="M2164" t="str">
            <v/>
          </cell>
          <cell r="N2164" t="str">
            <v>ERD-321</v>
          </cell>
          <cell r="O2164" t="str">
            <v>HEKA</v>
          </cell>
          <cell r="P2164" t="str">
            <v>ADET</v>
          </cell>
          <cell r="Q2164" t="str">
            <v>E27</v>
          </cell>
          <cell r="R2164" t="str">
            <v>CAM</v>
          </cell>
          <cell r="S2164" t="str">
            <v>BAL</v>
          </cell>
          <cell r="V2164" t="str">
            <v>E</v>
          </cell>
          <cell r="W2164" t="str">
            <v>FLAMENT</v>
          </cell>
          <cell r="X2164" t="str">
            <v>220V</v>
          </cell>
          <cell r="Y2164" t="str">
            <v>7 WATT</v>
          </cell>
          <cell r="Z2164" t="str">
            <v>2500 K</v>
          </cell>
          <cell r="AA2164" t="str">
            <v>DIMMSIZ</v>
          </cell>
          <cell r="AB2164" t="str">
            <v>801-900</v>
          </cell>
          <cell r="AC2164" t="str">
            <v>ST64-ARMUT</v>
          </cell>
          <cell r="AG2164" t="str">
            <v>ADET</v>
          </cell>
          <cell r="AL2164">
            <v>0</v>
          </cell>
          <cell r="AM2164" t="str">
            <v>8684127519564</v>
          </cell>
          <cell r="AN2164" t="str">
            <v>8684127519571</v>
          </cell>
          <cell r="AO2164">
            <v>0</v>
          </cell>
          <cell r="AQ2164">
            <v>0</v>
          </cell>
          <cell r="AS2164">
            <v>0</v>
          </cell>
          <cell r="AU2164">
            <v>0</v>
          </cell>
          <cell r="AW2164">
            <v>0</v>
          </cell>
        </row>
        <row r="2165">
          <cell r="B2165" t="str">
            <v>H1C6JMEECS1-050</v>
          </cell>
          <cell r="C2165" t="str">
            <v>SKYLİNE TEKLİ ŞEFFAF CAM SARKIT 50cm</v>
          </cell>
          <cell r="D2165" t="str">
            <v>SYKLINE SINGLE CLEAR GLASS PENDANT 50cm</v>
          </cell>
          <cell r="E2165" t="str">
            <v>METAL CAM ESKİTME ŞEFFAF</v>
          </cell>
          <cell r="F2165" t="str">
            <v/>
          </cell>
          <cell r="G2165" t="str">
            <v>AVİZE</v>
          </cell>
          <cell r="H2165" t="str">
            <v/>
          </cell>
          <cell r="I2165" t="str">
            <v>İÇ</v>
          </cell>
          <cell r="J2165" t="str">
            <v>AVİZE.SARK</v>
          </cell>
          <cell r="K2165" t="str">
            <v>SKYLİNE</v>
          </cell>
          <cell r="L2165" t="str">
            <v/>
          </cell>
          <cell r="M2165" t="str">
            <v/>
          </cell>
          <cell r="N2165" t="str">
            <v>HKA-25123</v>
          </cell>
          <cell r="O2165" t="str">
            <v>HEKA</v>
          </cell>
          <cell r="P2165" t="str">
            <v>ADET</v>
          </cell>
          <cell r="Q2165" t="str">
            <v>LED</v>
          </cell>
          <cell r="R2165" t="str">
            <v>METAL</v>
          </cell>
          <cell r="S2165" t="str">
            <v>ESKİTME</v>
          </cell>
          <cell r="T2165" t="str">
            <v>CAM</v>
          </cell>
          <cell r="U2165" t="str">
            <v>ŞEFFAF</v>
          </cell>
          <cell r="AA2165" t="str">
            <v>DIMMSIZ</v>
          </cell>
          <cell r="AD2165" t="str">
            <v>TEKLİ</v>
          </cell>
          <cell r="AE2165" t="str">
            <v>01</v>
          </cell>
          <cell r="AG2165" t="str">
            <v>ADET</v>
          </cell>
          <cell r="AL2165">
            <v>1</v>
          </cell>
          <cell r="AM2165" t="str">
            <v>8684127517492</v>
          </cell>
          <cell r="AO2165">
            <v>0</v>
          </cell>
          <cell r="AQ2165">
            <v>2</v>
          </cell>
          <cell r="AR2165" t="str">
            <v>CM</v>
          </cell>
          <cell r="AS2165">
            <v>50</v>
          </cell>
          <cell r="AT2165" t="str">
            <v>CM</v>
          </cell>
          <cell r="AU2165">
            <v>0</v>
          </cell>
          <cell r="AW2165">
            <v>0</v>
          </cell>
        </row>
        <row r="2166">
          <cell r="B2166" t="str">
            <v>H1T6JMEECS1-030</v>
          </cell>
          <cell r="C2166" t="str">
            <v>SKYLİNE TEKLİ ŞEFFAF CAM MASA LAMBASI 30CM</v>
          </cell>
          <cell r="D2166" t="str">
            <v>SYKLINE SINGLE CLEAR GLASS TABLE LAMP 30CM</v>
          </cell>
          <cell r="E2166" t="str">
            <v>METAL CAM ESKİTME ŞEFFAF</v>
          </cell>
          <cell r="F2166" t="str">
            <v/>
          </cell>
          <cell r="G2166" t="str">
            <v>MASA LAMBASI</v>
          </cell>
          <cell r="H2166" t="str">
            <v/>
          </cell>
          <cell r="I2166" t="str">
            <v>İÇ</v>
          </cell>
          <cell r="J2166" t="str">
            <v>MASAABAJ</v>
          </cell>
          <cell r="K2166" t="str">
            <v>SKYLİNE</v>
          </cell>
          <cell r="L2166" t="str">
            <v/>
          </cell>
          <cell r="M2166" t="str">
            <v/>
          </cell>
          <cell r="N2166" t="str">
            <v>HKA-25130</v>
          </cell>
          <cell r="O2166" t="str">
            <v>HEKA</v>
          </cell>
          <cell r="P2166" t="str">
            <v>ADET</v>
          </cell>
          <cell r="Q2166" t="str">
            <v>LED</v>
          </cell>
          <cell r="R2166" t="str">
            <v>METAL</v>
          </cell>
          <cell r="S2166" t="str">
            <v>ESKİTME</v>
          </cell>
          <cell r="T2166" t="str">
            <v>CAM</v>
          </cell>
          <cell r="U2166" t="str">
            <v>ŞEFFAF</v>
          </cell>
          <cell r="AA2166" t="str">
            <v>DIMMSIZ</v>
          </cell>
          <cell r="AD2166" t="str">
            <v>TEKLİ</v>
          </cell>
          <cell r="AE2166" t="str">
            <v>01</v>
          </cell>
          <cell r="AF2166">
            <v>10</v>
          </cell>
          <cell r="AG2166" t="str">
            <v>ADET</v>
          </cell>
          <cell r="AH2166">
            <v>225</v>
          </cell>
          <cell r="AI2166" t="str">
            <v>CNY</v>
          </cell>
          <cell r="AL2166">
            <v>1</v>
          </cell>
          <cell r="AM2166" t="str">
            <v>8684127517560</v>
          </cell>
          <cell r="AO2166">
            <v>0</v>
          </cell>
          <cell r="AQ2166">
            <v>2</v>
          </cell>
          <cell r="AR2166" t="str">
            <v>CM</v>
          </cell>
          <cell r="AS2166">
            <v>30</v>
          </cell>
          <cell r="AT2166" t="str">
            <v>CM</v>
          </cell>
          <cell r="AU2166">
            <v>0</v>
          </cell>
          <cell r="AW2166">
            <v>0</v>
          </cell>
        </row>
        <row r="2167">
          <cell r="B2167" t="str">
            <v>H1W6JMEERY1-030</v>
          </cell>
          <cell r="C2167" t="str">
            <v>SKYLİNE TEKLİ YEŞİL CAM APLİK 30CM</v>
          </cell>
          <cell r="D2167" t="str">
            <v>SYKLINE SINGLE GREEN GLASS WALL LAMP 30CM</v>
          </cell>
          <cell r="E2167" t="str">
            <v>METAL CAM ESKİTME YEŞİL</v>
          </cell>
          <cell r="F2167" t="str">
            <v/>
          </cell>
          <cell r="G2167" t="str">
            <v>APLİK</v>
          </cell>
          <cell r="H2167" t="str">
            <v/>
          </cell>
          <cell r="I2167" t="str">
            <v>İÇ</v>
          </cell>
          <cell r="J2167" t="str">
            <v>APLİK</v>
          </cell>
          <cell r="K2167" t="str">
            <v>SKYLİNE</v>
          </cell>
          <cell r="L2167" t="str">
            <v/>
          </cell>
          <cell r="M2167" t="str">
            <v>30.01.2026</v>
          </cell>
          <cell r="N2167" t="str">
            <v>HKA-25137</v>
          </cell>
          <cell r="O2167" t="str">
            <v>HEKA</v>
          </cell>
          <cell r="P2167" t="str">
            <v>ADET</v>
          </cell>
          <cell r="Q2167" t="str">
            <v>LED</v>
          </cell>
          <cell r="R2167" t="str">
            <v>METAL</v>
          </cell>
          <cell r="S2167" t="str">
            <v>ESKİTME</v>
          </cell>
          <cell r="T2167" t="str">
            <v>CAM</v>
          </cell>
          <cell r="U2167" t="str">
            <v>YEŞİL</v>
          </cell>
          <cell r="AA2167" t="str">
            <v>DIMMSIZ</v>
          </cell>
          <cell r="AD2167" t="str">
            <v>TEKLİ</v>
          </cell>
          <cell r="AE2167" t="str">
            <v>01</v>
          </cell>
          <cell r="AF2167">
            <v>5</v>
          </cell>
          <cell r="AG2167" t="str">
            <v>ADET</v>
          </cell>
          <cell r="AH2167">
            <v>209</v>
          </cell>
          <cell r="AI2167" t="str">
            <v>CNY</v>
          </cell>
          <cell r="AL2167">
            <v>1</v>
          </cell>
          <cell r="AM2167" t="str">
            <v>8684127517638</v>
          </cell>
          <cell r="AO2167">
            <v>0</v>
          </cell>
          <cell r="AQ2167">
            <v>30</v>
          </cell>
          <cell r="AR2167" t="str">
            <v>CM</v>
          </cell>
          <cell r="AS2167">
            <v>30</v>
          </cell>
          <cell r="AT2167" t="str">
            <v>CM</v>
          </cell>
          <cell r="AU2167">
            <v>0</v>
          </cell>
          <cell r="AW2167">
            <v>0</v>
          </cell>
        </row>
        <row r="2168">
          <cell r="B2168" t="str">
            <v>H1C0VRS0000-095</v>
          </cell>
          <cell r="C2168" t="str">
            <v>LABRANDA SİYAH DERİ KEMER (CAMSIZ)</v>
          </cell>
          <cell r="D2168" t="str">
            <v>LABRANDA BLACK LEATHER BELT WITHOUT GLASS</v>
          </cell>
          <cell r="E2168" t="str">
            <v>DERİ YOK SİYAH YOK</v>
          </cell>
          <cell r="F2168" t="str">
            <v/>
          </cell>
          <cell r="G2168" t="str">
            <v>AVİZE</v>
          </cell>
          <cell r="H2168" t="str">
            <v/>
          </cell>
          <cell r="I2168" t="str">
            <v>İÇ</v>
          </cell>
          <cell r="J2168" t="str">
            <v>AVİZE</v>
          </cell>
          <cell r="K2168" t="str">
            <v>LABRANDA</v>
          </cell>
          <cell r="L2168" t="str">
            <v>Y</v>
          </cell>
          <cell r="M2168" t="str">
            <v>30.01.2026</v>
          </cell>
          <cell r="N2168" t="str">
            <v>HKA-25210</v>
          </cell>
          <cell r="O2168" t="str">
            <v>HEKA</v>
          </cell>
          <cell r="P2168" t="str">
            <v>ADET</v>
          </cell>
          <cell r="Q2168" t="str">
            <v>YOK</v>
          </cell>
          <cell r="R2168" t="str">
            <v>DERİ</v>
          </cell>
          <cell r="S2168" t="str">
            <v>SİYAH</v>
          </cell>
          <cell r="T2168" t="str">
            <v>YOK</v>
          </cell>
          <cell r="U2168" t="str">
            <v>YOK</v>
          </cell>
          <cell r="AE2168" t="str">
            <v>01</v>
          </cell>
          <cell r="AF2168">
            <v>16</v>
          </cell>
          <cell r="AG2168" t="str">
            <v>ADET</v>
          </cell>
          <cell r="AH2168">
            <v>160</v>
          </cell>
          <cell r="AI2168" t="str">
            <v>CNY</v>
          </cell>
          <cell r="AJ2168">
            <v>11900</v>
          </cell>
          <cell r="AK2168" t="str">
            <v>TL</v>
          </cell>
          <cell r="AL2168">
            <v>1</v>
          </cell>
          <cell r="AM2168" t="str">
            <v>8684127517676</v>
          </cell>
          <cell r="AO2168">
            <v>0</v>
          </cell>
          <cell r="AQ2168">
            <v>0</v>
          </cell>
          <cell r="AS2168">
            <v>240</v>
          </cell>
          <cell r="AT2168" t="str">
            <v>CM</v>
          </cell>
          <cell r="AU2168">
            <v>0</v>
          </cell>
          <cell r="AW2168">
            <v>0</v>
          </cell>
        </row>
        <row r="2169">
          <cell r="B2169" t="str">
            <v>H1C6XMEERLY-044</v>
          </cell>
          <cell r="C2169" t="str">
            <v>SİENA TEKLİ KÜRE BAL CAM SARKIT 44CM</v>
          </cell>
          <cell r="D2169" t="str">
            <v xml:space="preserve">SİENA SINGLE GLOBE AMBER GLASS PENDANT 44CM </v>
          </cell>
          <cell r="E2169" t="str">
            <v>TRAVERTEN CAM ESKİTME BAL</v>
          </cell>
          <cell r="F2169" t="str">
            <v/>
          </cell>
          <cell r="G2169" t="str">
            <v>AVİZE</v>
          </cell>
          <cell r="H2169" t="str">
            <v/>
          </cell>
          <cell r="I2169" t="str">
            <v>İÇ</v>
          </cell>
          <cell r="J2169" t="str">
            <v>AVİZE.SARK</v>
          </cell>
          <cell r="K2169" t="str">
            <v>SİENA</v>
          </cell>
          <cell r="L2169" t="str">
            <v>Y</v>
          </cell>
          <cell r="M2169" t="str">
            <v>20.04.2026</v>
          </cell>
          <cell r="N2169" t="str">
            <v>HKA-25024</v>
          </cell>
          <cell r="O2169" t="str">
            <v>HEKA</v>
          </cell>
          <cell r="P2169" t="str">
            <v>ADET</v>
          </cell>
          <cell r="Q2169" t="str">
            <v>LED</v>
          </cell>
          <cell r="R2169" t="str">
            <v>TRAVERTEN</v>
          </cell>
          <cell r="S2169" t="str">
            <v>ESKİTME</v>
          </cell>
          <cell r="T2169" t="str">
            <v>CAM</v>
          </cell>
          <cell r="U2169" t="str">
            <v>BAL</v>
          </cell>
          <cell r="AA2169" t="str">
            <v>DIMMSIZ</v>
          </cell>
          <cell r="AF2169">
            <v>0</v>
          </cell>
          <cell r="AG2169" t="str">
            <v>ADET</v>
          </cell>
          <cell r="AH2169">
            <v>143</v>
          </cell>
          <cell r="AI2169" t="str">
            <v>CNY</v>
          </cell>
          <cell r="AJ2169">
            <v>8950</v>
          </cell>
          <cell r="AK2169" t="str">
            <v>TL</v>
          </cell>
          <cell r="AL2169">
            <v>1</v>
          </cell>
          <cell r="AM2169" t="str">
            <v>8684127518901</v>
          </cell>
          <cell r="AO2169">
            <v>0</v>
          </cell>
          <cell r="AQ2169">
            <v>20</v>
          </cell>
          <cell r="AR2169" t="str">
            <v>CM</v>
          </cell>
          <cell r="AS2169">
            <v>20</v>
          </cell>
          <cell r="AT2169" t="str">
            <v>CM</v>
          </cell>
          <cell r="AU2169">
            <v>0</v>
          </cell>
          <cell r="AW2169">
            <v>0</v>
          </cell>
        </row>
        <row r="2170">
          <cell r="B2170" t="str">
            <v>H1P6ERY000S-035</v>
          </cell>
          <cell r="C2170" t="str">
            <v>PERLA YEŞİL CAM PLAFONYER 35CM</v>
          </cell>
          <cell r="D2170" t="str">
            <v>PERLA GREEN GLASS PLAFONIER 35CM</v>
          </cell>
          <cell r="E2170" t="str">
            <v>CAM YOK YEŞİL YOK</v>
          </cell>
          <cell r="F2170" t="str">
            <v/>
          </cell>
          <cell r="G2170" t="str">
            <v>AVİZE</v>
          </cell>
          <cell r="H2170" t="str">
            <v/>
          </cell>
          <cell r="I2170" t="str">
            <v>İÇ</v>
          </cell>
          <cell r="J2170" t="str">
            <v>PLAFONYER</v>
          </cell>
          <cell r="K2170" t="str">
            <v>PERLA</v>
          </cell>
          <cell r="L2170" t="str">
            <v/>
          </cell>
          <cell r="M2170" t="str">
            <v/>
          </cell>
          <cell r="N2170" t="str">
            <v>HKA-25145</v>
          </cell>
          <cell r="O2170" t="str">
            <v>HEKA</v>
          </cell>
          <cell r="P2170" t="str">
            <v>ADET</v>
          </cell>
          <cell r="Q2170" t="str">
            <v>LED</v>
          </cell>
          <cell r="R2170" t="str">
            <v>CAM</v>
          </cell>
          <cell r="S2170" t="str">
            <v>YEŞİL</v>
          </cell>
          <cell r="T2170" t="str">
            <v>YOK</v>
          </cell>
          <cell r="U2170" t="str">
            <v>YOK</v>
          </cell>
          <cell r="AA2170" t="str">
            <v>DIMMSIZ</v>
          </cell>
          <cell r="AD2170" t="str">
            <v>SABİT</v>
          </cell>
          <cell r="AE2170" t="str">
            <v>01</v>
          </cell>
          <cell r="AF2170">
            <v>15</v>
          </cell>
          <cell r="AG2170" t="str">
            <v>ADET</v>
          </cell>
          <cell r="AH2170">
            <v>228</v>
          </cell>
          <cell r="AI2170" t="str">
            <v>CNY</v>
          </cell>
          <cell r="AL2170">
            <v>1</v>
          </cell>
          <cell r="AM2170" t="str">
            <v>8684127517850</v>
          </cell>
          <cell r="AO2170">
            <v>0</v>
          </cell>
          <cell r="AQ2170">
            <v>16.399999999999999</v>
          </cell>
          <cell r="AR2170" t="str">
            <v>CM</v>
          </cell>
          <cell r="AS2170">
            <v>16.399999999999999</v>
          </cell>
          <cell r="AT2170" t="str">
            <v>CM</v>
          </cell>
          <cell r="AU2170">
            <v>0</v>
          </cell>
          <cell r="AW2170">
            <v>0</v>
          </cell>
        </row>
        <row r="2171">
          <cell r="B2171" t="str">
            <v>H1C6ERM0001-035</v>
          </cell>
          <cell r="C2171" t="str">
            <v>PERLA MAVİ CAM SARKIT 35CM</v>
          </cell>
          <cell r="D2171" t="str">
            <v>PERLA BLUE GLASS PENDANT 35CM</v>
          </cell>
          <cell r="E2171" t="str">
            <v>CAM YOK MAVİ YOK</v>
          </cell>
          <cell r="F2171" t="str">
            <v/>
          </cell>
          <cell r="G2171" t="str">
            <v>AVİZE</v>
          </cell>
          <cell r="H2171" t="str">
            <v/>
          </cell>
          <cell r="I2171" t="str">
            <v>İÇ</v>
          </cell>
          <cell r="J2171" t="str">
            <v>AVİZE.SARK</v>
          </cell>
          <cell r="K2171" t="str">
            <v>PERLA</v>
          </cell>
          <cell r="L2171" t="str">
            <v/>
          </cell>
          <cell r="M2171" t="str">
            <v/>
          </cell>
          <cell r="N2171" t="str">
            <v>HKA-25149</v>
          </cell>
          <cell r="O2171" t="str">
            <v>HEKA</v>
          </cell>
          <cell r="P2171" t="str">
            <v>ADET</v>
          </cell>
          <cell r="Q2171" t="str">
            <v>LED</v>
          </cell>
          <cell r="R2171" t="str">
            <v>CAM</v>
          </cell>
          <cell r="S2171" t="str">
            <v>MAVİ</v>
          </cell>
          <cell r="T2171" t="str">
            <v>YOK</v>
          </cell>
          <cell r="U2171" t="str">
            <v>YOK</v>
          </cell>
          <cell r="AA2171" t="str">
            <v>DIMMSIZ</v>
          </cell>
          <cell r="AD2171" t="str">
            <v>TEKLİ</v>
          </cell>
          <cell r="AE2171" t="str">
            <v>01</v>
          </cell>
          <cell r="AF2171">
            <v>40</v>
          </cell>
          <cell r="AG2171" t="str">
            <v>ADET</v>
          </cell>
          <cell r="AH2171">
            <v>228</v>
          </cell>
          <cell r="AI2171" t="str">
            <v>CNY</v>
          </cell>
          <cell r="AL2171">
            <v>1</v>
          </cell>
          <cell r="AM2171" t="str">
            <v>8684127517898</v>
          </cell>
          <cell r="AO2171">
            <v>0</v>
          </cell>
          <cell r="AQ2171">
            <v>16.399999999999999</v>
          </cell>
          <cell r="AR2171" t="str">
            <v>CM</v>
          </cell>
          <cell r="AS2171">
            <v>16.399999999999999</v>
          </cell>
          <cell r="AT2171" t="str">
            <v>CM</v>
          </cell>
          <cell r="AU2171">
            <v>0</v>
          </cell>
          <cell r="AW2171">
            <v>0</v>
          </cell>
        </row>
        <row r="2172">
          <cell r="B2172" t="str">
            <v>H1T6KMEWRF0-040</v>
          </cell>
          <cell r="C2172" t="str">
            <v>MİRACLE ESKİTME MERMER MASA LAMBASI</v>
          </cell>
          <cell r="D2172" t="str">
            <v>MİRACLE MARBLE BRUSHES BRASS TABLE LAMP</v>
          </cell>
          <cell r="E2172" t="str">
            <v>PASLANMAZ MERMER ESKİTME BEYAZ</v>
          </cell>
          <cell r="F2172" t="str">
            <v/>
          </cell>
          <cell r="G2172" t="str">
            <v>MASA LAMBASI</v>
          </cell>
          <cell r="H2172" t="str">
            <v/>
          </cell>
          <cell r="I2172" t="str">
            <v>İÇ</v>
          </cell>
          <cell r="J2172" t="str">
            <v>MASAABAJ</v>
          </cell>
          <cell r="K2172" t="str">
            <v>MİRACLE</v>
          </cell>
          <cell r="L2172" t="str">
            <v/>
          </cell>
          <cell r="M2172" t="str">
            <v/>
          </cell>
          <cell r="N2172" t="str">
            <v>HKA-25095</v>
          </cell>
          <cell r="O2172" t="str">
            <v>HEKA</v>
          </cell>
          <cell r="P2172" t="str">
            <v>ADET</v>
          </cell>
          <cell r="Q2172" t="str">
            <v>LED</v>
          </cell>
          <cell r="R2172" t="str">
            <v>PASLANMAZ</v>
          </cell>
          <cell r="S2172" t="str">
            <v>ESKİTME</v>
          </cell>
          <cell r="T2172" t="str">
            <v>MERMER</v>
          </cell>
          <cell r="U2172" t="str">
            <v>BEYAZ</v>
          </cell>
          <cell r="AA2172" t="str">
            <v>DIMMSIZ</v>
          </cell>
          <cell r="AE2172" t="str">
            <v>01</v>
          </cell>
          <cell r="AF2172">
            <v>6</v>
          </cell>
          <cell r="AG2172" t="str">
            <v>ADET</v>
          </cell>
          <cell r="AH2172">
            <v>780</v>
          </cell>
          <cell r="AI2172" t="str">
            <v>CNY</v>
          </cell>
          <cell r="AL2172">
            <v>1</v>
          </cell>
          <cell r="AM2172" t="str">
            <v>8684127517966</v>
          </cell>
          <cell r="AO2172">
            <v>0</v>
          </cell>
          <cell r="AQ2172">
            <v>24</v>
          </cell>
          <cell r="AR2172" t="str">
            <v>CM</v>
          </cell>
          <cell r="AS2172">
            <v>26</v>
          </cell>
          <cell r="AT2172" t="str">
            <v>CM</v>
          </cell>
          <cell r="AU2172">
            <v>0</v>
          </cell>
          <cell r="AW2172">
            <v>0</v>
          </cell>
        </row>
        <row r="2173">
          <cell r="B2173" t="str">
            <v>H1C6KMPERT0-020</v>
          </cell>
          <cell r="C2173" t="str">
            <v>ARİETTA TURUNCU KRİSTAL PLATİN SARKIT 20CM</v>
          </cell>
          <cell r="D2173" t="str">
            <v>ARİETTA ORANGE CRYSTAL PLATINUM PENDANT 20CM</v>
          </cell>
          <cell r="E2173" t="str">
            <v>PASLANMAZ CAM PLATİN TURUNCU</v>
          </cell>
          <cell r="F2173" t="str">
            <v/>
          </cell>
          <cell r="G2173" t="str">
            <v>AVİZE</v>
          </cell>
          <cell r="H2173" t="str">
            <v/>
          </cell>
          <cell r="I2173" t="str">
            <v>İÇ</v>
          </cell>
          <cell r="J2173" t="str">
            <v>AVİZE.SARK</v>
          </cell>
          <cell r="K2173" t="str">
            <v>ARİETTA</v>
          </cell>
          <cell r="L2173" t="str">
            <v/>
          </cell>
          <cell r="M2173" t="str">
            <v/>
          </cell>
          <cell r="N2173" t="str">
            <v>HKA-25083</v>
          </cell>
          <cell r="O2173" t="str">
            <v>HEKA</v>
          </cell>
          <cell r="P2173" t="str">
            <v>ADET</v>
          </cell>
          <cell r="Q2173" t="str">
            <v>LED</v>
          </cell>
          <cell r="R2173" t="str">
            <v>PASLANMAZ</v>
          </cell>
          <cell r="S2173" t="str">
            <v>PLATİN</v>
          </cell>
          <cell r="T2173" t="str">
            <v>CAM</v>
          </cell>
          <cell r="U2173" t="str">
            <v>TURUNCU</v>
          </cell>
          <cell r="Z2173" t="str">
            <v>3000 K</v>
          </cell>
          <cell r="AA2173" t="str">
            <v>DIMMSIZ</v>
          </cell>
          <cell r="AE2173" t="str">
            <v>01</v>
          </cell>
          <cell r="AF2173">
            <v>20</v>
          </cell>
          <cell r="AG2173" t="str">
            <v>ADET</v>
          </cell>
          <cell r="AH2173">
            <v>284.89999999999998</v>
          </cell>
          <cell r="AI2173" t="str">
            <v>CNY</v>
          </cell>
          <cell r="AL2173">
            <v>1</v>
          </cell>
          <cell r="AM2173" t="str">
            <v>8684127518031</v>
          </cell>
          <cell r="AO2173">
            <v>0</v>
          </cell>
          <cell r="AQ2173">
            <v>20</v>
          </cell>
          <cell r="AR2173" t="str">
            <v>CM</v>
          </cell>
          <cell r="AS2173">
            <v>20</v>
          </cell>
          <cell r="AT2173" t="str">
            <v>CM</v>
          </cell>
          <cell r="AU2173">
            <v>0</v>
          </cell>
          <cell r="AW2173">
            <v>0</v>
          </cell>
        </row>
        <row r="2174">
          <cell r="B2174" t="str">
            <v>H1W6JMEBCO0-040</v>
          </cell>
          <cell r="C2174" t="str">
            <v>ARTEA TEKLİ OPAL AKRİLİK APLİK 40CM</v>
          </cell>
          <cell r="D2174" t="str">
            <v>ARTEA SINGLE OPAL ACYRLIC WALL LAMP 40CM</v>
          </cell>
          <cell r="E2174" t="str">
            <v>METAL AKRİLİK ESKİTME OPAL</v>
          </cell>
          <cell r="F2174" t="str">
            <v/>
          </cell>
          <cell r="G2174" t="str">
            <v>APLİK</v>
          </cell>
          <cell r="H2174" t="str">
            <v/>
          </cell>
          <cell r="I2174" t="str">
            <v>İÇ</v>
          </cell>
          <cell r="J2174" t="str">
            <v>APLİK</v>
          </cell>
          <cell r="K2174" t="str">
            <v>ARTEA</v>
          </cell>
          <cell r="L2174" t="str">
            <v/>
          </cell>
          <cell r="M2174" t="str">
            <v/>
          </cell>
          <cell r="N2174" t="str">
            <v>HKA-25174</v>
          </cell>
          <cell r="O2174" t="str">
            <v>HEKA</v>
          </cell>
          <cell r="P2174" t="str">
            <v>ADET</v>
          </cell>
          <cell r="Q2174" t="str">
            <v>LED</v>
          </cell>
          <cell r="R2174" t="str">
            <v>METAL</v>
          </cell>
          <cell r="S2174" t="str">
            <v>ESKİTME</v>
          </cell>
          <cell r="T2174" t="str">
            <v>AKRİLİK</v>
          </cell>
          <cell r="U2174" t="str">
            <v>OPAL</v>
          </cell>
          <cell r="Z2174" t="str">
            <v xml:space="preserve">2700 K </v>
          </cell>
          <cell r="AA2174" t="str">
            <v>DIMMSIZ</v>
          </cell>
          <cell r="AE2174" t="str">
            <v>01</v>
          </cell>
          <cell r="AF2174">
            <v>25</v>
          </cell>
          <cell r="AG2174" t="str">
            <v>ADET</v>
          </cell>
          <cell r="AH2174">
            <v>193.03</v>
          </cell>
          <cell r="AI2174" t="str">
            <v>CNY</v>
          </cell>
          <cell r="AL2174">
            <v>1</v>
          </cell>
          <cell r="AM2174" t="str">
            <v>8684127518147</v>
          </cell>
          <cell r="AO2174">
            <v>0</v>
          </cell>
          <cell r="AQ2174">
            <v>40</v>
          </cell>
          <cell r="AR2174" t="str">
            <v>CM</v>
          </cell>
          <cell r="AS2174">
            <v>40</v>
          </cell>
          <cell r="AT2174" t="str">
            <v>CM</v>
          </cell>
          <cell r="AU2174">
            <v>0</v>
          </cell>
          <cell r="AW2174">
            <v>0</v>
          </cell>
        </row>
        <row r="2175">
          <cell r="B2175" t="str">
            <v>H1C3JMEECD0-130</v>
          </cell>
          <cell r="C2175" t="str">
            <v>BONELLİ ÜÇ KATLI DOKULU CAM SARKIT</v>
          </cell>
          <cell r="D2175" t="str">
            <v>BONELLİ TRIPLEX TEXTURED GLASS PENDANT</v>
          </cell>
          <cell r="E2175" t="str">
            <v>METAL CAM ESKİTME DOKULU</v>
          </cell>
          <cell r="F2175" t="str">
            <v/>
          </cell>
          <cell r="G2175" t="str">
            <v>AVİZE</v>
          </cell>
          <cell r="H2175" t="str">
            <v/>
          </cell>
          <cell r="I2175" t="str">
            <v>İÇ</v>
          </cell>
          <cell r="J2175" t="str">
            <v>AVİZE.SARK</v>
          </cell>
          <cell r="K2175" t="str">
            <v>BONELLİ</v>
          </cell>
          <cell r="L2175" t="str">
            <v/>
          </cell>
          <cell r="M2175" t="str">
            <v/>
          </cell>
          <cell r="N2175" t="str">
            <v>HKA-25181</v>
          </cell>
          <cell r="O2175" t="str">
            <v>HEKA</v>
          </cell>
          <cell r="P2175" t="str">
            <v>ADET</v>
          </cell>
          <cell r="Q2175" t="str">
            <v>G9</v>
          </cell>
          <cell r="R2175" t="str">
            <v>METAL</v>
          </cell>
          <cell r="S2175" t="str">
            <v>ESKİTME</v>
          </cell>
          <cell r="T2175" t="str">
            <v>CAM</v>
          </cell>
          <cell r="U2175" t="str">
            <v>DOKULU</v>
          </cell>
          <cell r="AE2175" t="str">
            <v>66</v>
          </cell>
          <cell r="AF2175">
            <v>3</v>
          </cell>
          <cell r="AG2175" t="str">
            <v>ADET</v>
          </cell>
          <cell r="AH2175">
            <v>7178.5</v>
          </cell>
          <cell r="AI2175" t="str">
            <v>CNY</v>
          </cell>
          <cell r="AL2175">
            <v>1</v>
          </cell>
          <cell r="AM2175" t="str">
            <v>8684127518215</v>
          </cell>
          <cell r="AO2175">
            <v>0</v>
          </cell>
          <cell r="AQ2175">
            <v>130</v>
          </cell>
          <cell r="AR2175" t="str">
            <v>CM</v>
          </cell>
          <cell r="AS2175">
            <v>130</v>
          </cell>
          <cell r="AT2175" t="str">
            <v>CM</v>
          </cell>
          <cell r="AU2175">
            <v>0</v>
          </cell>
          <cell r="AW2175">
            <v>0</v>
          </cell>
        </row>
        <row r="2176">
          <cell r="B2176" t="str">
            <v>H1C6VRVWRF1-042</v>
          </cell>
          <cell r="C2176" t="str">
            <v>NOMİ MERMER ESKİTME SARKIT</v>
          </cell>
          <cell r="D2176" t="str">
            <v>NOMİ MARBLE BRUSHED BRASS PENDANT</v>
          </cell>
          <cell r="E2176" t="str">
            <v>DERİ MERMER KAHVERENGİ BEYAZ</v>
          </cell>
          <cell r="F2176" t="str">
            <v/>
          </cell>
          <cell r="G2176" t="str">
            <v>AVİZE</v>
          </cell>
          <cell r="H2176" t="str">
            <v/>
          </cell>
          <cell r="I2176" t="str">
            <v>İÇ</v>
          </cell>
          <cell r="J2176" t="str">
            <v>AVİZE.SARK</v>
          </cell>
          <cell r="K2176" t="str">
            <v>NOMİ</v>
          </cell>
          <cell r="L2176" t="str">
            <v/>
          </cell>
          <cell r="M2176" t="str">
            <v/>
          </cell>
          <cell r="N2176" t="str">
            <v>HKA-25188</v>
          </cell>
          <cell r="O2176" t="str">
            <v>HEKA</v>
          </cell>
          <cell r="P2176" t="str">
            <v>ADET</v>
          </cell>
          <cell r="Q2176" t="str">
            <v>LED</v>
          </cell>
          <cell r="R2176" t="str">
            <v>DERİ</v>
          </cell>
          <cell r="S2176" t="str">
            <v>KAHVERENGİ</v>
          </cell>
          <cell r="T2176" t="str">
            <v>MERMER</v>
          </cell>
          <cell r="U2176" t="str">
            <v>BEYAZ</v>
          </cell>
          <cell r="Z2176" t="str">
            <v>3000 K</v>
          </cell>
          <cell r="AA2176" t="str">
            <v>DIMMSIZ</v>
          </cell>
          <cell r="AD2176" t="str">
            <v>TEKLİ</v>
          </cell>
          <cell r="AE2176" t="str">
            <v>01</v>
          </cell>
          <cell r="AF2176">
            <v>80</v>
          </cell>
          <cell r="AG2176" t="str">
            <v>ADET</v>
          </cell>
          <cell r="AH2176">
            <v>228.8</v>
          </cell>
          <cell r="AI2176" t="str">
            <v>CNY</v>
          </cell>
          <cell r="AL2176">
            <v>1</v>
          </cell>
          <cell r="AM2176" t="str">
            <v>8684127518314</v>
          </cell>
          <cell r="AO2176">
            <v>0</v>
          </cell>
          <cell r="AQ2176">
            <v>8</v>
          </cell>
          <cell r="AR2176" t="str">
            <v>CM</v>
          </cell>
          <cell r="AS2176">
            <v>8</v>
          </cell>
          <cell r="AT2176" t="str">
            <v>CM</v>
          </cell>
          <cell r="AU2176">
            <v>0</v>
          </cell>
          <cell r="AW2176">
            <v>0</v>
          </cell>
        </row>
        <row r="2177">
          <cell r="B2177" t="str">
            <v>H1C6JRSERF0-024</v>
          </cell>
          <cell r="C2177" t="str">
            <v>MODİNA FÜME CAMLI SİYAH SARKIT 24CM</v>
          </cell>
          <cell r="D2177" t="str">
            <v>MODİNA LIGHT SMOKY GLASS BLACK PENDANT 24CM</v>
          </cell>
          <cell r="E2177" t="str">
            <v>METAL CAM SİYAH FÜME</v>
          </cell>
          <cell r="F2177" t="str">
            <v/>
          </cell>
          <cell r="G2177" t="str">
            <v>AVİZE</v>
          </cell>
          <cell r="H2177" t="str">
            <v/>
          </cell>
          <cell r="I2177" t="str">
            <v>İÇ</v>
          </cell>
          <cell r="J2177" t="str">
            <v>AVİZE.SARK</v>
          </cell>
          <cell r="K2177" t="str">
            <v>MODİNA</v>
          </cell>
          <cell r="L2177" t="str">
            <v/>
          </cell>
          <cell r="M2177" t="str">
            <v/>
          </cell>
          <cell r="N2177" t="str">
            <v>HKA-25198</v>
          </cell>
          <cell r="O2177" t="str">
            <v>HEKA</v>
          </cell>
          <cell r="P2177" t="str">
            <v>ADET</v>
          </cell>
          <cell r="Q2177" t="str">
            <v>LED</v>
          </cell>
          <cell r="R2177" t="str">
            <v>METAL</v>
          </cell>
          <cell r="S2177" t="str">
            <v>SİYAH</v>
          </cell>
          <cell r="T2177" t="str">
            <v>CAM</v>
          </cell>
          <cell r="U2177" t="str">
            <v>FÜME</v>
          </cell>
          <cell r="AA2177" t="str">
            <v>DIMMSIZ</v>
          </cell>
          <cell r="AE2177" t="str">
            <v>01</v>
          </cell>
          <cell r="AF2177">
            <v>200</v>
          </cell>
          <cell r="AG2177" t="str">
            <v>ADET</v>
          </cell>
          <cell r="AH2177">
            <v>88</v>
          </cell>
          <cell r="AI2177" t="str">
            <v>CNY</v>
          </cell>
          <cell r="AL2177">
            <v>1</v>
          </cell>
          <cell r="AM2177" t="str">
            <v>8684127518413</v>
          </cell>
          <cell r="AO2177">
            <v>0</v>
          </cell>
          <cell r="AQ2177">
            <v>24</v>
          </cell>
          <cell r="AR2177" t="str">
            <v>CM</v>
          </cell>
          <cell r="AS2177">
            <v>24</v>
          </cell>
          <cell r="AT2177" t="str">
            <v>CM</v>
          </cell>
          <cell r="AU2177">
            <v>0</v>
          </cell>
          <cell r="AW2177">
            <v>0</v>
          </cell>
        </row>
        <row r="2178">
          <cell r="B2178" t="str">
            <v>H1C6XBJERFO-044</v>
          </cell>
          <cell r="C2178" t="str">
            <v>SİENA TEKLİ BASIK FÜME CAM SARKIT 44CM</v>
          </cell>
          <cell r="D2178" t="str">
            <v xml:space="preserve">SİENA SINGLE FLATTENED SMOKY GLASS PENDANT 44CM </v>
          </cell>
          <cell r="E2178" t="str">
            <v>TRAVERTEN CAM BEJ FÜME</v>
          </cell>
          <cell r="F2178" t="str">
            <v/>
          </cell>
          <cell r="G2178" t="str">
            <v>AVİZE</v>
          </cell>
          <cell r="H2178" t="str">
            <v/>
          </cell>
          <cell r="I2178" t="str">
            <v>İÇ</v>
          </cell>
          <cell r="J2178" t="str">
            <v>AVİZE.SARK</v>
          </cell>
          <cell r="K2178" t="str">
            <v>SİENA</v>
          </cell>
          <cell r="L2178" t="str">
            <v>Y</v>
          </cell>
          <cell r="M2178" t="str">
            <v>20.04.2026</v>
          </cell>
          <cell r="N2178" t="str">
            <v>HKA-25027</v>
          </cell>
          <cell r="O2178" t="str">
            <v>HEKA</v>
          </cell>
          <cell r="P2178" t="str">
            <v>ADET</v>
          </cell>
          <cell r="Q2178" t="str">
            <v>LED</v>
          </cell>
          <cell r="R2178" t="str">
            <v>TRAVERTEN</v>
          </cell>
          <cell r="S2178" t="str">
            <v>BEJ</v>
          </cell>
          <cell r="T2178" t="str">
            <v>CAM</v>
          </cell>
          <cell r="U2178" t="str">
            <v>FÜME</v>
          </cell>
          <cell r="AA2178" t="str">
            <v>DIMMSIZ</v>
          </cell>
          <cell r="AD2178" t="str">
            <v>BASIK</v>
          </cell>
          <cell r="AF2178">
            <v>26</v>
          </cell>
          <cell r="AG2178" t="str">
            <v>ADET</v>
          </cell>
          <cell r="AH2178">
            <v>158</v>
          </cell>
          <cell r="AI2178" t="str">
            <v>CNY</v>
          </cell>
          <cell r="AJ2178">
            <v>9950</v>
          </cell>
          <cell r="AK2178" t="str">
            <v>TL</v>
          </cell>
          <cell r="AL2178">
            <v>1</v>
          </cell>
          <cell r="AM2178" t="str">
            <v>8684127518895</v>
          </cell>
          <cell r="AO2178">
            <v>0</v>
          </cell>
          <cell r="AQ2178">
            <v>25</v>
          </cell>
          <cell r="AR2178" t="str">
            <v>CM</v>
          </cell>
          <cell r="AS2178">
            <v>25</v>
          </cell>
          <cell r="AT2178" t="str">
            <v>CM</v>
          </cell>
          <cell r="AU2178">
            <v>0</v>
          </cell>
          <cell r="AW2178">
            <v>0</v>
          </cell>
        </row>
        <row r="2179">
          <cell r="B2179" t="str">
            <v>H1C6XMEERLO-044</v>
          </cell>
          <cell r="C2179" t="str">
            <v>SİENA TEKLİ BASIK BAL CAM SARKIT 44CM</v>
          </cell>
          <cell r="D2179" t="str">
            <v>SİENA SINGLE FLATTENED AMBER GLASS PENDANT 44CM</v>
          </cell>
          <cell r="E2179" t="str">
            <v>TRAVERTEN CAM ESKİTME BAL</v>
          </cell>
          <cell r="F2179" t="str">
            <v/>
          </cell>
          <cell r="G2179" t="str">
            <v>AVİZE</v>
          </cell>
          <cell r="H2179" t="str">
            <v/>
          </cell>
          <cell r="I2179" t="str">
            <v>İÇ</v>
          </cell>
          <cell r="J2179" t="str">
            <v>AVİZE.SARK</v>
          </cell>
          <cell r="K2179" t="str">
            <v>SİENA</v>
          </cell>
          <cell r="L2179" t="str">
            <v>Y</v>
          </cell>
          <cell r="M2179" t="str">
            <v>20.04.2026</v>
          </cell>
          <cell r="N2179" t="str">
            <v>HKA-25028</v>
          </cell>
          <cell r="O2179" t="str">
            <v>HEKA</v>
          </cell>
          <cell r="P2179" t="str">
            <v>ADET</v>
          </cell>
          <cell r="Q2179" t="str">
            <v>LED</v>
          </cell>
          <cell r="R2179" t="str">
            <v>TRAVERTEN</v>
          </cell>
          <cell r="S2179" t="str">
            <v>ESKİTME</v>
          </cell>
          <cell r="T2179" t="str">
            <v>CAM</v>
          </cell>
          <cell r="U2179" t="str">
            <v>BAL</v>
          </cell>
          <cell r="AA2179" t="str">
            <v>DIMMSIZ</v>
          </cell>
          <cell r="AD2179" t="str">
            <v>BASIK</v>
          </cell>
          <cell r="AF2179">
            <v>3</v>
          </cell>
          <cell r="AG2179" t="str">
            <v>ADET</v>
          </cell>
          <cell r="AH2179">
            <v>158</v>
          </cell>
          <cell r="AI2179" t="str">
            <v>CNY</v>
          </cell>
          <cell r="AJ2179">
            <v>9950</v>
          </cell>
          <cell r="AK2179" t="str">
            <v>TL</v>
          </cell>
          <cell r="AL2179">
            <v>1</v>
          </cell>
          <cell r="AM2179" t="str">
            <v>8684127518888</v>
          </cell>
          <cell r="AO2179">
            <v>0</v>
          </cell>
          <cell r="AQ2179">
            <v>25</v>
          </cell>
          <cell r="AR2179" t="str">
            <v>CM</v>
          </cell>
          <cell r="AS2179">
            <v>25</v>
          </cell>
          <cell r="AT2179" t="str">
            <v>CM</v>
          </cell>
          <cell r="AU2179">
            <v>0</v>
          </cell>
          <cell r="AW2179">
            <v>0</v>
          </cell>
        </row>
        <row r="2180">
          <cell r="B2180" t="str">
            <v>H1C6ERT0001-074</v>
          </cell>
          <cell r="C2180" t="str">
            <v>PERLA TURUNCU CAM SARKIT 74CM</v>
          </cell>
          <cell r="D2180" t="str">
            <v>PERLA ORANGE GLASS PENDANT 74CM</v>
          </cell>
          <cell r="E2180" t="str">
            <v>CAM YOK TURUNCU YOK</v>
          </cell>
          <cell r="F2180" t="str">
            <v/>
          </cell>
          <cell r="G2180" t="str">
            <v>AVİZE</v>
          </cell>
          <cell r="H2180" t="str">
            <v/>
          </cell>
          <cell r="I2180" t="str">
            <v>İÇ</v>
          </cell>
          <cell r="J2180" t="str">
            <v>AVİZE.SARK</v>
          </cell>
          <cell r="K2180" t="str">
            <v>PERLA</v>
          </cell>
          <cell r="L2180" t="str">
            <v/>
          </cell>
          <cell r="M2180" t="str">
            <v/>
          </cell>
          <cell r="N2180" t="str">
            <v>HKA-25152</v>
          </cell>
          <cell r="O2180" t="str">
            <v>HEKA</v>
          </cell>
          <cell r="P2180" t="str">
            <v>ADET</v>
          </cell>
          <cell r="Q2180" t="str">
            <v>LED</v>
          </cell>
          <cell r="R2180" t="str">
            <v>CAM</v>
          </cell>
          <cell r="S2180" t="str">
            <v>TURUNCU</v>
          </cell>
          <cell r="T2180" t="str">
            <v>YOK</v>
          </cell>
          <cell r="U2180" t="str">
            <v>YOK</v>
          </cell>
          <cell r="AA2180" t="str">
            <v>DIMMSIZ</v>
          </cell>
          <cell r="AD2180" t="str">
            <v>TEKLİ</v>
          </cell>
          <cell r="AE2180" t="str">
            <v>01</v>
          </cell>
          <cell r="AF2180">
            <v>40</v>
          </cell>
          <cell r="AG2180" t="str">
            <v>ADET</v>
          </cell>
          <cell r="AH2180">
            <v>285</v>
          </cell>
          <cell r="AI2180" t="str">
            <v>CNY</v>
          </cell>
          <cell r="AL2180">
            <v>1</v>
          </cell>
          <cell r="AM2180" t="str">
            <v>8684127517911</v>
          </cell>
          <cell r="AO2180">
            <v>0</v>
          </cell>
          <cell r="AQ2180">
            <v>16.399999999999999</v>
          </cell>
          <cell r="AR2180" t="str">
            <v>CM</v>
          </cell>
          <cell r="AS2180">
            <v>16.399999999999999</v>
          </cell>
          <cell r="AT2180" t="str">
            <v>CM</v>
          </cell>
          <cell r="AU2180">
            <v>0</v>
          </cell>
          <cell r="AW2180">
            <v>0</v>
          </cell>
        </row>
        <row r="2181">
          <cell r="B2181" t="str">
            <v>H1C6ERF0001-074</v>
          </cell>
          <cell r="C2181" t="str">
            <v>PERLA FÜME CAM SARKIT 74CM</v>
          </cell>
          <cell r="D2181" t="str">
            <v>PERLA LIGHT SMOKY GLASS PENDANT 74CM</v>
          </cell>
          <cell r="E2181" t="str">
            <v>CAM YOK FÜME YOK</v>
          </cell>
          <cell r="F2181" t="str">
            <v/>
          </cell>
          <cell r="G2181" t="str">
            <v>AVİZE</v>
          </cell>
          <cell r="H2181" t="str">
            <v/>
          </cell>
          <cell r="I2181" t="str">
            <v>İÇ</v>
          </cell>
          <cell r="J2181" t="str">
            <v>AVİZE.SARK</v>
          </cell>
          <cell r="K2181" t="str">
            <v>PERLA</v>
          </cell>
          <cell r="L2181" t="str">
            <v/>
          </cell>
          <cell r="M2181" t="str">
            <v/>
          </cell>
          <cell r="N2181" t="str">
            <v>HKA-25153</v>
          </cell>
          <cell r="O2181" t="str">
            <v>HEKA</v>
          </cell>
          <cell r="P2181" t="str">
            <v>ADET</v>
          </cell>
          <cell r="Q2181" t="str">
            <v>LED</v>
          </cell>
          <cell r="R2181" t="str">
            <v>CAM</v>
          </cell>
          <cell r="S2181" t="str">
            <v>FÜME</v>
          </cell>
          <cell r="T2181" t="str">
            <v>YOK</v>
          </cell>
          <cell r="U2181" t="str">
            <v>YOK</v>
          </cell>
          <cell r="AA2181" t="str">
            <v>DIMMSIZ</v>
          </cell>
          <cell r="AD2181" t="str">
            <v>TEKLİ</v>
          </cell>
          <cell r="AE2181" t="str">
            <v>01</v>
          </cell>
          <cell r="AF2181">
            <v>60</v>
          </cell>
          <cell r="AG2181" t="str">
            <v>ADET</v>
          </cell>
          <cell r="AH2181">
            <v>285</v>
          </cell>
          <cell r="AI2181" t="str">
            <v>CNY</v>
          </cell>
          <cell r="AL2181">
            <v>1</v>
          </cell>
          <cell r="AM2181" t="str">
            <v>8684127517935</v>
          </cell>
          <cell r="AO2181">
            <v>0</v>
          </cell>
          <cell r="AQ2181">
            <v>16.399999999999999</v>
          </cell>
          <cell r="AR2181" t="str">
            <v>CM</v>
          </cell>
          <cell r="AS2181">
            <v>16.399999999999999</v>
          </cell>
          <cell r="AT2181" t="str">
            <v>CM</v>
          </cell>
          <cell r="AU2181">
            <v>0</v>
          </cell>
          <cell r="AW2181">
            <v>0</v>
          </cell>
        </row>
        <row r="2182">
          <cell r="B2182" t="str">
            <v>H1C6KMPERV0-035</v>
          </cell>
          <cell r="C2182" t="str">
            <v>ARİETTA KAHVERENGİ KRİSTAL PLATİN SARKIT 35CM</v>
          </cell>
          <cell r="D2182" t="str">
            <v>ARİETTA BROWN CRYSTAL PLATINUM PENDANT 35CM</v>
          </cell>
          <cell r="E2182" t="str">
            <v>PASLANMAZ CAM PLATİN KAHVERENGİ</v>
          </cell>
          <cell r="F2182" t="str">
            <v/>
          </cell>
          <cell r="G2182" t="str">
            <v>AVİZE</v>
          </cell>
          <cell r="H2182" t="str">
            <v/>
          </cell>
          <cell r="I2182" t="str">
            <v>İÇ</v>
          </cell>
          <cell r="J2182" t="str">
            <v>AVİZE.SARK</v>
          </cell>
          <cell r="K2182" t="str">
            <v>ARİETTA</v>
          </cell>
          <cell r="L2182" t="str">
            <v/>
          </cell>
          <cell r="M2182" t="str">
            <v/>
          </cell>
          <cell r="N2182" t="str">
            <v>HKA-25086</v>
          </cell>
          <cell r="O2182" t="str">
            <v>HEKA</v>
          </cell>
          <cell r="P2182" t="str">
            <v>ADET</v>
          </cell>
          <cell r="Q2182" t="str">
            <v>LED</v>
          </cell>
          <cell r="R2182" t="str">
            <v>PASLANMAZ</v>
          </cell>
          <cell r="S2182" t="str">
            <v>PLATİN</v>
          </cell>
          <cell r="T2182" t="str">
            <v>CAM</v>
          </cell>
          <cell r="U2182" t="str">
            <v>KAHVERENGİ</v>
          </cell>
          <cell r="Z2182" t="str">
            <v>3000 K</v>
          </cell>
          <cell r="AA2182" t="str">
            <v>DIMMSIZ</v>
          </cell>
          <cell r="AE2182" t="str">
            <v>01</v>
          </cell>
          <cell r="AF2182">
            <v>20</v>
          </cell>
          <cell r="AG2182" t="str">
            <v>ADET</v>
          </cell>
          <cell r="AH2182">
            <v>529.1</v>
          </cell>
          <cell r="AI2182" t="str">
            <v>CNY</v>
          </cell>
          <cell r="AL2182">
            <v>1</v>
          </cell>
          <cell r="AM2182" t="str">
            <v>8684127518062</v>
          </cell>
          <cell r="AO2182">
            <v>0</v>
          </cell>
          <cell r="AQ2182">
            <v>35</v>
          </cell>
          <cell r="AR2182" t="str">
            <v>CM</v>
          </cell>
          <cell r="AS2182">
            <v>35</v>
          </cell>
          <cell r="AT2182" t="str">
            <v>CM</v>
          </cell>
          <cell r="AU2182">
            <v>0</v>
          </cell>
          <cell r="AW2182">
            <v>0</v>
          </cell>
        </row>
        <row r="2183">
          <cell r="B2183" t="str">
            <v>H1C6KMPERT0-035</v>
          </cell>
          <cell r="C2183" t="str">
            <v>ARİETTA TURUNCU KRİSTAL PLATİN SARKIT 35CM</v>
          </cell>
          <cell r="D2183" t="str">
            <v>ARİETTA ORANGE CRYSTAL PLATINUM PENDANT 35CM</v>
          </cell>
          <cell r="E2183" t="str">
            <v>PASLANMAZ CAM PLATİN TURUNCU</v>
          </cell>
          <cell r="F2183" t="str">
            <v/>
          </cell>
          <cell r="G2183" t="str">
            <v>AVİZE</v>
          </cell>
          <cell r="H2183" t="str">
            <v/>
          </cell>
          <cell r="I2183" t="str">
            <v>İÇ</v>
          </cell>
          <cell r="J2183" t="str">
            <v>AVİZE.SARK</v>
          </cell>
          <cell r="K2183" t="str">
            <v>ARİETTA</v>
          </cell>
          <cell r="L2183" t="str">
            <v/>
          </cell>
          <cell r="M2183" t="str">
            <v/>
          </cell>
          <cell r="N2183" t="str">
            <v>HKA-25087</v>
          </cell>
          <cell r="O2183" t="str">
            <v>HEKA</v>
          </cell>
          <cell r="P2183" t="str">
            <v>ADET</v>
          </cell>
          <cell r="Q2183" t="str">
            <v>LED</v>
          </cell>
          <cell r="R2183" t="str">
            <v>PASLANMAZ</v>
          </cell>
          <cell r="S2183" t="str">
            <v>PLATİN</v>
          </cell>
          <cell r="T2183" t="str">
            <v>CAM</v>
          </cell>
          <cell r="U2183" t="str">
            <v>TURUNCU</v>
          </cell>
          <cell r="Z2183" t="str">
            <v>3000 K</v>
          </cell>
          <cell r="AA2183" t="str">
            <v>DIMMSIZ</v>
          </cell>
          <cell r="AE2183" t="str">
            <v>01</v>
          </cell>
          <cell r="AF2183">
            <v>10</v>
          </cell>
          <cell r="AG2183" t="str">
            <v>ADET</v>
          </cell>
          <cell r="AH2183">
            <v>529.1</v>
          </cell>
          <cell r="AI2183" t="str">
            <v>CNY</v>
          </cell>
          <cell r="AL2183">
            <v>1</v>
          </cell>
          <cell r="AM2183" t="str">
            <v>8684127518079</v>
          </cell>
          <cell r="AO2183">
            <v>0</v>
          </cell>
          <cell r="AQ2183">
            <v>35</v>
          </cell>
          <cell r="AR2183" t="str">
            <v>CM</v>
          </cell>
          <cell r="AS2183">
            <v>35</v>
          </cell>
          <cell r="AT2183" t="str">
            <v>CM</v>
          </cell>
          <cell r="AU2183">
            <v>0</v>
          </cell>
          <cell r="AW2183">
            <v>0</v>
          </cell>
        </row>
        <row r="2184">
          <cell r="B2184" t="str">
            <v>H1C6JMEBCO0-040</v>
          </cell>
          <cell r="C2184" t="str">
            <v>ARTEA TEKLİ OPAL AKRİLİK SARKIT 40CM</v>
          </cell>
          <cell r="D2184" t="str">
            <v>ARTEA SINGLE OPAL ACYRLIC PENDANT 40CM</v>
          </cell>
          <cell r="E2184" t="str">
            <v>METAL AKRİLİK ESKİTME OPAL</v>
          </cell>
          <cell r="F2184" t="str">
            <v/>
          </cell>
          <cell r="G2184" t="str">
            <v>AVİZE</v>
          </cell>
          <cell r="H2184" t="str">
            <v/>
          </cell>
          <cell r="I2184" t="str">
            <v>İÇ</v>
          </cell>
          <cell r="J2184" t="str">
            <v>AVİZE.SARK</v>
          </cell>
          <cell r="K2184" t="str">
            <v>ARTEA</v>
          </cell>
          <cell r="L2184" t="str">
            <v/>
          </cell>
          <cell r="M2184" t="str">
            <v/>
          </cell>
          <cell r="N2184" t="str">
            <v>HKA-25170</v>
          </cell>
          <cell r="O2184" t="str">
            <v>HEKA</v>
          </cell>
          <cell r="P2184" t="str">
            <v>ADET</v>
          </cell>
          <cell r="Q2184" t="str">
            <v>LED</v>
          </cell>
          <cell r="R2184" t="str">
            <v>METAL</v>
          </cell>
          <cell r="S2184" t="str">
            <v>ESKİTME</v>
          </cell>
          <cell r="T2184" t="str">
            <v>AKRİLİK</v>
          </cell>
          <cell r="U2184" t="str">
            <v>OPAL</v>
          </cell>
          <cell r="Z2184" t="str">
            <v xml:space="preserve">2700 K </v>
          </cell>
          <cell r="AA2184" t="str">
            <v>DIMMSIZ</v>
          </cell>
          <cell r="AE2184" t="str">
            <v>01</v>
          </cell>
          <cell r="AF2184">
            <v>60</v>
          </cell>
          <cell r="AG2184" t="str">
            <v>ADET</v>
          </cell>
          <cell r="AH2184">
            <v>218.25</v>
          </cell>
          <cell r="AI2184" t="str">
            <v>CNY</v>
          </cell>
          <cell r="AL2184">
            <v>1</v>
          </cell>
          <cell r="AM2184" t="str">
            <v>8684127518109</v>
          </cell>
          <cell r="AO2184">
            <v>0</v>
          </cell>
          <cell r="AQ2184">
            <v>40</v>
          </cell>
          <cell r="AR2184" t="str">
            <v>CM</v>
          </cell>
          <cell r="AS2184">
            <v>40</v>
          </cell>
          <cell r="AT2184" t="str">
            <v>CM</v>
          </cell>
          <cell r="AU2184">
            <v>0</v>
          </cell>
          <cell r="AW2184">
            <v>0</v>
          </cell>
        </row>
        <row r="2185">
          <cell r="B2185" t="str">
            <v>H1F3JMEECD0-163</v>
          </cell>
          <cell r="C2185" t="str">
            <v>BONELLİ DOKULU CAM LAMBADER</v>
          </cell>
          <cell r="D2185" t="str">
            <v>BONELLİ TEXTURED GLASS FLOOR LAMP</v>
          </cell>
          <cell r="E2185" t="str">
            <v>METAL CAM ESKİTME DOKULU</v>
          </cell>
          <cell r="F2185" t="str">
            <v/>
          </cell>
          <cell r="G2185" t="str">
            <v>LAMBADER</v>
          </cell>
          <cell r="H2185" t="str">
            <v/>
          </cell>
          <cell r="I2185" t="str">
            <v>İÇ</v>
          </cell>
          <cell r="J2185" t="str">
            <v>LAMBADER</v>
          </cell>
          <cell r="K2185" t="str">
            <v>BONELLİ</v>
          </cell>
          <cell r="L2185" t="str">
            <v/>
          </cell>
          <cell r="M2185" t="str">
            <v/>
          </cell>
          <cell r="N2185" t="str">
            <v>HKA-25184</v>
          </cell>
          <cell r="O2185" t="str">
            <v>HEKA</v>
          </cell>
          <cell r="P2185" t="str">
            <v>ADET</v>
          </cell>
          <cell r="Q2185" t="str">
            <v>G9</v>
          </cell>
          <cell r="R2185" t="str">
            <v>METAL</v>
          </cell>
          <cell r="S2185" t="str">
            <v>ESKİTME</v>
          </cell>
          <cell r="T2185" t="str">
            <v>CAM</v>
          </cell>
          <cell r="U2185" t="str">
            <v>DOKULU</v>
          </cell>
          <cell r="AE2185" t="str">
            <v>04</v>
          </cell>
          <cell r="AF2185">
            <v>6</v>
          </cell>
          <cell r="AG2185" t="str">
            <v>ADET</v>
          </cell>
          <cell r="AH2185">
            <v>868</v>
          </cell>
          <cell r="AI2185" t="str">
            <v>CNY</v>
          </cell>
          <cell r="AL2185">
            <v>1</v>
          </cell>
          <cell r="AM2185" t="str">
            <v>8684127518246</v>
          </cell>
          <cell r="AO2185">
            <v>0</v>
          </cell>
          <cell r="AQ2185">
            <v>43</v>
          </cell>
          <cell r="AR2185" t="str">
            <v>CM</v>
          </cell>
          <cell r="AS2185">
            <v>43</v>
          </cell>
          <cell r="AT2185" t="str">
            <v>CM</v>
          </cell>
          <cell r="AU2185">
            <v>0</v>
          </cell>
          <cell r="AW2185">
            <v>0</v>
          </cell>
        </row>
        <row r="2186">
          <cell r="B2186" t="str">
            <v>H1C6JMEWRFV-130</v>
          </cell>
          <cell r="C2186" t="str">
            <v>LUCCA MERMER ESKİTME Y.MASASI AVİZE</v>
          </cell>
          <cell r="D2186" t="str">
            <v>LUCCA MARBLE BRUSHED BRASS DINNING ROOM CHANDELIER</v>
          </cell>
          <cell r="E2186" t="str">
            <v>METAL MERMER ESKİTME BEYAZ</v>
          </cell>
          <cell r="F2186" t="str">
            <v/>
          </cell>
          <cell r="G2186" t="str">
            <v>AVİZE</v>
          </cell>
          <cell r="H2186" t="str">
            <v/>
          </cell>
          <cell r="I2186" t="str">
            <v>İÇ</v>
          </cell>
          <cell r="J2186" t="str">
            <v>AVİZE</v>
          </cell>
          <cell r="K2186" t="str">
            <v>LUCCA</v>
          </cell>
          <cell r="L2186" t="str">
            <v/>
          </cell>
          <cell r="M2186" t="str">
            <v/>
          </cell>
          <cell r="N2186" t="str">
            <v>HKA-25185</v>
          </cell>
          <cell r="O2186" t="str">
            <v>HEKA</v>
          </cell>
          <cell r="P2186" t="str">
            <v>ADET</v>
          </cell>
          <cell r="Q2186" t="str">
            <v>LED</v>
          </cell>
          <cell r="R2186" t="str">
            <v>METAL</v>
          </cell>
          <cell r="S2186" t="str">
            <v>ESKİTME</v>
          </cell>
          <cell r="T2186" t="str">
            <v>MERMER</v>
          </cell>
          <cell r="U2186" t="str">
            <v>BEYAZ</v>
          </cell>
          <cell r="Z2186" t="str">
            <v>3000 K</v>
          </cell>
          <cell r="AD2186" t="str">
            <v>YAMUK</v>
          </cell>
          <cell r="AE2186" t="str">
            <v>01</v>
          </cell>
          <cell r="AF2186">
            <v>30</v>
          </cell>
          <cell r="AG2186" t="str">
            <v>ADET</v>
          </cell>
          <cell r="AH2186">
            <v>642.4</v>
          </cell>
          <cell r="AI2186" t="str">
            <v>CNY</v>
          </cell>
          <cell r="AL2186">
            <v>1</v>
          </cell>
          <cell r="AM2186" t="str">
            <v>8684127518284</v>
          </cell>
          <cell r="AO2186">
            <v>0</v>
          </cell>
          <cell r="AQ2186">
            <v>20</v>
          </cell>
          <cell r="AR2186" t="str">
            <v>CM</v>
          </cell>
          <cell r="AS2186">
            <v>130</v>
          </cell>
          <cell r="AT2186" t="str">
            <v>CM</v>
          </cell>
          <cell r="AU2186">
            <v>0</v>
          </cell>
          <cell r="AW2186">
            <v>0</v>
          </cell>
        </row>
        <row r="2187">
          <cell r="B2187" t="str">
            <v>H1C6JRSERFC-017</v>
          </cell>
          <cell r="C2187" t="str">
            <v>RUBY FÜME CAMLI SİYAH SİLİNDİR SARKIT</v>
          </cell>
          <cell r="D2187" t="str">
            <v>RUBY LIGHT SMOKY GLASS BLACK CYLINDER PENDANT</v>
          </cell>
          <cell r="E2187" t="str">
            <v>METAL CAM SİYAH FÜME</v>
          </cell>
          <cell r="F2187" t="str">
            <v/>
          </cell>
          <cell r="G2187" t="str">
            <v>AVİZE</v>
          </cell>
          <cell r="H2187" t="str">
            <v/>
          </cell>
          <cell r="I2187" t="str">
            <v>İÇ</v>
          </cell>
          <cell r="J2187" t="str">
            <v>AVİZE.SARK</v>
          </cell>
          <cell r="K2187" t="str">
            <v>RUBY</v>
          </cell>
          <cell r="L2187" t="str">
            <v/>
          </cell>
          <cell r="M2187" t="str">
            <v/>
          </cell>
          <cell r="N2187" t="str">
            <v>HKA-25201</v>
          </cell>
          <cell r="O2187" t="str">
            <v>HEKA</v>
          </cell>
          <cell r="P2187" t="str">
            <v>ADET</v>
          </cell>
          <cell r="Q2187" t="str">
            <v>LED</v>
          </cell>
          <cell r="R2187" t="str">
            <v>METAL</v>
          </cell>
          <cell r="S2187" t="str">
            <v>SİYAH</v>
          </cell>
          <cell r="T2187" t="str">
            <v>CAM</v>
          </cell>
          <cell r="U2187" t="str">
            <v>FÜME</v>
          </cell>
          <cell r="AA2187" t="str">
            <v>DIMMSIZ</v>
          </cell>
          <cell r="AD2187" t="str">
            <v>SİLİNDİR</v>
          </cell>
          <cell r="AE2187" t="str">
            <v>01</v>
          </cell>
          <cell r="AF2187">
            <v>100</v>
          </cell>
          <cell r="AG2187" t="str">
            <v>ADET</v>
          </cell>
          <cell r="AH2187">
            <v>87</v>
          </cell>
          <cell r="AI2187" t="str">
            <v>CNY</v>
          </cell>
          <cell r="AL2187">
            <v>1</v>
          </cell>
          <cell r="AM2187" t="str">
            <v>8684127518444</v>
          </cell>
          <cell r="AO2187">
            <v>0</v>
          </cell>
          <cell r="AQ2187">
            <v>17</v>
          </cell>
          <cell r="AR2187" t="str">
            <v>CM</v>
          </cell>
          <cell r="AS2187">
            <v>17</v>
          </cell>
          <cell r="AT2187" t="str">
            <v>CM</v>
          </cell>
          <cell r="AU2187">
            <v>0</v>
          </cell>
          <cell r="AW2187">
            <v>0</v>
          </cell>
        </row>
        <row r="2188">
          <cell r="B2188" t="str">
            <v>H1T6JMEWRFP-050</v>
          </cell>
          <cell r="C2188" t="str">
            <v>ANVERS BEYAZ MERMER ESKİTME MASA LAMBASI</v>
          </cell>
          <cell r="D2188" t="str">
            <v>ANVERS WHITE MARBLE BRUSHED BRASS TABLE LAMP</v>
          </cell>
          <cell r="E2188" t="str">
            <v>METAL MERMER ESKİTME BEYAZ</v>
          </cell>
          <cell r="F2188" t="str">
            <v/>
          </cell>
          <cell r="G2188" t="str">
            <v>MASA LAMBASI</v>
          </cell>
          <cell r="H2188" t="str">
            <v/>
          </cell>
          <cell r="I2188" t="str">
            <v>İÇ</v>
          </cell>
          <cell r="J2188" t="str">
            <v>MASAABAJ</v>
          </cell>
          <cell r="K2188" t="str">
            <v>ANVERS</v>
          </cell>
          <cell r="L2188" t="str">
            <v/>
          </cell>
          <cell r="M2188" t="str">
            <v/>
          </cell>
          <cell r="N2188" t="str">
            <v>HKA-25202</v>
          </cell>
          <cell r="O2188" t="str">
            <v>HEKA</v>
          </cell>
          <cell r="P2188" t="str">
            <v>ADET</v>
          </cell>
          <cell r="Q2188" t="str">
            <v>LED</v>
          </cell>
          <cell r="R2188" t="str">
            <v>METAL</v>
          </cell>
          <cell r="S2188" t="str">
            <v>ESKİTME</v>
          </cell>
          <cell r="T2188" t="str">
            <v>MERMER</v>
          </cell>
          <cell r="U2188" t="str">
            <v>BEYAZ</v>
          </cell>
          <cell r="AA2188" t="str">
            <v>DIMMSIZ</v>
          </cell>
          <cell r="AD2188" t="str">
            <v>POLİGONAL</v>
          </cell>
          <cell r="AE2188" t="str">
            <v>01</v>
          </cell>
          <cell r="AF2188">
            <v>6</v>
          </cell>
          <cell r="AG2188" t="str">
            <v>ADET</v>
          </cell>
          <cell r="AH2188">
            <v>315</v>
          </cell>
          <cell r="AI2188" t="str">
            <v>CNY</v>
          </cell>
          <cell r="AL2188">
            <v>0</v>
          </cell>
          <cell r="AM2188" t="str">
            <v>8684127518451</v>
          </cell>
          <cell r="AO2188">
            <v>0</v>
          </cell>
          <cell r="AQ2188">
            <v>0</v>
          </cell>
          <cell r="AS2188">
            <v>15</v>
          </cell>
          <cell r="AT2188" t="str">
            <v>CM</v>
          </cell>
          <cell r="AU2188">
            <v>0</v>
          </cell>
          <cell r="AW2188">
            <v>0</v>
          </cell>
        </row>
        <row r="2189">
          <cell r="B2189" t="str">
            <v>AVFVJMG0005-031</v>
          </cell>
          <cell r="C2189" t="str">
            <v>GRADIA METAL GOLD UZUN VAZO 34CM</v>
          </cell>
          <cell r="D2189" t="str">
            <v>GRADIA METAL GOLD LONG VASE 34CM</v>
          </cell>
          <cell r="E2189" t="str">
            <v>METAL YOK GOLD YOK</v>
          </cell>
          <cell r="F2189" t="str">
            <v/>
          </cell>
          <cell r="G2189" t="str">
            <v>AKSESUAR</v>
          </cell>
          <cell r="H2189" t="str">
            <v/>
          </cell>
          <cell r="I2189" t="str">
            <v>İÇ</v>
          </cell>
          <cell r="J2189" t="str">
            <v>AKSESUAR</v>
          </cell>
          <cell r="K2189" t="str">
            <v>GRADIA</v>
          </cell>
          <cell r="L2189" t="str">
            <v/>
          </cell>
          <cell r="M2189" t="str">
            <v/>
          </cell>
          <cell r="N2189" t="str">
            <v>HKA-250037</v>
          </cell>
          <cell r="O2189" t="str">
            <v>HEKA</v>
          </cell>
          <cell r="P2189" t="str">
            <v>ADET</v>
          </cell>
          <cell r="R2189" t="str">
            <v>METAL</v>
          </cell>
          <cell r="S2189" t="str">
            <v>GOLD</v>
          </cell>
          <cell r="T2189" t="str">
            <v>YOK</v>
          </cell>
          <cell r="U2189" t="str">
            <v>YOK</v>
          </cell>
          <cell r="AD2189" t="str">
            <v>VAZO</v>
          </cell>
          <cell r="AF2189">
            <v>1</v>
          </cell>
          <cell r="AG2189" t="str">
            <v>ADET</v>
          </cell>
          <cell r="AH2189">
            <v>2380.13</v>
          </cell>
          <cell r="AI2189" t="str">
            <v>TL</v>
          </cell>
          <cell r="AJ2189">
            <v>5712.3119999999999</v>
          </cell>
          <cell r="AK2189" t="str">
            <v>TL</v>
          </cell>
          <cell r="AL2189">
            <v>0</v>
          </cell>
          <cell r="AO2189">
            <v>0</v>
          </cell>
          <cell r="AQ2189">
            <v>17</v>
          </cell>
          <cell r="AR2189" t="str">
            <v>CM</v>
          </cell>
          <cell r="AS2189">
            <v>17</v>
          </cell>
          <cell r="AT2189" t="str">
            <v>CM</v>
          </cell>
          <cell r="AU2189">
            <v>0</v>
          </cell>
          <cell r="AW2189">
            <v>0</v>
          </cell>
        </row>
        <row r="2190">
          <cell r="B2190" t="str">
            <v>ADFVHBJ0008-022</v>
          </cell>
          <cell r="C2190" t="str">
            <v>LOFTİS MODERN HOME KİTAP KUTU</v>
          </cell>
          <cell r="D2190" t="str">
            <v>LOFTİS MODERN HOME BOOK BOX</v>
          </cell>
          <cell r="E2190" t="str">
            <v>KUMAŞ YOK BEJ YOK</v>
          </cell>
          <cell r="F2190" t="str">
            <v/>
          </cell>
          <cell r="G2190" t="str">
            <v>AKSESUAR</v>
          </cell>
          <cell r="H2190" t="str">
            <v/>
          </cell>
          <cell r="I2190" t="str">
            <v>İÇ</v>
          </cell>
          <cell r="J2190" t="str">
            <v>AKSESUAR</v>
          </cell>
          <cell r="K2190" t="str">
            <v>LOFTİS</v>
          </cell>
          <cell r="L2190" t="str">
            <v/>
          </cell>
          <cell r="M2190" t="str">
            <v/>
          </cell>
          <cell r="N2190" t="str">
            <v>HKA-250040</v>
          </cell>
          <cell r="O2190" t="str">
            <v>HEKA</v>
          </cell>
          <cell r="P2190" t="str">
            <v>ADET</v>
          </cell>
          <cell r="R2190" t="str">
            <v>KUMAŞ</v>
          </cell>
          <cell r="S2190" t="str">
            <v>BEJ</v>
          </cell>
          <cell r="T2190" t="str">
            <v>YOK</v>
          </cell>
          <cell r="U2190" t="str">
            <v>YOK</v>
          </cell>
          <cell r="AD2190" t="str">
            <v>DESENLİ</v>
          </cell>
          <cell r="AF2190">
            <v>1</v>
          </cell>
          <cell r="AG2190" t="str">
            <v>ADET</v>
          </cell>
          <cell r="AH2190">
            <v>696.96</v>
          </cell>
          <cell r="AI2190" t="str">
            <v>TL</v>
          </cell>
          <cell r="AJ2190">
            <v>1672.704</v>
          </cell>
          <cell r="AK2190" t="str">
            <v>TL</v>
          </cell>
          <cell r="AL2190">
            <v>0</v>
          </cell>
          <cell r="AO2190">
            <v>0</v>
          </cell>
          <cell r="AQ2190">
            <v>4</v>
          </cell>
          <cell r="AR2190" t="str">
            <v>CM</v>
          </cell>
          <cell r="AS2190">
            <v>28.5</v>
          </cell>
          <cell r="AT2190" t="str">
            <v>CM</v>
          </cell>
          <cell r="AU2190">
            <v>0</v>
          </cell>
          <cell r="AW2190">
            <v>0</v>
          </cell>
        </row>
        <row r="2191">
          <cell r="B2191" t="str">
            <v>H1C6JMPERL0-038</v>
          </cell>
          <cell r="C2191" t="str">
            <v>NOVELLA TEKLİ BAL CAM SARKIT 38CM</v>
          </cell>
          <cell r="D2191" t="str">
            <v>NOVELLA SINGLE AMBER GLASS PENDANT 38CM</v>
          </cell>
          <cell r="E2191" t="str">
            <v>METAL CAM PLATİN BAL</v>
          </cell>
          <cell r="F2191" t="str">
            <v/>
          </cell>
          <cell r="G2191" t="str">
            <v>AVİZE</v>
          </cell>
          <cell r="H2191" t="str">
            <v/>
          </cell>
          <cell r="I2191" t="str">
            <v>İÇ</v>
          </cell>
          <cell r="J2191" t="str">
            <v>AVİZE.SARK</v>
          </cell>
          <cell r="K2191" t="str">
            <v>NOVELLA</v>
          </cell>
          <cell r="L2191" t="str">
            <v/>
          </cell>
          <cell r="M2191" t="str">
            <v/>
          </cell>
          <cell r="N2191" t="str">
            <v>HKA-25177</v>
          </cell>
          <cell r="O2191" t="str">
            <v>HEKA</v>
          </cell>
          <cell r="P2191" t="str">
            <v>ADET</v>
          </cell>
          <cell r="Q2191" t="str">
            <v>LED</v>
          </cell>
          <cell r="R2191" t="str">
            <v>METAL</v>
          </cell>
          <cell r="S2191" t="str">
            <v>PLATİN</v>
          </cell>
          <cell r="T2191" t="str">
            <v>CAM</v>
          </cell>
          <cell r="U2191" t="str">
            <v>BAL</v>
          </cell>
          <cell r="Z2191" t="str">
            <v xml:space="preserve">2700 K </v>
          </cell>
          <cell r="AA2191" t="str">
            <v>DIMMSIZ</v>
          </cell>
          <cell r="AE2191" t="str">
            <v>01</v>
          </cell>
          <cell r="AF2191">
            <v>50</v>
          </cell>
          <cell r="AG2191" t="str">
            <v>ADET</v>
          </cell>
          <cell r="AH2191">
            <v>198.85</v>
          </cell>
          <cell r="AI2191" t="str">
            <v>CNY</v>
          </cell>
          <cell r="AL2191">
            <v>1</v>
          </cell>
          <cell r="AM2191" t="str">
            <v>8684127518178</v>
          </cell>
          <cell r="AO2191">
            <v>0</v>
          </cell>
          <cell r="AQ2191">
            <v>38</v>
          </cell>
          <cell r="AR2191" t="str">
            <v>CM</v>
          </cell>
          <cell r="AS2191">
            <v>38</v>
          </cell>
          <cell r="AT2191" t="str">
            <v>CM</v>
          </cell>
          <cell r="AU2191">
            <v>0</v>
          </cell>
          <cell r="AW2191">
            <v>0</v>
          </cell>
        </row>
        <row r="2192">
          <cell r="B2192" t="str">
            <v>H1C6WRFJMEU-040</v>
          </cell>
          <cell r="C2192" t="str">
            <v>ARON MERMER SARKIT 40CM</v>
          </cell>
          <cell r="D2192" t="str">
            <v>ARON MARBLE PENDANT 40CM</v>
          </cell>
          <cell r="E2192" t="str">
            <v>MERMER METAL BEYAZ ESKİTME</v>
          </cell>
          <cell r="F2192" t="str">
            <v/>
          </cell>
          <cell r="G2192" t="str">
            <v>AVİZE</v>
          </cell>
          <cell r="H2192" t="str">
            <v/>
          </cell>
          <cell r="I2192" t="str">
            <v>İÇ</v>
          </cell>
          <cell r="J2192" t="str">
            <v>AVİZE.SARK</v>
          </cell>
          <cell r="K2192" t="str">
            <v>ARON</v>
          </cell>
          <cell r="L2192" t="str">
            <v/>
          </cell>
          <cell r="M2192" t="str">
            <v/>
          </cell>
          <cell r="N2192" t="str">
            <v>HKA-25192</v>
          </cell>
          <cell r="O2192" t="str">
            <v>HEKA</v>
          </cell>
          <cell r="P2192" t="str">
            <v>ADET</v>
          </cell>
          <cell r="Q2192" t="str">
            <v>LED</v>
          </cell>
          <cell r="R2192" t="str">
            <v>MERMER</v>
          </cell>
          <cell r="S2192" t="str">
            <v>BEYAZ</v>
          </cell>
          <cell r="T2192" t="str">
            <v>METAL</v>
          </cell>
          <cell r="U2192" t="str">
            <v>ESKİTME</v>
          </cell>
          <cell r="Z2192" t="str">
            <v>3000 K</v>
          </cell>
          <cell r="AA2192" t="str">
            <v>DIMMSIZ</v>
          </cell>
          <cell r="AD2192" t="str">
            <v>ÜÇGEN</v>
          </cell>
          <cell r="AE2192" t="str">
            <v>01</v>
          </cell>
          <cell r="AF2192">
            <v>60</v>
          </cell>
          <cell r="AG2192" t="str">
            <v>ADET</v>
          </cell>
          <cell r="AH2192">
            <v>198</v>
          </cell>
          <cell r="AI2192" t="str">
            <v>CNY</v>
          </cell>
          <cell r="AL2192">
            <v>1</v>
          </cell>
          <cell r="AM2192" t="str">
            <v>8684127518352</v>
          </cell>
          <cell r="AO2192">
            <v>0</v>
          </cell>
          <cell r="AQ2192">
            <v>8</v>
          </cell>
          <cell r="AR2192" t="str">
            <v>CM</v>
          </cell>
          <cell r="AS2192">
            <v>12</v>
          </cell>
          <cell r="AT2192" t="str">
            <v>CM</v>
          </cell>
          <cell r="AU2192">
            <v>0</v>
          </cell>
          <cell r="AW2192">
            <v>0</v>
          </cell>
        </row>
        <row r="2193">
          <cell r="B2193" t="str">
            <v>H1C6WRFJMER-080</v>
          </cell>
          <cell r="C2193" t="str">
            <v>HUGGER MERMER ESKİTME SALON AVİZE</v>
          </cell>
          <cell r="D2193" t="str">
            <v>HUGGER MARBLE BRUSHED BRASS LIVING ROOM CHANDELIER</v>
          </cell>
          <cell r="E2193" t="str">
            <v>MERMER METAL BEYAZ ESKİTME</v>
          </cell>
          <cell r="F2193" t="str">
            <v/>
          </cell>
          <cell r="G2193" t="str">
            <v>AVİZE</v>
          </cell>
          <cell r="H2193" t="str">
            <v/>
          </cell>
          <cell r="I2193" t="str">
            <v>İÇ</v>
          </cell>
          <cell r="J2193" t="str">
            <v>AVİZE</v>
          </cell>
          <cell r="K2193" t="str">
            <v>HUGGER</v>
          </cell>
          <cell r="L2193" t="str">
            <v/>
          </cell>
          <cell r="M2193" t="str">
            <v/>
          </cell>
          <cell r="N2193" t="str">
            <v>HKA-25194</v>
          </cell>
          <cell r="O2193" t="str">
            <v>HEKA</v>
          </cell>
          <cell r="P2193" t="str">
            <v>ADET</v>
          </cell>
          <cell r="Q2193" t="str">
            <v>LED</v>
          </cell>
          <cell r="R2193" t="str">
            <v>MERMER</v>
          </cell>
          <cell r="S2193" t="str">
            <v>BEYAZ</v>
          </cell>
          <cell r="T2193" t="str">
            <v>METAL</v>
          </cell>
          <cell r="U2193" t="str">
            <v>ESKİTME</v>
          </cell>
          <cell r="Z2193" t="str">
            <v>3000 K</v>
          </cell>
          <cell r="AA2193" t="str">
            <v>DIMMSIZ</v>
          </cell>
          <cell r="AD2193" t="str">
            <v>DAİRE</v>
          </cell>
          <cell r="AE2193" t="str">
            <v>01</v>
          </cell>
          <cell r="AF2193">
            <v>6</v>
          </cell>
          <cell r="AG2193" t="str">
            <v>ADET</v>
          </cell>
          <cell r="AH2193">
            <v>1654.4</v>
          </cell>
          <cell r="AI2193" t="str">
            <v>CNY</v>
          </cell>
          <cell r="AL2193">
            <v>0</v>
          </cell>
          <cell r="AM2193" t="str">
            <v>8684127518376</v>
          </cell>
          <cell r="AO2193">
            <v>0</v>
          </cell>
          <cell r="AQ2193">
            <v>80</v>
          </cell>
          <cell r="AR2193" t="str">
            <v>CM</v>
          </cell>
          <cell r="AS2193">
            <v>80</v>
          </cell>
          <cell r="AT2193" t="str">
            <v>CM</v>
          </cell>
          <cell r="AU2193">
            <v>0</v>
          </cell>
          <cell r="AW2193">
            <v>0</v>
          </cell>
        </row>
        <row r="2194">
          <cell r="B2194" t="str">
            <v>H1F6JMEWRFR-165</v>
          </cell>
          <cell r="C2194" t="str">
            <v>EKHO MERMER ESKİTME LAMBADER</v>
          </cell>
          <cell r="D2194" t="str">
            <v>EKHO MARBLE BRUSHED BRASS FLOOR LAMP</v>
          </cell>
          <cell r="E2194" t="str">
            <v>METAL MERMER ESKİTME BEYAZ</v>
          </cell>
          <cell r="F2194" t="str">
            <v/>
          </cell>
          <cell r="G2194" t="str">
            <v>LAMBADER</v>
          </cell>
          <cell r="H2194" t="str">
            <v/>
          </cell>
          <cell r="I2194" t="str">
            <v>İÇ</v>
          </cell>
          <cell r="J2194" t="str">
            <v>LAMBADER</v>
          </cell>
          <cell r="K2194" t="str">
            <v>EKHO</v>
          </cell>
          <cell r="L2194" t="str">
            <v/>
          </cell>
          <cell r="M2194" t="str">
            <v/>
          </cell>
          <cell r="N2194" t="str">
            <v>HKA-25208</v>
          </cell>
          <cell r="O2194" t="str">
            <v>HEKA</v>
          </cell>
          <cell r="P2194" t="str">
            <v>ADET</v>
          </cell>
          <cell r="Q2194" t="str">
            <v>LED</v>
          </cell>
          <cell r="R2194" t="str">
            <v>METAL</v>
          </cell>
          <cell r="S2194" t="str">
            <v>ESKİTME</v>
          </cell>
          <cell r="T2194" t="str">
            <v>MERMER</v>
          </cell>
          <cell r="U2194" t="str">
            <v>BEYAZ</v>
          </cell>
          <cell r="AA2194" t="str">
            <v>DIMMSIZ</v>
          </cell>
          <cell r="AD2194" t="str">
            <v>DAİRE</v>
          </cell>
          <cell r="AE2194" t="str">
            <v>01</v>
          </cell>
          <cell r="AF2194">
            <v>10</v>
          </cell>
          <cell r="AG2194" t="str">
            <v>ADET</v>
          </cell>
          <cell r="AH2194">
            <v>765</v>
          </cell>
          <cell r="AI2194" t="str">
            <v>CNY</v>
          </cell>
          <cell r="AL2194">
            <v>0</v>
          </cell>
          <cell r="AM2194" t="str">
            <v>8684127518512</v>
          </cell>
          <cell r="AO2194">
            <v>0</v>
          </cell>
          <cell r="AQ2194">
            <v>0</v>
          </cell>
          <cell r="AS2194">
            <v>40</v>
          </cell>
          <cell r="AT2194" t="str">
            <v>CM</v>
          </cell>
          <cell r="AU2194">
            <v>0</v>
          </cell>
          <cell r="AW2194">
            <v>0</v>
          </cell>
        </row>
        <row r="2195">
          <cell r="B2195" t="str">
            <v>AVFVJM20005-105</v>
          </cell>
          <cell r="C2195" t="str">
            <v>TERRANOVA KAPAKLI VAZO 105CM</v>
          </cell>
          <cell r="D2195" t="str">
            <v>TERRANOVA POTICHE 105CM</v>
          </cell>
          <cell r="E2195" t="str">
            <v>METAL YOK BAKIR ESKİTME YOK</v>
          </cell>
          <cell r="F2195" t="str">
            <v/>
          </cell>
          <cell r="G2195" t="str">
            <v>AKSESUAR</v>
          </cell>
          <cell r="H2195" t="str">
            <v/>
          </cell>
          <cell r="I2195" t="str">
            <v>İÇ</v>
          </cell>
          <cell r="J2195" t="str">
            <v>AKSESUAR</v>
          </cell>
          <cell r="K2195" t="str">
            <v>TERRANOVA</v>
          </cell>
          <cell r="L2195" t="str">
            <v/>
          </cell>
          <cell r="M2195" t="str">
            <v/>
          </cell>
          <cell r="N2195" t="str">
            <v>HKA-250031</v>
          </cell>
          <cell r="O2195" t="str">
            <v>HEKA</v>
          </cell>
          <cell r="P2195" t="str">
            <v>ADET</v>
          </cell>
          <cell r="R2195" t="str">
            <v>METAL</v>
          </cell>
          <cell r="S2195" t="str">
            <v>BAKIR ESKİTME</v>
          </cell>
          <cell r="T2195" t="str">
            <v>YOK</v>
          </cell>
          <cell r="U2195" t="str">
            <v>YOK</v>
          </cell>
          <cell r="AD2195" t="str">
            <v>VAZO</v>
          </cell>
          <cell r="AF2195">
            <v>1</v>
          </cell>
          <cell r="AG2195" t="str">
            <v>ADET</v>
          </cell>
          <cell r="AH2195">
            <v>8363.52</v>
          </cell>
          <cell r="AI2195" t="str">
            <v>TL</v>
          </cell>
          <cell r="AJ2195">
            <v>20072.448</v>
          </cell>
          <cell r="AK2195" t="str">
            <v>TL</v>
          </cell>
          <cell r="AL2195">
            <v>0</v>
          </cell>
          <cell r="AO2195">
            <v>0</v>
          </cell>
          <cell r="AQ2195">
            <v>105</v>
          </cell>
          <cell r="AR2195" t="str">
            <v>CM</v>
          </cell>
          <cell r="AS2195">
            <v>25</v>
          </cell>
          <cell r="AT2195" t="str">
            <v>CM</v>
          </cell>
          <cell r="AU2195">
            <v>0</v>
          </cell>
          <cell r="AW2195">
            <v>0</v>
          </cell>
        </row>
        <row r="2196">
          <cell r="B2196" t="str">
            <v>ADFVMRS000B-076</v>
          </cell>
          <cell r="C2196" t="str">
            <v>PEA YEŞİL BEZELYE ÇİÇEĞİ</v>
          </cell>
          <cell r="D2196" t="str">
            <v>PEA GREEN PEA FLOWER</v>
          </cell>
          <cell r="E2196" t="str">
            <v>POLİKARBON YOK YEŞİL YOK</v>
          </cell>
          <cell r="F2196" t="str">
            <v/>
          </cell>
          <cell r="G2196" t="str">
            <v>AKSESUAR</v>
          </cell>
          <cell r="H2196" t="str">
            <v/>
          </cell>
          <cell r="I2196" t="str">
            <v>İÇ</v>
          </cell>
          <cell r="J2196" t="str">
            <v>AKSESUAR</v>
          </cell>
          <cell r="K2196" t="str">
            <v>PEA</v>
          </cell>
          <cell r="L2196" t="str">
            <v/>
          </cell>
          <cell r="M2196" t="str">
            <v/>
          </cell>
          <cell r="N2196" t="str">
            <v>HKA-250046</v>
          </cell>
          <cell r="O2196" t="str">
            <v>HEKA</v>
          </cell>
          <cell r="P2196" t="str">
            <v>ADET</v>
          </cell>
          <cell r="R2196" t="str">
            <v>POLİKARBON</v>
          </cell>
          <cell r="S2196" t="str">
            <v>YEŞİL</v>
          </cell>
          <cell r="T2196" t="str">
            <v>YOK</v>
          </cell>
          <cell r="U2196" t="str">
            <v>YOK</v>
          </cell>
          <cell r="AD2196" t="str">
            <v>BUKLE</v>
          </cell>
          <cell r="AG2196" t="str">
            <v>ADET</v>
          </cell>
          <cell r="AH2196">
            <v>260.8</v>
          </cell>
          <cell r="AI2196" t="str">
            <v>TL</v>
          </cell>
          <cell r="AJ2196">
            <v>625.91999999999996</v>
          </cell>
          <cell r="AK2196" t="str">
            <v>TL</v>
          </cell>
          <cell r="AL2196">
            <v>0</v>
          </cell>
          <cell r="AO2196">
            <v>0</v>
          </cell>
          <cell r="AQ2196">
            <v>8</v>
          </cell>
          <cell r="AR2196" t="str">
            <v>CM</v>
          </cell>
          <cell r="AS2196">
            <v>25</v>
          </cell>
          <cell r="AT2196" t="str">
            <v>CM</v>
          </cell>
          <cell r="AU2196">
            <v>0</v>
          </cell>
          <cell r="AW2196">
            <v>0</v>
          </cell>
        </row>
        <row r="2197">
          <cell r="B2197" t="str">
            <v>ADFVMRS000T-076</v>
          </cell>
          <cell r="C2197" t="str">
            <v>PEA MOR BEZELYE ÇİÇEĞİ</v>
          </cell>
          <cell r="D2197" t="str">
            <v>PEA PURPLE PEA FLOWER</v>
          </cell>
          <cell r="E2197" t="str">
            <v/>
          </cell>
          <cell r="F2197" t="str">
            <v/>
          </cell>
          <cell r="G2197" t="str">
            <v>AKSESUAR</v>
          </cell>
          <cell r="H2197" t="str">
            <v/>
          </cell>
          <cell r="I2197" t="str">
            <v>İÇ</v>
          </cell>
          <cell r="J2197" t="str">
            <v>AKSESUAR</v>
          </cell>
          <cell r="K2197" t="str">
            <v>PEA</v>
          </cell>
          <cell r="L2197" t="str">
            <v/>
          </cell>
          <cell r="M2197" t="str">
            <v/>
          </cell>
          <cell r="N2197" t="str">
            <v>HKA-250048</v>
          </cell>
          <cell r="O2197" t="str">
            <v>HEKA</v>
          </cell>
          <cell r="P2197" t="str">
            <v>ADET</v>
          </cell>
          <cell r="R2197" t="str">
            <v>POLİKARBON</v>
          </cell>
          <cell r="S2197" t="str">
            <v>YEŞİL</v>
          </cell>
          <cell r="T2197" t="str">
            <v>YOK</v>
          </cell>
          <cell r="U2197" t="str">
            <v>YOK</v>
          </cell>
          <cell r="AD2197" t="str">
            <v>TEKLİ</v>
          </cell>
          <cell r="AF2197">
            <v>2</v>
          </cell>
          <cell r="AG2197" t="str">
            <v>ADET</v>
          </cell>
          <cell r="AH2197">
            <v>260.8</v>
          </cell>
          <cell r="AI2197" t="str">
            <v>TL</v>
          </cell>
          <cell r="AJ2197">
            <v>625.91999999999996</v>
          </cell>
          <cell r="AK2197" t="str">
            <v>TL</v>
          </cell>
          <cell r="AL2197">
            <v>0</v>
          </cell>
          <cell r="AO2197">
            <v>0</v>
          </cell>
          <cell r="AQ2197">
            <v>8</v>
          </cell>
          <cell r="AR2197" t="str">
            <v>CM</v>
          </cell>
          <cell r="AS2197">
            <v>25</v>
          </cell>
          <cell r="AT2197" t="str">
            <v>CM</v>
          </cell>
          <cell r="AU2197">
            <v>0</v>
          </cell>
          <cell r="AW2197">
            <v>0</v>
          </cell>
        </row>
        <row r="2198">
          <cell r="B2198" t="str">
            <v>3YCVGRB0004-025</v>
          </cell>
          <cell r="C2198" t="str">
            <v>BEYAZ BÜKÜMLÜ AVİZE CAMI 25CM</v>
          </cell>
          <cell r="D2198" t="str">
            <v>WHITE TWISTED PENDANT GLASS 25CM</v>
          </cell>
          <cell r="E2198" t="str">
            <v>CAM YOK BEYAZ YOK</v>
          </cell>
          <cell r="F2198" t="str">
            <v/>
          </cell>
          <cell r="G2198" t="str">
            <v>ZPARCA</v>
          </cell>
          <cell r="H2198" t="str">
            <v/>
          </cell>
          <cell r="I2198" t="str">
            <v>İÇ</v>
          </cell>
          <cell r="J2198" t="str">
            <v>ZPARCA</v>
          </cell>
          <cell r="K2198" t="str">
            <v>HEKA</v>
          </cell>
          <cell r="L2198" t="str">
            <v/>
          </cell>
          <cell r="M2198" t="str">
            <v/>
          </cell>
          <cell r="N2198" t="str">
            <v>HKA-250055</v>
          </cell>
          <cell r="O2198" t="str">
            <v>HEKA</v>
          </cell>
          <cell r="P2198" t="str">
            <v>ADET</v>
          </cell>
          <cell r="R2198" t="str">
            <v>CAM</v>
          </cell>
          <cell r="S2198" t="str">
            <v>BEYAZ</v>
          </cell>
          <cell r="T2198" t="str">
            <v>YOK</v>
          </cell>
          <cell r="U2198" t="str">
            <v>YOK</v>
          </cell>
          <cell r="AF2198">
            <v>250</v>
          </cell>
          <cell r="AG2198" t="str">
            <v>ADET</v>
          </cell>
          <cell r="AH2198">
            <v>16</v>
          </cell>
          <cell r="AI2198" t="str">
            <v>CNY</v>
          </cell>
          <cell r="AJ2198">
            <v>800</v>
          </cell>
          <cell r="AK2198" t="str">
            <v>TL</v>
          </cell>
          <cell r="AL2198">
            <v>0</v>
          </cell>
          <cell r="AO2198">
            <v>0</v>
          </cell>
          <cell r="AQ2198">
            <v>0</v>
          </cell>
          <cell r="AS2198">
            <v>5.5</v>
          </cell>
          <cell r="AT2198" t="str">
            <v>CM</v>
          </cell>
          <cell r="AU2198">
            <v>0</v>
          </cell>
          <cell r="AW2198">
            <v>0</v>
          </cell>
        </row>
        <row r="2199">
          <cell r="B2199" t="str">
            <v>3YCVGMG0004-020</v>
          </cell>
          <cell r="C2199" t="str">
            <v>GOLD BÜKÜMLÜ AVİZE CAMI 20CM</v>
          </cell>
          <cell r="D2199" t="str">
            <v>GOLD TWISTED PENDANT GLASS 20CM</v>
          </cell>
          <cell r="E2199" t="str">
            <v>CAM YOK BEYAZ YOK</v>
          </cell>
          <cell r="F2199" t="str">
            <v/>
          </cell>
          <cell r="G2199" t="str">
            <v>ZPARCA</v>
          </cell>
          <cell r="H2199" t="str">
            <v/>
          </cell>
          <cell r="I2199" t="str">
            <v>İÇ</v>
          </cell>
          <cell r="J2199" t="str">
            <v>ZPARCA</v>
          </cell>
          <cell r="K2199" t="str">
            <v>HEKA</v>
          </cell>
          <cell r="L2199" t="str">
            <v/>
          </cell>
          <cell r="M2199" t="str">
            <v/>
          </cell>
          <cell r="N2199" t="str">
            <v>HKA-250056</v>
          </cell>
          <cell r="O2199" t="str">
            <v>HEKA</v>
          </cell>
          <cell r="P2199" t="str">
            <v>ADET</v>
          </cell>
          <cell r="R2199" t="str">
            <v>CAM</v>
          </cell>
          <cell r="S2199" t="str">
            <v>BEYAZ</v>
          </cell>
          <cell r="T2199" t="str">
            <v>YOK</v>
          </cell>
          <cell r="U2199" t="str">
            <v>YOK</v>
          </cell>
          <cell r="AF2199">
            <v>200</v>
          </cell>
          <cell r="AG2199" t="str">
            <v>ADET</v>
          </cell>
          <cell r="AH2199">
            <v>13</v>
          </cell>
          <cell r="AI2199" t="str">
            <v>CNY</v>
          </cell>
          <cell r="AJ2199">
            <v>720</v>
          </cell>
          <cell r="AK2199" t="str">
            <v>TL</v>
          </cell>
          <cell r="AL2199">
            <v>0</v>
          </cell>
          <cell r="AO2199">
            <v>0</v>
          </cell>
          <cell r="AQ2199">
            <v>0</v>
          </cell>
          <cell r="AS2199">
            <v>6.5</v>
          </cell>
          <cell r="AT2199" t="str">
            <v>CM</v>
          </cell>
          <cell r="AU2199">
            <v>0</v>
          </cell>
          <cell r="AW2199">
            <v>0</v>
          </cell>
        </row>
        <row r="2200">
          <cell r="B2200" t="str">
            <v>H1W6VRVJMEH-050</v>
          </cell>
          <cell r="C2200" t="str">
            <v>SAMBRO KAHVERENGİ DERİ APLİK</v>
          </cell>
          <cell r="D2200" t="str">
            <v>SAMBRO BROWN LEATHER WALL LAMP</v>
          </cell>
          <cell r="E2200" t="str">
            <v>DERİ METAL KAHVERENGİ ESKİTMEDERİ METAL KAHVERENGİ ESKİTME</v>
          </cell>
          <cell r="F2200" t="str">
            <v/>
          </cell>
          <cell r="G2200" t="str">
            <v>OKUMA APLİKLERİ</v>
          </cell>
          <cell r="H2200" t="str">
            <v/>
          </cell>
          <cell r="I2200" t="str">
            <v>İÇ</v>
          </cell>
          <cell r="J2200" t="str">
            <v>OKUMA APLİ</v>
          </cell>
          <cell r="K2200" t="str">
            <v>SAMBRO</v>
          </cell>
          <cell r="L2200" t="str">
            <v>Y</v>
          </cell>
          <cell r="M2200" t="str">
            <v/>
          </cell>
          <cell r="N2200" t="str">
            <v>HKA-25224</v>
          </cell>
          <cell r="O2200" t="str">
            <v>HEKA</v>
          </cell>
          <cell r="P2200" t="str">
            <v>ADET</v>
          </cell>
          <cell r="Q2200" t="str">
            <v>LED</v>
          </cell>
          <cell r="R2200" t="str">
            <v>DERİ</v>
          </cell>
          <cell r="S2200" t="str">
            <v>KAHVERENGİ</v>
          </cell>
          <cell r="T2200" t="str">
            <v>METAL</v>
          </cell>
          <cell r="U2200" t="str">
            <v>ESKİTME</v>
          </cell>
          <cell r="AA2200" t="str">
            <v>DIMMSIZ</v>
          </cell>
          <cell r="AD2200" t="str">
            <v>HAREKETLİ</v>
          </cell>
          <cell r="AE2200" t="str">
            <v>01</v>
          </cell>
          <cell r="AF2200">
            <v>195</v>
          </cell>
          <cell r="AG2200" t="str">
            <v>ADET</v>
          </cell>
          <cell r="AH2200">
            <v>103</v>
          </cell>
          <cell r="AI2200" t="str">
            <v>CNY</v>
          </cell>
          <cell r="AJ2200">
            <v>203</v>
          </cell>
          <cell r="AK2200" t="str">
            <v>USD</v>
          </cell>
          <cell r="AL2200">
            <v>1</v>
          </cell>
          <cell r="AM2200" t="str">
            <v>8684127518550</v>
          </cell>
          <cell r="AO2200">
            <v>0</v>
          </cell>
          <cell r="AQ2200">
            <v>10</v>
          </cell>
          <cell r="AR2200" t="str">
            <v>CM</v>
          </cell>
          <cell r="AS2200">
            <v>5</v>
          </cell>
          <cell r="AT2200" t="str">
            <v>CM</v>
          </cell>
          <cell r="AU2200">
            <v>0</v>
          </cell>
          <cell r="AW2200">
            <v>0</v>
          </cell>
        </row>
        <row r="2201">
          <cell r="B2201" t="str">
            <v>H1C6JMEERL1-038</v>
          </cell>
          <cell r="C2201" t="str">
            <v>ONDA TEKLİ BAL CAM SARKIT</v>
          </cell>
          <cell r="D2201" t="str">
            <v>ONDA SINGLE AMBER GLASS PENDANT</v>
          </cell>
          <cell r="E2201" t="str">
            <v>METAL CAM ESKİTME BAL</v>
          </cell>
          <cell r="F2201" t="str">
            <v/>
          </cell>
          <cell r="G2201" t="str">
            <v>AVİZE</v>
          </cell>
          <cell r="H2201" t="str">
            <v/>
          </cell>
          <cell r="I2201" t="str">
            <v>İÇ</v>
          </cell>
          <cell r="J2201" t="str">
            <v>AVİZE.SARK</v>
          </cell>
          <cell r="K2201" t="str">
            <v>ONDA</v>
          </cell>
          <cell r="L2201" t="str">
            <v>Y</v>
          </cell>
          <cell r="M2201" t="str">
            <v/>
          </cell>
          <cell r="N2201" t="str">
            <v>HKA-25022</v>
          </cell>
          <cell r="O2201" t="str">
            <v>HEKA</v>
          </cell>
          <cell r="P2201" t="str">
            <v>ADET</v>
          </cell>
          <cell r="Q2201" t="str">
            <v>LED</v>
          </cell>
          <cell r="R2201" t="str">
            <v>METAL</v>
          </cell>
          <cell r="S2201" t="str">
            <v>ESKİTME</v>
          </cell>
          <cell r="T2201" t="str">
            <v>CAM</v>
          </cell>
          <cell r="U2201" t="str">
            <v>BAL</v>
          </cell>
          <cell r="AA2201" t="str">
            <v>DIMMSIZ</v>
          </cell>
          <cell r="AF2201">
            <v>93</v>
          </cell>
          <cell r="AG2201" t="str">
            <v>ADET</v>
          </cell>
          <cell r="AH2201">
            <v>116</v>
          </cell>
          <cell r="AI2201" t="str">
            <v>CNY</v>
          </cell>
          <cell r="AJ2201">
            <v>3950</v>
          </cell>
          <cell r="AK2201" t="str">
            <v>TL</v>
          </cell>
          <cell r="AL2201">
            <v>1</v>
          </cell>
          <cell r="AM2201" t="str">
            <v>8684127518574</v>
          </cell>
          <cell r="AO2201">
            <v>0</v>
          </cell>
          <cell r="AQ2201">
            <v>15</v>
          </cell>
          <cell r="AR2201" t="str">
            <v>CM</v>
          </cell>
          <cell r="AS2201">
            <v>16</v>
          </cell>
          <cell r="AT2201" t="str">
            <v>CM</v>
          </cell>
          <cell r="AU2201">
            <v>0</v>
          </cell>
          <cell r="AW2201">
            <v>0</v>
          </cell>
        </row>
        <row r="2202">
          <cell r="B2202" t="str">
            <v>H1C6ERFJRS0-026</v>
          </cell>
          <cell r="C2202" t="str">
            <v>GAMBİA FÜME CAM SİYAH SARKIT 26cm</v>
          </cell>
          <cell r="D2202" t="str">
            <v>GAMBİA LIGHT SMOKY GLASS BLACK PENDANT 26cm</v>
          </cell>
          <cell r="E2202" t="str">
            <v>CAM METAL FÜME SİYAH</v>
          </cell>
          <cell r="F2202" t="str">
            <v/>
          </cell>
          <cell r="G2202" t="str">
            <v>AVİZE</v>
          </cell>
          <cell r="H2202" t="str">
            <v/>
          </cell>
          <cell r="I2202" t="str">
            <v>İÇ</v>
          </cell>
          <cell r="J2202" t="str">
            <v/>
          </cell>
          <cell r="K2202" t="str">
            <v>GAMBİA</v>
          </cell>
          <cell r="L2202" t="str">
            <v/>
          </cell>
          <cell r="M2202" t="str">
            <v>30.01.2026</v>
          </cell>
          <cell r="N2202" t="str">
            <v>HKA-25237</v>
          </cell>
          <cell r="O2202" t="str">
            <v>HEKA</v>
          </cell>
          <cell r="P2202" t="str">
            <v>ADET</v>
          </cell>
          <cell r="Q2202" t="str">
            <v>LED</v>
          </cell>
          <cell r="R2202" t="str">
            <v>CAM</v>
          </cell>
          <cell r="S2202" t="str">
            <v>FÜME</v>
          </cell>
          <cell r="T2202" t="str">
            <v>METAL</v>
          </cell>
          <cell r="U2202" t="str">
            <v>SİYAH</v>
          </cell>
          <cell r="Z2202" t="str">
            <v xml:space="preserve">2700 K </v>
          </cell>
          <cell r="AF2202">
            <v>0</v>
          </cell>
          <cell r="AG2202" t="str">
            <v>ADET</v>
          </cell>
          <cell r="AH2202">
            <v>448</v>
          </cell>
          <cell r="AI2202" t="str">
            <v>CNY</v>
          </cell>
          <cell r="AL2202">
            <v>0</v>
          </cell>
          <cell r="AM2202" t="str">
            <v>8684127518703</v>
          </cell>
          <cell r="AO2202">
            <v>0</v>
          </cell>
          <cell r="AQ2202">
            <v>0</v>
          </cell>
          <cell r="AS2202">
            <v>0</v>
          </cell>
          <cell r="AU2202">
            <v>0</v>
          </cell>
          <cell r="AW2202">
            <v>0</v>
          </cell>
        </row>
        <row r="2203">
          <cell r="B2203" t="str">
            <v>H1C6ERFJRS0-070</v>
          </cell>
          <cell r="C2203" t="str">
            <v>GAMBİA FÜME CAM SİYAH SALON AVİZE</v>
          </cell>
          <cell r="D2203" t="str">
            <v>GAMBİA LIGHT SMOKY GLASS BLACK LIVING ROOM CHANDELIER</v>
          </cell>
          <cell r="E2203" t="str">
            <v>CAM METAL FÜME SİYAH</v>
          </cell>
          <cell r="F2203" t="str">
            <v/>
          </cell>
          <cell r="G2203" t="str">
            <v>AVİZE</v>
          </cell>
          <cell r="H2203" t="str">
            <v/>
          </cell>
          <cell r="I2203" t="str">
            <v>İÇ</v>
          </cell>
          <cell r="J2203" t="str">
            <v/>
          </cell>
          <cell r="K2203" t="str">
            <v>GAMBİA</v>
          </cell>
          <cell r="L2203" t="str">
            <v/>
          </cell>
          <cell r="M2203" t="str">
            <v>30.01.2026</v>
          </cell>
          <cell r="N2203" t="str">
            <v>HKA-25239</v>
          </cell>
          <cell r="O2203" t="str">
            <v>HEKA</v>
          </cell>
          <cell r="P2203" t="str">
            <v>ADET</v>
          </cell>
          <cell r="Q2203" t="str">
            <v>LED</v>
          </cell>
          <cell r="R2203" t="str">
            <v>CAM</v>
          </cell>
          <cell r="S2203" t="str">
            <v>FÜME</v>
          </cell>
          <cell r="T2203" t="str">
            <v>METAL</v>
          </cell>
          <cell r="U2203" t="str">
            <v>SİYAH</v>
          </cell>
          <cell r="Z2203" t="str">
            <v xml:space="preserve">2700 K </v>
          </cell>
          <cell r="AF2203">
            <v>0</v>
          </cell>
          <cell r="AG2203" t="str">
            <v>ADET</v>
          </cell>
          <cell r="AH2203">
            <v>1896</v>
          </cell>
          <cell r="AI2203" t="str">
            <v>CNY</v>
          </cell>
          <cell r="AL2203">
            <v>0</v>
          </cell>
          <cell r="AM2203" t="str">
            <v>8684127518727</v>
          </cell>
          <cell r="AO2203">
            <v>0</v>
          </cell>
          <cell r="AQ2203">
            <v>0</v>
          </cell>
          <cell r="AS2203">
            <v>0</v>
          </cell>
          <cell r="AU2203">
            <v>0</v>
          </cell>
          <cell r="AW2203">
            <v>0</v>
          </cell>
        </row>
        <row r="2204">
          <cell r="B2204" t="str">
            <v>CT-5253</v>
          </cell>
          <cell r="C2204" t="str">
            <v>CT SİYAH APLİK</v>
          </cell>
          <cell r="D2204" t="str">
            <v/>
          </cell>
          <cell r="E2204" t="str">
            <v/>
          </cell>
          <cell r="F2204" t="str">
            <v/>
          </cell>
          <cell r="G2204" t="str">
            <v/>
          </cell>
          <cell r="H2204" t="str">
            <v/>
          </cell>
          <cell r="I2204" t="str">
            <v/>
          </cell>
          <cell r="J2204" t="str">
            <v/>
          </cell>
          <cell r="K2204" t="str">
            <v/>
          </cell>
          <cell r="L2204" t="str">
            <v/>
          </cell>
          <cell r="M2204" t="str">
            <v/>
          </cell>
          <cell r="N2204" t="str">
            <v/>
          </cell>
          <cell r="P2204" t="str">
            <v>ADET</v>
          </cell>
          <cell r="AF2204">
            <v>0</v>
          </cell>
          <cell r="AG2204" t="str">
            <v>ADET</v>
          </cell>
          <cell r="AL2204">
            <v>0</v>
          </cell>
          <cell r="AO2204">
            <v>0</v>
          </cell>
          <cell r="AQ2204">
            <v>0</v>
          </cell>
          <cell r="AS2204">
            <v>0</v>
          </cell>
          <cell r="AU2204">
            <v>0</v>
          </cell>
          <cell r="AW2204">
            <v>0</v>
          </cell>
        </row>
        <row r="2205">
          <cell r="B2205" t="str">
            <v>H1W6JMEECB0-040</v>
          </cell>
          <cell r="C2205" t="str">
            <v>ZAMBİYA BEYAZ BUZLU CAM ESKİTME APLİK 40cm</v>
          </cell>
          <cell r="D2205" t="str">
            <v>ZAMBİYA WHITE FROSTED GLASS BRUSHED BRASS WALL LAMP 40cm</v>
          </cell>
          <cell r="E2205" t="str">
            <v>METAL CAM ESKİTME BUZLU</v>
          </cell>
          <cell r="F2205" t="str">
            <v/>
          </cell>
          <cell r="G2205" t="str">
            <v>APLİK</v>
          </cell>
          <cell r="H2205" t="str">
            <v/>
          </cell>
          <cell r="I2205" t="str">
            <v/>
          </cell>
          <cell r="J2205" t="str">
            <v/>
          </cell>
          <cell r="K2205" t="str">
            <v>ZAMBİYA</v>
          </cell>
          <cell r="L2205" t="str">
            <v/>
          </cell>
          <cell r="M2205" t="str">
            <v>28.02.2026</v>
          </cell>
          <cell r="N2205" t="str">
            <v>HKA-25258</v>
          </cell>
          <cell r="O2205" t="str">
            <v>HEKA</v>
          </cell>
          <cell r="P2205" t="str">
            <v>ADET</v>
          </cell>
          <cell r="Q2205" t="str">
            <v>LED</v>
          </cell>
          <cell r="R2205" t="str">
            <v>METAL</v>
          </cell>
          <cell r="S2205" t="str">
            <v>ESKİTME</v>
          </cell>
          <cell r="T2205" t="str">
            <v>CAM</v>
          </cell>
          <cell r="U2205" t="str">
            <v>BUZLU</v>
          </cell>
          <cell r="Z2205" t="str">
            <v>3000 K</v>
          </cell>
          <cell r="AE2205" t="str">
            <v>01</v>
          </cell>
          <cell r="AF2205">
            <v>0</v>
          </cell>
          <cell r="AG2205" t="str">
            <v>ADET</v>
          </cell>
          <cell r="AL2205">
            <v>0</v>
          </cell>
          <cell r="AM2205" t="str">
            <v>8684127518994</v>
          </cell>
          <cell r="AO2205">
            <v>0</v>
          </cell>
          <cell r="AQ2205">
            <v>10</v>
          </cell>
          <cell r="AS2205">
            <v>10</v>
          </cell>
          <cell r="AU2205">
            <v>0</v>
          </cell>
          <cell r="AW2205">
            <v>0</v>
          </cell>
        </row>
        <row r="2206">
          <cell r="B2206" t="str">
            <v>H1W6JRSWRFR-085</v>
          </cell>
          <cell r="C2206" t="str">
            <v>EROS İKİLİ MERMER LED APLİK 85cm</v>
          </cell>
          <cell r="D2206" t="str">
            <v>EROS DOUBLE MARBLE LED WALL LAMP 85cm</v>
          </cell>
          <cell r="E2206" t="str">
            <v>METAL MERMER SİYAH BEYAZ</v>
          </cell>
          <cell r="F2206" t="str">
            <v/>
          </cell>
          <cell r="G2206" t="str">
            <v>APLİK</v>
          </cell>
          <cell r="H2206" t="str">
            <v/>
          </cell>
          <cell r="I2206" t="str">
            <v/>
          </cell>
          <cell r="J2206" t="str">
            <v/>
          </cell>
          <cell r="K2206" t="str">
            <v>EROS</v>
          </cell>
          <cell r="L2206" t="str">
            <v/>
          </cell>
          <cell r="M2206" t="str">
            <v/>
          </cell>
          <cell r="N2206" t="str">
            <v>HKA-25259</v>
          </cell>
          <cell r="O2206" t="str">
            <v>HEKA</v>
          </cell>
          <cell r="P2206" t="str">
            <v>ADET</v>
          </cell>
          <cell r="Q2206" t="str">
            <v>LED</v>
          </cell>
          <cell r="R2206" t="str">
            <v>METAL</v>
          </cell>
          <cell r="S2206" t="str">
            <v>SİYAH</v>
          </cell>
          <cell r="T2206" t="str">
            <v>MERMER</v>
          </cell>
          <cell r="U2206" t="str">
            <v>BEYAZ</v>
          </cell>
          <cell r="AD2206" t="str">
            <v>DAİRE</v>
          </cell>
          <cell r="AE2206" t="str">
            <v>02</v>
          </cell>
          <cell r="AF2206">
            <v>0</v>
          </cell>
          <cell r="AG2206" t="str">
            <v>ADET</v>
          </cell>
          <cell r="AL2206">
            <v>0</v>
          </cell>
          <cell r="AM2206" t="str">
            <v>8684127519021</v>
          </cell>
          <cell r="AO2206">
            <v>0</v>
          </cell>
          <cell r="AQ2206">
            <v>0</v>
          </cell>
          <cell r="AS2206">
            <v>35</v>
          </cell>
          <cell r="AU2206">
            <v>0</v>
          </cell>
          <cell r="AW2206">
            <v>0</v>
          </cell>
        </row>
        <row r="2207">
          <cell r="B2207" t="str">
            <v>ADFEJMEECS0-030</v>
          </cell>
          <cell r="C2207" t="str">
            <v>ESKİTME MUMLUK 26x26x30 CM</v>
          </cell>
          <cell r="D2207" t="str">
            <v>BRUSHED BRASS CANDLE HOLDER 26x26x30 CM</v>
          </cell>
          <cell r="E2207" t="str">
            <v>METAL CAM  ESKİTME ŞEFFAF</v>
          </cell>
          <cell r="F2207" t="str">
            <v/>
          </cell>
          <cell r="G2207" t="str">
            <v>AKSESUAR</v>
          </cell>
          <cell r="H2207" t="str">
            <v/>
          </cell>
          <cell r="I2207" t="str">
            <v/>
          </cell>
          <cell r="J2207" t="str">
            <v/>
          </cell>
          <cell r="K2207" t="str">
            <v>EVDEMA</v>
          </cell>
          <cell r="L2207" t="str">
            <v/>
          </cell>
          <cell r="M2207" t="str">
            <v/>
          </cell>
          <cell r="N2207" t="str">
            <v>HKA-250080</v>
          </cell>
          <cell r="O2207" t="str">
            <v>HEKA</v>
          </cell>
          <cell r="P2207" t="str">
            <v>ADET</v>
          </cell>
          <cell r="R2207" t="str">
            <v>METAL</v>
          </cell>
          <cell r="S2207" t="str">
            <v>ESKİTME</v>
          </cell>
          <cell r="T2207" t="str">
            <v>CAM</v>
          </cell>
          <cell r="U2207" t="str">
            <v>ŞEFFAF</v>
          </cell>
          <cell r="AF2207">
            <v>1</v>
          </cell>
          <cell r="AG2207" t="str">
            <v>ADET</v>
          </cell>
          <cell r="AH2207">
            <v>2210.56</v>
          </cell>
          <cell r="AI2207" t="str">
            <v>TL</v>
          </cell>
          <cell r="AL2207">
            <v>0</v>
          </cell>
          <cell r="AO2207">
            <v>0</v>
          </cell>
          <cell r="AQ2207">
            <v>30</v>
          </cell>
          <cell r="AR2207" t="str">
            <v>CM</v>
          </cell>
          <cell r="AS2207">
            <v>26</v>
          </cell>
          <cell r="AT2207" t="str">
            <v>CM</v>
          </cell>
          <cell r="AU2207">
            <v>0</v>
          </cell>
          <cell r="AW2207">
            <v>0</v>
          </cell>
        </row>
        <row r="2208">
          <cell r="B2208" t="str">
            <v>ADFVYRV0000-081</v>
          </cell>
          <cell r="C2208" t="str">
            <v>VİTALE KREM AYÇİÇEĞİ 81 CM</v>
          </cell>
          <cell r="D2208" t="str">
            <v>VİTALE CREAM SUNFLOWER 81 CM</v>
          </cell>
          <cell r="E2208" t="str">
            <v>POLYESTER YOK KAHVERENGİ YOK</v>
          </cell>
          <cell r="F2208" t="str">
            <v/>
          </cell>
          <cell r="G2208" t="str">
            <v>AKSESUAR</v>
          </cell>
          <cell r="H2208" t="str">
            <v/>
          </cell>
          <cell r="I2208" t="str">
            <v/>
          </cell>
          <cell r="J2208" t="str">
            <v/>
          </cell>
          <cell r="K2208" t="str">
            <v>VİTALE</v>
          </cell>
          <cell r="L2208" t="str">
            <v/>
          </cell>
          <cell r="M2208" t="str">
            <v/>
          </cell>
          <cell r="N2208" t="str">
            <v>HKA-250095</v>
          </cell>
          <cell r="O2208" t="str">
            <v>HEKA</v>
          </cell>
          <cell r="P2208" t="str">
            <v>ADET</v>
          </cell>
          <cell r="R2208" t="str">
            <v>POLYESTER</v>
          </cell>
          <cell r="S2208" t="str">
            <v>KAHVERENGİ</v>
          </cell>
          <cell r="AF2208">
            <v>3</v>
          </cell>
          <cell r="AG2208" t="str">
            <v>ADET</v>
          </cell>
          <cell r="AH2208">
            <v>1177.44</v>
          </cell>
          <cell r="AI2208" t="str">
            <v>TL</v>
          </cell>
          <cell r="AL2208">
            <v>0</v>
          </cell>
          <cell r="AO2208">
            <v>0</v>
          </cell>
          <cell r="AQ2208">
            <v>0</v>
          </cell>
          <cell r="AS2208">
            <v>0</v>
          </cell>
          <cell r="AU2208">
            <v>0</v>
          </cell>
          <cell r="AW2208">
            <v>0</v>
          </cell>
        </row>
        <row r="2209">
          <cell r="B2209" t="str">
            <v>ADFVJMEECS0-047</v>
          </cell>
          <cell r="C2209" t="str">
            <v>VİTALE LYON ESKİTME METAL MUMLUK 9,5x9,5x47 CM</v>
          </cell>
          <cell r="D2209" t="str">
            <v>VİTALE LYON BRUSHED BRASS METAL CANDLE HOLDER 9,5x9,5x47 CM</v>
          </cell>
          <cell r="E2209" t="str">
            <v>METAL CAM  ESKİTME ŞEFFAF</v>
          </cell>
          <cell r="F2209" t="str">
            <v/>
          </cell>
          <cell r="G2209" t="str">
            <v>AKSESUAR</v>
          </cell>
          <cell r="H2209" t="str">
            <v/>
          </cell>
          <cell r="I2209" t="str">
            <v/>
          </cell>
          <cell r="J2209" t="str">
            <v/>
          </cell>
          <cell r="K2209" t="str">
            <v>VİTALE</v>
          </cell>
          <cell r="L2209" t="str">
            <v/>
          </cell>
          <cell r="M2209" t="str">
            <v/>
          </cell>
          <cell r="N2209" t="str">
            <v>HKA-250097</v>
          </cell>
          <cell r="O2209" t="str">
            <v>HEKA</v>
          </cell>
          <cell r="P2209" t="str">
            <v>ADET</v>
          </cell>
          <cell r="R2209" t="str">
            <v>METAL</v>
          </cell>
          <cell r="S2209" t="str">
            <v>ESKİTME</v>
          </cell>
          <cell r="T2209" t="str">
            <v>CAM</v>
          </cell>
          <cell r="U2209" t="str">
            <v>ŞEFFAF</v>
          </cell>
          <cell r="AF2209">
            <v>1</v>
          </cell>
          <cell r="AG2209" t="str">
            <v>ADET</v>
          </cell>
          <cell r="AH2209">
            <v>1378.38</v>
          </cell>
          <cell r="AI2209" t="str">
            <v>TL</v>
          </cell>
          <cell r="AL2209">
            <v>0</v>
          </cell>
          <cell r="AO2209">
            <v>0</v>
          </cell>
          <cell r="AQ2209">
            <v>47</v>
          </cell>
          <cell r="AR2209" t="str">
            <v>CM</v>
          </cell>
          <cell r="AS2209">
            <v>9.5</v>
          </cell>
          <cell r="AT2209" t="str">
            <v>CM</v>
          </cell>
          <cell r="AU2209">
            <v>0</v>
          </cell>
          <cell r="AW2209">
            <v>0</v>
          </cell>
        </row>
        <row r="2210">
          <cell r="B2210" t="str">
            <v>CF2D1C302F8J0</v>
          </cell>
          <cell r="C2210" t="str">
            <v>ERD-320 ST64 ŞEFFAF 7W 6500K E27 LED AMPUL</v>
          </cell>
          <cell r="D2210" t="str">
            <v>ERD-320 ST64 CLEAR 7W 6500K E27 LED BULB</v>
          </cell>
          <cell r="E2210" t="str">
            <v xml:space="preserve">CAM  ŞEFFAF </v>
          </cell>
          <cell r="F2210" t="str">
            <v/>
          </cell>
          <cell r="G2210" t="str">
            <v>AMPUL</v>
          </cell>
          <cell r="H2210" t="str">
            <v/>
          </cell>
          <cell r="I2210" t="str">
            <v/>
          </cell>
          <cell r="J2210" t="str">
            <v/>
          </cell>
          <cell r="K2210" t="str">
            <v>ERD-320</v>
          </cell>
          <cell r="L2210" t="str">
            <v/>
          </cell>
          <cell r="M2210" t="str">
            <v/>
          </cell>
          <cell r="N2210" t="str">
            <v>ERD-320</v>
          </cell>
          <cell r="O2210" t="str">
            <v>HEKA</v>
          </cell>
          <cell r="P2210" t="str">
            <v>ADET</v>
          </cell>
          <cell r="Q2210" t="str">
            <v>E27</v>
          </cell>
          <cell r="R2210" t="str">
            <v>CAM</v>
          </cell>
          <cell r="S2210" t="str">
            <v>ŞEFFAF</v>
          </cell>
          <cell r="V2210" t="str">
            <v>D</v>
          </cell>
          <cell r="W2210" t="str">
            <v>FLAMENT</v>
          </cell>
          <cell r="X2210" t="str">
            <v>220V</v>
          </cell>
          <cell r="Y2210" t="str">
            <v>7 WATT</v>
          </cell>
          <cell r="Z2210" t="str">
            <v>6500 K</v>
          </cell>
          <cell r="AA2210" t="str">
            <v>DIMMSIZ</v>
          </cell>
          <cell r="AB2210" t="str">
            <v>901-1000</v>
          </cell>
          <cell r="AC2210" t="str">
            <v>ST64-ARMUT</v>
          </cell>
          <cell r="AG2210" t="str">
            <v>ADET</v>
          </cell>
          <cell r="AL2210">
            <v>0</v>
          </cell>
          <cell r="AM2210" t="str">
            <v>8684127519540</v>
          </cell>
          <cell r="AN2210" t="str">
            <v>8684127519557</v>
          </cell>
          <cell r="AO2210">
            <v>0</v>
          </cell>
          <cell r="AQ2210">
            <v>0</v>
          </cell>
          <cell r="AS2210">
            <v>0</v>
          </cell>
          <cell r="AU2210">
            <v>0</v>
          </cell>
          <cell r="AW2210">
            <v>0</v>
          </cell>
        </row>
        <row r="2211">
          <cell r="B2211" t="str">
            <v>CF2E1C102I3L1</v>
          </cell>
          <cell r="C2211" t="str">
            <v>ERD-315 ST64 BAL 10W 2500K E27 LED AMPUL</v>
          </cell>
          <cell r="D2211" t="str">
            <v>ERD-315 ST64 AMBER 10W 2500K E27 LED BULB</v>
          </cell>
          <cell r="E2211" t="str">
            <v xml:space="preserve">CAM  BAL </v>
          </cell>
          <cell r="F2211" t="str">
            <v/>
          </cell>
          <cell r="G2211" t="str">
            <v>AMPUL</v>
          </cell>
          <cell r="H2211" t="str">
            <v/>
          </cell>
          <cell r="I2211" t="str">
            <v/>
          </cell>
          <cell r="J2211" t="str">
            <v/>
          </cell>
          <cell r="K2211" t="str">
            <v>ERD-315</v>
          </cell>
          <cell r="L2211" t="str">
            <v/>
          </cell>
          <cell r="M2211" t="str">
            <v/>
          </cell>
          <cell r="N2211" t="str">
            <v>ERD-315</v>
          </cell>
          <cell r="O2211" t="str">
            <v>HEKA</v>
          </cell>
          <cell r="P2211" t="str">
            <v>ADET</v>
          </cell>
          <cell r="Q2211" t="str">
            <v>E27</v>
          </cell>
          <cell r="R2211" t="str">
            <v>CAM</v>
          </cell>
          <cell r="S2211" t="str">
            <v>BAL</v>
          </cell>
          <cell r="V2211" t="str">
            <v>E</v>
          </cell>
          <cell r="W2211" t="str">
            <v>FLAMENT</v>
          </cell>
          <cell r="X2211" t="str">
            <v>220V</v>
          </cell>
          <cell r="Y2211" t="str">
            <v>10 WATT</v>
          </cell>
          <cell r="Z2211" t="str">
            <v>2500 K</v>
          </cell>
          <cell r="AA2211" t="str">
            <v>DIMMLI</v>
          </cell>
          <cell r="AB2211" t="str">
            <v>1101-1200</v>
          </cell>
          <cell r="AC2211" t="str">
            <v>ST64-ARMUT</v>
          </cell>
          <cell r="AG2211" t="str">
            <v>ADET</v>
          </cell>
          <cell r="AL2211">
            <v>0</v>
          </cell>
          <cell r="AM2211" t="str">
            <v>8684127519588</v>
          </cell>
          <cell r="AN2211" t="str">
            <v>8684127519595</v>
          </cell>
          <cell r="AO2211">
            <v>0</v>
          </cell>
          <cell r="AQ2211">
            <v>0</v>
          </cell>
          <cell r="AS2211">
            <v>0</v>
          </cell>
          <cell r="AU2211">
            <v>0</v>
          </cell>
          <cell r="AW2211">
            <v>0</v>
          </cell>
        </row>
        <row r="2212">
          <cell r="B2212" t="str">
            <v>H1F6JMPWRFP-165</v>
          </cell>
          <cell r="C2212" t="str">
            <v>ANVERS BEYAZ MERMER PLATİN LAMBADER</v>
          </cell>
          <cell r="D2212" t="str">
            <v>ANVERS WHITE MARBLE PLATINUM FLOOR LAMP</v>
          </cell>
          <cell r="E2212" t="str">
            <v>METAL MERMER PLATİN BEYAZ</v>
          </cell>
          <cell r="F2212" t="str">
            <v/>
          </cell>
          <cell r="G2212" t="str">
            <v>LAMBADER</v>
          </cell>
          <cell r="H2212" t="str">
            <v/>
          </cell>
          <cell r="I2212" t="str">
            <v>İÇ</v>
          </cell>
          <cell r="J2212" t="str">
            <v>LAMBADER</v>
          </cell>
          <cell r="K2212" t="str">
            <v>ANVERS</v>
          </cell>
          <cell r="L2212" t="str">
            <v/>
          </cell>
          <cell r="M2212" t="str">
            <v/>
          </cell>
          <cell r="N2212" t="str">
            <v>HKA-25205</v>
          </cell>
          <cell r="O2212" t="str">
            <v>HEKA</v>
          </cell>
          <cell r="P2212" t="str">
            <v>ADET</v>
          </cell>
          <cell r="Q2212" t="str">
            <v>LED</v>
          </cell>
          <cell r="R2212" t="str">
            <v>METAL</v>
          </cell>
          <cell r="S2212" t="str">
            <v>PLATİN</v>
          </cell>
          <cell r="T2212" t="str">
            <v>MERMER</v>
          </cell>
          <cell r="U2212" t="str">
            <v>BEYAZ</v>
          </cell>
          <cell r="AA2212" t="str">
            <v>DIMMSIZ</v>
          </cell>
          <cell r="AD2212" t="str">
            <v>POLİGONAL</v>
          </cell>
          <cell r="AE2212" t="str">
            <v>01</v>
          </cell>
          <cell r="AF2212">
            <v>10</v>
          </cell>
          <cell r="AG2212" t="str">
            <v>ADET</v>
          </cell>
          <cell r="AH2212">
            <v>612</v>
          </cell>
          <cell r="AI2212" t="str">
            <v>CNY</v>
          </cell>
          <cell r="AL2212">
            <v>0</v>
          </cell>
          <cell r="AM2212" t="str">
            <v>8684127518482</v>
          </cell>
          <cell r="AO2212">
            <v>0</v>
          </cell>
          <cell r="AQ2212">
            <v>0</v>
          </cell>
          <cell r="AS2212">
            <v>30</v>
          </cell>
          <cell r="AT2212" t="str">
            <v>CM</v>
          </cell>
          <cell r="AU2212">
            <v>0</v>
          </cell>
          <cell r="AW2212">
            <v>0</v>
          </cell>
        </row>
        <row r="2213">
          <cell r="B2213" t="str">
            <v>AVFVECKJME5-099</v>
          </cell>
          <cell r="C2213" t="str">
            <v>TERRANOVA GÖLGE KAPAKLI VAZO 99CM</v>
          </cell>
          <cell r="D2213" t="str">
            <v>TERRANOVA SHADOW POTICHE 99CM</v>
          </cell>
          <cell r="E2213" t="str">
            <v>CAM  METAL YARI KROM ESKİTME</v>
          </cell>
          <cell r="F2213" t="str">
            <v/>
          </cell>
          <cell r="G2213" t="str">
            <v>AKSESUAR</v>
          </cell>
          <cell r="H2213" t="str">
            <v/>
          </cell>
          <cell r="I2213" t="str">
            <v>İÇ</v>
          </cell>
          <cell r="J2213" t="str">
            <v>AKSESUAR</v>
          </cell>
          <cell r="K2213" t="str">
            <v>TERRANOVA</v>
          </cell>
          <cell r="L2213" t="str">
            <v/>
          </cell>
          <cell r="M2213" t="str">
            <v/>
          </cell>
          <cell r="N2213" t="str">
            <v>HKA-250033</v>
          </cell>
          <cell r="O2213" t="str">
            <v>HEKA</v>
          </cell>
          <cell r="P2213" t="str">
            <v>ADET</v>
          </cell>
          <cell r="R2213" t="str">
            <v>CAM</v>
          </cell>
          <cell r="S2213" t="str">
            <v>YARI KROM</v>
          </cell>
          <cell r="T2213" t="str">
            <v>METAL</v>
          </cell>
          <cell r="U2213" t="str">
            <v>ESKİTME</v>
          </cell>
          <cell r="AD2213" t="str">
            <v>VAZO</v>
          </cell>
          <cell r="AF2213">
            <v>1</v>
          </cell>
          <cell r="AG2213" t="str">
            <v>ADET</v>
          </cell>
          <cell r="AH2213">
            <v>6158.59</v>
          </cell>
          <cell r="AI2213" t="str">
            <v>TL</v>
          </cell>
          <cell r="AJ2213">
            <v>14780.616</v>
          </cell>
          <cell r="AK2213" t="str">
            <v>TL</v>
          </cell>
          <cell r="AL2213">
            <v>0</v>
          </cell>
          <cell r="AO2213">
            <v>0</v>
          </cell>
          <cell r="AQ2213">
            <v>99</v>
          </cell>
          <cell r="AR2213" t="str">
            <v>CM</v>
          </cell>
          <cell r="AS2213">
            <v>15.5</v>
          </cell>
          <cell r="AT2213" t="str">
            <v>CM</v>
          </cell>
          <cell r="AU2213">
            <v>0</v>
          </cell>
          <cell r="AW2213">
            <v>0</v>
          </cell>
        </row>
        <row r="2214">
          <cell r="B2214" t="str">
            <v>ADFVMRS000B-080</v>
          </cell>
          <cell r="C2214" t="str">
            <v>BRANCH YAPRAK DALI YEŞİL YAPAY ÇİÇEK</v>
          </cell>
          <cell r="D2214" t="str">
            <v>BRANCH LEAF BRANCH GREEN ARTIFICIAL FLOWER</v>
          </cell>
          <cell r="E2214" t="str">
            <v>POLİKARBON YOK SİYAH YOK</v>
          </cell>
          <cell r="F2214" t="str">
            <v/>
          </cell>
          <cell r="G2214" t="str">
            <v>AKSESUAR</v>
          </cell>
          <cell r="H2214" t="str">
            <v/>
          </cell>
          <cell r="I2214" t="str">
            <v>İÇ</v>
          </cell>
          <cell r="J2214" t="str">
            <v>AKSESUAR</v>
          </cell>
          <cell r="K2214" t="str">
            <v>BRANCH</v>
          </cell>
          <cell r="L2214" t="str">
            <v/>
          </cell>
          <cell r="M2214" t="str">
            <v/>
          </cell>
          <cell r="N2214" t="str">
            <v>HKA-250044</v>
          </cell>
          <cell r="O2214" t="str">
            <v>HEKA</v>
          </cell>
          <cell r="P2214" t="str">
            <v>ADET</v>
          </cell>
          <cell r="R2214" t="str">
            <v>POLİKARBON</v>
          </cell>
          <cell r="S2214" t="str">
            <v>SİYAH</v>
          </cell>
          <cell r="T2214" t="str">
            <v>YOK</v>
          </cell>
          <cell r="U2214" t="str">
            <v>YOK</v>
          </cell>
          <cell r="AD2214" t="str">
            <v>BUKLE</v>
          </cell>
          <cell r="AF2214">
            <v>5</v>
          </cell>
          <cell r="AG2214" t="str">
            <v>ADET</v>
          </cell>
          <cell r="AH2214">
            <v>355.63</v>
          </cell>
          <cell r="AI2214" t="str">
            <v>TL</v>
          </cell>
          <cell r="AJ2214">
            <v>853.51199999999994</v>
          </cell>
          <cell r="AK2214" t="str">
            <v>TL</v>
          </cell>
          <cell r="AL2214">
            <v>0</v>
          </cell>
          <cell r="AO2214">
            <v>0</v>
          </cell>
          <cell r="AQ2214">
            <v>10</v>
          </cell>
          <cell r="AR2214" t="str">
            <v>CM</v>
          </cell>
          <cell r="AS2214">
            <v>28</v>
          </cell>
          <cell r="AT2214" t="str">
            <v>CM</v>
          </cell>
          <cell r="AU2214">
            <v>0</v>
          </cell>
          <cell r="AW2214">
            <v>0</v>
          </cell>
        </row>
        <row r="2215">
          <cell r="B2215" t="str">
            <v>3YCVGCS0004-005</v>
          </cell>
          <cell r="C2215" t="str">
            <v>ŞEFFAF CAM METEOR TAŞ 5CM</v>
          </cell>
          <cell r="D2215" t="str">
            <v>TRANSPARENT GLASS METEOR STONE 5CM</v>
          </cell>
          <cell r="E2215" t="str">
            <v>CAM YOK ŞEFFAF YOK</v>
          </cell>
          <cell r="F2215" t="str">
            <v/>
          </cell>
          <cell r="G2215" t="str">
            <v>ZPARCA</v>
          </cell>
          <cell r="H2215" t="str">
            <v/>
          </cell>
          <cell r="I2215" t="str">
            <v>İÇ</v>
          </cell>
          <cell r="J2215" t="str">
            <v>ZPARCA</v>
          </cell>
          <cell r="K2215" t="str">
            <v>HEKA</v>
          </cell>
          <cell r="L2215" t="str">
            <v/>
          </cell>
          <cell r="M2215" t="str">
            <v/>
          </cell>
          <cell r="N2215" t="str">
            <v>HKA-250002</v>
          </cell>
          <cell r="O2215" t="str">
            <v>HEKA</v>
          </cell>
          <cell r="P2215" t="str">
            <v>ADET</v>
          </cell>
          <cell r="R2215" t="str">
            <v>CAM</v>
          </cell>
          <cell r="S2215" t="str">
            <v>ŞEFFAF</v>
          </cell>
          <cell r="T2215" t="str">
            <v>YOK</v>
          </cell>
          <cell r="U2215" t="str">
            <v>YOK</v>
          </cell>
          <cell r="AF2215">
            <v>500</v>
          </cell>
          <cell r="AG2215" t="str">
            <v>ADET</v>
          </cell>
          <cell r="AH2215">
            <v>0.7</v>
          </cell>
          <cell r="AI2215" t="str">
            <v>CNY</v>
          </cell>
          <cell r="AJ2215">
            <v>65</v>
          </cell>
          <cell r="AK2215" t="str">
            <v>TL</v>
          </cell>
          <cell r="AL2215">
            <v>0</v>
          </cell>
          <cell r="AO2215">
            <v>0</v>
          </cell>
          <cell r="AQ2215">
            <v>5</v>
          </cell>
          <cell r="AR2215" t="str">
            <v>CM</v>
          </cell>
          <cell r="AS2215">
            <v>5</v>
          </cell>
          <cell r="AT2215" t="str">
            <v>CM</v>
          </cell>
          <cell r="AU2215">
            <v>0</v>
          </cell>
          <cell r="AW2215">
            <v>0</v>
          </cell>
        </row>
        <row r="2216">
          <cell r="B2216" t="str">
            <v>3YCVGCS0004-017</v>
          </cell>
          <cell r="C2216" t="str">
            <v>ŞEFFAF YAPRAK AVİZE CAMI 17CM</v>
          </cell>
          <cell r="D2216" t="str">
            <v>TRANSPARENT LEAF PENDANT GLASS 17CM</v>
          </cell>
          <cell r="E2216" t="str">
            <v>CAM YOK ŞEFFAF YOK</v>
          </cell>
          <cell r="F2216" t="str">
            <v/>
          </cell>
          <cell r="G2216" t="str">
            <v>ZPARCA</v>
          </cell>
          <cell r="H2216" t="str">
            <v/>
          </cell>
          <cell r="I2216" t="str">
            <v>İÇ</v>
          </cell>
          <cell r="J2216" t="str">
            <v>ZPARCA</v>
          </cell>
          <cell r="K2216" t="str">
            <v>HEKA</v>
          </cell>
          <cell r="L2216" t="str">
            <v/>
          </cell>
          <cell r="M2216" t="str">
            <v/>
          </cell>
          <cell r="N2216" t="str">
            <v>HKA-250050</v>
          </cell>
          <cell r="O2216" t="str">
            <v>HEKA</v>
          </cell>
          <cell r="P2216" t="str">
            <v>ADET</v>
          </cell>
          <cell r="R2216" t="str">
            <v>CAM</v>
          </cell>
          <cell r="S2216" t="str">
            <v>ŞEFFAF</v>
          </cell>
          <cell r="T2216" t="str">
            <v>YOK</v>
          </cell>
          <cell r="U2216" t="str">
            <v>YOK</v>
          </cell>
          <cell r="AF2216">
            <v>200</v>
          </cell>
          <cell r="AG2216" t="str">
            <v>ADET</v>
          </cell>
          <cell r="AH2216">
            <v>4</v>
          </cell>
          <cell r="AI2216" t="str">
            <v>CNY</v>
          </cell>
          <cell r="AJ2216">
            <v>395</v>
          </cell>
          <cell r="AK2216" t="str">
            <v>TL</v>
          </cell>
          <cell r="AL2216">
            <v>0</v>
          </cell>
          <cell r="AO2216">
            <v>0</v>
          </cell>
          <cell r="AQ2216">
            <v>0</v>
          </cell>
          <cell r="AS2216">
            <v>14</v>
          </cell>
          <cell r="AT2216" t="str">
            <v>CM</v>
          </cell>
          <cell r="AU2216">
            <v>0</v>
          </cell>
          <cell r="AW2216">
            <v>0</v>
          </cell>
        </row>
        <row r="2217">
          <cell r="B2217" t="str">
            <v>3YCOGMG0004-020</v>
          </cell>
          <cell r="C2217" t="str">
            <v>GOLD OVAL AVİZE CAMI 20CM</v>
          </cell>
          <cell r="D2217" t="str">
            <v>GOLD OVAL PENDANT GLASS 20CM</v>
          </cell>
          <cell r="E2217" t="str">
            <v>CAM YOK GOLD YOK</v>
          </cell>
          <cell r="F2217" t="str">
            <v/>
          </cell>
          <cell r="G2217" t="str">
            <v>ZPARCA</v>
          </cell>
          <cell r="H2217" t="str">
            <v/>
          </cell>
          <cell r="I2217" t="str">
            <v>İÇ</v>
          </cell>
          <cell r="J2217" t="str">
            <v>ZPARCA</v>
          </cell>
          <cell r="K2217" t="str">
            <v/>
          </cell>
          <cell r="L2217" t="str">
            <v/>
          </cell>
          <cell r="M2217" t="str">
            <v/>
          </cell>
          <cell r="N2217" t="str">
            <v>HKA-250060</v>
          </cell>
          <cell r="O2217" t="str">
            <v>HEKA</v>
          </cell>
          <cell r="P2217" t="str">
            <v>ADET</v>
          </cell>
          <cell r="R2217" t="str">
            <v>CAM</v>
          </cell>
          <cell r="S2217" t="str">
            <v>GOLD</v>
          </cell>
          <cell r="T2217" t="str">
            <v>YOK</v>
          </cell>
          <cell r="U2217" t="str">
            <v>YOK</v>
          </cell>
          <cell r="AF2217">
            <v>500</v>
          </cell>
          <cell r="AG2217" t="str">
            <v>ADET</v>
          </cell>
          <cell r="AH2217">
            <v>15</v>
          </cell>
          <cell r="AI2217" t="str">
            <v>CNY</v>
          </cell>
          <cell r="AJ2217">
            <v>750</v>
          </cell>
          <cell r="AK2217" t="str">
            <v>TL</v>
          </cell>
          <cell r="AL2217">
            <v>0</v>
          </cell>
          <cell r="AO2217">
            <v>0</v>
          </cell>
          <cell r="AQ2217">
            <v>0</v>
          </cell>
          <cell r="AS2217">
            <v>0</v>
          </cell>
          <cell r="AU2217">
            <v>0</v>
          </cell>
          <cell r="AW2217">
            <v>0</v>
          </cell>
        </row>
        <row r="2218">
          <cell r="B2218" t="str">
            <v>ADYHMRVHRYB-080</v>
          </cell>
          <cell r="C2218" t="str">
            <v>YÜKSÜK YAPAY ÇİÇEK 80CM</v>
          </cell>
          <cell r="D2218" t="str">
            <v>THIMBLE ARTIFICIAL FLOWER 80CM</v>
          </cell>
          <cell r="E2218" t="str">
            <v>POLİKARBON KUMAŞ KAHVERENGİ YEŞİL</v>
          </cell>
          <cell r="F2218" t="str">
            <v/>
          </cell>
          <cell r="G2218" t="str">
            <v>AKSESUAR</v>
          </cell>
          <cell r="H2218" t="str">
            <v/>
          </cell>
          <cell r="I2218" t="str">
            <v>İÇ</v>
          </cell>
          <cell r="J2218" t="str">
            <v>AKSESUAR</v>
          </cell>
          <cell r="K2218" t="str">
            <v>HEKA</v>
          </cell>
          <cell r="L2218" t="str">
            <v/>
          </cell>
          <cell r="M2218" t="str">
            <v/>
          </cell>
          <cell r="N2218" t="str">
            <v>HKA-250064</v>
          </cell>
          <cell r="O2218" t="str">
            <v>HEKA</v>
          </cell>
          <cell r="P2218" t="str">
            <v>ADET</v>
          </cell>
          <cell r="R2218" t="str">
            <v>POLİKARBON</v>
          </cell>
          <cell r="S2218" t="str">
            <v>KAHVERENGİ</v>
          </cell>
          <cell r="T2218" t="str">
            <v>KUMAŞ</v>
          </cell>
          <cell r="U2218" t="str">
            <v>YEŞİL</v>
          </cell>
          <cell r="AD2218" t="str">
            <v>BUKLE</v>
          </cell>
          <cell r="AF2218">
            <v>0</v>
          </cell>
          <cell r="AG2218" t="str">
            <v>ADET</v>
          </cell>
          <cell r="AH2218">
            <v>471.79500000000002</v>
          </cell>
          <cell r="AI2218" t="str">
            <v>TL</v>
          </cell>
          <cell r="AJ2218">
            <v>1132.308</v>
          </cell>
          <cell r="AK2218" t="str">
            <v>TL</v>
          </cell>
          <cell r="AL2218">
            <v>0</v>
          </cell>
          <cell r="AO2218">
            <v>0</v>
          </cell>
          <cell r="AQ2218">
            <v>8</v>
          </cell>
          <cell r="AR2218" t="str">
            <v>CM</v>
          </cell>
          <cell r="AS2218">
            <v>12</v>
          </cell>
          <cell r="AT2218" t="str">
            <v>CM</v>
          </cell>
          <cell r="AU2218">
            <v>0</v>
          </cell>
          <cell r="AW2218">
            <v>0</v>
          </cell>
        </row>
        <row r="2219">
          <cell r="B2219" t="str">
            <v>CN1E1C3M2E8Q0X10</v>
          </cell>
          <cell r="C2219" t="str">
            <v>Dekoratif Kıvrık Buji Mum Avize Ampulü 6W E14 6500</v>
          </cell>
          <cell r="D2219" t="str">
            <v/>
          </cell>
          <cell r="E2219" t="str">
            <v/>
          </cell>
          <cell r="F2219" t="str">
            <v/>
          </cell>
          <cell r="G2219" t="str">
            <v/>
          </cell>
          <cell r="H2219" t="str">
            <v/>
          </cell>
          <cell r="I2219" t="str">
            <v/>
          </cell>
          <cell r="J2219" t="str">
            <v/>
          </cell>
          <cell r="K2219" t="str">
            <v/>
          </cell>
          <cell r="L2219" t="str">
            <v/>
          </cell>
          <cell r="M2219" t="str">
            <v/>
          </cell>
          <cell r="N2219" t="str">
            <v/>
          </cell>
          <cell r="P2219" t="str">
            <v>ADET</v>
          </cell>
          <cell r="AF2219">
            <v>0</v>
          </cell>
          <cell r="AG2219" t="str">
            <v>ADET</v>
          </cell>
          <cell r="AL2219">
            <v>0</v>
          </cell>
          <cell r="AO2219">
            <v>0</v>
          </cell>
          <cell r="AQ2219">
            <v>0</v>
          </cell>
          <cell r="AS2219">
            <v>0</v>
          </cell>
          <cell r="AU2219">
            <v>0</v>
          </cell>
          <cell r="AW2219">
            <v>0</v>
          </cell>
        </row>
        <row r="2220">
          <cell r="B2220" t="str">
            <v>H1C6ERFJRS0-036</v>
          </cell>
          <cell r="C2220" t="str">
            <v>GAMBİA FÜME CAM SİYAH SARKIT 36cm</v>
          </cell>
          <cell r="D2220" t="str">
            <v>GAMBİA LIGHT SMOKY GLASS BLACK PENDANT 36cm</v>
          </cell>
          <cell r="E2220" t="str">
            <v>CAM METAL FÜME SİYAH</v>
          </cell>
          <cell r="F2220" t="str">
            <v/>
          </cell>
          <cell r="G2220" t="str">
            <v>AVİZE</v>
          </cell>
          <cell r="H2220" t="str">
            <v/>
          </cell>
          <cell r="I2220" t="str">
            <v>İÇ</v>
          </cell>
          <cell r="J2220" t="str">
            <v/>
          </cell>
          <cell r="K2220" t="str">
            <v>GAMBİA</v>
          </cell>
          <cell r="L2220" t="str">
            <v/>
          </cell>
          <cell r="M2220" t="str">
            <v>30.01.2026</v>
          </cell>
          <cell r="N2220" t="str">
            <v>HKA-25236</v>
          </cell>
          <cell r="O2220" t="str">
            <v>HEKA</v>
          </cell>
          <cell r="P2220" t="str">
            <v>ADET</v>
          </cell>
          <cell r="Q2220" t="str">
            <v>LED</v>
          </cell>
          <cell r="R2220" t="str">
            <v>CAM</v>
          </cell>
          <cell r="S2220" t="str">
            <v>FÜME</v>
          </cell>
          <cell r="T2220" t="str">
            <v>METAL</v>
          </cell>
          <cell r="U2220" t="str">
            <v>SİYAH</v>
          </cell>
          <cell r="Z2220" t="str">
            <v xml:space="preserve">2700 K </v>
          </cell>
          <cell r="AF2220">
            <v>0</v>
          </cell>
          <cell r="AG2220" t="str">
            <v>ADET</v>
          </cell>
          <cell r="AH2220">
            <v>584</v>
          </cell>
          <cell r="AI2220" t="str">
            <v>CNY</v>
          </cell>
          <cell r="AL2220">
            <v>0</v>
          </cell>
          <cell r="AM2220" t="str">
            <v>8684127518697</v>
          </cell>
          <cell r="AO2220">
            <v>0</v>
          </cell>
          <cell r="AQ2220">
            <v>0</v>
          </cell>
          <cell r="AS2220">
            <v>0</v>
          </cell>
          <cell r="AU2220">
            <v>0</v>
          </cell>
          <cell r="AW2220">
            <v>0</v>
          </cell>
        </row>
        <row r="2221">
          <cell r="B2221" t="str">
            <v>H1C2JMEERV1-030</v>
          </cell>
          <cell r="C2221" t="str">
            <v>CASTEL KAHVERENGİ SATİNA CAM SARKIT 30cm</v>
          </cell>
          <cell r="D2221" t="str">
            <v>CASTEL BROWN COLOR SATINA GLASS PENDANT 30cm</v>
          </cell>
          <cell r="E2221" t="str">
            <v>METAL CAM ESKİTME KAHVERENGİ</v>
          </cell>
          <cell r="F2221" t="str">
            <v/>
          </cell>
          <cell r="G2221" t="str">
            <v>AVİZE</v>
          </cell>
          <cell r="H2221" t="str">
            <v/>
          </cell>
          <cell r="I2221" t="str">
            <v>İÇ</v>
          </cell>
          <cell r="J2221" t="str">
            <v/>
          </cell>
          <cell r="K2221" t="str">
            <v>CASTEL</v>
          </cell>
          <cell r="L2221" t="str">
            <v/>
          </cell>
          <cell r="M2221" t="str">
            <v>30.01.2026</v>
          </cell>
          <cell r="N2221" t="str">
            <v>HKA-25243</v>
          </cell>
          <cell r="O2221" t="str">
            <v>HEKA</v>
          </cell>
          <cell r="P2221" t="str">
            <v>ADET</v>
          </cell>
          <cell r="Q2221" t="str">
            <v>E27</v>
          </cell>
          <cell r="R2221" t="str">
            <v>METAL</v>
          </cell>
          <cell r="S2221" t="str">
            <v>ESKİTME</v>
          </cell>
          <cell r="T2221" t="str">
            <v>CAM</v>
          </cell>
          <cell r="U2221" t="str">
            <v>KAHVERENGİ</v>
          </cell>
          <cell r="AD2221" t="str">
            <v>TEKLİ</v>
          </cell>
          <cell r="AE2221" t="str">
            <v>01</v>
          </cell>
          <cell r="AF2221">
            <v>0</v>
          </cell>
          <cell r="AG2221" t="str">
            <v>ADET</v>
          </cell>
          <cell r="AH2221">
            <v>181.2</v>
          </cell>
          <cell r="AI2221" t="str">
            <v>CNY</v>
          </cell>
          <cell r="AL2221">
            <v>0</v>
          </cell>
          <cell r="AM2221" t="str">
            <v>8684127518765</v>
          </cell>
          <cell r="AO2221">
            <v>0</v>
          </cell>
          <cell r="AQ2221">
            <v>25</v>
          </cell>
          <cell r="AS2221">
            <v>25</v>
          </cell>
          <cell r="AU2221">
            <v>0</v>
          </cell>
          <cell r="AW2221">
            <v>0</v>
          </cell>
        </row>
        <row r="2222">
          <cell r="B2222" t="str">
            <v>H1W2JMEERY1-024</v>
          </cell>
          <cell r="C2222" t="str">
            <v>CASTEL YEŞİL SATİNA CAM APLİK 24cm</v>
          </cell>
          <cell r="D2222" t="str">
            <v>CASTEL GREEN SATINA GLASS WALL LAMP 24cm</v>
          </cell>
          <cell r="E2222" t="str">
            <v>METAL CAM ESKİTME YEŞİL</v>
          </cell>
          <cell r="F2222" t="str">
            <v/>
          </cell>
          <cell r="G2222" t="str">
            <v>APLİK</v>
          </cell>
          <cell r="H2222" t="str">
            <v/>
          </cell>
          <cell r="I2222" t="str">
            <v>İÇ</v>
          </cell>
          <cell r="J2222" t="str">
            <v/>
          </cell>
          <cell r="K2222" t="str">
            <v>CASTEL</v>
          </cell>
          <cell r="L2222" t="str">
            <v/>
          </cell>
          <cell r="M2222" t="str">
            <v>30.01.2026</v>
          </cell>
          <cell r="N2222" t="str">
            <v>HKA-25250</v>
          </cell>
          <cell r="O2222" t="str">
            <v>HEKA</v>
          </cell>
          <cell r="P2222" t="str">
            <v>ADET</v>
          </cell>
          <cell r="Q2222" t="str">
            <v>E27</v>
          </cell>
          <cell r="R2222" t="str">
            <v>METAL</v>
          </cell>
          <cell r="S2222" t="str">
            <v>ESKİTME</v>
          </cell>
          <cell r="T2222" t="str">
            <v>CAM</v>
          </cell>
          <cell r="U2222" t="str">
            <v>YEŞİL</v>
          </cell>
          <cell r="AD2222" t="str">
            <v>TEKLİ</v>
          </cell>
          <cell r="AE2222" t="str">
            <v>01</v>
          </cell>
          <cell r="AF2222">
            <v>0</v>
          </cell>
          <cell r="AG2222" t="str">
            <v>ADET</v>
          </cell>
          <cell r="AH2222">
            <v>89.4</v>
          </cell>
          <cell r="AI2222" t="str">
            <v>CNY</v>
          </cell>
          <cell r="AL2222">
            <v>0</v>
          </cell>
          <cell r="AM2222" t="str">
            <v>8684127518833</v>
          </cell>
          <cell r="AO2222">
            <v>0</v>
          </cell>
          <cell r="AQ2222">
            <v>18</v>
          </cell>
          <cell r="AS2222">
            <v>18</v>
          </cell>
          <cell r="AU2222">
            <v>0</v>
          </cell>
          <cell r="AW2222">
            <v>0</v>
          </cell>
        </row>
        <row r="2223">
          <cell r="B2223" t="str">
            <v>AVFHEMY0003-015</v>
          </cell>
          <cell r="C2223" t="str">
            <v>BOLOGNA ÇİMEN ŞEKERLİK</v>
          </cell>
          <cell r="D2223" t="str">
            <v>BOLOGNA GRASS SUGAR BOWL</v>
          </cell>
          <cell r="E2223" t="str">
            <v>CAM  YOK KOYU YEŞİL YOK</v>
          </cell>
          <cell r="F2223" t="str">
            <v/>
          </cell>
          <cell r="G2223" t="str">
            <v>AKSESUAR</v>
          </cell>
          <cell r="H2223" t="str">
            <v/>
          </cell>
          <cell r="I2223" t="str">
            <v/>
          </cell>
          <cell r="J2223" t="str">
            <v/>
          </cell>
          <cell r="K2223" t="str">
            <v>BOLOGNA</v>
          </cell>
          <cell r="L2223" t="str">
            <v/>
          </cell>
          <cell r="M2223" t="str">
            <v/>
          </cell>
          <cell r="N2223" t="str">
            <v>HKA-250069</v>
          </cell>
          <cell r="O2223" t="str">
            <v>HEKA</v>
          </cell>
          <cell r="P2223" t="str">
            <v>ADET</v>
          </cell>
          <cell r="R2223" t="str">
            <v>CAM</v>
          </cell>
          <cell r="AD2223" t="str">
            <v>KASE</v>
          </cell>
          <cell r="AF2223">
            <v>1</v>
          </cell>
          <cell r="AG2223" t="str">
            <v>ADET</v>
          </cell>
          <cell r="AH2223">
            <v>2201.33</v>
          </cell>
          <cell r="AI2223" t="str">
            <v>TL</v>
          </cell>
          <cell r="AJ2223">
            <v>4300</v>
          </cell>
          <cell r="AK2223" t="str">
            <v>TL</v>
          </cell>
          <cell r="AL2223">
            <v>0</v>
          </cell>
          <cell r="AO2223">
            <v>0</v>
          </cell>
          <cell r="AQ2223">
            <v>15</v>
          </cell>
          <cell r="AS2223">
            <v>15</v>
          </cell>
          <cell r="AU2223">
            <v>0</v>
          </cell>
          <cell r="AW2223">
            <v>0</v>
          </cell>
        </row>
        <row r="2224">
          <cell r="B2224" t="str">
            <v>H1C6JMRWRF1-050</v>
          </cell>
          <cell r="C2224" t="str">
            <v>PONY TEKLİ AT SAÇI K.ESKİTME MERMER SARKIT</v>
          </cell>
          <cell r="D2224" t="str">
            <v>PONY SINGLE HORSE HAIR MARBLE RAW BRASS PENDANT</v>
          </cell>
          <cell r="E2224" t="str">
            <v>METAL MERMER KOYU ESKİTME BEYAZ</v>
          </cell>
          <cell r="F2224" t="str">
            <v/>
          </cell>
          <cell r="G2224" t="str">
            <v>AVİZE</v>
          </cell>
          <cell r="H2224" t="str">
            <v/>
          </cell>
          <cell r="I2224" t="str">
            <v/>
          </cell>
          <cell r="J2224" t="str">
            <v/>
          </cell>
          <cell r="K2224" t="str">
            <v>PONY</v>
          </cell>
          <cell r="L2224" t="str">
            <v/>
          </cell>
          <cell r="M2224" t="str">
            <v>28.02.2026</v>
          </cell>
          <cell r="N2224" t="str">
            <v>HKA-25255</v>
          </cell>
          <cell r="O2224" t="str">
            <v>HEKA</v>
          </cell>
          <cell r="P2224" t="str">
            <v>ADET</v>
          </cell>
          <cell r="Q2224" t="str">
            <v>LED</v>
          </cell>
          <cell r="R2224" t="str">
            <v>METAL</v>
          </cell>
          <cell r="S2224" t="str">
            <v>KOYU ESKİTME</v>
          </cell>
          <cell r="T2224" t="str">
            <v>MERMER</v>
          </cell>
          <cell r="U2224" t="str">
            <v>BEYAZ</v>
          </cell>
          <cell r="AD2224" t="str">
            <v>TEKLİ</v>
          </cell>
          <cell r="AE2224" t="str">
            <v>01</v>
          </cell>
          <cell r="AF2224">
            <v>0</v>
          </cell>
          <cell r="AG2224" t="str">
            <v>ADET</v>
          </cell>
          <cell r="AL2224">
            <v>0</v>
          </cell>
          <cell r="AM2224" t="str">
            <v>8684127518963</v>
          </cell>
          <cell r="AO2224">
            <v>0</v>
          </cell>
          <cell r="AQ2224">
            <v>0</v>
          </cell>
          <cell r="AS2224">
            <v>0</v>
          </cell>
          <cell r="AU2224">
            <v>0</v>
          </cell>
          <cell r="AW2224">
            <v>0</v>
          </cell>
        </row>
        <row r="2225">
          <cell r="B2225" t="str">
            <v>H1W6JRSJMER-023</v>
          </cell>
          <cell r="C2225" t="str">
            <v>VERO SİYAH-ESKİTME LED APLİK 23cm</v>
          </cell>
          <cell r="D2225" t="str">
            <v>VERO BLACK-BRUSHED BRASS LED WALL LAMP 23cm</v>
          </cell>
          <cell r="E2225" t="str">
            <v>METAL METAL SİYAH ESKİTME</v>
          </cell>
          <cell r="F2225" t="str">
            <v/>
          </cell>
          <cell r="G2225" t="str">
            <v>APLİK</v>
          </cell>
          <cell r="H2225" t="str">
            <v/>
          </cell>
          <cell r="I2225" t="str">
            <v/>
          </cell>
          <cell r="J2225" t="str">
            <v>APLİK</v>
          </cell>
          <cell r="K2225" t="str">
            <v>VERO</v>
          </cell>
          <cell r="L2225" t="str">
            <v>Y</v>
          </cell>
          <cell r="M2225" t="str">
            <v/>
          </cell>
          <cell r="N2225" t="str">
            <v>HKA-25252</v>
          </cell>
          <cell r="O2225" t="str">
            <v>HEKA</v>
          </cell>
          <cell r="P2225" t="str">
            <v>ADET</v>
          </cell>
          <cell r="Q2225" t="str">
            <v>LED</v>
          </cell>
          <cell r="R2225" t="str">
            <v>METAL</v>
          </cell>
          <cell r="S2225" t="str">
            <v>SİYAH</v>
          </cell>
          <cell r="T2225" t="str">
            <v>METAL</v>
          </cell>
          <cell r="U2225" t="str">
            <v>ESKİTME</v>
          </cell>
          <cell r="Y2225" t="str">
            <v>3 WATT</v>
          </cell>
          <cell r="Z2225" t="str">
            <v>3000 K</v>
          </cell>
          <cell r="AB2225" t="str">
            <v>601-700</v>
          </cell>
          <cell r="AD2225" t="str">
            <v>DAİRE</v>
          </cell>
          <cell r="AE2225" t="str">
            <v>01</v>
          </cell>
          <cell r="AF2225">
            <v>28</v>
          </cell>
          <cell r="AG2225" t="str">
            <v>ADET</v>
          </cell>
          <cell r="AJ2225">
            <v>3950</v>
          </cell>
          <cell r="AK2225" t="str">
            <v>TL</v>
          </cell>
          <cell r="AL2225">
            <v>0</v>
          </cell>
          <cell r="AM2225" t="str">
            <v>8684127519038</v>
          </cell>
          <cell r="AO2225">
            <v>0</v>
          </cell>
          <cell r="AQ2225">
            <v>10</v>
          </cell>
          <cell r="AR2225" t="str">
            <v>CM</v>
          </cell>
          <cell r="AS2225">
            <v>23</v>
          </cell>
          <cell r="AT2225" t="str">
            <v>CM</v>
          </cell>
          <cell r="AU2225">
            <v>0</v>
          </cell>
          <cell r="AW2225">
            <v>0</v>
          </cell>
        </row>
        <row r="2226">
          <cell r="B2226" t="str">
            <v>H1W6WRFJMEP-035</v>
          </cell>
          <cell r="C2226" t="str">
            <v>NARVİ BEYAZ MERMER APLİK 35cm</v>
          </cell>
          <cell r="D2226" t="str">
            <v>NARVİ WHITE MARBLE WALL LAMP 35cm</v>
          </cell>
          <cell r="E2226" t="str">
            <v>MERMER METAL BEYAZ ESKİTME</v>
          </cell>
          <cell r="F2226" t="str">
            <v/>
          </cell>
          <cell r="G2226" t="str">
            <v>APLİK</v>
          </cell>
          <cell r="H2226" t="str">
            <v/>
          </cell>
          <cell r="I2226" t="str">
            <v/>
          </cell>
          <cell r="J2226" t="str">
            <v/>
          </cell>
          <cell r="K2226" t="str">
            <v>NARVİ</v>
          </cell>
          <cell r="L2226" t="str">
            <v/>
          </cell>
          <cell r="M2226" t="str">
            <v/>
          </cell>
          <cell r="N2226" t="str">
            <v>HKA-25263</v>
          </cell>
          <cell r="O2226" t="str">
            <v>HEKA</v>
          </cell>
          <cell r="P2226" t="str">
            <v>ADET</v>
          </cell>
          <cell r="Q2226" t="str">
            <v>LED</v>
          </cell>
          <cell r="R2226" t="str">
            <v>MERMER</v>
          </cell>
          <cell r="S2226" t="str">
            <v>BEYAZ</v>
          </cell>
          <cell r="T2226" t="str">
            <v>METAL</v>
          </cell>
          <cell r="U2226" t="str">
            <v>ESKİTME</v>
          </cell>
          <cell r="AD2226" t="str">
            <v>POLİGONAL</v>
          </cell>
          <cell r="AE2226" t="str">
            <v>01</v>
          </cell>
          <cell r="AG2226" t="str">
            <v>ADET</v>
          </cell>
          <cell r="AJ2226">
            <v>5450</v>
          </cell>
          <cell r="AK2226" t="str">
            <v>TL</v>
          </cell>
          <cell r="AL2226">
            <v>0</v>
          </cell>
          <cell r="AM2226" t="str">
            <v>8684127519113</v>
          </cell>
          <cell r="AO2226">
            <v>0</v>
          </cell>
          <cell r="AQ2226">
            <v>7</v>
          </cell>
          <cell r="AR2226" t="str">
            <v>CM</v>
          </cell>
          <cell r="AS2226">
            <v>34.5</v>
          </cell>
          <cell r="AT2226" t="str">
            <v>CM</v>
          </cell>
          <cell r="AU2226">
            <v>0</v>
          </cell>
          <cell r="AW2226">
            <v>0</v>
          </cell>
        </row>
        <row r="2227">
          <cell r="B2227" t="str">
            <v>AVFVURB0000-039</v>
          </cell>
          <cell r="C2227" t="str">
            <v>VİTALE LİGHT SERAMİK KAYA ÇİÇEKLİK 20,5x13,5x39 CM</v>
          </cell>
          <cell r="D2227" t="str">
            <v>VİTALE LİGHT CERAMIC ROCK PLANTER 20,5x13,5x39 CM</v>
          </cell>
          <cell r="E2227" t="str">
            <v>SERAMİK YOK BEYAZ YOK</v>
          </cell>
          <cell r="F2227" t="str">
            <v/>
          </cell>
          <cell r="G2227" t="str">
            <v>AKSESUAR</v>
          </cell>
          <cell r="H2227" t="str">
            <v/>
          </cell>
          <cell r="I2227" t="str">
            <v/>
          </cell>
          <cell r="J2227" t="str">
            <v/>
          </cell>
          <cell r="K2227" t="str">
            <v>VİTALE</v>
          </cell>
          <cell r="L2227" t="str">
            <v/>
          </cell>
          <cell r="M2227" t="str">
            <v/>
          </cell>
          <cell r="N2227" t="str">
            <v>HKA-250085</v>
          </cell>
          <cell r="O2227" t="str">
            <v>HEKA</v>
          </cell>
          <cell r="P2227" t="str">
            <v>ADET</v>
          </cell>
          <cell r="R2227" t="str">
            <v>SERAMİK</v>
          </cell>
          <cell r="S2227" t="str">
            <v>BEYAZ</v>
          </cell>
          <cell r="AF2227">
            <v>1</v>
          </cell>
          <cell r="AG2227" t="str">
            <v>ADET</v>
          </cell>
          <cell r="AH2227">
            <v>1621.62</v>
          </cell>
          <cell r="AI2227" t="str">
            <v>TL</v>
          </cell>
          <cell r="AL2227">
            <v>0</v>
          </cell>
          <cell r="AO2227">
            <v>0</v>
          </cell>
          <cell r="AQ2227">
            <v>39</v>
          </cell>
          <cell r="AR2227" t="str">
            <v>CM</v>
          </cell>
          <cell r="AS2227">
            <v>20.5</v>
          </cell>
          <cell r="AT2227" t="str">
            <v>CM</v>
          </cell>
          <cell r="AU2227">
            <v>0</v>
          </cell>
          <cell r="AW2227">
            <v>0</v>
          </cell>
        </row>
        <row r="2228">
          <cell r="B2228" t="str">
            <v>ADFVYRE0000-144</v>
          </cell>
          <cell r="C2228" t="str">
            <v>VİTALE SOMON KAYIN DALI 144 CM</v>
          </cell>
          <cell r="D2228" t="str">
            <v>VİTALE SALMON BEECH BRANCH 144 CM</v>
          </cell>
          <cell r="E2228" t="str">
            <v>POLYESTER YOK RESİM YOK</v>
          </cell>
          <cell r="F2228" t="str">
            <v/>
          </cell>
          <cell r="G2228" t="str">
            <v>AKSESUAR</v>
          </cell>
          <cell r="H2228" t="str">
            <v/>
          </cell>
          <cell r="I2228" t="str">
            <v/>
          </cell>
          <cell r="J2228" t="str">
            <v/>
          </cell>
          <cell r="K2228" t="str">
            <v>VİTALE</v>
          </cell>
          <cell r="L2228" t="str">
            <v/>
          </cell>
          <cell r="M2228" t="str">
            <v/>
          </cell>
          <cell r="N2228" t="str">
            <v>HKA-250092</v>
          </cell>
          <cell r="O2228" t="str">
            <v>HEKA</v>
          </cell>
          <cell r="P2228" t="str">
            <v>ADET</v>
          </cell>
          <cell r="R2228" t="str">
            <v>POLYESTER</v>
          </cell>
          <cell r="S2228" t="str">
            <v xml:space="preserve">RESİM </v>
          </cell>
          <cell r="AF2228">
            <v>3</v>
          </cell>
          <cell r="AG2228" t="str">
            <v>ADET</v>
          </cell>
          <cell r="AH2228">
            <v>784.96</v>
          </cell>
          <cell r="AI2228" t="str">
            <v>TL</v>
          </cell>
          <cell r="AL2228">
            <v>0</v>
          </cell>
          <cell r="AO2228">
            <v>0</v>
          </cell>
          <cell r="AQ2228">
            <v>0</v>
          </cell>
          <cell r="AS2228">
            <v>0</v>
          </cell>
          <cell r="AU2228">
            <v>0</v>
          </cell>
          <cell r="AW2228">
            <v>0</v>
          </cell>
        </row>
        <row r="2229">
          <cell r="B2229" t="str">
            <v>AVFVWRY0005-102</v>
          </cell>
          <cell r="C2229" t="str">
            <v>VİTALE MARBLE YEŞİL VAZO 26x26x102 CM</v>
          </cell>
          <cell r="D2229" t="str">
            <v>VİTALE MARBLE GREEN VASE 26x26x102 CM</v>
          </cell>
          <cell r="E2229" t="str">
            <v>MERMER YOK YEŞİL YOK</v>
          </cell>
          <cell r="F2229" t="str">
            <v/>
          </cell>
          <cell r="G2229" t="str">
            <v>AKSESUAR</v>
          </cell>
          <cell r="H2229" t="str">
            <v/>
          </cell>
          <cell r="I2229" t="str">
            <v/>
          </cell>
          <cell r="J2229" t="str">
            <v/>
          </cell>
          <cell r="K2229" t="str">
            <v>VİTALE</v>
          </cell>
          <cell r="L2229" t="str">
            <v/>
          </cell>
          <cell r="M2229" t="str">
            <v/>
          </cell>
          <cell r="N2229" t="str">
            <v>HKA-250099</v>
          </cell>
          <cell r="O2229" t="str">
            <v>HEKA</v>
          </cell>
          <cell r="P2229" t="str">
            <v>ADET</v>
          </cell>
          <cell r="R2229" t="str">
            <v>MERMER</v>
          </cell>
          <cell r="S2229" t="str">
            <v>YEŞİL</v>
          </cell>
          <cell r="AD2229" t="str">
            <v>VAZO</v>
          </cell>
          <cell r="AF2229">
            <v>1</v>
          </cell>
          <cell r="AG2229" t="str">
            <v>ADET</v>
          </cell>
          <cell r="AH2229">
            <v>6834.8</v>
          </cell>
          <cell r="AI2229" t="str">
            <v>TL</v>
          </cell>
          <cell r="AL2229">
            <v>0</v>
          </cell>
          <cell r="AO2229">
            <v>0</v>
          </cell>
          <cell r="AQ2229">
            <v>102</v>
          </cell>
          <cell r="AR2229" t="str">
            <v>CM</v>
          </cell>
          <cell r="AS2229">
            <v>26</v>
          </cell>
          <cell r="AT2229" t="str">
            <v>CM</v>
          </cell>
          <cell r="AU2229">
            <v>0</v>
          </cell>
          <cell r="AW2229">
            <v>0</v>
          </cell>
        </row>
        <row r="2230">
          <cell r="B2230" t="str">
            <v>CN1D1C302E5I1</v>
          </cell>
          <cell r="C2230" t="str">
            <v xml:space="preserve">ERD-309 T35 ŞEFFAF KIVRIK 6W 3000K E14 LED AMPUL </v>
          </cell>
          <cell r="D2230" t="str">
            <v xml:space="preserve">ERD-309 T35 CLEAR CANDLE ANGULAR 6W 3000K E14 BULB </v>
          </cell>
          <cell r="E2230" t="str">
            <v xml:space="preserve">CAM  ŞEFFAF </v>
          </cell>
          <cell r="F2230" t="str">
            <v/>
          </cell>
          <cell r="G2230" t="str">
            <v>AMPUL</v>
          </cell>
          <cell r="H2230" t="str">
            <v/>
          </cell>
          <cell r="I2230" t="str">
            <v/>
          </cell>
          <cell r="J2230" t="str">
            <v/>
          </cell>
          <cell r="K2230" t="str">
            <v>ERD-309</v>
          </cell>
          <cell r="L2230" t="str">
            <v/>
          </cell>
          <cell r="M2230" t="str">
            <v/>
          </cell>
          <cell r="N2230" t="str">
            <v>ERD-309</v>
          </cell>
          <cell r="O2230" t="str">
            <v>HEKA</v>
          </cell>
          <cell r="P2230" t="str">
            <v>ADET</v>
          </cell>
          <cell r="Q2230" t="str">
            <v>E14</v>
          </cell>
          <cell r="R2230" t="str">
            <v>CAM</v>
          </cell>
          <cell r="S2230" t="str">
            <v>ŞEFFAF</v>
          </cell>
          <cell r="V2230" t="str">
            <v>D</v>
          </cell>
          <cell r="W2230" t="str">
            <v>FLAMENT</v>
          </cell>
          <cell r="X2230" t="str">
            <v>220V</v>
          </cell>
          <cell r="Y2230" t="str">
            <v>6 WATT</v>
          </cell>
          <cell r="Z2230" t="str">
            <v>3000 K</v>
          </cell>
          <cell r="AA2230" t="str">
            <v>DIMMLI</v>
          </cell>
          <cell r="AB2230" t="str">
            <v>801-900</v>
          </cell>
          <cell r="AC2230" t="str">
            <v>T35 - KIVRIK</v>
          </cell>
          <cell r="AG2230" t="str">
            <v>ADET</v>
          </cell>
          <cell r="AL2230">
            <v>0</v>
          </cell>
          <cell r="AM2230" t="str">
            <v>8684127519502</v>
          </cell>
          <cell r="AN2230" t="str">
            <v>8684127519519</v>
          </cell>
          <cell r="AO2230">
            <v>0</v>
          </cell>
          <cell r="AQ2230">
            <v>0</v>
          </cell>
          <cell r="AS2230">
            <v>0</v>
          </cell>
          <cell r="AU2230">
            <v>0</v>
          </cell>
          <cell r="AW2230">
            <v>0</v>
          </cell>
        </row>
        <row r="2231">
          <cell r="B2231" t="str">
            <v>CE2E1C102F3I0</v>
          </cell>
          <cell r="C2231" t="str">
            <v>ERD-324 G95 BAL 7W 2500K E27 LED AMPUL</v>
          </cell>
          <cell r="D2231" t="str">
            <v>ERD-324 G95 AMBER 7W 2500K E27 LED BULB</v>
          </cell>
          <cell r="E2231" t="str">
            <v xml:space="preserve">CAM  BAL </v>
          </cell>
          <cell r="F2231" t="str">
            <v/>
          </cell>
          <cell r="G2231" t="str">
            <v>AMPUL</v>
          </cell>
          <cell r="H2231" t="str">
            <v/>
          </cell>
          <cell r="I2231" t="str">
            <v/>
          </cell>
          <cell r="J2231" t="str">
            <v/>
          </cell>
          <cell r="K2231" t="str">
            <v>ERD-324</v>
          </cell>
          <cell r="L2231" t="str">
            <v/>
          </cell>
          <cell r="M2231" t="str">
            <v/>
          </cell>
          <cell r="N2231" t="str">
            <v>ERD-324</v>
          </cell>
          <cell r="O2231" t="str">
            <v>HEKA</v>
          </cell>
          <cell r="P2231" t="str">
            <v>ADET</v>
          </cell>
          <cell r="Q2231" t="str">
            <v>E27</v>
          </cell>
          <cell r="R2231" t="str">
            <v>CAM</v>
          </cell>
          <cell r="S2231" t="str">
            <v>BAL</v>
          </cell>
          <cell r="V2231" t="str">
            <v>E</v>
          </cell>
          <cell r="W2231" t="str">
            <v>FLAMENT</v>
          </cell>
          <cell r="X2231" t="str">
            <v>220V</v>
          </cell>
          <cell r="Y2231" t="str">
            <v>7 WATT</v>
          </cell>
          <cell r="Z2231" t="str">
            <v>2500 K</v>
          </cell>
          <cell r="AA2231" t="str">
            <v>DIMMSIZ</v>
          </cell>
          <cell r="AB2231" t="str">
            <v>801-900</v>
          </cell>
          <cell r="AC2231" t="str">
            <v>G95-TOP</v>
          </cell>
          <cell r="AG2231" t="str">
            <v>ADET</v>
          </cell>
          <cell r="AL2231">
            <v>0</v>
          </cell>
          <cell r="AM2231" t="str">
            <v>8684127519649</v>
          </cell>
          <cell r="AN2231" t="str">
            <v>8684127519656</v>
          </cell>
          <cell r="AO2231">
            <v>0</v>
          </cell>
          <cell r="AQ2231">
            <v>0</v>
          </cell>
          <cell r="AS2231">
            <v>0</v>
          </cell>
          <cell r="AU2231">
            <v>0</v>
          </cell>
          <cell r="AW2231">
            <v>0</v>
          </cell>
        </row>
        <row r="2232">
          <cell r="B2232" t="str">
            <v>AVFVJRG0005-024</v>
          </cell>
          <cell r="C2232" t="str">
            <v>GRADIA METAL GRİ UZUN VAZO 24CM</v>
          </cell>
          <cell r="D2232" t="str">
            <v>GRADIA METAL GREY LONG VASE 24CM</v>
          </cell>
          <cell r="E2232" t="str">
            <v>METAL YOK GRİ YOK</v>
          </cell>
          <cell r="F2232" t="str">
            <v/>
          </cell>
          <cell r="G2232" t="str">
            <v>AKSESUAR</v>
          </cell>
          <cell r="H2232" t="str">
            <v/>
          </cell>
          <cell r="I2232" t="str">
            <v>İÇ</v>
          </cell>
          <cell r="J2232" t="str">
            <v>AKSESUAR</v>
          </cell>
          <cell r="K2232" t="str">
            <v>VİTALE</v>
          </cell>
          <cell r="L2232" t="str">
            <v>GRADIA</v>
          </cell>
          <cell r="M2232" t="str">
            <v/>
          </cell>
          <cell r="N2232" t="str">
            <v>HKA-250038</v>
          </cell>
          <cell r="O2232" t="str">
            <v>HEKA</v>
          </cell>
          <cell r="P2232" t="str">
            <v>ADET</v>
          </cell>
          <cell r="R2232" t="str">
            <v>METAL</v>
          </cell>
          <cell r="S2232" t="str">
            <v>GRİ</v>
          </cell>
          <cell r="T2232" t="str">
            <v>YOK</v>
          </cell>
          <cell r="U2232" t="str">
            <v>YOK</v>
          </cell>
          <cell r="AD2232" t="str">
            <v>VAZO</v>
          </cell>
          <cell r="AF2232">
            <v>1</v>
          </cell>
          <cell r="AG2232" t="str">
            <v>ADET</v>
          </cell>
          <cell r="AH2232">
            <v>1762.58</v>
          </cell>
          <cell r="AI2232" t="str">
            <v>TL</v>
          </cell>
          <cell r="AJ2232">
            <v>4230.192</v>
          </cell>
          <cell r="AK2232" t="str">
            <v>TL</v>
          </cell>
          <cell r="AL2232">
            <v>0</v>
          </cell>
          <cell r="AO2232">
            <v>0</v>
          </cell>
          <cell r="AQ2232">
            <v>12</v>
          </cell>
          <cell r="AR2232" t="str">
            <v>CM</v>
          </cell>
          <cell r="AS2232">
            <v>12</v>
          </cell>
          <cell r="AT2232" t="str">
            <v>CM</v>
          </cell>
          <cell r="AU2232">
            <v>0</v>
          </cell>
          <cell r="AW2232">
            <v>0</v>
          </cell>
        </row>
        <row r="2233">
          <cell r="B2233" t="str">
            <v>ADFVHBJ0008-033</v>
          </cell>
          <cell r="C2233" t="str">
            <v>VAN GOGH KİTAP KUTU</v>
          </cell>
          <cell r="D2233" t="str">
            <v>VAN GOGH BOOK BOX</v>
          </cell>
          <cell r="E2233" t="str">
            <v>KUMAŞ YOK BEJ YOK</v>
          </cell>
          <cell r="F2233" t="str">
            <v/>
          </cell>
          <cell r="G2233" t="str">
            <v>AKSESUAR</v>
          </cell>
          <cell r="H2233" t="str">
            <v/>
          </cell>
          <cell r="I2233" t="str">
            <v>İÇ</v>
          </cell>
          <cell r="J2233" t="str">
            <v>AKSESUAR</v>
          </cell>
          <cell r="K2233" t="str">
            <v>VAN GOGH</v>
          </cell>
          <cell r="L2233" t="str">
            <v/>
          </cell>
          <cell r="M2233" t="str">
            <v/>
          </cell>
          <cell r="N2233" t="str">
            <v>HKA-250039</v>
          </cell>
          <cell r="O2233" t="str">
            <v>HEKA</v>
          </cell>
          <cell r="P2233" t="str">
            <v>ADET</v>
          </cell>
          <cell r="R2233" t="str">
            <v>KUMAŞ</v>
          </cell>
          <cell r="S2233" t="str">
            <v>BEJ</v>
          </cell>
          <cell r="T2233" t="str">
            <v>YOK</v>
          </cell>
          <cell r="U2233" t="str">
            <v>YOK</v>
          </cell>
          <cell r="AD2233" t="str">
            <v>DESENLİ</v>
          </cell>
          <cell r="AF2233">
            <v>1</v>
          </cell>
          <cell r="AG2233" t="str">
            <v>ADET</v>
          </cell>
          <cell r="AH2233">
            <v>1246.08</v>
          </cell>
          <cell r="AI2233" t="str">
            <v>TL</v>
          </cell>
          <cell r="AJ2233">
            <v>2990.5920000000001</v>
          </cell>
          <cell r="AK2233" t="str">
            <v>TL</v>
          </cell>
          <cell r="AL2233">
            <v>0</v>
          </cell>
          <cell r="AO2233">
            <v>0</v>
          </cell>
          <cell r="AQ2233">
            <v>7</v>
          </cell>
          <cell r="AR2233" t="str">
            <v>CM</v>
          </cell>
          <cell r="AS2233">
            <v>33</v>
          </cell>
          <cell r="AT2233" t="str">
            <v>CM</v>
          </cell>
          <cell r="AU2233">
            <v>0</v>
          </cell>
          <cell r="AW2233">
            <v>0</v>
          </cell>
        </row>
        <row r="2234">
          <cell r="B2234" t="str">
            <v>3YCVGRL0004-005</v>
          </cell>
          <cell r="C2234" t="str">
            <v>BAL CAM METEOR TAŞ 5CM</v>
          </cell>
          <cell r="D2234" t="str">
            <v>AMBER GLASS METEOR STONE 5CM</v>
          </cell>
          <cell r="E2234" t="str">
            <v>CAM YOK BAL YOK</v>
          </cell>
          <cell r="F2234" t="str">
            <v/>
          </cell>
          <cell r="G2234" t="str">
            <v>ZPARCA</v>
          </cell>
          <cell r="H2234" t="str">
            <v/>
          </cell>
          <cell r="I2234" t="str">
            <v>İÇ</v>
          </cell>
          <cell r="J2234" t="str">
            <v>ZPARCA</v>
          </cell>
          <cell r="K2234" t="str">
            <v>HEKA</v>
          </cell>
          <cell r="L2234" t="str">
            <v/>
          </cell>
          <cell r="M2234" t="str">
            <v/>
          </cell>
          <cell r="N2234" t="str">
            <v>HKA-250004</v>
          </cell>
          <cell r="O2234" t="str">
            <v>HEKA</v>
          </cell>
          <cell r="P2234" t="str">
            <v>ADET</v>
          </cell>
          <cell r="R2234" t="str">
            <v>CAM</v>
          </cell>
          <cell r="S2234" t="str">
            <v>BAL</v>
          </cell>
          <cell r="T2234" t="str">
            <v>YOK</v>
          </cell>
          <cell r="U2234" t="str">
            <v>YOK</v>
          </cell>
          <cell r="AF2234">
            <v>480</v>
          </cell>
          <cell r="AG2234" t="str">
            <v>ADET</v>
          </cell>
          <cell r="AH2234">
            <v>0.75</v>
          </cell>
          <cell r="AI2234" t="str">
            <v>CNY</v>
          </cell>
          <cell r="AJ2234">
            <v>65</v>
          </cell>
          <cell r="AK2234" t="str">
            <v>TL</v>
          </cell>
          <cell r="AL2234">
            <v>0</v>
          </cell>
          <cell r="AO2234">
            <v>0</v>
          </cell>
          <cell r="AQ2234">
            <v>5</v>
          </cell>
          <cell r="AR2234" t="str">
            <v>CM</v>
          </cell>
          <cell r="AS2234">
            <v>5</v>
          </cell>
          <cell r="AT2234" t="str">
            <v>CM</v>
          </cell>
          <cell r="AU2234">
            <v>0</v>
          </cell>
          <cell r="AW2234">
            <v>0</v>
          </cell>
        </row>
        <row r="2235">
          <cell r="B2235" t="str">
            <v>3YCVGCS0004-016</v>
          </cell>
          <cell r="C2235" t="str">
            <v>ŞEFFAF ÜÇ KANATLI AVİZE CAMI 16CM</v>
          </cell>
          <cell r="D2235" t="str">
            <v>TRANSPARENT THREE-WING PENDANT GLASS 16CM</v>
          </cell>
          <cell r="E2235" t="str">
            <v>CAM YOK ŞEFFAF YOK</v>
          </cell>
          <cell r="F2235" t="str">
            <v/>
          </cell>
          <cell r="G2235" t="str">
            <v>ZPARCA</v>
          </cell>
          <cell r="H2235" t="str">
            <v/>
          </cell>
          <cell r="I2235" t="str">
            <v>İÇ</v>
          </cell>
          <cell r="J2235" t="str">
            <v>ZPARCA</v>
          </cell>
          <cell r="K2235" t="str">
            <v>HEKA</v>
          </cell>
          <cell r="L2235" t="str">
            <v/>
          </cell>
          <cell r="M2235" t="str">
            <v/>
          </cell>
          <cell r="N2235" t="str">
            <v>HKA-250061</v>
          </cell>
          <cell r="O2235" t="str">
            <v>HEKA</v>
          </cell>
          <cell r="P2235" t="str">
            <v>ADET</v>
          </cell>
          <cell r="R2235" t="str">
            <v>CAM</v>
          </cell>
          <cell r="S2235" t="str">
            <v>ŞEFFAF</v>
          </cell>
          <cell r="T2235" t="str">
            <v>YOK</v>
          </cell>
          <cell r="U2235" t="str">
            <v>YOK</v>
          </cell>
          <cell r="AF2235">
            <v>200</v>
          </cell>
          <cell r="AG2235" t="str">
            <v>ADET</v>
          </cell>
          <cell r="AH2235">
            <v>11</v>
          </cell>
          <cell r="AI2235" t="str">
            <v>CNY</v>
          </cell>
          <cell r="AJ2235">
            <v>750</v>
          </cell>
          <cell r="AK2235" t="str">
            <v>TL</v>
          </cell>
          <cell r="AL2235">
            <v>0</v>
          </cell>
          <cell r="AO2235">
            <v>0</v>
          </cell>
          <cell r="AQ2235">
            <v>0</v>
          </cell>
          <cell r="AS2235">
            <v>16</v>
          </cell>
          <cell r="AT2235" t="str">
            <v>CM</v>
          </cell>
          <cell r="AU2235">
            <v>0</v>
          </cell>
          <cell r="AW2235">
            <v>0</v>
          </cell>
        </row>
        <row r="2236">
          <cell r="B2236" t="str">
            <v>3YCVGRK0004-016</v>
          </cell>
          <cell r="C2236" t="str">
            <v>KIRMIZI ÜÇ KANATLI AVİZE CAMI 16CM</v>
          </cell>
          <cell r="D2236" t="str">
            <v>RED THREE-WING PENDANT GLASS 16CM</v>
          </cell>
          <cell r="E2236" t="str">
            <v>CAM YOK KIRMIZI YOK</v>
          </cell>
          <cell r="F2236" t="str">
            <v/>
          </cell>
          <cell r="G2236" t="str">
            <v>ZPARCA</v>
          </cell>
          <cell r="H2236" t="str">
            <v/>
          </cell>
          <cell r="I2236" t="str">
            <v>İÇ</v>
          </cell>
          <cell r="J2236" t="str">
            <v>ZPARCA</v>
          </cell>
          <cell r="K2236" t="str">
            <v>HEKA</v>
          </cell>
          <cell r="L2236" t="str">
            <v/>
          </cell>
          <cell r="M2236" t="str">
            <v/>
          </cell>
          <cell r="N2236" t="str">
            <v>HKA-250062</v>
          </cell>
          <cell r="O2236" t="str">
            <v>HEKA</v>
          </cell>
          <cell r="P2236" t="str">
            <v>ADET</v>
          </cell>
          <cell r="R2236" t="str">
            <v>CAM</v>
          </cell>
          <cell r="S2236" t="str">
            <v>KIRMIZI</v>
          </cell>
          <cell r="T2236" t="str">
            <v>YOK</v>
          </cell>
          <cell r="U2236" t="str">
            <v>YOK</v>
          </cell>
          <cell r="AF2236">
            <v>200</v>
          </cell>
          <cell r="AG2236" t="str">
            <v>ADET</v>
          </cell>
          <cell r="AH2236">
            <v>12</v>
          </cell>
          <cell r="AI2236" t="str">
            <v>CNY</v>
          </cell>
          <cell r="AJ2236">
            <v>900</v>
          </cell>
          <cell r="AK2236" t="str">
            <v>TL</v>
          </cell>
          <cell r="AL2236">
            <v>0</v>
          </cell>
          <cell r="AO2236">
            <v>0</v>
          </cell>
          <cell r="AQ2236">
            <v>0</v>
          </cell>
          <cell r="AS2236">
            <v>16</v>
          </cell>
          <cell r="AT2236" t="str">
            <v>CM</v>
          </cell>
          <cell r="AU2236">
            <v>0</v>
          </cell>
          <cell r="AW2236">
            <v>0</v>
          </cell>
        </row>
        <row r="2237">
          <cell r="B2237" t="str">
            <v>H1W6CMP000E-044</v>
          </cell>
          <cell r="C2237" t="str">
            <v>COLLESİUM PLATİN APLİK 44 cm</v>
          </cell>
          <cell r="D2237" t="str">
            <v>COLLESİUM PLATINUM WALL LAMP 44 cm</v>
          </cell>
          <cell r="E2237" t="str">
            <v>ALUMİNYUM YOK PLATİN YOK</v>
          </cell>
          <cell r="F2237" t="str">
            <v/>
          </cell>
          <cell r="G2237" t="str">
            <v>APLİK</v>
          </cell>
          <cell r="H2237" t="str">
            <v/>
          </cell>
          <cell r="I2237" t="str">
            <v>İÇ</v>
          </cell>
          <cell r="J2237" t="str">
            <v/>
          </cell>
          <cell r="K2237" t="str">
            <v>COLLESİUM</v>
          </cell>
          <cell r="L2237" t="str">
            <v/>
          </cell>
          <cell r="M2237" t="str">
            <v>15.02.2026</v>
          </cell>
          <cell r="N2237" t="str">
            <v>HKA-25230</v>
          </cell>
          <cell r="O2237" t="str">
            <v>HEKA</v>
          </cell>
          <cell r="P2237" t="str">
            <v>ADET</v>
          </cell>
          <cell r="Q2237" t="str">
            <v>LED</v>
          </cell>
          <cell r="R2237" t="str">
            <v>ALUMİNYUM</v>
          </cell>
          <cell r="S2237" t="str">
            <v>PLATİN</v>
          </cell>
          <cell r="Z2237" t="str">
            <v>3000 K</v>
          </cell>
          <cell r="AD2237" t="str">
            <v>ELİPS</v>
          </cell>
          <cell r="AF2237">
            <v>0</v>
          </cell>
          <cell r="AG2237" t="str">
            <v>ADET</v>
          </cell>
          <cell r="AH2237">
            <v>290</v>
          </cell>
          <cell r="AI2237" t="str">
            <v>CNY</v>
          </cell>
          <cell r="AL2237">
            <v>0</v>
          </cell>
          <cell r="AM2237" t="str">
            <v>8684127518635</v>
          </cell>
          <cell r="AO2237">
            <v>0</v>
          </cell>
          <cell r="AQ2237">
            <v>7.5</v>
          </cell>
          <cell r="AS2237">
            <v>44</v>
          </cell>
          <cell r="AU2237">
            <v>0</v>
          </cell>
          <cell r="AW2237">
            <v>0</v>
          </cell>
        </row>
        <row r="2238">
          <cell r="B2238" t="str">
            <v>H1W6ERFJRS0-026</v>
          </cell>
          <cell r="C2238" t="str">
            <v>GAMBİA FÜME CAM SİYAH APLİK 26cm</v>
          </cell>
          <cell r="D2238" t="str">
            <v>GAMBİA LIGHT SMOKY GLASS BLACK WALL LAMP 26cm</v>
          </cell>
          <cell r="E2238" t="str">
            <v>CAM METAL FÜME SİYAH</v>
          </cell>
          <cell r="F2238" t="str">
            <v/>
          </cell>
          <cell r="G2238" t="str">
            <v>APLİK</v>
          </cell>
          <cell r="H2238" t="str">
            <v/>
          </cell>
          <cell r="I2238" t="str">
            <v>İÇ</v>
          </cell>
          <cell r="J2238" t="str">
            <v/>
          </cell>
          <cell r="K2238" t="str">
            <v>GAMBİA</v>
          </cell>
          <cell r="L2238" t="str">
            <v/>
          </cell>
          <cell r="M2238" t="str">
            <v>30.01.2026</v>
          </cell>
          <cell r="N2238" t="str">
            <v>HKA-25231</v>
          </cell>
          <cell r="O2238" t="str">
            <v>HEKA</v>
          </cell>
          <cell r="P2238" t="str">
            <v>ADET</v>
          </cell>
          <cell r="Q2238" t="str">
            <v>LED</v>
          </cell>
          <cell r="R2238" t="str">
            <v>CAM</v>
          </cell>
          <cell r="S2238" t="str">
            <v>FÜME</v>
          </cell>
          <cell r="T2238" t="str">
            <v>METAL</v>
          </cell>
          <cell r="U2238" t="str">
            <v>SİYAH</v>
          </cell>
          <cell r="Z2238" t="str">
            <v xml:space="preserve">2700 K </v>
          </cell>
          <cell r="AF2238">
            <v>0</v>
          </cell>
          <cell r="AG2238" t="str">
            <v>ADET</v>
          </cell>
          <cell r="AH2238">
            <v>448</v>
          </cell>
          <cell r="AI2238" t="str">
            <v>CNY</v>
          </cell>
          <cell r="AL2238">
            <v>0</v>
          </cell>
          <cell r="AM2238" t="str">
            <v>8684127518642</v>
          </cell>
          <cell r="AO2238">
            <v>0</v>
          </cell>
          <cell r="AQ2238">
            <v>25</v>
          </cell>
          <cell r="AS2238">
            <v>17</v>
          </cell>
          <cell r="AU2238">
            <v>0</v>
          </cell>
          <cell r="AW2238">
            <v>0</v>
          </cell>
        </row>
        <row r="2239">
          <cell r="B2239" t="str">
            <v>H1C2JMEERY1-030</v>
          </cell>
          <cell r="C2239" t="str">
            <v>CASTEL YEŞİL SATİNA CAM SARKIT 30cm</v>
          </cell>
          <cell r="D2239" t="str">
            <v>CASTEL GREEN SATINA GLASS PENDANT 30cm</v>
          </cell>
          <cell r="E2239" t="str">
            <v>METAL CAM ESKİTME YEŞİL</v>
          </cell>
          <cell r="F2239" t="str">
            <v/>
          </cell>
          <cell r="G2239" t="str">
            <v>AVİZE</v>
          </cell>
          <cell r="H2239" t="str">
            <v/>
          </cell>
          <cell r="I2239" t="str">
            <v>İÇ</v>
          </cell>
          <cell r="J2239" t="str">
            <v/>
          </cell>
          <cell r="K2239" t="str">
            <v>CASTEL</v>
          </cell>
          <cell r="L2239" t="str">
            <v/>
          </cell>
          <cell r="M2239" t="str">
            <v>30.01.2026</v>
          </cell>
          <cell r="N2239" t="str">
            <v>HKA-25245</v>
          </cell>
          <cell r="O2239" t="str">
            <v>HEKA</v>
          </cell>
          <cell r="P2239" t="str">
            <v>ADET</v>
          </cell>
          <cell r="Q2239" t="str">
            <v>E27</v>
          </cell>
          <cell r="R2239" t="str">
            <v>METAL</v>
          </cell>
          <cell r="S2239" t="str">
            <v>ESKİTME</v>
          </cell>
          <cell r="T2239" t="str">
            <v>CAM</v>
          </cell>
          <cell r="U2239" t="str">
            <v>YEŞİL</v>
          </cell>
          <cell r="AD2239" t="str">
            <v>TEKLİ</v>
          </cell>
          <cell r="AE2239" t="str">
            <v>01</v>
          </cell>
          <cell r="AF2239">
            <v>0</v>
          </cell>
          <cell r="AG2239" t="str">
            <v>ADET</v>
          </cell>
          <cell r="AH2239">
            <v>181.2</v>
          </cell>
          <cell r="AI2239" t="str">
            <v>CNY</v>
          </cell>
          <cell r="AL2239">
            <v>0</v>
          </cell>
          <cell r="AM2239" t="str">
            <v>8684127518789</v>
          </cell>
          <cell r="AO2239">
            <v>0</v>
          </cell>
          <cell r="AQ2239">
            <v>0</v>
          </cell>
          <cell r="AS2239">
            <v>0</v>
          </cell>
          <cell r="AU2239">
            <v>0</v>
          </cell>
          <cell r="AW2239">
            <v>0</v>
          </cell>
        </row>
        <row r="2240">
          <cell r="B2240" t="str">
            <v>H1C2JMEERB1-037</v>
          </cell>
          <cell r="C2240" t="str">
            <v>CASTEL BEYAZ SATİNA CAM SARKIT 37cm</v>
          </cell>
          <cell r="D2240" t="str">
            <v>CASTEL WHITE SATINA GLASS PENDANT 37cm</v>
          </cell>
          <cell r="E2240" t="str">
            <v>METAL CAM ESKİTME BEYAZ</v>
          </cell>
          <cell r="F2240" t="str">
            <v/>
          </cell>
          <cell r="G2240" t="str">
            <v>AVİZE</v>
          </cell>
          <cell r="H2240" t="str">
            <v/>
          </cell>
          <cell r="I2240" t="str">
            <v>İÇ</v>
          </cell>
          <cell r="J2240" t="str">
            <v/>
          </cell>
          <cell r="K2240" t="str">
            <v>CASTEL</v>
          </cell>
          <cell r="L2240" t="str">
            <v/>
          </cell>
          <cell r="M2240" t="str">
            <v>30.01.2026</v>
          </cell>
          <cell r="N2240" t="str">
            <v>HKA-25248</v>
          </cell>
          <cell r="O2240" t="str">
            <v>HEKA</v>
          </cell>
          <cell r="P2240" t="str">
            <v>ADET</v>
          </cell>
          <cell r="Q2240" t="str">
            <v>E27</v>
          </cell>
          <cell r="R2240" t="str">
            <v>METAL</v>
          </cell>
          <cell r="S2240" t="str">
            <v>ESKİTME</v>
          </cell>
          <cell r="T2240" t="str">
            <v>CAM</v>
          </cell>
          <cell r="U2240" t="str">
            <v>BEYAZ</v>
          </cell>
          <cell r="AD2240" t="str">
            <v>TEKLİ</v>
          </cell>
          <cell r="AE2240" t="str">
            <v>01</v>
          </cell>
          <cell r="AF2240">
            <v>0</v>
          </cell>
          <cell r="AG2240" t="str">
            <v>ADET</v>
          </cell>
          <cell r="AH2240">
            <v>210</v>
          </cell>
          <cell r="AI2240" t="str">
            <v>CNY</v>
          </cell>
          <cell r="AL2240">
            <v>0</v>
          </cell>
          <cell r="AM2240" t="str">
            <v>8684127518819</v>
          </cell>
          <cell r="AO2240">
            <v>0</v>
          </cell>
          <cell r="AQ2240">
            <v>30</v>
          </cell>
          <cell r="AS2240">
            <v>30</v>
          </cell>
          <cell r="AU2240">
            <v>0</v>
          </cell>
          <cell r="AW2240">
            <v>0</v>
          </cell>
        </row>
        <row r="2241">
          <cell r="B2241" t="str">
            <v>H1W2JMEERB1-024</v>
          </cell>
          <cell r="C2241" t="str">
            <v>CASTEL BEYAZ SATİNA CAM APLİK 24cm</v>
          </cell>
          <cell r="D2241" t="str">
            <v>CASTEL WHITE SATINA GLASS WALL LAMP 24cm</v>
          </cell>
          <cell r="E2241" t="str">
            <v>METAL CAM ESKİTME BEYAZ</v>
          </cell>
          <cell r="F2241" t="str">
            <v/>
          </cell>
          <cell r="G2241" t="str">
            <v>APLİK</v>
          </cell>
          <cell r="H2241" t="str">
            <v/>
          </cell>
          <cell r="I2241" t="str">
            <v>İÇ</v>
          </cell>
          <cell r="J2241" t="str">
            <v/>
          </cell>
          <cell r="K2241" t="str">
            <v>CASTEL</v>
          </cell>
          <cell r="L2241" t="str">
            <v/>
          </cell>
          <cell r="M2241" t="str">
            <v>30.01.2026</v>
          </cell>
          <cell r="N2241" t="str">
            <v>HKA-25249</v>
          </cell>
          <cell r="O2241" t="str">
            <v>HEKA</v>
          </cell>
          <cell r="P2241" t="str">
            <v>ADET</v>
          </cell>
          <cell r="Q2241" t="str">
            <v>E27</v>
          </cell>
          <cell r="R2241" t="str">
            <v>METAL</v>
          </cell>
          <cell r="S2241" t="str">
            <v>ESKİTME</v>
          </cell>
          <cell r="T2241" t="str">
            <v>CAM</v>
          </cell>
          <cell r="U2241" t="str">
            <v>BEYAZ</v>
          </cell>
          <cell r="AD2241" t="str">
            <v>TEKLİ</v>
          </cell>
          <cell r="AE2241" t="str">
            <v>01</v>
          </cell>
          <cell r="AF2241">
            <v>0</v>
          </cell>
          <cell r="AG2241" t="str">
            <v>ADET</v>
          </cell>
          <cell r="AH2241">
            <v>89.4</v>
          </cell>
          <cell r="AI2241" t="str">
            <v>CNY</v>
          </cell>
          <cell r="AL2241">
            <v>0</v>
          </cell>
          <cell r="AM2241" t="str">
            <v>8684127518826</v>
          </cell>
          <cell r="AO2241">
            <v>0</v>
          </cell>
          <cell r="AQ2241">
            <v>18</v>
          </cell>
          <cell r="AS2241">
            <v>18</v>
          </cell>
          <cell r="AU2241">
            <v>0</v>
          </cell>
          <cell r="AW2241">
            <v>0</v>
          </cell>
        </row>
        <row r="2242">
          <cell r="B2242" t="str">
            <v>AVFHEMY0005-025</v>
          </cell>
          <cell r="C2242" t="str">
            <v>BOLOGNA ÇİMEN KAPAKLI VAZO</v>
          </cell>
          <cell r="D2242" t="str">
            <v>BOLOGNA GRASS LID VASE</v>
          </cell>
          <cell r="E2242" t="str">
            <v>CAM  YOK KOYU YEŞİL YOK</v>
          </cell>
          <cell r="F2242" t="str">
            <v/>
          </cell>
          <cell r="G2242" t="str">
            <v>AKSESUAR</v>
          </cell>
          <cell r="H2242" t="str">
            <v/>
          </cell>
          <cell r="I2242" t="str">
            <v/>
          </cell>
          <cell r="J2242" t="str">
            <v/>
          </cell>
          <cell r="K2242" t="str">
            <v>BOLOGNA</v>
          </cell>
          <cell r="L2242" t="str">
            <v/>
          </cell>
          <cell r="M2242" t="str">
            <v/>
          </cell>
          <cell r="N2242" t="str">
            <v>HKA-250070</v>
          </cell>
          <cell r="O2242" t="str">
            <v>HEKA</v>
          </cell>
          <cell r="P2242" t="str">
            <v>ADET</v>
          </cell>
          <cell r="R2242" t="str">
            <v>CAM</v>
          </cell>
          <cell r="AD2242" t="str">
            <v>VAZO</v>
          </cell>
          <cell r="AF2242">
            <v>1</v>
          </cell>
          <cell r="AG2242" t="str">
            <v>ADET</v>
          </cell>
          <cell r="AH2242">
            <v>2404.5300000000002</v>
          </cell>
          <cell r="AI2242" t="str">
            <v>TL</v>
          </cell>
          <cell r="AJ2242">
            <v>4700</v>
          </cell>
          <cell r="AK2242" t="str">
            <v>TL</v>
          </cell>
          <cell r="AL2242">
            <v>0</v>
          </cell>
          <cell r="AO2242">
            <v>0</v>
          </cell>
          <cell r="AQ2242">
            <v>12</v>
          </cell>
          <cell r="AS2242">
            <v>12</v>
          </cell>
          <cell r="AU2242">
            <v>0</v>
          </cell>
          <cell r="AW2242">
            <v>0</v>
          </cell>
        </row>
        <row r="2243">
          <cell r="B2243" t="str">
            <v>ADFEERSECTT-028</v>
          </cell>
          <cell r="C2243" t="str">
            <v>MOROCCO ŞAMDAN 28cm</v>
          </cell>
          <cell r="D2243" t="str">
            <v>MOROCCO CANDELABRA 28cm</v>
          </cell>
          <cell r="E2243" t="str">
            <v>CAM  CAM  SİYAH SOFT</v>
          </cell>
          <cell r="F2243" t="str">
            <v/>
          </cell>
          <cell r="G2243" t="str">
            <v>AKSESUAR</v>
          </cell>
          <cell r="H2243" t="str">
            <v/>
          </cell>
          <cell r="I2243" t="str">
            <v/>
          </cell>
          <cell r="J2243" t="str">
            <v/>
          </cell>
          <cell r="K2243" t="str">
            <v>MOROCCO</v>
          </cell>
          <cell r="L2243" t="str">
            <v/>
          </cell>
          <cell r="M2243" t="str">
            <v/>
          </cell>
          <cell r="N2243" t="str">
            <v>HKA-250071</v>
          </cell>
          <cell r="O2243" t="str">
            <v>HEKA</v>
          </cell>
          <cell r="P2243" t="str">
            <v>ADET</v>
          </cell>
          <cell r="R2243" t="str">
            <v>CAM</v>
          </cell>
          <cell r="S2243" t="str">
            <v>SİYAH</v>
          </cell>
          <cell r="T2243" t="str">
            <v>CAM</v>
          </cell>
          <cell r="U2243" t="str">
            <v>SOFT</v>
          </cell>
          <cell r="AD2243" t="str">
            <v>TEKLİ</v>
          </cell>
          <cell r="AF2243">
            <v>2</v>
          </cell>
          <cell r="AG2243" t="str">
            <v>ADET</v>
          </cell>
          <cell r="AH2243">
            <v>4540.32</v>
          </cell>
          <cell r="AI2243" t="str">
            <v>TL</v>
          </cell>
          <cell r="AJ2243">
            <v>8800</v>
          </cell>
          <cell r="AK2243" t="str">
            <v>TL</v>
          </cell>
          <cell r="AL2243">
            <v>0</v>
          </cell>
          <cell r="AO2243">
            <v>0</v>
          </cell>
          <cell r="AQ2243">
            <v>12</v>
          </cell>
          <cell r="AS2243">
            <v>12</v>
          </cell>
          <cell r="AU2243">
            <v>0</v>
          </cell>
          <cell r="AW2243">
            <v>0</v>
          </cell>
        </row>
        <row r="2244">
          <cell r="B2244" t="str">
            <v>AVFEURB0005-079</v>
          </cell>
          <cell r="C2244" t="str">
            <v>SERAMİK BAĞCIK VAZO 21x22x79 CM</v>
          </cell>
          <cell r="D2244" t="str">
            <v>CERAMIC LACE VASE 21x22x79 CM</v>
          </cell>
          <cell r="E2244" t="str">
            <v>SERAMİK YOK BEYAZ YOK</v>
          </cell>
          <cell r="F2244" t="str">
            <v/>
          </cell>
          <cell r="G2244" t="str">
            <v>AKSESUAR</v>
          </cell>
          <cell r="H2244" t="str">
            <v/>
          </cell>
          <cell r="I2244" t="str">
            <v/>
          </cell>
          <cell r="J2244" t="str">
            <v/>
          </cell>
          <cell r="K2244" t="str">
            <v>EVDEMA</v>
          </cell>
          <cell r="L2244" t="str">
            <v/>
          </cell>
          <cell r="M2244" t="str">
            <v/>
          </cell>
          <cell r="N2244" t="str">
            <v>HKA-250075</v>
          </cell>
          <cell r="O2244" t="str">
            <v>HEKA</v>
          </cell>
          <cell r="P2244" t="str">
            <v>ADET</v>
          </cell>
          <cell r="R2244" t="str">
            <v>SERAMİK</v>
          </cell>
          <cell r="S2244" t="str">
            <v>BEYAZ</v>
          </cell>
          <cell r="AD2244" t="str">
            <v>VAZO</v>
          </cell>
          <cell r="AF2244">
            <v>1</v>
          </cell>
          <cell r="AG2244" t="str">
            <v>ADET</v>
          </cell>
          <cell r="AH2244">
            <v>6449.06</v>
          </cell>
          <cell r="AI2244" t="str">
            <v>TL</v>
          </cell>
          <cell r="AJ2244">
            <v>15500</v>
          </cell>
          <cell r="AK2244" t="str">
            <v>TL</v>
          </cell>
          <cell r="AL2244">
            <v>0</v>
          </cell>
          <cell r="AO2244">
            <v>0</v>
          </cell>
          <cell r="AQ2244">
            <v>21</v>
          </cell>
          <cell r="AR2244" t="str">
            <v>CM</v>
          </cell>
          <cell r="AS2244">
            <v>22</v>
          </cell>
          <cell r="AT2244" t="str">
            <v>CM</v>
          </cell>
          <cell r="AU2244">
            <v>0</v>
          </cell>
          <cell r="AW2244">
            <v>0</v>
          </cell>
        </row>
        <row r="2245">
          <cell r="B2245" t="str">
            <v>ADFEURB0003-031</v>
          </cell>
          <cell r="C2245" t="str">
            <v>SERAMİK YAMALI TABAK 30.5x30.5x5 CM</v>
          </cell>
          <cell r="D2245" t="str">
            <v>CERAMIC PATCHED PLATE 30.5x30.5x5 CM</v>
          </cell>
          <cell r="E2245" t="str">
            <v>SERAMİK YOK BEYAZ YOK</v>
          </cell>
          <cell r="F2245" t="str">
            <v/>
          </cell>
          <cell r="G2245" t="str">
            <v>AKSESUAR</v>
          </cell>
          <cell r="H2245" t="str">
            <v/>
          </cell>
          <cell r="I2245" t="str">
            <v/>
          </cell>
          <cell r="J2245" t="str">
            <v/>
          </cell>
          <cell r="K2245" t="str">
            <v>EVDEMA</v>
          </cell>
          <cell r="L2245" t="str">
            <v/>
          </cell>
          <cell r="M2245" t="str">
            <v/>
          </cell>
          <cell r="N2245" t="str">
            <v>HKA-250076</v>
          </cell>
          <cell r="O2245" t="str">
            <v>HEKA</v>
          </cell>
          <cell r="P2245" t="str">
            <v>ADET</v>
          </cell>
          <cell r="R2245" t="str">
            <v>SERAMİK</v>
          </cell>
          <cell r="S2245" t="str">
            <v>BEYAZ</v>
          </cell>
          <cell r="AD2245" t="str">
            <v>KASE</v>
          </cell>
          <cell r="AF2245">
            <v>1</v>
          </cell>
          <cell r="AG2245" t="str">
            <v>ADET</v>
          </cell>
          <cell r="AH2245">
            <v>1446.98</v>
          </cell>
          <cell r="AI2245" t="str">
            <v>TL</v>
          </cell>
          <cell r="AJ2245">
            <v>4500</v>
          </cell>
          <cell r="AK2245" t="str">
            <v>TL</v>
          </cell>
          <cell r="AL2245">
            <v>0</v>
          </cell>
          <cell r="AO2245">
            <v>0</v>
          </cell>
          <cell r="AQ2245">
            <v>30.5</v>
          </cell>
          <cell r="AR2245" t="str">
            <v>CM</v>
          </cell>
          <cell r="AS2245">
            <v>30.5</v>
          </cell>
          <cell r="AT2245" t="str">
            <v>CM</v>
          </cell>
          <cell r="AU2245">
            <v>0</v>
          </cell>
          <cell r="AW2245">
            <v>0</v>
          </cell>
        </row>
        <row r="2246">
          <cell r="B2246" t="str">
            <v>AVFVURB0005-034</v>
          </cell>
          <cell r="C2246" t="str">
            <v>VİTALE LİGHT SERAMİK BURGULU VAZO 18,5x18,5x34 CM</v>
          </cell>
          <cell r="D2246" t="str">
            <v>VİTALE LİGHT CERAMIC TWISTED VASE 18,5x18,5x34 CM</v>
          </cell>
          <cell r="E2246" t="str">
            <v>SERAMİK YOK BEYAZ YOK</v>
          </cell>
          <cell r="F2246" t="str">
            <v/>
          </cell>
          <cell r="G2246" t="str">
            <v>AKSESUAR</v>
          </cell>
          <cell r="H2246" t="str">
            <v/>
          </cell>
          <cell r="I2246" t="str">
            <v/>
          </cell>
          <cell r="J2246" t="str">
            <v/>
          </cell>
          <cell r="K2246" t="str">
            <v>VİTALE</v>
          </cell>
          <cell r="L2246" t="str">
            <v/>
          </cell>
          <cell r="M2246" t="str">
            <v/>
          </cell>
          <cell r="N2246" t="str">
            <v>HKA-250086</v>
          </cell>
          <cell r="O2246" t="str">
            <v>HEKA</v>
          </cell>
          <cell r="P2246" t="str">
            <v>ADET</v>
          </cell>
          <cell r="R2246" t="str">
            <v>SERAMİK</v>
          </cell>
          <cell r="S2246" t="str">
            <v>BEYAZ</v>
          </cell>
          <cell r="AD2246" t="str">
            <v>VAZO</v>
          </cell>
          <cell r="AF2246">
            <v>1</v>
          </cell>
          <cell r="AG2246" t="str">
            <v>ADET</v>
          </cell>
          <cell r="AH2246">
            <v>1621.62</v>
          </cell>
          <cell r="AI2246" t="str">
            <v>TL</v>
          </cell>
          <cell r="AL2246">
            <v>0</v>
          </cell>
          <cell r="AO2246">
            <v>0</v>
          </cell>
          <cell r="AQ2246">
            <v>34</v>
          </cell>
          <cell r="AR2246" t="str">
            <v>CM</v>
          </cell>
          <cell r="AS2246">
            <v>18.5</v>
          </cell>
          <cell r="AT2246" t="str">
            <v>CM</v>
          </cell>
          <cell r="AU2246">
            <v>0</v>
          </cell>
          <cell r="AW2246">
            <v>0</v>
          </cell>
        </row>
        <row r="2247">
          <cell r="B2247" t="str">
            <v>AVFVURB0005-015</v>
          </cell>
          <cell r="C2247" t="str">
            <v>VİTALE SERAMİK DALGALI VAZO 17,4x17,7x15 CM</v>
          </cell>
          <cell r="D2247" t="str">
            <v>VİTALE CERAMIC WAVY VASE 17,4x17,7x15 CM</v>
          </cell>
          <cell r="E2247" t="str">
            <v>SERAMİK YOK BEYAZ YOK</v>
          </cell>
          <cell r="F2247" t="str">
            <v/>
          </cell>
          <cell r="G2247" t="str">
            <v>AKSESUAR</v>
          </cell>
          <cell r="H2247" t="str">
            <v/>
          </cell>
          <cell r="I2247" t="str">
            <v/>
          </cell>
          <cell r="J2247" t="str">
            <v/>
          </cell>
          <cell r="K2247" t="str">
            <v>VİTALE</v>
          </cell>
          <cell r="L2247" t="str">
            <v/>
          </cell>
          <cell r="M2247" t="str">
            <v/>
          </cell>
          <cell r="N2247" t="str">
            <v>HKA-250087</v>
          </cell>
          <cell r="O2247" t="str">
            <v>HEKA</v>
          </cell>
          <cell r="P2247" t="str">
            <v>ADET</v>
          </cell>
          <cell r="R2247" t="str">
            <v>SERAMİK</v>
          </cell>
          <cell r="S2247" t="str">
            <v>BEYAZ</v>
          </cell>
          <cell r="AD2247" t="str">
            <v>VAZO</v>
          </cell>
          <cell r="AF2247">
            <v>1</v>
          </cell>
          <cell r="AG2247" t="str">
            <v>ADET</v>
          </cell>
          <cell r="AH2247">
            <v>1042.83</v>
          </cell>
          <cell r="AI2247" t="str">
            <v>TL</v>
          </cell>
          <cell r="AL2247">
            <v>0</v>
          </cell>
          <cell r="AO2247">
            <v>0</v>
          </cell>
          <cell r="AQ2247">
            <v>15</v>
          </cell>
          <cell r="AR2247" t="str">
            <v>CM</v>
          </cell>
          <cell r="AS2247">
            <v>17.399999999999999</v>
          </cell>
          <cell r="AT2247" t="str">
            <v>CM</v>
          </cell>
          <cell r="AU2247">
            <v>0</v>
          </cell>
          <cell r="AW2247">
            <v>0</v>
          </cell>
        </row>
        <row r="2248">
          <cell r="B2248" t="str">
            <v>CA2D1C302F7J0</v>
          </cell>
          <cell r="C2248" t="str">
            <v>ERD-311 E27 220V 7W 4000K FİLAMENT LED AMPUL</v>
          </cell>
          <cell r="D2248" t="str">
            <v>ERD-311 E27 220V 7W 4000K FILAMENT LED BULB</v>
          </cell>
          <cell r="E2248" t="str">
            <v xml:space="preserve">CAM  ŞEFFAF </v>
          </cell>
          <cell r="F2248" t="str">
            <v/>
          </cell>
          <cell r="G2248" t="str">
            <v>AMPUL</v>
          </cell>
          <cell r="H2248" t="str">
            <v/>
          </cell>
          <cell r="I2248" t="str">
            <v/>
          </cell>
          <cell r="J2248" t="str">
            <v/>
          </cell>
          <cell r="K2248" t="str">
            <v>ERD-311</v>
          </cell>
          <cell r="L2248" t="str">
            <v/>
          </cell>
          <cell r="M2248" t="str">
            <v/>
          </cell>
          <cell r="N2248" t="str">
            <v>ERD-311</v>
          </cell>
          <cell r="O2248" t="str">
            <v>HEKA</v>
          </cell>
          <cell r="P2248" t="str">
            <v>ADET</v>
          </cell>
          <cell r="Q2248" t="str">
            <v>E27</v>
          </cell>
          <cell r="R2248" t="str">
            <v>CAM</v>
          </cell>
          <cell r="S2248" t="str">
            <v>ŞEFFAF</v>
          </cell>
          <cell r="V2248" t="str">
            <v>D</v>
          </cell>
          <cell r="W2248" t="str">
            <v>FLAMENT</v>
          </cell>
          <cell r="X2248" t="str">
            <v>220V</v>
          </cell>
          <cell r="Y2248" t="str">
            <v>7 WATT</v>
          </cell>
          <cell r="Z2248" t="str">
            <v>4000 K</v>
          </cell>
          <cell r="AA2248" t="str">
            <v>DIMMSIZ</v>
          </cell>
          <cell r="AB2248" t="str">
            <v>901-1000</v>
          </cell>
          <cell r="AC2248" t="str">
            <v>A60</v>
          </cell>
          <cell r="AG2248" t="str">
            <v>ADET</v>
          </cell>
          <cell r="AL2248">
            <v>0</v>
          </cell>
          <cell r="AM2248" t="str">
            <v>8684127519403</v>
          </cell>
          <cell r="AN2248" t="str">
            <v>8684127519410</v>
          </cell>
          <cell r="AO2248">
            <v>0</v>
          </cell>
          <cell r="AQ2248">
            <v>0</v>
          </cell>
          <cell r="AS2248">
            <v>0</v>
          </cell>
          <cell r="AU2248">
            <v>0</v>
          </cell>
          <cell r="AW2248">
            <v>0</v>
          </cell>
        </row>
        <row r="2249">
          <cell r="B2249" t="str">
            <v>1HG0SRS0004-001</v>
          </cell>
          <cell r="C2249" t="str">
            <v>KUMANDA</v>
          </cell>
          <cell r="D2249" t="str">
            <v>CONTROL</v>
          </cell>
          <cell r="E2249" t="str">
            <v>PLASTİK YOK SİYAH YOK</v>
          </cell>
          <cell r="F2249" t="str">
            <v/>
          </cell>
          <cell r="G2249" t="str">
            <v>KUMANDA</v>
          </cell>
          <cell r="H2249" t="str">
            <v/>
          </cell>
          <cell r="I2249" t="str">
            <v/>
          </cell>
          <cell r="J2249" t="str">
            <v/>
          </cell>
          <cell r="K2249" t="str">
            <v>YEDEK PARÇ</v>
          </cell>
          <cell r="L2249" t="str">
            <v/>
          </cell>
          <cell r="M2249" t="str">
            <v/>
          </cell>
          <cell r="N2249" t="str">
            <v>HKA-250103</v>
          </cell>
          <cell r="O2249" t="str">
            <v>HEKA</v>
          </cell>
          <cell r="P2249" t="str">
            <v>ADET</v>
          </cell>
          <cell r="R2249" t="str">
            <v>PLASTİK</v>
          </cell>
          <cell r="S2249" t="str">
            <v>SİYAH</v>
          </cell>
          <cell r="AF2249">
            <v>1</v>
          </cell>
          <cell r="AG2249" t="str">
            <v>ADET</v>
          </cell>
          <cell r="AL2249">
            <v>0</v>
          </cell>
          <cell r="AO2249">
            <v>0</v>
          </cell>
          <cell r="AQ2249">
            <v>0</v>
          </cell>
          <cell r="AS2249">
            <v>0</v>
          </cell>
          <cell r="AU2249">
            <v>0</v>
          </cell>
          <cell r="AW2249">
            <v>0</v>
          </cell>
        </row>
        <row r="2250">
          <cell r="B2250" t="str">
            <v>H1B00000000-001</v>
          </cell>
          <cell r="C2250" t="str">
            <v>ÖZEL TASARIM SARKIT</v>
          </cell>
          <cell r="D2250" t="str">
            <v>CUSTOM DESIGN PENDANT</v>
          </cell>
          <cell r="E2250" t="str">
            <v/>
          </cell>
          <cell r="F2250" t="str">
            <v>9405.11.50.00.19</v>
          </cell>
          <cell r="G2250" t="str">
            <v>AVİZE</v>
          </cell>
          <cell r="H2250" t="str">
            <v/>
          </cell>
          <cell r="I2250" t="str">
            <v>İÇ</v>
          </cell>
          <cell r="J2250" t="str">
            <v>AVİZE</v>
          </cell>
          <cell r="K2250" t="str">
            <v/>
          </cell>
          <cell r="L2250" t="str">
            <v/>
          </cell>
          <cell r="M2250" t="str">
            <v>ÖZEL TASAR</v>
          </cell>
          <cell r="N2250" t="str">
            <v/>
          </cell>
          <cell r="O2250" t="str">
            <v>HEKA</v>
          </cell>
          <cell r="P2250" t="str">
            <v>ADET</v>
          </cell>
          <cell r="AF2250">
            <v>0</v>
          </cell>
          <cell r="AG2250" t="str">
            <v>ADET</v>
          </cell>
          <cell r="AL2250">
            <v>0</v>
          </cell>
          <cell r="AO2250">
            <v>0</v>
          </cell>
          <cell r="AQ2250">
            <v>0</v>
          </cell>
          <cell r="AS2250">
            <v>0</v>
          </cell>
          <cell r="AU2250">
            <v>0</v>
          </cell>
          <cell r="AW2250">
            <v>0</v>
          </cell>
        </row>
        <row r="2251">
          <cell r="B2251" t="str">
            <v>3YCVGRB0004-021</v>
          </cell>
          <cell r="C2251" t="str">
            <v>BEYAZ YAPRAK FORMLU AVİZE CAMI 21CM</v>
          </cell>
          <cell r="D2251" t="str">
            <v>WHITE LEAF FORM PENDANT GLASS 21CM</v>
          </cell>
          <cell r="E2251" t="str">
            <v>CAM YOK BEYAZ YOK</v>
          </cell>
          <cell r="F2251" t="str">
            <v/>
          </cell>
          <cell r="G2251" t="str">
            <v>ZPARCA</v>
          </cell>
          <cell r="H2251" t="str">
            <v/>
          </cell>
          <cell r="I2251" t="str">
            <v>İÇ</v>
          </cell>
          <cell r="J2251" t="str">
            <v>ZPARCA</v>
          </cell>
          <cell r="K2251" t="str">
            <v>HEKA</v>
          </cell>
          <cell r="L2251" t="str">
            <v/>
          </cell>
          <cell r="M2251" t="str">
            <v/>
          </cell>
          <cell r="N2251" t="str">
            <v>HKA-250063</v>
          </cell>
          <cell r="O2251" t="str">
            <v>HEKA</v>
          </cell>
          <cell r="P2251" t="str">
            <v>ADET</v>
          </cell>
          <cell r="R2251" t="str">
            <v>CAM</v>
          </cell>
          <cell r="S2251" t="str">
            <v>BEYAZ</v>
          </cell>
          <cell r="T2251" t="str">
            <v>YOK</v>
          </cell>
          <cell r="U2251" t="str">
            <v>YOK</v>
          </cell>
          <cell r="AF2251">
            <v>200</v>
          </cell>
          <cell r="AG2251" t="str">
            <v>ADET</v>
          </cell>
          <cell r="AH2251">
            <v>11</v>
          </cell>
          <cell r="AI2251" t="str">
            <v>CNY</v>
          </cell>
          <cell r="AJ2251">
            <v>750</v>
          </cell>
          <cell r="AK2251" t="str">
            <v>TL</v>
          </cell>
          <cell r="AL2251">
            <v>0</v>
          </cell>
          <cell r="AO2251">
            <v>0</v>
          </cell>
          <cell r="AQ2251">
            <v>0</v>
          </cell>
          <cell r="AS2251">
            <v>7</v>
          </cell>
          <cell r="AT2251" t="str">
            <v>CM</v>
          </cell>
          <cell r="AU2251">
            <v>0</v>
          </cell>
          <cell r="AW2251">
            <v>0</v>
          </cell>
        </row>
        <row r="2252">
          <cell r="B2252" t="str">
            <v>H1W6CMP000E-061</v>
          </cell>
          <cell r="C2252" t="str">
            <v>COLLESİUM PLATİN APLİK 61 cm</v>
          </cell>
          <cell r="D2252" t="str">
            <v>COLLESİUM PLATINUM WALL LAMP 61 cm</v>
          </cell>
          <cell r="E2252" t="str">
            <v>ALUMİNYUM YOK PLATİN YOK</v>
          </cell>
          <cell r="F2252" t="str">
            <v/>
          </cell>
          <cell r="G2252" t="str">
            <v>APLİK</v>
          </cell>
          <cell r="H2252" t="str">
            <v/>
          </cell>
          <cell r="I2252" t="str">
            <v>İÇ</v>
          </cell>
          <cell r="J2252" t="str">
            <v/>
          </cell>
          <cell r="K2252" t="str">
            <v>COLLESİUM</v>
          </cell>
          <cell r="L2252" t="str">
            <v/>
          </cell>
          <cell r="M2252" t="str">
            <v>15.02.2026</v>
          </cell>
          <cell r="N2252" t="str">
            <v>HKA-25229</v>
          </cell>
          <cell r="O2252" t="str">
            <v>HEKA</v>
          </cell>
          <cell r="P2252" t="str">
            <v>ADET</v>
          </cell>
          <cell r="Q2252" t="str">
            <v>LED</v>
          </cell>
          <cell r="R2252" t="str">
            <v>ALUMİNYUM</v>
          </cell>
          <cell r="S2252" t="str">
            <v>PLATİN</v>
          </cell>
          <cell r="Z2252" t="str">
            <v>3000 K</v>
          </cell>
          <cell r="AD2252" t="str">
            <v>ELİPS</v>
          </cell>
          <cell r="AF2252">
            <v>0</v>
          </cell>
          <cell r="AG2252" t="str">
            <v>ADET</v>
          </cell>
          <cell r="AH2252">
            <v>390</v>
          </cell>
          <cell r="AI2252" t="str">
            <v>CNY</v>
          </cell>
          <cell r="AL2252">
            <v>0</v>
          </cell>
          <cell r="AM2252" t="str">
            <v>8684127518628</v>
          </cell>
          <cell r="AO2252">
            <v>0</v>
          </cell>
          <cell r="AQ2252">
            <v>0</v>
          </cell>
          <cell r="AS2252">
            <v>0</v>
          </cell>
          <cell r="AU2252">
            <v>0</v>
          </cell>
          <cell r="AW2252">
            <v>0</v>
          </cell>
        </row>
        <row r="2253">
          <cell r="B2253" t="str">
            <v>H1T6ERFJRS0-033</v>
          </cell>
          <cell r="C2253" t="str">
            <v>GAMBİA FÜME CAM SİYAH MASA LAMBASI 33cm</v>
          </cell>
          <cell r="D2253" t="str">
            <v>GAMBİA LIGHT SMOKY GLASS BLACK TABLE LAMP 33cm</v>
          </cell>
          <cell r="E2253" t="str">
            <v>CAM METAL FÜME SİYAH</v>
          </cell>
          <cell r="F2253" t="str">
            <v/>
          </cell>
          <cell r="G2253" t="str">
            <v>MASA LAMBASI</v>
          </cell>
          <cell r="H2253" t="str">
            <v/>
          </cell>
          <cell r="I2253" t="str">
            <v>İÇ</v>
          </cell>
          <cell r="J2253" t="str">
            <v/>
          </cell>
          <cell r="K2253" t="str">
            <v>GAMBİA</v>
          </cell>
          <cell r="L2253" t="str">
            <v/>
          </cell>
          <cell r="M2253" t="str">
            <v>30.01.2026</v>
          </cell>
          <cell r="N2253" t="str">
            <v>HKA-25232</v>
          </cell>
          <cell r="O2253" t="str">
            <v>HEKA</v>
          </cell>
          <cell r="P2253" t="str">
            <v>ADET</v>
          </cell>
          <cell r="Q2253" t="str">
            <v>LED</v>
          </cell>
          <cell r="R2253" t="str">
            <v>CAM</v>
          </cell>
          <cell r="S2253" t="str">
            <v>FÜME</v>
          </cell>
          <cell r="T2253" t="str">
            <v>METAL</v>
          </cell>
          <cell r="U2253" t="str">
            <v>SİYAH</v>
          </cell>
          <cell r="Z2253" t="str">
            <v xml:space="preserve">2700 K </v>
          </cell>
          <cell r="AF2253">
            <v>0</v>
          </cell>
          <cell r="AG2253" t="str">
            <v>ADET</v>
          </cell>
          <cell r="AH2253">
            <v>520</v>
          </cell>
          <cell r="AI2253" t="str">
            <v>CNY</v>
          </cell>
          <cell r="AL2253">
            <v>0</v>
          </cell>
          <cell r="AM2253" t="str">
            <v>8684127518659</v>
          </cell>
          <cell r="AO2253">
            <v>0</v>
          </cell>
          <cell r="AQ2253">
            <v>0</v>
          </cell>
          <cell r="AS2253">
            <v>0</v>
          </cell>
          <cell r="AU2253">
            <v>0</v>
          </cell>
          <cell r="AW2253">
            <v>0</v>
          </cell>
        </row>
        <row r="2254">
          <cell r="B2254" t="str">
            <v>H1C2JMEERV1-037</v>
          </cell>
          <cell r="C2254" t="str">
            <v>CASTEL KAHVERENGİ SATİNA CAM SARKIT 37cm</v>
          </cell>
          <cell r="D2254" t="str">
            <v>CASTEL BROWN COLOR SATINA GLASS PENDANT 37cm</v>
          </cell>
          <cell r="E2254" t="str">
            <v>METAL CAM ESKİTME KAHVERENGİ</v>
          </cell>
          <cell r="F2254" t="str">
            <v/>
          </cell>
          <cell r="G2254" t="str">
            <v>AVİZE</v>
          </cell>
          <cell r="H2254" t="str">
            <v/>
          </cell>
          <cell r="I2254" t="str">
            <v>İÇ</v>
          </cell>
          <cell r="J2254" t="str">
            <v/>
          </cell>
          <cell r="K2254" t="str">
            <v>CASTEL</v>
          </cell>
          <cell r="L2254" t="str">
            <v/>
          </cell>
          <cell r="M2254" t="str">
            <v>30.01.2026</v>
          </cell>
          <cell r="N2254" t="str">
            <v>HKA-25246</v>
          </cell>
          <cell r="O2254" t="str">
            <v>HEKA</v>
          </cell>
          <cell r="P2254" t="str">
            <v>ADET</v>
          </cell>
          <cell r="Q2254" t="str">
            <v>E27</v>
          </cell>
          <cell r="R2254" t="str">
            <v>METAL</v>
          </cell>
          <cell r="S2254" t="str">
            <v>ESKİTME</v>
          </cell>
          <cell r="T2254" t="str">
            <v>CAM</v>
          </cell>
          <cell r="U2254" t="str">
            <v>KAHVERENGİ</v>
          </cell>
          <cell r="AD2254" t="str">
            <v>TEKLİ</v>
          </cell>
          <cell r="AE2254" t="str">
            <v>01</v>
          </cell>
          <cell r="AF2254">
            <v>0</v>
          </cell>
          <cell r="AG2254" t="str">
            <v>ADET</v>
          </cell>
          <cell r="AH2254">
            <v>210</v>
          </cell>
          <cell r="AI2254" t="str">
            <v>CNY</v>
          </cell>
          <cell r="AL2254">
            <v>0</v>
          </cell>
          <cell r="AM2254" t="str">
            <v>8684127518796</v>
          </cell>
          <cell r="AO2254">
            <v>0</v>
          </cell>
          <cell r="AQ2254">
            <v>30</v>
          </cell>
          <cell r="AS2254">
            <v>30</v>
          </cell>
          <cell r="AU2254">
            <v>0</v>
          </cell>
          <cell r="AW2254">
            <v>0</v>
          </cell>
        </row>
        <row r="2255">
          <cell r="B2255" t="str">
            <v>H1C2JMEERY1-037</v>
          </cell>
          <cell r="C2255" t="str">
            <v>CASTEL YEŞİL SATİNA CAM SARKIT 37cm</v>
          </cell>
          <cell r="D2255" t="str">
            <v>CASTEL GREEN SATINA GLASS PENDANT 37cm</v>
          </cell>
          <cell r="E2255" t="str">
            <v>METAL CAM ESKİTME YEŞİL</v>
          </cell>
          <cell r="F2255" t="str">
            <v/>
          </cell>
          <cell r="G2255" t="str">
            <v>AVİZE</v>
          </cell>
          <cell r="H2255" t="str">
            <v/>
          </cell>
          <cell r="I2255" t="str">
            <v>İÇ</v>
          </cell>
          <cell r="J2255" t="str">
            <v/>
          </cell>
          <cell r="K2255" t="str">
            <v>CASTEL</v>
          </cell>
          <cell r="L2255" t="str">
            <v/>
          </cell>
          <cell r="M2255" t="str">
            <v>30.01.2026</v>
          </cell>
          <cell r="N2255" t="str">
            <v>HKA-25247</v>
          </cell>
          <cell r="O2255" t="str">
            <v>HEKA</v>
          </cell>
          <cell r="P2255" t="str">
            <v>ADET</v>
          </cell>
          <cell r="Q2255" t="str">
            <v>E27</v>
          </cell>
          <cell r="R2255" t="str">
            <v>METAL</v>
          </cell>
          <cell r="S2255" t="str">
            <v>ESKİTME</v>
          </cell>
          <cell r="T2255" t="str">
            <v>CAM</v>
          </cell>
          <cell r="U2255" t="str">
            <v>YEŞİL</v>
          </cell>
          <cell r="AD2255" t="str">
            <v>TEKLİ</v>
          </cell>
          <cell r="AE2255" t="str">
            <v>01</v>
          </cell>
          <cell r="AF2255">
            <v>0</v>
          </cell>
          <cell r="AG2255" t="str">
            <v>ADET</v>
          </cell>
          <cell r="AH2255">
            <v>210</v>
          </cell>
          <cell r="AI2255" t="str">
            <v>CNY</v>
          </cell>
          <cell r="AL2255">
            <v>0</v>
          </cell>
          <cell r="AM2255" t="str">
            <v>8684127518802</v>
          </cell>
          <cell r="AO2255">
            <v>0</v>
          </cell>
          <cell r="AQ2255">
            <v>30</v>
          </cell>
          <cell r="AS2255">
            <v>30</v>
          </cell>
          <cell r="AU2255">
            <v>0</v>
          </cell>
          <cell r="AW2255">
            <v>0</v>
          </cell>
        </row>
        <row r="2256">
          <cell r="B2256" t="str">
            <v>ADFEERV0000-165</v>
          </cell>
          <cell r="C2256" t="str">
            <v>CAM KAHVE BONCUK 165cm</v>
          </cell>
          <cell r="D2256" t="str">
            <v>GLASS BROWN BEAD 165cm</v>
          </cell>
          <cell r="E2256" t="str">
            <v>CAM  YOK KAHVERENGİ YOK</v>
          </cell>
          <cell r="F2256" t="str">
            <v/>
          </cell>
          <cell r="G2256" t="str">
            <v>AKSESUAR</v>
          </cell>
          <cell r="H2256" t="str">
            <v/>
          </cell>
          <cell r="I2256" t="str">
            <v/>
          </cell>
          <cell r="J2256" t="str">
            <v/>
          </cell>
          <cell r="K2256" t="str">
            <v>EVDEMA</v>
          </cell>
          <cell r="L2256" t="str">
            <v/>
          </cell>
          <cell r="M2256" t="str">
            <v/>
          </cell>
          <cell r="N2256" t="str">
            <v>HKA-250072</v>
          </cell>
          <cell r="O2256" t="str">
            <v>HEKA</v>
          </cell>
          <cell r="P2256" t="str">
            <v>ADET</v>
          </cell>
          <cell r="R2256" t="str">
            <v>CAM</v>
          </cell>
          <cell r="S2256" t="str">
            <v>KAHVERENGİ</v>
          </cell>
          <cell r="AF2256">
            <v>1</v>
          </cell>
          <cell r="AG2256" t="str">
            <v>ADET</v>
          </cell>
          <cell r="AH2256">
            <v>1096.3699999999999</v>
          </cell>
          <cell r="AI2256" t="str">
            <v>TL</v>
          </cell>
          <cell r="AJ2256">
            <v>2200</v>
          </cell>
          <cell r="AK2256" t="str">
            <v>TL</v>
          </cell>
          <cell r="AL2256">
            <v>0</v>
          </cell>
          <cell r="AO2256">
            <v>0</v>
          </cell>
          <cell r="AQ2256">
            <v>0</v>
          </cell>
          <cell r="AS2256">
            <v>0</v>
          </cell>
          <cell r="AU2256">
            <v>0</v>
          </cell>
          <cell r="AW2256">
            <v>0</v>
          </cell>
        </row>
        <row r="2257">
          <cell r="B2257" t="str">
            <v>ADFEXBJ0000-011</v>
          </cell>
          <cell r="C2257" t="str">
            <v>TRAVERTEN DİSK HASIR SET</v>
          </cell>
          <cell r="D2257" t="str">
            <v>TRAVERTINE DISC WICKER SET</v>
          </cell>
          <cell r="E2257" t="str">
            <v>TRAVERTER  YOK BEJ YOK</v>
          </cell>
          <cell r="F2257" t="str">
            <v/>
          </cell>
          <cell r="G2257" t="str">
            <v>AKSESUAR</v>
          </cell>
          <cell r="H2257" t="str">
            <v/>
          </cell>
          <cell r="I2257" t="str">
            <v/>
          </cell>
          <cell r="J2257" t="str">
            <v/>
          </cell>
          <cell r="K2257" t="str">
            <v>EVDEMA</v>
          </cell>
          <cell r="L2257" t="str">
            <v/>
          </cell>
          <cell r="M2257" t="str">
            <v/>
          </cell>
          <cell r="N2257" t="str">
            <v>HKA-250073</v>
          </cell>
          <cell r="O2257" t="str">
            <v>HEKA</v>
          </cell>
          <cell r="P2257" t="str">
            <v>ADET</v>
          </cell>
          <cell r="AF2257">
            <v>1</v>
          </cell>
          <cell r="AG2257" t="str">
            <v>ADET</v>
          </cell>
          <cell r="AH2257">
            <v>5565.99</v>
          </cell>
          <cell r="AI2257" t="str">
            <v>TL</v>
          </cell>
          <cell r="AJ2257">
            <v>11000</v>
          </cell>
          <cell r="AK2257" t="str">
            <v>TL</v>
          </cell>
          <cell r="AL2257">
            <v>0</v>
          </cell>
          <cell r="AO2257">
            <v>0</v>
          </cell>
          <cell r="AQ2257">
            <v>0</v>
          </cell>
          <cell r="AS2257">
            <v>0</v>
          </cell>
          <cell r="AU2257">
            <v>0</v>
          </cell>
          <cell r="AW2257">
            <v>0</v>
          </cell>
        </row>
        <row r="2258">
          <cell r="B2258" t="str">
            <v>ADFEJMEECS0-028</v>
          </cell>
          <cell r="C2258" t="str">
            <v>ESKİTME MUMLUK 17x26,5x28 CM</v>
          </cell>
          <cell r="D2258" t="str">
            <v>BRUSHED BRASS CANDLE HOLDER 17x26,5x28 CM</v>
          </cell>
          <cell r="E2258" t="str">
            <v>METAL CAM  ESKİTME ŞEFFAF</v>
          </cell>
          <cell r="F2258" t="str">
            <v/>
          </cell>
          <cell r="G2258" t="str">
            <v>AKSESUAR</v>
          </cell>
          <cell r="H2258" t="str">
            <v/>
          </cell>
          <cell r="I2258" t="str">
            <v/>
          </cell>
          <cell r="J2258" t="str">
            <v/>
          </cell>
          <cell r="K2258" t="str">
            <v>EVDEMA</v>
          </cell>
          <cell r="L2258" t="str">
            <v/>
          </cell>
          <cell r="M2258" t="str">
            <v/>
          </cell>
          <cell r="N2258" t="str">
            <v>HKA-250074</v>
          </cell>
          <cell r="O2258" t="str">
            <v>HEKA</v>
          </cell>
          <cell r="P2258" t="str">
            <v>ADET</v>
          </cell>
          <cell r="R2258" t="str">
            <v>METAL</v>
          </cell>
          <cell r="S2258" t="str">
            <v>ESKİTME</v>
          </cell>
          <cell r="T2258" t="str">
            <v>CAM</v>
          </cell>
          <cell r="U2258" t="str">
            <v>ŞEFFAF</v>
          </cell>
          <cell r="AF2258">
            <v>1</v>
          </cell>
          <cell r="AG2258" t="str">
            <v>ADET</v>
          </cell>
          <cell r="AH2258">
            <v>1831.41</v>
          </cell>
          <cell r="AI2258" t="str">
            <v>TL</v>
          </cell>
          <cell r="AJ2258">
            <v>4400</v>
          </cell>
          <cell r="AK2258" t="str">
            <v>TL</v>
          </cell>
          <cell r="AL2258">
            <v>0</v>
          </cell>
          <cell r="AO2258">
            <v>0</v>
          </cell>
          <cell r="AQ2258">
            <v>17</v>
          </cell>
          <cell r="AR2258" t="str">
            <v>CM</v>
          </cell>
          <cell r="AS2258">
            <v>26.5</v>
          </cell>
          <cell r="AT2258" t="str">
            <v>CM</v>
          </cell>
          <cell r="AU2258">
            <v>0</v>
          </cell>
          <cell r="AW2258">
            <v>0</v>
          </cell>
        </row>
        <row r="2259">
          <cell r="B2259" t="str">
            <v>ADFEURB0004-026</v>
          </cell>
          <cell r="C2259" t="str">
            <v>SERAMİK YAMALI KÜP 24.3x24.3x26 CM</v>
          </cell>
          <cell r="D2259" t="str">
            <v>CERAMIC PATCHED CUBE 24.3x24.3x26 CM</v>
          </cell>
          <cell r="E2259" t="str">
            <v>SERAMİK YOK BEYAZ YOK</v>
          </cell>
          <cell r="F2259" t="str">
            <v/>
          </cell>
          <cell r="G2259" t="str">
            <v>AKSESUAR</v>
          </cell>
          <cell r="H2259" t="str">
            <v/>
          </cell>
          <cell r="I2259" t="str">
            <v/>
          </cell>
          <cell r="J2259" t="str">
            <v/>
          </cell>
          <cell r="K2259" t="str">
            <v>EVDEMA</v>
          </cell>
          <cell r="L2259" t="str">
            <v/>
          </cell>
          <cell r="M2259" t="str">
            <v/>
          </cell>
          <cell r="N2259" t="str">
            <v>HKA-250077</v>
          </cell>
          <cell r="O2259" t="str">
            <v>HEKA</v>
          </cell>
          <cell r="P2259" t="str">
            <v>ADET</v>
          </cell>
          <cell r="R2259" t="str">
            <v>SERAMİK</v>
          </cell>
          <cell r="S2259" t="str">
            <v>BEYAZ</v>
          </cell>
          <cell r="AD2259" t="str">
            <v>KÜP</v>
          </cell>
          <cell r="AF2259">
            <v>1</v>
          </cell>
          <cell r="AG2259" t="str">
            <v>ADET</v>
          </cell>
          <cell r="AH2259">
            <v>2993.76</v>
          </cell>
          <cell r="AI2259" t="str">
            <v>TL</v>
          </cell>
          <cell r="AJ2259">
            <v>7500</v>
          </cell>
          <cell r="AK2259" t="str">
            <v>TL</v>
          </cell>
          <cell r="AL2259">
            <v>0</v>
          </cell>
          <cell r="AO2259">
            <v>0</v>
          </cell>
          <cell r="AQ2259">
            <v>24.3</v>
          </cell>
          <cell r="AR2259" t="str">
            <v>CM</v>
          </cell>
          <cell r="AS2259">
            <v>24.3</v>
          </cell>
          <cell r="AT2259" t="str">
            <v>CM</v>
          </cell>
          <cell r="AU2259">
            <v>0</v>
          </cell>
          <cell r="AW2259">
            <v>0</v>
          </cell>
        </row>
        <row r="2260">
          <cell r="B2260" t="str">
            <v>AVFVURB0005-032</v>
          </cell>
          <cell r="C2260" t="str">
            <v>VİTALE SERAMİK BORU VAZO 17,2x17,7x32 CM</v>
          </cell>
          <cell r="D2260" t="str">
            <v>VİTALE CERAMIC TUBE VASE 17,2x17,7x32 CM</v>
          </cell>
          <cell r="E2260" t="str">
            <v>SERAMİK YOK BEYAZ YOK</v>
          </cell>
          <cell r="F2260" t="str">
            <v/>
          </cell>
          <cell r="G2260" t="str">
            <v>AKSESUAR</v>
          </cell>
          <cell r="H2260" t="str">
            <v/>
          </cell>
          <cell r="I2260" t="str">
            <v/>
          </cell>
          <cell r="J2260" t="str">
            <v/>
          </cell>
          <cell r="K2260" t="str">
            <v>VİTALE</v>
          </cell>
          <cell r="L2260" t="str">
            <v/>
          </cell>
          <cell r="M2260" t="str">
            <v/>
          </cell>
          <cell r="N2260" t="str">
            <v>HKA-250088</v>
          </cell>
          <cell r="O2260" t="str">
            <v>HEKA</v>
          </cell>
          <cell r="P2260" t="str">
            <v>ADET</v>
          </cell>
          <cell r="R2260" t="str">
            <v>SERAMİK</v>
          </cell>
          <cell r="S2260" t="str">
            <v>BEYAZ</v>
          </cell>
          <cell r="AD2260" t="str">
            <v>VAZO</v>
          </cell>
          <cell r="AF2260">
            <v>1</v>
          </cell>
          <cell r="AG2260" t="str">
            <v>ADET</v>
          </cell>
          <cell r="AH2260">
            <v>2140.54</v>
          </cell>
          <cell r="AI2260" t="str">
            <v>TL</v>
          </cell>
          <cell r="AL2260">
            <v>0</v>
          </cell>
          <cell r="AO2260">
            <v>0</v>
          </cell>
          <cell r="AQ2260">
            <v>32</v>
          </cell>
          <cell r="AR2260" t="str">
            <v>CM</v>
          </cell>
          <cell r="AS2260">
            <v>17.2</v>
          </cell>
          <cell r="AT2260" t="str">
            <v>CM</v>
          </cell>
          <cell r="AU2260">
            <v>0</v>
          </cell>
          <cell r="AW2260">
            <v>0</v>
          </cell>
        </row>
        <row r="2261">
          <cell r="B2261" t="str">
            <v>AVFVURB0005-045</v>
          </cell>
          <cell r="C2261" t="str">
            <v>VİTALE POLİRESİN VAZO 10x24x45 CM</v>
          </cell>
          <cell r="D2261" t="str">
            <v>VİTALE POLYRESIN VASE 10x24x45 CM</v>
          </cell>
          <cell r="E2261" t="str">
            <v>SERAMİK YOK BEYAZ YOK</v>
          </cell>
          <cell r="F2261" t="str">
            <v/>
          </cell>
          <cell r="G2261" t="str">
            <v>AKSESUAR</v>
          </cell>
          <cell r="H2261" t="str">
            <v/>
          </cell>
          <cell r="I2261" t="str">
            <v/>
          </cell>
          <cell r="J2261" t="str">
            <v/>
          </cell>
          <cell r="K2261" t="str">
            <v>VİTALE</v>
          </cell>
          <cell r="L2261" t="str">
            <v/>
          </cell>
          <cell r="M2261" t="str">
            <v/>
          </cell>
          <cell r="N2261" t="str">
            <v>HKA-250089</v>
          </cell>
          <cell r="O2261" t="str">
            <v>HEKA</v>
          </cell>
          <cell r="P2261" t="str">
            <v>ADET</v>
          </cell>
          <cell r="R2261" t="str">
            <v>SERAMİK</v>
          </cell>
          <cell r="S2261" t="str">
            <v>BEYAZ</v>
          </cell>
          <cell r="AD2261" t="str">
            <v>VAZO</v>
          </cell>
          <cell r="AF2261">
            <v>1</v>
          </cell>
          <cell r="AG2261" t="str">
            <v>ADET</v>
          </cell>
          <cell r="AH2261">
            <v>2345.11</v>
          </cell>
          <cell r="AI2261" t="str">
            <v>TL</v>
          </cell>
          <cell r="AL2261">
            <v>0</v>
          </cell>
          <cell r="AO2261">
            <v>0</v>
          </cell>
          <cell r="AQ2261">
            <v>45</v>
          </cell>
          <cell r="AR2261" t="str">
            <v>CM</v>
          </cell>
          <cell r="AS2261">
            <v>10</v>
          </cell>
          <cell r="AT2261" t="str">
            <v>CM</v>
          </cell>
          <cell r="AU2261">
            <v>0</v>
          </cell>
          <cell r="AW2261">
            <v>0</v>
          </cell>
        </row>
        <row r="2262">
          <cell r="B2262" t="str">
            <v>CA2D1C302F5J0</v>
          </cell>
          <cell r="C2262" t="str">
            <v>ERD-310 E27 220V 7W 3000K FİLAMENT LED AMPUL</v>
          </cell>
          <cell r="D2262" t="str">
            <v>ERD-310 E27 220V 7W 3000K FILAMENT LED BULB</v>
          </cell>
          <cell r="E2262" t="str">
            <v xml:space="preserve">CAM  ŞEFFAF </v>
          </cell>
          <cell r="F2262" t="str">
            <v/>
          </cell>
          <cell r="G2262" t="str">
            <v>AMPUL</v>
          </cell>
          <cell r="H2262" t="str">
            <v/>
          </cell>
          <cell r="I2262" t="str">
            <v/>
          </cell>
          <cell r="J2262" t="str">
            <v/>
          </cell>
          <cell r="K2262" t="str">
            <v>ERD-310</v>
          </cell>
          <cell r="L2262" t="str">
            <v/>
          </cell>
          <cell r="M2262" t="str">
            <v/>
          </cell>
          <cell r="N2262" t="str">
            <v>ERD-310</v>
          </cell>
          <cell r="O2262" t="str">
            <v>HEKA</v>
          </cell>
          <cell r="P2262" t="str">
            <v>ADET</v>
          </cell>
          <cell r="Q2262" t="str">
            <v>E27</v>
          </cell>
          <cell r="R2262" t="str">
            <v>CAM</v>
          </cell>
          <cell r="S2262" t="str">
            <v>ŞEFFAF</v>
          </cell>
          <cell r="V2262" t="str">
            <v>D</v>
          </cell>
          <cell r="W2262" t="str">
            <v>FLAMENT</v>
          </cell>
          <cell r="X2262" t="str">
            <v>220V</v>
          </cell>
          <cell r="Y2262" t="str">
            <v>7 WATT</v>
          </cell>
          <cell r="Z2262" t="str">
            <v>3000 K</v>
          </cell>
          <cell r="AA2262" t="str">
            <v>DIMMSIZ</v>
          </cell>
          <cell r="AB2262" t="str">
            <v>901-1000</v>
          </cell>
          <cell r="AC2262" t="str">
            <v>A60</v>
          </cell>
          <cell r="AG2262" t="str">
            <v>ADET</v>
          </cell>
          <cell r="AL2262">
            <v>0</v>
          </cell>
          <cell r="AM2262" t="str">
            <v>8684127519380</v>
          </cell>
          <cell r="AN2262" t="str">
            <v>8684127519397</v>
          </cell>
          <cell r="AO2262">
            <v>0</v>
          </cell>
          <cell r="AQ2262">
            <v>0</v>
          </cell>
          <cell r="AS2262">
            <v>0</v>
          </cell>
          <cell r="AU2262">
            <v>0</v>
          </cell>
          <cell r="AW2262">
            <v>0</v>
          </cell>
        </row>
        <row r="2263">
          <cell r="B2263" t="str">
            <v>CA2D1C302F8J0</v>
          </cell>
          <cell r="C2263" t="str">
            <v>ERD-312 E27 220V 7W 6500K FİLAMENT LED AMPUL</v>
          </cell>
          <cell r="D2263" t="str">
            <v>ERD-312 E27 220V 7W 6500K FILAMENT LED BULB</v>
          </cell>
          <cell r="E2263" t="str">
            <v xml:space="preserve">CAM  ŞEFFAF </v>
          </cell>
          <cell r="F2263" t="str">
            <v/>
          </cell>
          <cell r="G2263" t="str">
            <v>AMPUL</v>
          </cell>
          <cell r="H2263" t="str">
            <v/>
          </cell>
          <cell r="I2263" t="str">
            <v/>
          </cell>
          <cell r="J2263" t="str">
            <v/>
          </cell>
          <cell r="K2263" t="str">
            <v>ERD-312</v>
          </cell>
          <cell r="L2263" t="str">
            <v/>
          </cell>
          <cell r="M2263" t="str">
            <v/>
          </cell>
          <cell r="N2263" t="str">
            <v>ERD-312</v>
          </cell>
          <cell r="O2263" t="str">
            <v>HEKA</v>
          </cell>
          <cell r="P2263" t="str">
            <v>ADET</v>
          </cell>
          <cell r="Q2263" t="str">
            <v>E27</v>
          </cell>
          <cell r="R2263" t="str">
            <v>CAM</v>
          </cell>
          <cell r="S2263" t="str">
            <v>ŞEFFAF</v>
          </cell>
          <cell r="V2263" t="str">
            <v>D</v>
          </cell>
          <cell r="W2263" t="str">
            <v>FLAMENT</v>
          </cell>
          <cell r="X2263" t="str">
            <v>220V</v>
          </cell>
          <cell r="Y2263" t="str">
            <v>7 WATT</v>
          </cell>
          <cell r="Z2263" t="str">
            <v>6500 K</v>
          </cell>
          <cell r="AA2263" t="str">
            <v>DIMMSIZ</v>
          </cell>
          <cell r="AB2263" t="str">
            <v>901-1000</v>
          </cell>
          <cell r="AC2263" t="str">
            <v>A60</v>
          </cell>
          <cell r="AG2263" t="str">
            <v>ADET</v>
          </cell>
          <cell r="AL2263">
            <v>0</v>
          </cell>
          <cell r="AM2263" t="str">
            <v>8684127519427</v>
          </cell>
          <cell r="AN2263" t="str">
            <v>8684127519434</v>
          </cell>
          <cell r="AO2263">
            <v>0</v>
          </cell>
          <cell r="AQ2263">
            <v>0</v>
          </cell>
          <cell r="AS2263">
            <v>0</v>
          </cell>
          <cell r="AU2263">
            <v>0</v>
          </cell>
          <cell r="AW2263">
            <v>0</v>
          </cell>
        </row>
        <row r="2264">
          <cell r="B2264" t="str">
            <v>CB2E1C102F3I0</v>
          </cell>
          <cell r="C2264" t="str">
            <v>ERD-318 G125 BAL 7W 2500K E27 LED AMPUL</v>
          </cell>
          <cell r="D2264" t="str">
            <v>ERD-318 G125 AMBER 7W 2500K E27 LED BULB</v>
          </cell>
          <cell r="E2264" t="str">
            <v xml:space="preserve">CAM  BAL </v>
          </cell>
          <cell r="F2264" t="str">
            <v/>
          </cell>
          <cell r="G2264" t="str">
            <v>AMPUL</v>
          </cell>
          <cell r="H2264" t="str">
            <v/>
          </cell>
          <cell r="I2264" t="str">
            <v/>
          </cell>
          <cell r="J2264" t="str">
            <v/>
          </cell>
          <cell r="K2264" t="str">
            <v>ERD-318</v>
          </cell>
          <cell r="L2264" t="str">
            <v/>
          </cell>
          <cell r="M2264" t="str">
            <v/>
          </cell>
          <cell r="N2264" t="str">
            <v>ERD-318</v>
          </cell>
          <cell r="O2264" t="str">
            <v>HEKA</v>
          </cell>
          <cell r="P2264" t="str">
            <v>ADET</v>
          </cell>
          <cell r="Q2264" t="str">
            <v>E27</v>
          </cell>
          <cell r="R2264" t="str">
            <v>CAM</v>
          </cell>
          <cell r="S2264" t="str">
            <v>BAL</v>
          </cell>
          <cell r="V2264" t="str">
            <v>E</v>
          </cell>
          <cell r="W2264" t="str">
            <v>FLAMENT</v>
          </cell>
          <cell r="X2264" t="str">
            <v>220V</v>
          </cell>
          <cell r="Y2264" t="str">
            <v>7 WATT</v>
          </cell>
          <cell r="Z2264" t="str">
            <v>2500 K</v>
          </cell>
          <cell r="AA2264" t="str">
            <v>DIMMSIZ</v>
          </cell>
          <cell r="AB2264" t="str">
            <v>801-900</v>
          </cell>
          <cell r="AC2264" t="str">
            <v>G125-BÜYÜK TOP</v>
          </cell>
          <cell r="AG2264" t="str">
            <v>ADET</v>
          </cell>
          <cell r="AL2264">
            <v>0</v>
          </cell>
          <cell r="AM2264" t="str">
            <v>8684127519700</v>
          </cell>
          <cell r="AN2264" t="str">
            <v>8684127519717</v>
          </cell>
          <cell r="AO2264">
            <v>0</v>
          </cell>
          <cell r="AQ2264">
            <v>0</v>
          </cell>
          <cell r="AS2264">
            <v>0</v>
          </cell>
          <cell r="AU2264">
            <v>0</v>
          </cell>
          <cell r="AW2264">
            <v>0</v>
          </cell>
        </row>
        <row r="2265">
          <cell r="AH2265"/>
          <cell r="AX2265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hekastore.com/products/siena-tekli-bal-cam-sarkit-44-cm-2" TargetMode="External"/><Relationship Id="rId13" Type="http://schemas.openxmlformats.org/officeDocument/2006/relationships/hyperlink" Target="https://hekastore.com/collections/mobilya-aksesuar/products/traverten-di%CC%87sk-hasir-set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s://hekastore.com/products/siena-tekli-fume-cam-sarkit-44-cm-1" TargetMode="External"/><Relationship Id="rId7" Type="http://schemas.openxmlformats.org/officeDocument/2006/relationships/hyperlink" Target="https://hekastore.com/products/siena-i%CC%87kili-bal-cam-sarkit-62-cm" TargetMode="External"/><Relationship Id="rId12" Type="http://schemas.openxmlformats.org/officeDocument/2006/relationships/hyperlink" Target="https://hekastore.com/collections/mobilya-aksesuar/products/cam-kahve-boncuk-165-cm" TargetMode="External"/><Relationship Id="rId17" Type="http://schemas.openxmlformats.org/officeDocument/2006/relationships/hyperlink" Target="https://hekastore.com/products/vero-siyah-eskitme-led-aplik-20-cm?_pos=1&amp;_sid=73be6a675&amp;_ss=r" TargetMode="External"/><Relationship Id="rId2" Type="http://schemas.openxmlformats.org/officeDocument/2006/relationships/hyperlink" Target="https://hekastore.com/products/si%CC%87ena-i%CC%87ki%CC%87li%CC%87-fume-cam-sarkit-62cm" TargetMode="External"/><Relationship Id="rId16" Type="http://schemas.openxmlformats.org/officeDocument/2006/relationships/hyperlink" Target="https://hekastore.com/products/vero-siyah-eskitme-led-aplik-23-cm?_pos=3&amp;_sid=73be6a675&amp;_ss=r" TargetMode="External"/><Relationship Id="rId1" Type="http://schemas.openxmlformats.org/officeDocument/2006/relationships/hyperlink" Target="https://hekastore.com/products/siena-tekli-fume-cam-sarkit-50-cm" TargetMode="External"/><Relationship Id="rId6" Type="http://schemas.openxmlformats.org/officeDocument/2006/relationships/hyperlink" Target="https://hekastore.com/products/siena-tekli-bal-cam-sarkit-50-cm" TargetMode="External"/><Relationship Id="rId11" Type="http://schemas.openxmlformats.org/officeDocument/2006/relationships/hyperlink" Target="https://hekastore.com/collections/mobilya-aksesuar/products/morocco-samdan-28-cm" TargetMode="External"/><Relationship Id="rId5" Type="http://schemas.openxmlformats.org/officeDocument/2006/relationships/hyperlink" Target="https://hekastore.com/products/siena-tekli-bal-cam-sarkit-44-cm-1" TargetMode="External"/><Relationship Id="rId15" Type="http://schemas.openxmlformats.org/officeDocument/2006/relationships/hyperlink" Target="https://hekastore.com/collections/mobilya-aksesuar/products/bologna-cimen-kapakli-vazo" TargetMode="External"/><Relationship Id="rId10" Type="http://schemas.openxmlformats.org/officeDocument/2006/relationships/hyperlink" Target="https://hekastore.com/collections/mobilya-aksesuar/products/bologna-cimen-sekerlik" TargetMode="External"/><Relationship Id="rId4" Type="http://schemas.openxmlformats.org/officeDocument/2006/relationships/hyperlink" Target="https://hekastore.com/products/pietro-tekli-seffaf-beyaz-cam-sarkit-40-cm" TargetMode="External"/><Relationship Id="rId9" Type="http://schemas.openxmlformats.org/officeDocument/2006/relationships/hyperlink" Target="https://hekastore.com/products/tera-tekli-opal-cam-sarkit-35-cm" TargetMode="External"/><Relationship Id="rId14" Type="http://schemas.openxmlformats.org/officeDocument/2006/relationships/hyperlink" Target="https://hekastore.com/collections/mobilya-aksesuar/products/bologna-karamel-kapakli-vazo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D9B4A-6663-40D8-9798-F7EFA8B1F855}">
  <dimension ref="A1:C11"/>
  <sheetViews>
    <sheetView workbookViewId="0">
      <selection activeCell="A11" sqref="A11"/>
    </sheetView>
  </sheetViews>
  <sheetFormatPr defaultRowHeight="13.8"/>
  <cols>
    <col min="1" max="1" width="47.296875" bestFit="1" customWidth="1"/>
    <col min="2" max="2" width="71.8984375" customWidth="1"/>
    <col min="3" max="3" width="44.296875" bestFit="1" customWidth="1"/>
  </cols>
  <sheetData>
    <row r="1" spans="1:3">
      <c r="A1" s="11" t="s">
        <v>5143</v>
      </c>
      <c r="B1" t="str">
        <f>VLOOKUP(A1,DATA!A:E,3,0)</f>
        <v>sambro-kahverengi-deri-aplik</v>
      </c>
      <c r="C1" t="str">
        <f>VLOOKUP(A1,[1]Sayfa1!$B:$AX,2,0)</f>
        <v>SAMBRO KAHVERENGİ DERİ APLİK</v>
      </c>
    </row>
    <row r="2" spans="1:3">
      <c r="A2" t="s">
        <v>5152</v>
      </c>
      <c r="B2" t="str">
        <f>VLOOKUP(A2,DATA!A:E,3,0)</f>
        <v>fedora-eskitme-duz-spot-10x10-cm</v>
      </c>
      <c r="C2" t="str">
        <f>VLOOKUP(A2,[1]Sayfa1!$B:$AX,2,0)</f>
        <v>FEDORA ESKİTME DÜZ SPOT 10x10 CM</v>
      </c>
    </row>
    <row r="3" spans="1:3">
      <c r="A3" t="s">
        <v>5155</v>
      </c>
      <c r="B3" t="str">
        <f>VLOOKUP(A3,DATA!A:E,3,0)</f>
        <v>fedora-mat-si̇yah-duz-spot-10x10-cm</v>
      </c>
      <c r="C3" t="str">
        <f>VLOOKUP(A3,[1]Sayfa1!$B:$AX,2,0)</f>
        <v>FEDORA MAT SİYAH DÜZ SPOT 10x10 CM</v>
      </c>
    </row>
    <row r="4" spans="1:3">
      <c r="A4" t="s">
        <v>5167</v>
      </c>
      <c r="B4" t="str">
        <f>VLOOKUP(A4,DATA!A:E,3,0)</f>
        <v>avveni-eskitme-duz-spot-6x16-cm</v>
      </c>
      <c r="C4" t="str">
        <f>VLOOKUP(A4,[1]Sayfa1!$B:$AX,2,0)</f>
        <v>AVVENİ ESKİTME DÜZ SPOT 6x16 CM</v>
      </c>
    </row>
    <row r="5" spans="1:3">
      <c r="A5" t="s">
        <v>5164</v>
      </c>
      <c r="B5" t="str">
        <f>VLOOKUP(A5,DATA!A:E,3,0)</f>
        <v>avveni̇-mat-si̇yah-duz-spot-6x16-cm</v>
      </c>
      <c r="C5" t="str">
        <f>VLOOKUP(A5,[1]Sayfa1!$B:$AX,2,0)</f>
        <v>AVVENİ MAT SİYAH DÜZ SPOT 6x16 CM</v>
      </c>
    </row>
    <row r="6" spans="1:3">
      <c r="A6" t="s">
        <v>5140</v>
      </c>
      <c r="B6" t="str">
        <f>VLOOKUP(A6,DATA!A:E,3,0)</f>
        <v>teresa-eskitme-tirtikli-spot-12-cm</v>
      </c>
      <c r="C6" t="str">
        <f>VLOOKUP(A6,[1]Sayfa1!$B:$AX,2,0)</f>
        <v>TERESA ESKİTME TIRTIKLI SPOT 12CM</v>
      </c>
    </row>
    <row r="7" spans="1:3">
      <c r="A7" t="s">
        <v>5137</v>
      </c>
      <c r="B7" t="str">
        <f>VLOOKUP(A7,DATA!A:E,3,0)</f>
        <v>teresa-mat-siyah-tirtikli-spot-12-cm</v>
      </c>
      <c r="C7" t="str">
        <f>VLOOKUP(A7,[1]Sayfa1!$B:$AX,2,0)</f>
        <v>TERESA MAT SİYAH TIRTIKLI SPOT 12CM</v>
      </c>
    </row>
    <row r="8" spans="1:3">
      <c r="A8" t="s">
        <v>5161</v>
      </c>
      <c r="B8" t="str">
        <f>VLOOKUP(A8,DATA!A:E,3,0)</f>
        <v>darell-eskitme-duz-spot-8x8-cm</v>
      </c>
      <c r="C8" t="str">
        <f>VLOOKUP(A8,[1]Sayfa1!$B:$AX,2,0)</f>
        <v>DARELL ESKİTME DÜZ SPOT 8x8 CM</v>
      </c>
    </row>
    <row r="9" spans="1:3">
      <c r="A9" t="s">
        <v>5149</v>
      </c>
      <c r="B9" t="str">
        <f>VLOOKUP(A9,DATA!A:E,3,0)</f>
        <v>darell-mat-siyah-duz-spot-8x8-cm</v>
      </c>
      <c r="C9" t="str">
        <f>VLOOKUP(A9,[1]Sayfa1!$B:$AX,2,0)</f>
        <v>DARELL MAT SİYAH DÜZ SPOT 8x8 CM</v>
      </c>
    </row>
    <row r="10" spans="1:3">
      <c r="A10" t="s">
        <v>5158</v>
      </c>
      <c r="B10" t="str">
        <f>VLOOKUP(A10,DATA!A:E,3,0)</f>
        <v>ri̇go-eski̇tme-duz-spot-7x17-cm</v>
      </c>
      <c r="C10" t="str">
        <f>VLOOKUP(A10,[1]Sayfa1!$B:$AX,2,0)</f>
        <v>RİGO ESKİTME DÜZ SPOT 7X17 CM</v>
      </c>
    </row>
    <row r="11" spans="1:3">
      <c r="A11" t="s">
        <v>5146</v>
      </c>
      <c r="B11" t="str">
        <f>VLOOKUP(A11,DATA!A:E,3,0)</f>
        <v>rigo-mat-siyah-duz-spot-7x17-cm</v>
      </c>
      <c r="C11" t="str">
        <f>VLOOKUP(A11,[1]Sayfa1!$B:$AX,2,0)</f>
        <v>RİGO MAT SİYAH DÜZ SPOT 7X17 CM</v>
      </c>
    </row>
  </sheetData>
  <conditionalFormatting sqref="A1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F0E93-1A56-4233-B824-95421ED19C7B}">
  <dimension ref="A1:D12"/>
  <sheetViews>
    <sheetView tabSelected="1" zoomScale="70" zoomScaleNormal="70" workbookViewId="0">
      <selection activeCell="K22" sqref="K22"/>
    </sheetView>
  </sheetViews>
  <sheetFormatPr defaultRowHeight="13.8"/>
  <cols>
    <col min="1" max="1" width="18.19921875" bestFit="1" customWidth="1"/>
    <col min="2" max="2" width="44.296875" bestFit="1" customWidth="1"/>
    <col min="3" max="3" width="139.796875" customWidth="1"/>
  </cols>
  <sheetData>
    <row r="1" spans="1:4">
      <c r="A1" t="s">
        <v>0</v>
      </c>
      <c r="B1" t="s">
        <v>2</v>
      </c>
      <c r="C1" t="s">
        <v>1</v>
      </c>
      <c r="D1" t="s">
        <v>5322</v>
      </c>
    </row>
    <row r="2" spans="1:4">
      <c r="A2" t="str">
        <f>EDİT!A1</f>
        <v>H1W6VRVJMEH-050</v>
      </c>
      <c r="B2" t="str">
        <f>EDİT!C1</f>
        <v>SAMBRO KAHVERENGİ DERİ APLİK</v>
      </c>
      <c r="C2" t="str">
        <f>IFERROR(CONCATENATE(EDİT!B1,".png"),"")</f>
        <v>sambro-kahverengi-deri-aplik.png</v>
      </c>
      <c r="D2">
        <v>2</v>
      </c>
    </row>
    <row r="3" spans="1:4">
      <c r="A3" t="str">
        <f>EDİT!A2</f>
        <v>H1S6CME000P-010</v>
      </c>
      <c r="B3" t="str">
        <f>EDİT!C2</f>
        <v>FEDORA ESKİTME DÜZ SPOT 10x10 CM</v>
      </c>
      <c r="C3" t="str">
        <f>IFERROR(CONCATENATE(EDİT!B2,".png"),"")</f>
        <v>fedora-eskitme-duz-spot-10x10-cm.png</v>
      </c>
      <c r="D3">
        <v>1</v>
      </c>
    </row>
    <row r="4" spans="1:4">
      <c r="A4" t="str">
        <f>EDİT!A3</f>
        <v>H1S6CRS000P-010</v>
      </c>
      <c r="B4" t="str">
        <f>EDİT!C3</f>
        <v>FEDORA MAT SİYAH DÜZ SPOT 10x10 CM</v>
      </c>
      <c r="C4" t="str">
        <f>IFERROR(CONCATENATE(EDİT!B3,".png"),"")</f>
        <v>fedora-mat-si̇yah-duz-spot-10x10-cm.png</v>
      </c>
      <c r="D4">
        <v>2</v>
      </c>
    </row>
    <row r="5" spans="1:4">
      <c r="A5" t="str">
        <f>EDİT!A4</f>
        <v>H1S6CME000Z-016</v>
      </c>
      <c r="B5" t="str">
        <f>EDİT!C4</f>
        <v>AVVENİ ESKİTME DÜZ SPOT 6x16 CM</v>
      </c>
      <c r="C5" t="str">
        <f>IFERROR(CONCATENATE(EDİT!B4,".png"),"")</f>
        <v>avveni-eskitme-duz-spot-6x16-cm.png</v>
      </c>
      <c r="D5">
        <v>1</v>
      </c>
    </row>
    <row r="6" spans="1:4">
      <c r="A6" t="str">
        <f>EDİT!A5</f>
        <v>H1S6CRS000Z-016</v>
      </c>
      <c r="B6" t="str">
        <f>EDİT!C5</f>
        <v>AVVENİ MAT SİYAH DÜZ SPOT 6x16 CM</v>
      </c>
      <c r="C6" t="str">
        <f>IFERROR(CONCATENATE(EDİT!B5,".png"),"")</f>
        <v>avveni̇-mat-si̇yah-duz-spot-6x16-cm.png</v>
      </c>
      <c r="D6">
        <v>2</v>
      </c>
    </row>
    <row r="7" spans="1:4">
      <c r="A7" t="str">
        <f>EDİT!A6</f>
        <v>H1S6CME000Z-012</v>
      </c>
      <c r="B7" t="str">
        <f>EDİT!C6</f>
        <v>TERESA ESKİTME TIRTIKLI SPOT 12CM</v>
      </c>
      <c r="C7" t="str">
        <f>IFERROR(CONCATENATE(EDİT!B6,".png"),"")</f>
        <v>teresa-eskitme-tirtikli-spot-12-cm.png</v>
      </c>
      <c r="D7">
        <v>1</v>
      </c>
    </row>
    <row r="8" spans="1:4">
      <c r="A8" t="str">
        <f>EDİT!A7</f>
        <v>H1S6CRS000Z-012</v>
      </c>
      <c r="B8" t="str">
        <f>EDİT!C7</f>
        <v>TERESA MAT SİYAH TIRTIKLI SPOT 12CM</v>
      </c>
      <c r="C8" t="str">
        <f>IFERROR(CONCATENATE(EDİT!B7,".png"),"")</f>
        <v>teresa-mat-siyah-tirtikli-spot-12-cm.png</v>
      </c>
      <c r="D8">
        <v>2</v>
      </c>
    </row>
    <row r="9" spans="1:4">
      <c r="A9" t="str">
        <f>EDİT!A8</f>
        <v>H1S6CME000Z-009</v>
      </c>
      <c r="B9" t="str">
        <f>EDİT!C8</f>
        <v>DARELL ESKİTME DÜZ SPOT 8x8 CM</v>
      </c>
      <c r="C9" t="str">
        <f>IFERROR(CONCATENATE(EDİT!B8,".png"),"")</f>
        <v>darell-eskitme-duz-spot-8x8-cm.png</v>
      </c>
      <c r="D9">
        <v>1</v>
      </c>
    </row>
    <row r="10" spans="1:4">
      <c r="A10" t="str">
        <f>EDİT!A9</f>
        <v>H1S6CRS000Z-009</v>
      </c>
      <c r="B10" t="str">
        <f>EDİT!C9</f>
        <v>DARELL MAT SİYAH DÜZ SPOT 8x8 CM</v>
      </c>
      <c r="C10" t="str">
        <f>IFERROR(CONCATENATE(EDİT!B9,".png"),"")</f>
        <v>darell-mat-siyah-duz-spot-8x8-cm.png</v>
      </c>
      <c r="D10">
        <v>2</v>
      </c>
    </row>
    <row r="11" spans="1:4">
      <c r="A11" t="str">
        <f>EDİT!A10</f>
        <v>H1S6CME000H-017</v>
      </c>
      <c r="B11" t="str">
        <f>EDİT!C10</f>
        <v>RİGO ESKİTME DÜZ SPOT 7X17 CM</v>
      </c>
      <c r="C11" t="str">
        <f>IFERROR(CONCATENATE(EDİT!B10,".png"),"")</f>
        <v>ri̇go-eski̇tme-duz-spot-7x17-cm.png</v>
      </c>
      <c r="D11">
        <v>1</v>
      </c>
    </row>
    <row r="12" spans="1:4">
      <c r="A12" t="str">
        <f>EDİT!A11</f>
        <v>H1S6CRS000H-017</v>
      </c>
      <c r="B12" t="str">
        <f>EDİT!C11</f>
        <v>RİGO MAT SİYAH DÜZ SPOT 7X17 CM</v>
      </c>
      <c r="C12" t="str">
        <f>IFERROR(CONCATENATE(EDİT!B11,".png"),"")</f>
        <v>rigo-mat-siyah-duz-spot-7x17-cm.png</v>
      </c>
      <c r="D12">
        <v>2</v>
      </c>
    </row>
  </sheetData>
  <autoFilter ref="A1:D3" xr:uid="{261F0E93-1A56-4233-B824-95421ED19C7B}"/>
  <conditionalFormatting sqref="B1:B1048576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  <pageSetup paperSize="256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A20BD-FC70-4CEA-AF69-03CA89858086}">
  <sheetPr codeName="Sayfa5">
    <tabColor theme="8" tint="0.39997558519241921"/>
  </sheetPr>
  <dimension ref="A1:AA1442"/>
  <sheetViews>
    <sheetView topLeftCell="A1366" zoomScaleNormal="100" workbookViewId="0">
      <selection activeCell="C1430" sqref="C1430"/>
    </sheetView>
  </sheetViews>
  <sheetFormatPr defaultRowHeight="13.2"/>
  <cols>
    <col min="1" max="1" width="19.5" style="2" bestFit="1" customWidth="1"/>
    <col min="2" max="2" width="6.59765625" style="2" customWidth="1"/>
    <col min="3" max="3" width="69.8984375" style="2" bestFit="1" customWidth="1"/>
    <col min="4" max="4" width="77.69921875" style="2" bestFit="1" customWidth="1"/>
    <col min="5" max="5" width="127.296875" style="2" customWidth="1"/>
    <col min="6" max="16384" width="8.796875" style="2"/>
  </cols>
  <sheetData>
    <row r="1" spans="1:13" ht="90">
      <c r="A1" s="1"/>
      <c r="C1" s="3" t="s">
        <v>6</v>
      </c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5.2" customHeight="1">
      <c r="A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>
      <c r="A3" s="5" t="s">
        <v>7</v>
      </c>
      <c r="B3" s="6" t="s">
        <v>8</v>
      </c>
      <c r="C3" s="5" t="s">
        <v>9</v>
      </c>
      <c r="D3" s="5" t="s">
        <v>10</v>
      </c>
      <c r="E3" s="5" t="s">
        <v>11</v>
      </c>
    </row>
    <row r="4" spans="1:13">
      <c r="A4" s="7" t="s">
        <v>12</v>
      </c>
      <c r="B4" s="2" t="s">
        <v>13</v>
      </c>
      <c r="C4" s="7" t="s">
        <v>14</v>
      </c>
      <c r="D4" s="7" t="s">
        <v>15</v>
      </c>
      <c r="E4" s="2" t="s">
        <v>16</v>
      </c>
    </row>
    <row r="5" spans="1:13">
      <c r="A5" s="7" t="s">
        <v>17</v>
      </c>
      <c r="B5" s="2" t="s">
        <v>13</v>
      </c>
      <c r="C5" s="7" t="s">
        <v>18</v>
      </c>
      <c r="D5" s="7" t="s">
        <v>19</v>
      </c>
      <c r="E5" s="2" t="s">
        <v>20</v>
      </c>
    </row>
    <row r="6" spans="1:13">
      <c r="A6" s="7" t="s">
        <v>21</v>
      </c>
      <c r="B6" s="2" t="s">
        <v>13</v>
      </c>
      <c r="C6" s="7" t="s">
        <v>22</v>
      </c>
      <c r="D6" s="7" t="s">
        <v>23</v>
      </c>
      <c r="E6" s="2" t="s">
        <v>24</v>
      </c>
    </row>
    <row r="7" spans="1:13">
      <c r="A7" s="7" t="s">
        <v>25</v>
      </c>
      <c r="B7" s="2" t="s">
        <v>13</v>
      </c>
      <c r="C7" s="7" t="s">
        <v>26</v>
      </c>
      <c r="D7" s="7" t="s">
        <v>27</v>
      </c>
      <c r="E7" s="2" t="s">
        <v>28</v>
      </c>
    </row>
    <row r="8" spans="1:13">
      <c r="A8" s="7" t="s">
        <v>29</v>
      </c>
      <c r="B8" s="2" t="s">
        <v>13</v>
      </c>
      <c r="C8" s="7" t="s">
        <v>30</v>
      </c>
      <c r="D8" s="7" t="s">
        <v>31</v>
      </c>
      <c r="E8" s="2" t="s">
        <v>28</v>
      </c>
    </row>
    <row r="9" spans="1:13">
      <c r="A9" s="7" t="s">
        <v>32</v>
      </c>
      <c r="B9" s="2" t="s">
        <v>13</v>
      </c>
      <c r="C9" s="7" t="s">
        <v>33</v>
      </c>
      <c r="D9" s="7" t="s">
        <v>34</v>
      </c>
      <c r="E9" s="2" t="s">
        <v>35</v>
      </c>
    </row>
    <row r="10" spans="1:13">
      <c r="A10" s="7" t="s">
        <v>36</v>
      </c>
      <c r="B10" s="2" t="s">
        <v>13</v>
      </c>
      <c r="C10" s="7" t="s">
        <v>37</v>
      </c>
      <c r="D10" s="7" t="s">
        <v>38</v>
      </c>
      <c r="E10" s="2" t="s">
        <v>39</v>
      </c>
    </row>
    <row r="11" spans="1:13">
      <c r="A11" s="7" t="s">
        <v>40</v>
      </c>
      <c r="B11" s="2" t="s">
        <v>13</v>
      </c>
      <c r="C11" s="7" t="s">
        <v>41</v>
      </c>
      <c r="D11" s="7" t="s">
        <v>42</v>
      </c>
      <c r="E11" s="2" t="s">
        <v>43</v>
      </c>
    </row>
    <row r="12" spans="1:13">
      <c r="A12" s="7" t="s">
        <v>44</v>
      </c>
      <c r="B12" s="2" t="s">
        <v>13</v>
      </c>
      <c r="C12" s="7" t="s">
        <v>45</v>
      </c>
      <c r="D12" s="7" t="s">
        <v>46</v>
      </c>
      <c r="E12" s="2" t="s">
        <v>47</v>
      </c>
    </row>
    <row r="13" spans="1:13">
      <c r="A13" s="7" t="s">
        <v>48</v>
      </c>
      <c r="B13" s="2" t="s">
        <v>13</v>
      </c>
      <c r="C13" s="7" t="s">
        <v>49</v>
      </c>
      <c r="D13" s="7" t="s">
        <v>50</v>
      </c>
      <c r="E13" s="2" t="s">
        <v>51</v>
      </c>
    </row>
    <row r="14" spans="1:13">
      <c r="A14" s="7" t="s">
        <v>52</v>
      </c>
      <c r="B14" s="2" t="s">
        <v>13</v>
      </c>
      <c r="C14" s="7" t="s">
        <v>53</v>
      </c>
      <c r="D14" s="7" t="s">
        <v>54</v>
      </c>
      <c r="E14" s="2" t="s">
        <v>55</v>
      </c>
    </row>
    <row r="15" spans="1:13">
      <c r="A15" s="7" t="s">
        <v>56</v>
      </c>
      <c r="B15" s="2" t="s">
        <v>13</v>
      </c>
      <c r="C15" s="7" t="s">
        <v>57</v>
      </c>
      <c r="D15" s="7" t="s">
        <v>58</v>
      </c>
      <c r="E15" s="2" t="s">
        <v>59</v>
      </c>
    </row>
    <row r="16" spans="1:13">
      <c r="A16" s="7" t="s">
        <v>60</v>
      </c>
      <c r="B16" s="2" t="s">
        <v>13</v>
      </c>
      <c r="C16" s="7" t="s">
        <v>61</v>
      </c>
      <c r="D16" s="7" t="s">
        <v>62</v>
      </c>
      <c r="E16" s="2" t="s">
        <v>63</v>
      </c>
    </row>
    <row r="17" spans="1:5">
      <c r="A17" s="7" t="s">
        <v>64</v>
      </c>
      <c r="B17" s="2" t="s">
        <v>13</v>
      </c>
      <c r="C17" s="7" t="s">
        <v>65</v>
      </c>
      <c r="D17" s="7" t="s">
        <v>66</v>
      </c>
      <c r="E17" s="2" t="s">
        <v>67</v>
      </c>
    </row>
    <row r="18" spans="1:5">
      <c r="A18" s="7" t="s">
        <v>68</v>
      </c>
      <c r="B18" s="2" t="s">
        <v>13</v>
      </c>
      <c r="C18" s="7" t="s">
        <v>69</v>
      </c>
      <c r="D18" s="7" t="s">
        <v>70</v>
      </c>
      <c r="E18" s="2" t="s">
        <v>71</v>
      </c>
    </row>
    <row r="19" spans="1:5">
      <c r="A19" s="7" t="s">
        <v>72</v>
      </c>
      <c r="B19" s="2" t="s">
        <v>13</v>
      </c>
      <c r="C19" s="7" t="s">
        <v>73</v>
      </c>
      <c r="D19" s="7" t="s">
        <v>74</v>
      </c>
      <c r="E19" s="2" t="s">
        <v>75</v>
      </c>
    </row>
    <row r="20" spans="1:5">
      <c r="A20" s="7" t="s">
        <v>76</v>
      </c>
      <c r="B20" s="2" t="s">
        <v>13</v>
      </c>
      <c r="C20" s="7" t="s">
        <v>77</v>
      </c>
      <c r="D20" s="7" t="s">
        <v>78</v>
      </c>
      <c r="E20" s="2" t="s">
        <v>79</v>
      </c>
    </row>
    <row r="21" spans="1:5">
      <c r="A21" s="7" t="s">
        <v>80</v>
      </c>
      <c r="B21" s="2" t="s">
        <v>13</v>
      </c>
      <c r="C21" s="7" t="s">
        <v>81</v>
      </c>
      <c r="D21" s="7" t="s">
        <v>82</v>
      </c>
      <c r="E21" s="2" t="s">
        <v>83</v>
      </c>
    </row>
    <row r="22" spans="1:5">
      <c r="A22" s="7" t="s">
        <v>84</v>
      </c>
      <c r="B22" s="2" t="s">
        <v>13</v>
      </c>
      <c r="C22" s="7" t="s">
        <v>85</v>
      </c>
      <c r="D22" s="7" t="s">
        <v>86</v>
      </c>
      <c r="E22" s="2" t="s">
        <v>87</v>
      </c>
    </row>
    <row r="23" spans="1:5">
      <c r="A23" s="7" t="s">
        <v>88</v>
      </c>
      <c r="B23" s="2" t="s">
        <v>13</v>
      </c>
      <c r="C23" s="7" t="s">
        <v>89</v>
      </c>
      <c r="D23" s="7" t="s">
        <v>90</v>
      </c>
      <c r="E23" s="2" t="s">
        <v>91</v>
      </c>
    </row>
    <row r="24" spans="1:5">
      <c r="A24" s="7" t="s">
        <v>92</v>
      </c>
      <c r="B24" s="2" t="s">
        <v>13</v>
      </c>
      <c r="C24" s="7" t="s">
        <v>93</v>
      </c>
      <c r="D24" s="7" t="s">
        <v>94</v>
      </c>
      <c r="E24" s="2" t="s">
        <v>95</v>
      </c>
    </row>
    <row r="25" spans="1:5">
      <c r="A25" s="7" t="s">
        <v>96</v>
      </c>
      <c r="B25" s="2" t="s">
        <v>13</v>
      </c>
      <c r="C25" s="7" t="s">
        <v>97</v>
      </c>
      <c r="D25" s="7" t="s">
        <v>98</v>
      </c>
      <c r="E25" s="2" t="s">
        <v>99</v>
      </c>
    </row>
    <row r="26" spans="1:5">
      <c r="A26" s="7" t="s">
        <v>100</v>
      </c>
      <c r="B26" s="2" t="s">
        <v>13</v>
      </c>
      <c r="C26" s="7" t="s">
        <v>101</v>
      </c>
      <c r="D26" s="7" t="s">
        <v>102</v>
      </c>
      <c r="E26" s="2" t="s">
        <v>103</v>
      </c>
    </row>
    <row r="27" spans="1:5">
      <c r="A27" s="7" t="s">
        <v>104</v>
      </c>
      <c r="B27" s="2" t="s">
        <v>13</v>
      </c>
      <c r="C27" s="7" t="s">
        <v>105</v>
      </c>
      <c r="D27" s="7" t="s">
        <v>106</v>
      </c>
      <c r="E27" s="2" t="s">
        <v>107</v>
      </c>
    </row>
    <row r="28" spans="1:5">
      <c r="A28" s="7" t="s">
        <v>108</v>
      </c>
      <c r="B28" s="2" t="s">
        <v>13</v>
      </c>
      <c r="C28" s="7" t="s">
        <v>109</v>
      </c>
      <c r="D28" s="7" t="s">
        <v>110</v>
      </c>
      <c r="E28" s="2" t="s">
        <v>111</v>
      </c>
    </row>
    <row r="29" spans="1:5">
      <c r="A29" s="7" t="s">
        <v>112</v>
      </c>
      <c r="B29" s="2" t="s">
        <v>13</v>
      </c>
      <c r="C29" s="7" t="s">
        <v>113</v>
      </c>
      <c r="D29" s="7" t="s">
        <v>114</v>
      </c>
      <c r="E29" s="2" t="s">
        <v>115</v>
      </c>
    </row>
    <row r="30" spans="1:5">
      <c r="A30" s="7" t="s">
        <v>116</v>
      </c>
      <c r="B30" s="2" t="s">
        <v>13</v>
      </c>
      <c r="C30" s="7" t="s">
        <v>117</v>
      </c>
      <c r="D30" s="7" t="s">
        <v>118</v>
      </c>
      <c r="E30" s="2" t="s">
        <v>119</v>
      </c>
    </row>
    <row r="31" spans="1:5">
      <c r="A31" s="7" t="s">
        <v>120</v>
      </c>
      <c r="B31" s="2" t="s">
        <v>13</v>
      </c>
      <c r="C31" s="7" t="s">
        <v>121</v>
      </c>
      <c r="D31" s="7" t="s">
        <v>122</v>
      </c>
      <c r="E31" s="2" t="s">
        <v>123</v>
      </c>
    </row>
    <row r="32" spans="1:5">
      <c r="A32" s="7" t="s">
        <v>124</v>
      </c>
      <c r="B32" s="2" t="s">
        <v>13</v>
      </c>
      <c r="C32" s="7" t="s">
        <v>125</v>
      </c>
      <c r="D32" s="7" t="s">
        <v>126</v>
      </c>
      <c r="E32" s="2" t="s">
        <v>127</v>
      </c>
    </row>
    <row r="33" spans="1:5">
      <c r="A33" s="7" t="s">
        <v>128</v>
      </c>
      <c r="B33" s="2" t="s">
        <v>13</v>
      </c>
      <c r="C33" s="7" t="s">
        <v>129</v>
      </c>
      <c r="D33" s="7" t="s">
        <v>130</v>
      </c>
      <c r="E33" s="2" t="s">
        <v>131</v>
      </c>
    </row>
    <row r="34" spans="1:5">
      <c r="A34" s="7" t="s">
        <v>132</v>
      </c>
      <c r="B34" s="2" t="s">
        <v>13</v>
      </c>
      <c r="C34" s="7" t="s">
        <v>133</v>
      </c>
      <c r="D34" s="7" t="s">
        <v>134</v>
      </c>
      <c r="E34" s="2" t="s">
        <v>135</v>
      </c>
    </row>
    <row r="35" spans="1:5">
      <c r="A35" s="7" t="s">
        <v>136</v>
      </c>
      <c r="B35" s="2" t="s">
        <v>13</v>
      </c>
      <c r="C35" s="7" t="s">
        <v>137</v>
      </c>
      <c r="D35" s="7" t="s">
        <v>138</v>
      </c>
      <c r="E35" s="2" t="s">
        <v>139</v>
      </c>
    </row>
    <row r="36" spans="1:5">
      <c r="A36" s="7" t="s">
        <v>140</v>
      </c>
      <c r="B36" s="2" t="s">
        <v>13</v>
      </c>
      <c r="C36" s="7" t="s">
        <v>141</v>
      </c>
      <c r="D36" s="7" t="s">
        <v>142</v>
      </c>
      <c r="E36" s="2" t="s">
        <v>143</v>
      </c>
    </row>
    <row r="37" spans="1:5">
      <c r="A37" s="7" t="s">
        <v>144</v>
      </c>
      <c r="B37" s="2" t="s">
        <v>13</v>
      </c>
      <c r="C37" s="7" t="s">
        <v>145</v>
      </c>
      <c r="D37" s="7" t="s">
        <v>146</v>
      </c>
      <c r="E37" s="2" t="s">
        <v>147</v>
      </c>
    </row>
    <row r="38" spans="1:5">
      <c r="A38" s="7" t="s">
        <v>148</v>
      </c>
      <c r="B38" s="2" t="s">
        <v>13</v>
      </c>
      <c r="C38" s="7" t="s">
        <v>149</v>
      </c>
      <c r="D38" s="7" t="s">
        <v>150</v>
      </c>
      <c r="E38" s="2" t="s">
        <v>151</v>
      </c>
    </row>
    <row r="39" spans="1:5">
      <c r="A39" s="7" t="s">
        <v>152</v>
      </c>
      <c r="B39" s="2" t="s">
        <v>13</v>
      </c>
      <c r="C39" s="7" t="s">
        <v>153</v>
      </c>
      <c r="D39" s="7" t="s">
        <v>154</v>
      </c>
      <c r="E39" s="2" t="s">
        <v>155</v>
      </c>
    </row>
    <row r="40" spans="1:5">
      <c r="A40" s="7" t="s">
        <v>156</v>
      </c>
      <c r="B40" s="2" t="s">
        <v>13</v>
      </c>
      <c r="C40" s="7" t="s">
        <v>157</v>
      </c>
      <c r="D40" s="7" t="s">
        <v>158</v>
      </c>
      <c r="E40" s="2" t="s">
        <v>159</v>
      </c>
    </row>
    <row r="41" spans="1:5">
      <c r="A41" s="7" t="s">
        <v>160</v>
      </c>
      <c r="B41" s="2" t="s">
        <v>13</v>
      </c>
      <c r="C41" s="7" t="s">
        <v>161</v>
      </c>
      <c r="D41" s="7" t="s">
        <v>162</v>
      </c>
      <c r="E41" s="2" t="s">
        <v>163</v>
      </c>
    </row>
    <row r="42" spans="1:5">
      <c r="A42" s="7" t="s">
        <v>164</v>
      </c>
      <c r="B42" s="2" t="s">
        <v>13</v>
      </c>
      <c r="C42" s="7" t="s">
        <v>165</v>
      </c>
      <c r="D42" s="7" t="s">
        <v>166</v>
      </c>
      <c r="E42" s="2" t="s">
        <v>167</v>
      </c>
    </row>
    <row r="43" spans="1:5">
      <c r="A43" s="7" t="s">
        <v>168</v>
      </c>
      <c r="B43" s="2" t="s">
        <v>13</v>
      </c>
      <c r="C43" s="7" t="s">
        <v>169</v>
      </c>
      <c r="D43" s="7" t="s">
        <v>170</v>
      </c>
      <c r="E43" s="2" t="s">
        <v>171</v>
      </c>
    </row>
    <row r="44" spans="1:5">
      <c r="A44" s="7" t="s">
        <v>172</v>
      </c>
      <c r="B44" s="2" t="s">
        <v>13</v>
      </c>
      <c r="C44" s="7" t="s">
        <v>173</v>
      </c>
      <c r="D44" s="7" t="s">
        <v>174</v>
      </c>
      <c r="E44" s="2" t="s">
        <v>175</v>
      </c>
    </row>
    <row r="45" spans="1:5">
      <c r="A45" s="7" t="s">
        <v>176</v>
      </c>
      <c r="B45" s="2" t="s">
        <v>13</v>
      </c>
      <c r="C45" s="7" t="s">
        <v>177</v>
      </c>
      <c r="D45" s="7" t="s">
        <v>178</v>
      </c>
      <c r="E45" s="2" t="s">
        <v>179</v>
      </c>
    </row>
    <row r="46" spans="1:5">
      <c r="A46" s="7" t="s">
        <v>180</v>
      </c>
      <c r="B46" s="2" t="s">
        <v>13</v>
      </c>
      <c r="C46" s="7" t="s">
        <v>181</v>
      </c>
      <c r="D46" s="7" t="s">
        <v>182</v>
      </c>
      <c r="E46" s="2" t="s">
        <v>183</v>
      </c>
    </row>
    <row r="47" spans="1:5">
      <c r="A47" s="7" t="s">
        <v>184</v>
      </c>
      <c r="B47" s="2" t="s">
        <v>13</v>
      </c>
      <c r="C47" s="7" t="s">
        <v>185</v>
      </c>
      <c r="D47" s="7" t="s">
        <v>186</v>
      </c>
      <c r="E47" s="2" t="s">
        <v>187</v>
      </c>
    </row>
    <row r="48" spans="1:5">
      <c r="A48" s="7" t="s">
        <v>188</v>
      </c>
      <c r="B48" s="2" t="s">
        <v>13</v>
      </c>
      <c r="C48" s="7" t="s">
        <v>189</v>
      </c>
      <c r="D48" s="7" t="s">
        <v>190</v>
      </c>
      <c r="E48" s="2" t="s">
        <v>191</v>
      </c>
    </row>
    <row r="49" spans="1:5">
      <c r="A49" s="7" t="s">
        <v>192</v>
      </c>
      <c r="B49" s="2" t="s">
        <v>13</v>
      </c>
      <c r="C49" s="7" t="s">
        <v>193</v>
      </c>
      <c r="D49" s="7" t="s">
        <v>194</v>
      </c>
      <c r="E49" s="2" t="s">
        <v>195</v>
      </c>
    </row>
    <row r="50" spans="1:5">
      <c r="A50" s="7" t="s">
        <v>196</v>
      </c>
      <c r="B50" s="2" t="s">
        <v>13</v>
      </c>
      <c r="C50" s="7" t="s">
        <v>197</v>
      </c>
      <c r="D50" s="7" t="s">
        <v>198</v>
      </c>
      <c r="E50" s="2" t="s">
        <v>199</v>
      </c>
    </row>
    <row r="51" spans="1:5">
      <c r="A51" s="7" t="s">
        <v>200</v>
      </c>
      <c r="B51" s="2" t="s">
        <v>13</v>
      </c>
      <c r="C51" s="7" t="s">
        <v>201</v>
      </c>
      <c r="D51" s="7" t="s">
        <v>202</v>
      </c>
      <c r="E51" s="2" t="s">
        <v>203</v>
      </c>
    </row>
    <row r="52" spans="1:5">
      <c r="A52" s="7" t="s">
        <v>204</v>
      </c>
      <c r="B52" s="2" t="s">
        <v>13</v>
      </c>
      <c r="C52" s="7" t="s">
        <v>205</v>
      </c>
      <c r="D52" s="7" t="s">
        <v>206</v>
      </c>
      <c r="E52" s="2" t="s">
        <v>207</v>
      </c>
    </row>
    <row r="53" spans="1:5">
      <c r="A53" s="7" t="s">
        <v>208</v>
      </c>
      <c r="B53" s="2" t="s">
        <v>13</v>
      </c>
      <c r="C53" s="7" t="s">
        <v>209</v>
      </c>
      <c r="D53" s="7" t="s">
        <v>210</v>
      </c>
      <c r="E53" s="2" t="s">
        <v>211</v>
      </c>
    </row>
    <row r="54" spans="1:5">
      <c r="A54" s="7" t="s">
        <v>212</v>
      </c>
      <c r="B54" s="2" t="s">
        <v>13</v>
      </c>
      <c r="C54" s="7" t="s">
        <v>213</v>
      </c>
      <c r="D54" s="7" t="s">
        <v>214</v>
      </c>
      <c r="E54" s="2" t="s">
        <v>215</v>
      </c>
    </row>
    <row r="55" spans="1:5">
      <c r="A55" s="7" t="s">
        <v>216</v>
      </c>
      <c r="B55" s="2" t="s">
        <v>13</v>
      </c>
      <c r="C55" s="7" t="s">
        <v>217</v>
      </c>
      <c r="D55" s="7" t="s">
        <v>218</v>
      </c>
      <c r="E55" s="2" t="s">
        <v>219</v>
      </c>
    </row>
    <row r="56" spans="1:5">
      <c r="A56" s="7" t="s">
        <v>220</v>
      </c>
      <c r="B56" s="2" t="s">
        <v>13</v>
      </c>
      <c r="C56" s="7" t="s">
        <v>221</v>
      </c>
      <c r="D56" s="7" t="s">
        <v>222</v>
      </c>
      <c r="E56" s="2" t="s">
        <v>223</v>
      </c>
    </row>
    <row r="57" spans="1:5">
      <c r="A57" s="7" t="s">
        <v>224</v>
      </c>
      <c r="B57" s="2" t="s">
        <v>13</v>
      </c>
      <c r="C57" s="7" t="s">
        <v>225</v>
      </c>
      <c r="D57" s="7" t="s">
        <v>226</v>
      </c>
      <c r="E57" s="2" t="s">
        <v>227</v>
      </c>
    </row>
    <row r="58" spans="1:5">
      <c r="A58" s="7" t="s">
        <v>228</v>
      </c>
      <c r="B58" s="2" t="s">
        <v>13</v>
      </c>
      <c r="C58" s="7" t="s">
        <v>229</v>
      </c>
      <c r="D58" s="7" t="s">
        <v>230</v>
      </c>
      <c r="E58" s="2" t="s">
        <v>231</v>
      </c>
    </row>
    <row r="59" spans="1:5">
      <c r="A59" s="7" t="s">
        <v>232</v>
      </c>
      <c r="B59" s="2" t="s">
        <v>13</v>
      </c>
      <c r="C59" s="7" t="s">
        <v>233</v>
      </c>
      <c r="D59" s="7" t="s">
        <v>234</v>
      </c>
      <c r="E59" s="2" t="s">
        <v>235</v>
      </c>
    </row>
    <row r="60" spans="1:5">
      <c r="A60" s="7" t="s">
        <v>236</v>
      </c>
      <c r="B60" s="2" t="s">
        <v>13</v>
      </c>
      <c r="C60" s="7" t="s">
        <v>237</v>
      </c>
      <c r="D60" s="7" t="s">
        <v>238</v>
      </c>
      <c r="E60" s="2" t="s">
        <v>239</v>
      </c>
    </row>
    <row r="61" spans="1:5">
      <c r="A61" s="7" t="s">
        <v>240</v>
      </c>
      <c r="B61" s="2" t="s">
        <v>13</v>
      </c>
      <c r="C61" s="7" t="s">
        <v>241</v>
      </c>
      <c r="D61" s="7" t="s">
        <v>242</v>
      </c>
      <c r="E61" s="2" t="s">
        <v>243</v>
      </c>
    </row>
    <row r="62" spans="1:5">
      <c r="A62" s="7" t="s">
        <v>244</v>
      </c>
      <c r="B62" s="2" t="s">
        <v>13</v>
      </c>
      <c r="C62" s="7" t="s">
        <v>245</v>
      </c>
      <c r="D62" s="7" t="s">
        <v>246</v>
      </c>
      <c r="E62" s="2" t="s">
        <v>247</v>
      </c>
    </row>
    <row r="63" spans="1:5">
      <c r="A63" s="7" t="s">
        <v>248</v>
      </c>
      <c r="B63" s="2" t="s">
        <v>13</v>
      </c>
      <c r="C63" s="7" t="s">
        <v>249</v>
      </c>
      <c r="D63" s="7" t="s">
        <v>250</v>
      </c>
      <c r="E63" s="2" t="s">
        <v>251</v>
      </c>
    </row>
    <row r="64" spans="1:5">
      <c r="A64" s="7" t="s">
        <v>252</v>
      </c>
      <c r="B64" s="2" t="s">
        <v>13</v>
      </c>
      <c r="C64" s="7" t="s">
        <v>253</v>
      </c>
      <c r="D64" s="7" t="s">
        <v>254</v>
      </c>
      <c r="E64" s="2" t="s">
        <v>255</v>
      </c>
    </row>
    <row r="65" spans="1:5">
      <c r="A65" s="7" t="s">
        <v>256</v>
      </c>
      <c r="B65" s="2" t="s">
        <v>13</v>
      </c>
      <c r="C65" s="7" t="s">
        <v>257</v>
      </c>
      <c r="D65" s="7" t="s">
        <v>258</v>
      </c>
      <c r="E65" s="2" t="s">
        <v>259</v>
      </c>
    </row>
    <row r="66" spans="1:5">
      <c r="A66" s="7" t="s">
        <v>260</v>
      </c>
      <c r="B66" s="2" t="s">
        <v>13</v>
      </c>
      <c r="C66" s="7" t="s">
        <v>261</v>
      </c>
      <c r="D66" s="7" t="s">
        <v>262</v>
      </c>
      <c r="E66" s="2" t="s">
        <v>263</v>
      </c>
    </row>
    <row r="67" spans="1:5">
      <c r="A67" s="7" t="s">
        <v>264</v>
      </c>
      <c r="B67" s="2" t="s">
        <v>13</v>
      </c>
      <c r="C67" s="7" t="s">
        <v>265</v>
      </c>
      <c r="D67" s="7" t="s">
        <v>266</v>
      </c>
      <c r="E67" s="2" t="s">
        <v>267</v>
      </c>
    </row>
    <row r="68" spans="1:5">
      <c r="A68" s="7" t="s">
        <v>268</v>
      </c>
      <c r="B68" s="2" t="s">
        <v>13</v>
      </c>
      <c r="C68" s="7" t="s">
        <v>269</v>
      </c>
      <c r="D68" s="7" t="s">
        <v>270</v>
      </c>
      <c r="E68" s="2" t="s">
        <v>271</v>
      </c>
    </row>
    <row r="69" spans="1:5">
      <c r="A69" s="7" t="s">
        <v>272</v>
      </c>
      <c r="B69" s="2" t="s">
        <v>13</v>
      </c>
      <c r="C69" s="7" t="s">
        <v>273</v>
      </c>
      <c r="D69" s="7" t="s">
        <v>274</v>
      </c>
      <c r="E69" s="2" t="s">
        <v>275</v>
      </c>
    </row>
    <row r="70" spans="1:5">
      <c r="A70" s="7" t="s">
        <v>276</v>
      </c>
      <c r="B70" s="2" t="s">
        <v>13</v>
      </c>
      <c r="C70" s="7" t="s">
        <v>277</v>
      </c>
      <c r="D70" s="7" t="s">
        <v>278</v>
      </c>
      <c r="E70" s="2" t="s">
        <v>279</v>
      </c>
    </row>
    <row r="71" spans="1:5">
      <c r="A71" s="7" t="s">
        <v>280</v>
      </c>
      <c r="B71" s="2" t="s">
        <v>13</v>
      </c>
      <c r="C71" s="7" t="s">
        <v>281</v>
      </c>
      <c r="D71" s="7" t="s">
        <v>282</v>
      </c>
      <c r="E71" s="2" t="s">
        <v>283</v>
      </c>
    </row>
    <row r="72" spans="1:5">
      <c r="A72" s="7" t="s">
        <v>284</v>
      </c>
      <c r="B72" s="2" t="s">
        <v>13</v>
      </c>
      <c r="C72" s="7" t="s">
        <v>285</v>
      </c>
      <c r="D72" s="7" t="s">
        <v>286</v>
      </c>
      <c r="E72" s="2" t="s">
        <v>287</v>
      </c>
    </row>
    <row r="73" spans="1:5">
      <c r="A73" s="7" t="s">
        <v>288</v>
      </c>
      <c r="B73" s="2" t="s">
        <v>13</v>
      </c>
      <c r="C73" s="7" t="s">
        <v>289</v>
      </c>
      <c r="D73" s="7" t="s">
        <v>290</v>
      </c>
      <c r="E73" s="2" t="s">
        <v>291</v>
      </c>
    </row>
    <row r="74" spans="1:5">
      <c r="A74" s="7" t="s">
        <v>292</v>
      </c>
      <c r="B74" s="2" t="s">
        <v>13</v>
      </c>
      <c r="C74" s="7" t="s">
        <v>293</v>
      </c>
      <c r="D74" s="7" t="s">
        <v>294</v>
      </c>
      <c r="E74" s="2" t="s">
        <v>295</v>
      </c>
    </row>
    <row r="75" spans="1:5">
      <c r="A75" s="7" t="s">
        <v>296</v>
      </c>
      <c r="B75" s="2" t="s">
        <v>13</v>
      </c>
      <c r="C75" s="7" t="s">
        <v>297</v>
      </c>
      <c r="D75" s="7" t="s">
        <v>298</v>
      </c>
      <c r="E75" s="2" t="s">
        <v>299</v>
      </c>
    </row>
    <row r="76" spans="1:5">
      <c r="A76" s="7" t="s">
        <v>300</v>
      </c>
      <c r="B76" s="2" t="s">
        <v>13</v>
      </c>
      <c r="C76" s="7" t="s">
        <v>301</v>
      </c>
      <c r="D76" s="7" t="s">
        <v>302</v>
      </c>
      <c r="E76" s="2" t="s">
        <v>303</v>
      </c>
    </row>
    <row r="77" spans="1:5">
      <c r="A77" s="7" t="s">
        <v>304</v>
      </c>
      <c r="B77" s="2" t="s">
        <v>13</v>
      </c>
      <c r="C77" s="7" t="s">
        <v>305</v>
      </c>
      <c r="D77" s="7" t="s">
        <v>306</v>
      </c>
      <c r="E77" s="2" t="s">
        <v>307</v>
      </c>
    </row>
    <row r="78" spans="1:5">
      <c r="A78" s="7" t="s">
        <v>308</v>
      </c>
      <c r="B78" s="2" t="s">
        <v>13</v>
      </c>
      <c r="C78" s="7" t="s">
        <v>309</v>
      </c>
      <c r="D78" s="7" t="s">
        <v>310</v>
      </c>
      <c r="E78" s="2" t="s">
        <v>311</v>
      </c>
    </row>
    <row r="79" spans="1:5">
      <c r="A79" s="7" t="s">
        <v>312</v>
      </c>
      <c r="B79" s="2" t="s">
        <v>13</v>
      </c>
      <c r="C79" s="7" t="s">
        <v>313</v>
      </c>
      <c r="D79" s="7" t="s">
        <v>314</v>
      </c>
      <c r="E79" s="2" t="s">
        <v>315</v>
      </c>
    </row>
    <row r="80" spans="1:5">
      <c r="A80" s="7" t="s">
        <v>316</v>
      </c>
      <c r="B80" s="2" t="s">
        <v>13</v>
      </c>
      <c r="C80" s="7" t="s">
        <v>317</v>
      </c>
      <c r="D80" s="7" t="s">
        <v>318</v>
      </c>
      <c r="E80" s="2" t="s">
        <v>319</v>
      </c>
    </row>
    <row r="81" spans="1:5">
      <c r="A81" s="7" t="s">
        <v>320</v>
      </c>
      <c r="B81" s="2" t="s">
        <v>13</v>
      </c>
      <c r="C81" s="7" t="s">
        <v>321</v>
      </c>
      <c r="D81" s="7" t="s">
        <v>322</v>
      </c>
      <c r="E81" s="2" t="s">
        <v>323</v>
      </c>
    </row>
    <row r="82" spans="1:5">
      <c r="A82" s="7" t="s">
        <v>324</v>
      </c>
      <c r="B82" s="2" t="s">
        <v>13</v>
      </c>
      <c r="C82" s="7" t="s">
        <v>325</v>
      </c>
      <c r="D82" s="7" t="s">
        <v>326</v>
      </c>
      <c r="E82" s="2" t="s">
        <v>327</v>
      </c>
    </row>
    <row r="83" spans="1:5">
      <c r="A83" s="7" t="s">
        <v>328</v>
      </c>
      <c r="B83" s="2" t="s">
        <v>13</v>
      </c>
      <c r="C83" s="7" t="s">
        <v>329</v>
      </c>
      <c r="D83" s="7" t="s">
        <v>330</v>
      </c>
      <c r="E83" s="2" t="s">
        <v>331</v>
      </c>
    </row>
    <row r="84" spans="1:5">
      <c r="A84" s="7" t="s">
        <v>332</v>
      </c>
      <c r="B84" s="2" t="s">
        <v>13</v>
      </c>
      <c r="C84" s="7" t="s">
        <v>333</v>
      </c>
      <c r="D84" s="7" t="s">
        <v>334</v>
      </c>
      <c r="E84" s="2" t="s">
        <v>335</v>
      </c>
    </row>
    <row r="85" spans="1:5">
      <c r="A85" s="7" t="s">
        <v>336</v>
      </c>
      <c r="B85" s="2" t="s">
        <v>13</v>
      </c>
      <c r="C85" s="7" t="s">
        <v>337</v>
      </c>
      <c r="D85" s="7" t="s">
        <v>338</v>
      </c>
      <c r="E85" s="2" t="s">
        <v>339</v>
      </c>
    </row>
    <row r="86" spans="1:5">
      <c r="A86" s="7" t="s">
        <v>340</v>
      </c>
      <c r="B86" s="2" t="s">
        <v>13</v>
      </c>
      <c r="C86" s="7" t="s">
        <v>341</v>
      </c>
      <c r="D86" s="7" t="s">
        <v>342</v>
      </c>
      <c r="E86" s="2" t="s">
        <v>343</v>
      </c>
    </row>
    <row r="87" spans="1:5">
      <c r="A87" s="7" t="s">
        <v>344</v>
      </c>
      <c r="B87" s="2" t="s">
        <v>13</v>
      </c>
      <c r="C87" s="7" t="s">
        <v>345</v>
      </c>
      <c r="D87" s="7" t="s">
        <v>346</v>
      </c>
      <c r="E87" s="2" t="s">
        <v>347</v>
      </c>
    </row>
    <row r="88" spans="1:5">
      <c r="A88" s="7" t="s">
        <v>348</v>
      </c>
      <c r="B88" s="2" t="s">
        <v>13</v>
      </c>
      <c r="C88" s="7" t="s">
        <v>349</v>
      </c>
      <c r="D88" s="7" t="s">
        <v>350</v>
      </c>
      <c r="E88" s="2" t="s">
        <v>351</v>
      </c>
    </row>
    <row r="89" spans="1:5">
      <c r="A89" s="7" t="s">
        <v>352</v>
      </c>
      <c r="B89" s="2" t="s">
        <v>13</v>
      </c>
      <c r="C89" s="7" t="s">
        <v>353</v>
      </c>
      <c r="D89" s="7" t="s">
        <v>354</v>
      </c>
      <c r="E89" s="2" t="s">
        <v>355</v>
      </c>
    </row>
    <row r="90" spans="1:5">
      <c r="A90" s="7" t="s">
        <v>356</v>
      </c>
      <c r="B90" s="2" t="s">
        <v>13</v>
      </c>
      <c r="C90" s="7" t="s">
        <v>357</v>
      </c>
      <c r="D90" s="7" t="s">
        <v>358</v>
      </c>
      <c r="E90" s="2" t="s">
        <v>359</v>
      </c>
    </row>
    <row r="91" spans="1:5">
      <c r="A91" s="7" t="s">
        <v>360</v>
      </c>
      <c r="B91" s="2" t="s">
        <v>13</v>
      </c>
      <c r="C91" s="7" t="s">
        <v>361</v>
      </c>
      <c r="D91" s="7" t="s">
        <v>362</v>
      </c>
      <c r="E91" s="2" t="s">
        <v>363</v>
      </c>
    </row>
    <row r="92" spans="1:5">
      <c r="A92" s="7" t="s">
        <v>364</v>
      </c>
      <c r="B92" s="2" t="s">
        <v>13</v>
      </c>
      <c r="C92" s="7" t="s">
        <v>365</v>
      </c>
      <c r="D92" s="7" t="s">
        <v>366</v>
      </c>
      <c r="E92" s="2" t="s">
        <v>367</v>
      </c>
    </row>
    <row r="93" spans="1:5">
      <c r="A93" s="7" t="s">
        <v>368</v>
      </c>
      <c r="B93" s="2" t="s">
        <v>13</v>
      </c>
      <c r="C93" s="7" t="s">
        <v>369</v>
      </c>
      <c r="D93" s="7" t="s">
        <v>370</v>
      </c>
      <c r="E93" s="2" t="s">
        <v>371</v>
      </c>
    </row>
    <row r="94" spans="1:5">
      <c r="A94" s="7" t="s">
        <v>372</v>
      </c>
      <c r="B94" s="2" t="s">
        <v>13</v>
      </c>
      <c r="C94" s="7" t="s">
        <v>373</v>
      </c>
      <c r="D94" s="7" t="s">
        <v>374</v>
      </c>
      <c r="E94" s="2" t="s">
        <v>375</v>
      </c>
    </row>
    <row r="95" spans="1:5">
      <c r="A95" s="7" t="s">
        <v>376</v>
      </c>
      <c r="B95" s="2" t="s">
        <v>13</v>
      </c>
      <c r="C95" s="7" t="s">
        <v>377</v>
      </c>
      <c r="D95" s="7" t="s">
        <v>378</v>
      </c>
      <c r="E95" s="2" t="s">
        <v>379</v>
      </c>
    </row>
    <row r="96" spans="1:5">
      <c r="A96" s="7" t="s">
        <v>380</v>
      </c>
      <c r="B96" s="2" t="s">
        <v>13</v>
      </c>
      <c r="C96" s="7" t="s">
        <v>381</v>
      </c>
      <c r="D96" s="7" t="s">
        <v>382</v>
      </c>
      <c r="E96" s="2" t="s">
        <v>383</v>
      </c>
    </row>
    <row r="97" spans="1:5">
      <c r="A97" s="7" t="s">
        <v>384</v>
      </c>
      <c r="B97" s="2" t="s">
        <v>13</v>
      </c>
      <c r="C97" s="7" t="s">
        <v>385</v>
      </c>
      <c r="D97" s="7" t="s">
        <v>386</v>
      </c>
      <c r="E97" s="2" t="s">
        <v>387</v>
      </c>
    </row>
    <row r="98" spans="1:5">
      <c r="A98" s="7" t="s">
        <v>388</v>
      </c>
      <c r="B98" s="2" t="s">
        <v>13</v>
      </c>
      <c r="C98" s="7" t="s">
        <v>389</v>
      </c>
      <c r="D98" s="7" t="s">
        <v>390</v>
      </c>
      <c r="E98" s="2" t="s">
        <v>391</v>
      </c>
    </row>
    <row r="99" spans="1:5">
      <c r="A99" s="7" t="s">
        <v>392</v>
      </c>
      <c r="B99" s="2" t="s">
        <v>13</v>
      </c>
      <c r="C99" s="7" t="s">
        <v>393</v>
      </c>
      <c r="D99" s="7" t="s">
        <v>394</v>
      </c>
      <c r="E99" s="2" t="s">
        <v>395</v>
      </c>
    </row>
    <row r="100" spans="1:5">
      <c r="A100" s="7" t="s">
        <v>396</v>
      </c>
      <c r="B100" s="2" t="s">
        <v>13</v>
      </c>
      <c r="C100" s="7" t="s">
        <v>397</v>
      </c>
      <c r="D100" s="7" t="s">
        <v>398</v>
      </c>
      <c r="E100" s="2" t="s">
        <v>399</v>
      </c>
    </row>
    <row r="101" spans="1:5">
      <c r="A101" s="7" t="s">
        <v>400</v>
      </c>
      <c r="B101" s="2" t="s">
        <v>13</v>
      </c>
      <c r="C101" s="7" t="s">
        <v>401</v>
      </c>
      <c r="D101" s="7" t="s">
        <v>402</v>
      </c>
      <c r="E101" s="2" t="s">
        <v>403</v>
      </c>
    </row>
    <row r="102" spans="1:5">
      <c r="A102" s="7" t="s">
        <v>404</v>
      </c>
      <c r="B102" s="2" t="s">
        <v>13</v>
      </c>
      <c r="C102" s="7" t="s">
        <v>405</v>
      </c>
      <c r="D102" s="7" t="s">
        <v>406</v>
      </c>
      <c r="E102" s="2" t="s">
        <v>407</v>
      </c>
    </row>
    <row r="103" spans="1:5">
      <c r="A103" s="7" t="s">
        <v>408</v>
      </c>
      <c r="B103" s="2" t="s">
        <v>13</v>
      </c>
      <c r="C103" s="7" t="s">
        <v>409</v>
      </c>
      <c r="D103" s="7" t="s">
        <v>410</v>
      </c>
      <c r="E103" s="2" t="s">
        <v>411</v>
      </c>
    </row>
    <row r="104" spans="1:5">
      <c r="A104" s="7" t="s">
        <v>412</v>
      </c>
      <c r="B104" s="2" t="s">
        <v>13</v>
      </c>
      <c r="C104" s="7" t="s">
        <v>413</v>
      </c>
      <c r="D104" s="7" t="s">
        <v>414</v>
      </c>
      <c r="E104" s="2" t="s">
        <v>415</v>
      </c>
    </row>
    <row r="105" spans="1:5">
      <c r="A105" s="7" t="s">
        <v>416</v>
      </c>
      <c r="B105" s="2" t="s">
        <v>13</v>
      </c>
      <c r="C105" s="7" t="s">
        <v>417</v>
      </c>
      <c r="D105" s="7" t="s">
        <v>418</v>
      </c>
      <c r="E105" s="2" t="s">
        <v>419</v>
      </c>
    </row>
    <row r="106" spans="1:5">
      <c r="A106" s="7" t="s">
        <v>420</v>
      </c>
      <c r="B106" s="2" t="s">
        <v>13</v>
      </c>
      <c r="C106" s="7" t="s">
        <v>421</v>
      </c>
      <c r="D106" s="7" t="s">
        <v>422</v>
      </c>
      <c r="E106" s="2" t="s">
        <v>423</v>
      </c>
    </row>
    <row r="107" spans="1:5">
      <c r="A107" s="7" t="s">
        <v>424</v>
      </c>
      <c r="B107" s="2" t="s">
        <v>13</v>
      </c>
      <c r="C107" s="7" t="s">
        <v>425</v>
      </c>
      <c r="D107" s="7" t="s">
        <v>426</v>
      </c>
      <c r="E107" s="2" t="s">
        <v>427</v>
      </c>
    </row>
    <row r="108" spans="1:5">
      <c r="A108" s="7" t="s">
        <v>428</v>
      </c>
      <c r="B108" s="2" t="s">
        <v>13</v>
      </c>
      <c r="C108" s="7" t="s">
        <v>429</v>
      </c>
      <c r="D108" s="7" t="s">
        <v>430</v>
      </c>
      <c r="E108" s="2" t="s">
        <v>431</v>
      </c>
    </row>
    <row r="109" spans="1:5">
      <c r="A109" s="7" t="s">
        <v>432</v>
      </c>
      <c r="B109" s="2" t="s">
        <v>13</v>
      </c>
      <c r="C109" s="7" t="s">
        <v>433</v>
      </c>
      <c r="D109" s="7" t="s">
        <v>434</v>
      </c>
      <c r="E109" s="2" t="s">
        <v>435</v>
      </c>
    </row>
    <row r="110" spans="1:5">
      <c r="A110" s="7" t="s">
        <v>436</v>
      </c>
      <c r="B110" s="2" t="s">
        <v>13</v>
      </c>
      <c r="C110" s="7" t="s">
        <v>437</v>
      </c>
      <c r="D110" s="7" t="s">
        <v>438</v>
      </c>
      <c r="E110" s="2" t="s">
        <v>439</v>
      </c>
    </row>
    <row r="111" spans="1:5">
      <c r="A111" s="7" t="s">
        <v>440</v>
      </c>
      <c r="B111" s="2" t="s">
        <v>13</v>
      </c>
      <c r="C111" s="7" t="s">
        <v>441</v>
      </c>
      <c r="D111" s="7" t="s">
        <v>442</v>
      </c>
      <c r="E111" s="2" t="s">
        <v>443</v>
      </c>
    </row>
    <row r="112" spans="1:5">
      <c r="A112" s="7" t="s">
        <v>444</v>
      </c>
      <c r="B112" s="2" t="s">
        <v>13</v>
      </c>
      <c r="C112" s="7" t="s">
        <v>445</v>
      </c>
      <c r="D112" s="7" t="s">
        <v>446</v>
      </c>
      <c r="E112" s="2" t="s">
        <v>447</v>
      </c>
    </row>
    <row r="113" spans="1:5">
      <c r="A113" s="7" t="s">
        <v>448</v>
      </c>
      <c r="B113" s="2" t="s">
        <v>13</v>
      </c>
      <c r="C113" s="7" t="s">
        <v>449</v>
      </c>
      <c r="D113" s="7" t="s">
        <v>450</v>
      </c>
      <c r="E113" s="2" t="s">
        <v>451</v>
      </c>
    </row>
    <row r="114" spans="1:5">
      <c r="A114" s="7" t="s">
        <v>452</v>
      </c>
      <c r="B114" s="2" t="s">
        <v>13</v>
      </c>
      <c r="C114" s="7" t="s">
        <v>453</v>
      </c>
      <c r="D114" s="7" t="s">
        <v>454</v>
      </c>
      <c r="E114" s="2" t="s">
        <v>455</v>
      </c>
    </row>
    <row r="115" spans="1:5">
      <c r="A115" s="7" t="s">
        <v>456</v>
      </c>
      <c r="B115" s="2" t="s">
        <v>13</v>
      </c>
      <c r="C115" s="7" t="s">
        <v>457</v>
      </c>
      <c r="D115" s="7" t="s">
        <v>458</v>
      </c>
      <c r="E115" s="2" t="s">
        <v>459</v>
      </c>
    </row>
    <row r="116" spans="1:5">
      <c r="A116" s="7" t="s">
        <v>460</v>
      </c>
      <c r="B116" s="2" t="s">
        <v>13</v>
      </c>
      <c r="C116" s="7" t="s">
        <v>461</v>
      </c>
      <c r="D116" s="7" t="s">
        <v>462</v>
      </c>
      <c r="E116" s="2" t="s">
        <v>463</v>
      </c>
    </row>
    <row r="117" spans="1:5">
      <c r="A117" s="7" t="s">
        <v>464</v>
      </c>
      <c r="B117" s="2" t="s">
        <v>13</v>
      </c>
      <c r="C117" s="7" t="s">
        <v>465</v>
      </c>
      <c r="D117" s="7" t="s">
        <v>466</v>
      </c>
      <c r="E117" s="2" t="s">
        <v>467</v>
      </c>
    </row>
    <row r="118" spans="1:5">
      <c r="A118" s="7" t="s">
        <v>468</v>
      </c>
      <c r="B118" s="2" t="s">
        <v>13</v>
      </c>
      <c r="C118" s="7" t="s">
        <v>469</v>
      </c>
      <c r="D118" s="7" t="s">
        <v>470</v>
      </c>
      <c r="E118" s="2" t="s">
        <v>471</v>
      </c>
    </row>
    <row r="119" spans="1:5">
      <c r="A119" s="7" t="s">
        <v>472</v>
      </c>
      <c r="B119" s="2" t="s">
        <v>13</v>
      </c>
      <c r="C119" s="7" t="s">
        <v>473</v>
      </c>
      <c r="D119" s="7" t="s">
        <v>474</v>
      </c>
      <c r="E119" s="2" t="s">
        <v>475</v>
      </c>
    </row>
    <row r="120" spans="1:5">
      <c r="A120" s="7" t="s">
        <v>476</v>
      </c>
      <c r="B120" s="2" t="s">
        <v>13</v>
      </c>
      <c r="C120" s="7" t="s">
        <v>477</v>
      </c>
      <c r="D120" s="7" t="s">
        <v>478</v>
      </c>
      <c r="E120" s="2" t="s">
        <v>479</v>
      </c>
    </row>
    <row r="121" spans="1:5">
      <c r="A121" s="7" t="s">
        <v>480</v>
      </c>
      <c r="B121" s="2" t="s">
        <v>13</v>
      </c>
      <c r="C121" s="7" t="s">
        <v>481</v>
      </c>
      <c r="D121" s="7" t="s">
        <v>482</v>
      </c>
      <c r="E121" s="2" t="s">
        <v>483</v>
      </c>
    </row>
    <row r="122" spans="1:5">
      <c r="A122" s="7" t="s">
        <v>484</v>
      </c>
      <c r="B122" s="2" t="s">
        <v>13</v>
      </c>
      <c r="C122" s="7" t="s">
        <v>485</v>
      </c>
      <c r="D122" s="7" t="s">
        <v>486</v>
      </c>
      <c r="E122" s="2" t="s">
        <v>487</v>
      </c>
    </row>
    <row r="123" spans="1:5">
      <c r="A123" s="7" t="s">
        <v>488</v>
      </c>
      <c r="B123" s="2" t="s">
        <v>13</v>
      </c>
      <c r="C123" s="7" t="s">
        <v>489</v>
      </c>
      <c r="D123" s="7" t="s">
        <v>490</v>
      </c>
      <c r="E123" s="2" t="s">
        <v>491</v>
      </c>
    </row>
    <row r="124" spans="1:5">
      <c r="A124" s="7" t="s">
        <v>492</v>
      </c>
      <c r="B124" s="2" t="s">
        <v>13</v>
      </c>
      <c r="C124" s="7" t="s">
        <v>493</v>
      </c>
      <c r="D124" s="7" t="s">
        <v>494</v>
      </c>
      <c r="E124" s="2" t="s">
        <v>495</v>
      </c>
    </row>
    <row r="125" spans="1:5">
      <c r="A125" s="7" t="s">
        <v>496</v>
      </c>
      <c r="B125" s="2" t="s">
        <v>13</v>
      </c>
      <c r="C125" s="7" t="s">
        <v>497</v>
      </c>
      <c r="D125" s="7" t="s">
        <v>498</v>
      </c>
      <c r="E125" s="2" t="s">
        <v>499</v>
      </c>
    </row>
    <row r="126" spans="1:5">
      <c r="A126" s="7" t="s">
        <v>500</v>
      </c>
      <c r="B126" s="2" t="s">
        <v>13</v>
      </c>
      <c r="C126" s="7" t="s">
        <v>501</v>
      </c>
      <c r="D126" s="7" t="s">
        <v>502</v>
      </c>
      <c r="E126" s="2" t="s">
        <v>503</v>
      </c>
    </row>
    <row r="127" spans="1:5">
      <c r="A127" s="7" t="s">
        <v>504</v>
      </c>
      <c r="B127" s="2" t="s">
        <v>13</v>
      </c>
      <c r="C127" s="7" t="s">
        <v>505</v>
      </c>
      <c r="D127" s="7" t="s">
        <v>506</v>
      </c>
      <c r="E127" s="2" t="s">
        <v>507</v>
      </c>
    </row>
    <row r="128" spans="1:5">
      <c r="A128" s="7" t="s">
        <v>508</v>
      </c>
      <c r="B128" s="2" t="s">
        <v>13</v>
      </c>
      <c r="C128" s="7" t="s">
        <v>509</v>
      </c>
      <c r="D128" s="7" t="s">
        <v>510</v>
      </c>
      <c r="E128" s="2" t="s">
        <v>511</v>
      </c>
    </row>
    <row r="129" spans="1:5">
      <c r="A129" s="7" t="s">
        <v>512</v>
      </c>
      <c r="B129" s="2" t="s">
        <v>13</v>
      </c>
      <c r="C129" s="7" t="s">
        <v>513</v>
      </c>
      <c r="D129" s="7" t="s">
        <v>514</v>
      </c>
      <c r="E129" s="2" t="s">
        <v>515</v>
      </c>
    </row>
    <row r="130" spans="1:5">
      <c r="A130" s="7" t="s">
        <v>516</v>
      </c>
      <c r="B130" s="2" t="s">
        <v>13</v>
      </c>
      <c r="C130" s="7" t="s">
        <v>517</v>
      </c>
      <c r="D130" s="7" t="s">
        <v>518</v>
      </c>
      <c r="E130" s="2" t="s">
        <v>519</v>
      </c>
    </row>
    <row r="131" spans="1:5">
      <c r="A131" s="7" t="s">
        <v>520</v>
      </c>
      <c r="B131" s="2" t="s">
        <v>13</v>
      </c>
      <c r="C131" s="7" t="s">
        <v>521</v>
      </c>
      <c r="D131" s="7" t="s">
        <v>522</v>
      </c>
      <c r="E131" s="2" t="s">
        <v>523</v>
      </c>
    </row>
    <row r="132" spans="1:5">
      <c r="A132" s="7" t="s">
        <v>524</v>
      </c>
      <c r="B132" s="2" t="s">
        <v>13</v>
      </c>
      <c r="C132" s="7" t="s">
        <v>525</v>
      </c>
      <c r="D132" s="7" t="s">
        <v>526</v>
      </c>
      <c r="E132" s="2" t="s">
        <v>527</v>
      </c>
    </row>
    <row r="133" spans="1:5">
      <c r="A133" s="7" t="s">
        <v>528</v>
      </c>
      <c r="B133" s="2" t="s">
        <v>13</v>
      </c>
      <c r="C133" s="7" t="s">
        <v>529</v>
      </c>
      <c r="D133" s="7" t="s">
        <v>530</v>
      </c>
      <c r="E133" s="2" t="s">
        <v>531</v>
      </c>
    </row>
    <row r="134" spans="1:5">
      <c r="A134" s="7" t="s">
        <v>532</v>
      </c>
      <c r="B134" s="2" t="s">
        <v>13</v>
      </c>
      <c r="C134" s="7" t="s">
        <v>533</v>
      </c>
      <c r="D134" s="7" t="s">
        <v>534</v>
      </c>
      <c r="E134" s="2" t="s">
        <v>535</v>
      </c>
    </row>
    <row r="135" spans="1:5">
      <c r="A135" s="7" t="s">
        <v>536</v>
      </c>
      <c r="B135" s="2" t="s">
        <v>13</v>
      </c>
      <c r="C135" s="7" t="s">
        <v>537</v>
      </c>
      <c r="D135" s="7" t="s">
        <v>538</v>
      </c>
      <c r="E135" s="2" t="s">
        <v>539</v>
      </c>
    </row>
    <row r="136" spans="1:5">
      <c r="A136" s="7" t="s">
        <v>540</v>
      </c>
      <c r="B136" s="2" t="s">
        <v>13</v>
      </c>
      <c r="C136" s="7" t="s">
        <v>541</v>
      </c>
      <c r="D136" s="7" t="s">
        <v>542</v>
      </c>
      <c r="E136" s="2" t="s">
        <v>543</v>
      </c>
    </row>
    <row r="137" spans="1:5">
      <c r="A137" s="7" t="s">
        <v>544</v>
      </c>
      <c r="B137" s="2" t="s">
        <v>13</v>
      </c>
      <c r="C137" s="7" t="s">
        <v>545</v>
      </c>
      <c r="D137" s="7" t="s">
        <v>546</v>
      </c>
      <c r="E137" s="2" t="s">
        <v>547</v>
      </c>
    </row>
    <row r="138" spans="1:5">
      <c r="A138" s="7" t="s">
        <v>548</v>
      </c>
      <c r="B138" s="2" t="s">
        <v>13</v>
      </c>
      <c r="C138" s="7" t="s">
        <v>549</v>
      </c>
      <c r="D138" s="7" t="s">
        <v>550</v>
      </c>
      <c r="E138" s="2" t="s">
        <v>551</v>
      </c>
    </row>
    <row r="139" spans="1:5">
      <c r="A139" s="7" t="s">
        <v>552</v>
      </c>
      <c r="B139" s="2" t="s">
        <v>13</v>
      </c>
      <c r="C139" s="7" t="s">
        <v>553</v>
      </c>
      <c r="D139" s="7" t="s">
        <v>554</v>
      </c>
      <c r="E139" s="2" t="s">
        <v>555</v>
      </c>
    </row>
    <row r="140" spans="1:5">
      <c r="A140" s="7" t="s">
        <v>556</v>
      </c>
      <c r="B140" s="2" t="s">
        <v>13</v>
      </c>
      <c r="C140" s="7" t="s">
        <v>557</v>
      </c>
      <c r="D140" s="7" t="s">
        <v>558</v>
      </c>
      <c r="E140" s="2" t="s">
        <v>559</v>
      </c>
    </row>
    <row r="141" spans="1:5">
      <c r="A141" s="7" t="s">
        <v>560</v>
      </c>
      <c r="B141" s="2" t="s">
        <v>13</v>
      </c>
      <c r="C141" s="7" t="s">
        <v>561</v>
      </c>
      <c r="D141" s="7" t="s">
        <v>562</v>
      </c>
      <c r="E141" s="2" t="s">
        <v>563</v>
      </c>
    </row>
    <row r="142" spans="1:5">
      <c r="A142" s="7" t="s">
        <v>564</v>
      </c>
      <c r="B142" s="2" t="s">
        <v>13</v>
      </c>
      <c r="C142" s="7" t="s">
        <v>565</v>
      </c>
      <c r="D142" s="7" t="s">
        <v>566</v>
      </c>
      <c r="E142" s="2" t="s">
        <v>567</v>
      </c>
    </row>
    <row r="143" spans="1:5">
      <c r="A143" s="7" t="s">
        <v>568</v>
      </c>
      <c r="B143" s="2" t="s">
        <v>13</v>
      </c>
      <c r="C143" s="7" t="s">
        <v>569</v>
      </c>
      <c r="D143" s="7" t="s">
        <v>570</v>
      </c>
      <c r="E143" s="2" t="s">
        <v>571</v>
      </c>
    </row>
    <row r="144" spans="1:5">
      <c r="A144" s="7" t="s">
        <v>572</v>
      </c>
      <c r="B144" s="2" t="s">
        <v>13</v>
      </c>
      <c r="C144" s="7" t="s">
        <v>573</v>
      </c>
      <c r="D144" s="7" t="s">
        <v>574</v>
      </c>
      <c r="E144" s="2" t="s">
        <v>575</v>
      </c>
    </row>
    <row r="145" spans="1:5">
      <c r="A145" s="7" t="s">
        <v>576</v>
      </c>
      <c r="B145" s="2" t="s">
        <v>13</v>
      </c>
      <c r="C145" s="7" t="s">
        <v>577</v>
      </c>
      <c r="D145" s="7" t="s">
        <v>578</v>
      </c>
      <c r="E145" s="2" t="s">
        <v>579</v>
      </c>
    </row>
    <row r="146" spans="1:5">
      <c r="A146" s="7" t="s">
        <v>580</v>
      </c>
      <c r="B146" s="2" t="s">
        <v>13</v>
      </c>
      <c r="C146" s="7" t="s">
        <v>581</v>
      </c>
      <c r="D146" s="7" t="s">
        <v>582</v>
      </c>
      <c r="E146" s="2" t="s">
        <v>583</v>
      </c>
    </row>
    <row r="147" spans="1:5">
      <c r="A147" s="7" t="s">
        <v>584</v>
      </c>
      <c r="B147" s="2" t="s">
        <v>13</v>
      </c>
      <c r="C147" s="7" t="s">
        <v>585</v>
      </c>
      <c r="D147" s="7" t="s">
        <v>586</v>
      </c>
      <c r="E147" s="2" t="s">
        <v>587</v>
      </c>
    </row>
    <row r="148" spans="1:5">
      <c r="A148" s="7" t="s">
        <v>588</v>
      </c>
      <c r="B148" s="2" t="s">
        <v>13</v>
      </c>
      <c r="C148" s="7" t="s">
        <v>589</v>
      </c>
      <c r="D148" s="7" t="s">
        <v>590</v>
      </c>
      <c r="E148" s="2" t="s">
        <v>591</v>
      </c>
    </row>
    <row r="149" spans="1:5">
      <c r="A149" s="7" t="s">
        <v>592</v>
      </c>
      <c r="B149" s="2" t="s">
        <v>13</v>
      </c>
      <c r="C149" s="7" t="s">
        <v>593</v>
      </c>
      <c r="D149" s="7" t="s">
        <v>594</v>
      </c>
      <c r="E149" s="2" t="s">
        <v>595</v>
      </c>
    </row>
    <row r="150" spans="1:5">
      <c r="A150" s="7" t="s">
        <v>596</v>
      </c>
      <c r="B150" s="2" t="s">
        <v>13</v>
      </c>
      <c r="C150" s="7" t="s">
        <v>597</v>
      </c>
      <c r="D150" s="7" t="s">
        <v>598</v>
      </c>
      <c r="E150" s="2" t="s">
        <v>599</v>
      </c>
    </row>
    <row r="151" spans="1:5">
      <c r="A151" s="7" t="s">
        <v>600</v>
      </c>
      <c r="B151" s="2" t="s">
        <v>13</v>
      </c>
      <c r="C151" s="7" t="s">
        <v>601</v>
      </c>
      <c r="D151" s="7" t="s">
        <v>602</v>
      </c>
      <c r="E151" s="2" t="s">
        <v>603</v>
      </c>
    </row>
    <row r="152" spans="1:5">
      <c r="A152" s="7" t="s">
        <v>604</v>
      </c>
      <c r="B152" s="2" t="s">
        <v>13</v>
      </c>
      <c r="C152" s="7" t="s">
        <v>605</v>
      </c>
      <c r="D152" s="7" t="s">
        <v>606</v>
      </c>
      <c r="E152" s="2" t="s">
        <v>607</v>
      </c>
    </row>
    <row r="153" spans="1:5">
      <c r="A153" s="7" t="s">
        <v>608</v>
      </c>
      <c r="B153" s="2" t="s">
        <v>13</v>
      </c>
      <c r="C153" s="7" t="s">
        <v>609</v>
      </c>
      <c r="D153" s="7" t="s">
        <v>610</v>
      </c>
      <c r="E153" s="2" t="s">
        <v>611</v>
      </c>
    </row>
    <row r="154" spans="1:5">
      <c r="A154" s="7" t="s">
        <v>612</v>
      </c>
      <c r="B154" s="2" t="s">
        <v>13</v>
      </c>
      <c r="C154" s="7" t="s">
        <v>613</v>
      </c>
      <c r="D154" s="7" t="s">
        <v>614</v>
      </c>
      <c r="E154" s="2" t="s">
        <v>615</v>
      </c>
    </row>
    <row r="155" spans="1:5">
      <c r="A155" s="7" t="s">
        <v>616</v>
      </c>
      <c r="B155" s="2" t="s">
        <v>13</v>
      </c>
      <c r="C155" s="7" t="s">
        <v>617</v>
      </c>
      <c r="D155" s="7" t="s">
        <v>618</v>
      </c>
      <c r="E155" s="2" t="s">
        <v>619</v>
      </c>
    </row>
    <row r="156" spans="1:5">
      <c r="A156" s="7" t="s">
        <v>620</v>
      </c>
      <c r="B156" s="2" t="s">
        <v>13</v>
      </c>
      <c r="C156" s="7" t="s">
        <v>621</v>
      </c>
      <c r="D156" s="7" t="s">
        <v>622</v>
      </c>
      <c r="E156" s="2" t="s">
        <v>623</v>
      </c>
    </row>
    <row r="157" spans="1:5">
      <c r="A157" s="7" t="s">
        <v>624</v>
      </c>
      <c r="B157" s="2" t="s">
        <v>13</v>
      </c>
      <c r="C157" s="7" t="s">
        <v>625</v>
      </c>
      <c r="D157" s="7" t="s">
        <v>626</v>
      </c>
      <c r="E157" s="2" t="s">
        <v>627</v>
      </c>
    </row>
    <row r="158" spans="1:5">
      <c r="A158" s="7" t="s">
        <v>628</v>
      </c>
      <c r="B158" s="2" t="s">
        <v>13</v>
      </c>
      <c r="C158" s="7" t="s">
        <v>629</v>
      </c>
      <c r="D158" s="7" t="s">
        <v>630</v>
      </c>
      <c r="E158" s="2" t="s">
        <v>631</v>
      </c>
    </row>
    <row r="159" spans="1:5">
      <c r="A159" s="7" t="s">
        <v>632</v>
      </c>
      <c r="B159" s="2" t="s">
        <v>13</v>
      </c>
      <c r="C159" s="7" t="s">
        <v>633</v>
      </c>
      <c r="D159" s="7" t="s">
        <v>634</v>
      </c>
      <c r="E159" s="2" t="s">
        <v>635</v>
      </c>
    </row>
    <row r="160" spans="1:5">
      <c r="A160" s="7" t="s">
        <v>636</v>
      </c>
      <c r="B160" s="2" t="s">
        <v>13</v>
      </c>
      <c r="C160" s="7" t="s">
        <v>637</v>
      </c>
      <c r="D160" s="7" t="s">
        <v>638</v>
      </c>
      <c r="E160" s="2" t="s">
        <v>639</v>
      </c>
    </row>
    <row r="161" spans="1:5">
      <c r="A161" s="7" t="s">
        <v>640</v>
      </c>
      <c r="B161" s="2" t="s">
        <v>13</v>
      </c>
      <c r="C161" s="7" t="s">
        <v>641</v>
      </c>
      <c r="D161" s="7" t="s">
        <v>642</v>
      </c>
      <c r="E161" s="2" t="s">
        <v>643</v>
      </c>
    </row>
    <row r="162" spans="1:5">
      <c r="A162" s="7" t="s">
        <v>644</v>
      </c>
      <c r="B162" s="2" t="s">
        <v>13</v>
      </c>
      <c r="C162" s="7" t="s">
        <v>645</v>
      </c>
      <c r="D162" s="7" t="s">
        <v>646</v>
      </c>
      <c r="E162" s="2" t="s">
        <v>647</v>
      </c>
    </row>
    <row r="163" spans="1:5">
      <c r="A163" s="7" t="s">
        <v>648</v>
      </c>
      <c r="B163" s="2" t="s">
        <v>13</v>
      </c>
      <c r="C163" s="7" t="s">
        <v>649</v>
      </c>
      <c r="D163" s="7" t="s">
        <v>650</v>
      </c>
      <c r="E163" s="2" t="s">
        <v>651</v>
      </c>
    </row>
    <row r="164" spans="1:5">
      <c r="A164" s="7" t="s">
        <v>652</v>
      </c>
      <c r="B164" s="2" t="s">
        <v>13</v>
      </c>
      <c r="C164" s="7" t="s">
        <v>653</v>
      </c>
      <c r="D164" s="7" t="s">
        <v>654</v>
      </c>
      <c r="E164" s="2" t="s">
        <v>655</v>
      </c>
    </row>
    <row r="165" spans="1:5">
      <c r="A165" s="7" t="s">
        <v>656</v>
      </c>
      <c r="B165" s="2" t="s">
        <v>13</v>
      </c>
      <c r="C165" s="7" t="s">
        <v>657</v>
      </c>
      <c r="D165" s="7" t="s">
        <v>658</v>
      </c>
      <c r="E165" s="2" t="s">
        <v>659</v>
      </c>
    </row>
    <row r="166" spans="1:5">
      <c r="A166" s="7" t="s">
        <v>660</v>
      </c>
      <c r="B166" s="2" t="s">
        <v>13</v>
      </c>
      <c r="C166" s="7" t="s">
        <v>661</v>
      </c>
      <c r="D166" s="7" t="s">
        <v>662</v>
      </c>
      <c r="E166" s="2" t="s">
        <v>663</v>
      </c>
    </row>
    <row r="167" spans="1:5">
      <c r="A167" s="7" t="s">
        <v>664</v>
      </c>
      <c r="B167" s="2" t="s">
        <v>13</v>
      </c>
      <c r="C167" s="7" t="s">
        <v>665</v>
      </c>
      <c r="D167" s="7" t="s">
        <v>666</v>
      </c>
      <c r="E167" s="2" t="s">
        <v>667</v>
      </c>
    </row>
    <row r="168" spans="1:5">
      <c r="A168" s="7" t="s">
        <v>668</v>
      </c>
      <c r="B168" s="2" t="s">
        <v>13</v>
      </c>
      <c r="C168" s="7" t="s">
        <v>669</v>
      </c>
      <c r="D168" s="7" t="s">
        <v>670</v>
      </c>
      <c r="E168" s="2" t="s">
        <v>671</v>
      </c>
    </row>
    <row r="169" spans="1:5">
      <c r="A169" s="7" t="s">
        <v>672</v>
      </c>
      <c r="B169" s="2" t="s">
        <v>13</v>
      </c>
      <c r="C169" s="7" t="s">
        <v>673</v>
      </c>
      <c r="D169" s="7" t="s">
        <v>674</v>
      </c>
      <c r="E169" s="2" t="s">
        <v>675</v>
      </c>
    </row>
    <row r="170" spans="1:5">
      <c r="A170" s="7" t="s">
        <v>676</v>
      </c>
      <c r="B170" s="2" t="s">
        <v>13</v>
      </c>
      <c r="C170" s="7" t="s">
        <v>677</v>
      </c>
      <c r="D170" s="7" t="s">
        <v>678</v>
      </c>
      <c r="E170" s="2" t="s">
        <v>679</v>
      </c>
    </row>
    <row r="171" spans="1:5">
      <c r="A171" s="7" t="s">
        <v>680</v>
      </c>
      <c r="B171" s="2" t="s">
        <v>13</v>
      </c>
      <c r="C171" s="7" t="s">
        <v>681</v>
      </c>
      <c r="D171" s="7" t="s">
        <v>682</v>
      </c>
      <c r="E171" s="2" t="s">
        <v>683</v>
      </c>
    </row>
    <row r="172" spans="1:5">
      <c r="A172" s="7" t="s">
        <v>684</v>
      </c>
      <c r="B172" s="2" t="s">
        <v>13</v>
      </c>
      <c r="C172" s="7" t="s">
        <v>685</v>
      </c>
      <c r="D172" s="7" t="s">
        <v>686</v>
      </c>
      <c r="E172" s="2" t="s">
        <v>687</v>
      </c>
    </row>
    <row r="173" spans="1:5">
      <c r="A173" s="7" t="s">
        <v>688</v>
      </c>
      <c r="B173" s="2" t="s">
        <v>13</v>
      </c>
      <c r="C173" s="7" t="s">
        <v>689</v>
      </c>
      <c r="D173" s="7" t="s">
        <v>690</v>
      </c>
      <c r="E173" s="2" t="s">
        <v>691</v>
      </c>
    </row>
    <row r="174" spans="1:5">
      <c r="A174" s="7" t="s">
        <v>692</v>
      </c>
      <c r="B174" s="2" t="s">
        <v>13</v>
      </c>
      <c r="C174" s="7" t="s">
        <v>693</v>
      </c>
      <c r="D174" s="7" t="s">
        <v>694</v>
      </c>
      <c r="E174" s="2" t="s">
        <v>695</v>
      </c>
    </row>
    <row r="175" spans="1:5">
      <c r="A175" s="7" t="s">
        <v>696</v>
      </c>
      <c r="B175" s="2" t="s">
        <v>13</v>
      </c>
      <c r="C175" s="7" t="s">
        <v>697</v>
      </c>
      <c r="D175" s="7" t="s">
        <v>698</v>
      </c>
      <c r="E175" s="2" t="s">
        <v>699</v>
      </c>
    </row>
    <row r="176" spans="1:5">
      <c r="A176" s="7" t="s">
        <v>700</v>
      </c>
      <c r="B176" s="2" t="s">
        <v>13</v>
      </c>
      <c r="C176" s="7" t="s">
        <v>701</v>
      </c>
      <c r="D176" s="7" t="s">
        <v>702</v>
      </c>
      <c r="E176" s="2" t="s">
        <v>703</v>
      </c>
    </row>
    <row r="177" spans="1:5">
      <c r="A177" s="7" t="s">
        <v>704</v>
      </c>
      <c r="B177" s="2" t="s">
        <v>13</v>
      </c>
      <c r="C177" s="7" t="s">
        <v>705</v>
      </c>
      <c r="D177" s="7" t="s">
        <v>706</v>
      </c>
      <c r="E177" s="2" t="s">
        <v>707</v>
      </c>
    </row>
    <row r="178" spans="1:5">
      <c r="A178" s="7" t="s">
        <v>708</v>
      </c>
      <c r="B178" s="2" t="s">
        <v>13</v>
      </c>
      <c r="C178" s="7" t="s">
        <v>709</v>
      </c>
      <c r="D178" s="7" t="s">
        <v>710</v>
      </c>
      <c r="E178" s="2" t="s">
        <v>711</v>
      </c>
    </row>
    <row r="179" spans="1:5">
      <c r="A179" s="7" t="s">
        <v>712</v>
      </c>
      <c r="B179" s="2" t="s">
        <v>13</v>
      </c>
      <c r="C179" s="7" t="s">
        <v>713</v>
      </c>
      <c r="D179" s="7" t="s">
        <v>714</v>
      </c>
      <c r="E179" s="2" t="s">
        <v>715</v>
      </c>
    </row>
    <row r="180" spans="1:5">
      <c r="A180" s="7" t="s">
        <v>716</v>
      </c>
      <c r="B180" s="2" t="s">
        <v>13</v>
      </c>
      <c r="C180" s="7" t="s">
        <v>717</v>
      </c>
      <c r="D180" s="7" t="s">
        <v>718</v>
      </c>
      <c r="E180" s="2" t="s">
        <v>719</v>
      </c>
    </row>
    <row r="181" spans="1:5">
      <c r="A181" s="7" t="s">
        <v>720</v>
      </c>
      <c r="B181" s="2" t="s">
        <v>13</v>
      </c>
      <c r="C181" s="7" t="s">
        <v>721</v>
      </c>
      <c r="D181" s="7" t="s">
        <v>722</v>
      </c>
      <c r="E181" s="2" t="s">
        <v>723</v>
      </c>
    </row>
    <row r="182" spans="1:5">
      <c r="A182" s="7" t="s">
        <v>724</v>
      </c>
      <c r="B182" s="2" t="s">
        <v>13</v>
      </c>
      <c r="C182" s="7" t="s">
        <v>725</v>
      </c>
      <c r="D182" s="7" t="s">
        <v>726</v>
      </c>
      <c r="E182" s="2" t="s">
        <v>727</v>
      </c>
    </row>
    <row r="183" spans="1:5">
      <c r="A183" s="7" t="s">
        <v>728</v>
      </c>
      <c r="B183" s="2" t="s">
        <v>13</v>
      </c>
      <c r="C183" s="7" t="s">
        <v>729</v>
      </c>
      <c r="D183" s="7" t="s">
        <v>730</v>
      </c>
      <c r="E183" s="2" t="s">
        <v>731</v>
      </c>
    </row>
    <row r="184" spans="1:5">
      <c r="A184" s="7" t="s">
        <v>732</v>
      </c>
      <c r="B184" s="2" t="s">
        <v>13</v>
      </c>
      <c r="C184" s="7" t="s">
        <v>733</v>
      </c>
      <c r="D184" s="7" t="s">
        <v>734</v>
      </c>
      <c r="E184" s="2" t="s">
        <v>735</v>
      </c>
    </row>
    <row r="185" spans="1:5">
      <c r="A185" s="7" t="s">
        <v>736</v>
      </c>
      <c r="B185" s="2" t="s">
        <v>13</v>
      </c>
      <c r="C185" s="7" t="s">
        <v>737</v>
      </c>
      <c r="D185" s="7" t="s">
        <v>738</v>
      </c>
      <c r="E185" s="2" t="s">
        <v>739</v>
      </c>
    </row>
    <row r="186" spans="1:5">
      <c r="A186" s="7" t="s">
        <v>740</v>
      </c>
      <c r="B186" s="2" t="s">
        <v>13</v>
      </c>
      <c r="C186" s="7" t="s">
        <v>741</v>
      </c>
      <c r="D186" s="7" t="s">
        <v>742</v>
      </c>
      <c r="E186" s="2" t="s">
        <v>743</v>
      </c>
    </row>
    <row r="187" spans="1:5">
      <c r="A187" s="7" t="s">
        <v>744</v>
      </c>
      <c r="B187" s="2" t="s">
        <v>13</v>
      </c>
      <c r="C187" s="7" t="s">
        <v>745</v>
      </c>
      <c r="D187" s="7" t="s">
        <v>746</v>
      </c>
      <c r="E187" s="2" t="s">
        <v>747</v>
      </c>
    </row>
    <row r="188" spans="1:5">
      <c r="A188" s="7" t="s">
        <v>748</v>
      </c>
      <c r="B188" s="2" t="s">
        <v>13</v>
      </c>
      <c r="C188" s="7" t="s">
        <v>749</v>
      </c>
      <c r="D188" s="7" t="s">
        <v>750</v>
      </c>
      <c r="E188" s="2" t="s">
        <v>751</v>
      </c>
    </row>
    <row r="189" spans="1:5">
      <c r="A189" s="7" t="s">
        <v>752</v>
      </c>
      <c r="B189" s="2" t="s">
        <v>13</v>
      </c>
      <c r="C189" s="7" t="s">
        <v>753</v>
      </c>
      <c r="D189" s="7" t="s">
        <v>754</v>
      </c>
      <c r="E189" s="2" t="s">
        <v>755</v>
      </c>
    </row>
    <row r="190" spans="1:5">
      <c r="A190" s="7" t="s">
        <v>756</v>
      </c>
      <c r="B190" s="2" t="s">
        <v>13</v>
      </c>
      <c r="C190" s="7" t="s">
        <v>757</v>
      </c>
      <c r="D190" s="7" t="s">
        <v>758</v>
      </c>
      <c r="E190" s="2" t="s">
        <v>759</v>
      </c>
    </row>
    <row r="191" spans="1:5">
      <c r="A191" s="7" t="s">
        <v>760</v>
      </c>
      <c r="B191" s="2" t="s">
        <v>13</v>
      </c>
      <c r="C191" s="7" t="s">
        <v>761</v>
      </c>
      <c r="D191" s="7" t="s">
        <v>762</v>
      </c>
      <c r="E191" s="2" t="s">
        <v>763</v>
      </c>
    </row>
    <row r="192" spans="1:5">
      <c r="A192" s="7" t="s">
        <v>764</v>
      </c>
      <c r="B192" s="2" t="s">
        <v>13</v>
      </c>
      <c r="C192" s="7" t="s">
        <v>765</v>
      </c>
      <c r="D192" s="7" t="s">
        <v>766</v>
      </c>
      <c r="E192" s="2" t="s">
        <v>767</v>
      </c>
    </row>
    <row r="193" spans="1:5">
      <c r="A193" s="7" t="s">
        <v>768</v>
      </c>
      <c r="B193" s="2" t="s">
        <v>13</v>
      </c>
      <c r="C193" s="7" t="s">
        <v>769</v>
      </c>
      <c r="D193" s="7" t="s">
        <v>770</v>
      </c>
      <c r="E193" s="2" t="s">
        <v>771</v>
      </c>
    </row>
    <row r="194" spans="1:5">
      <c r="A194" s="7" t="s">
        <v>772</v>
      </c>
      <c r="B194" s="2" t="s">
        <v>13</v>
      </c>
      <c r="C194" s="7" t="s">
        <v>773</v>
      </c>
      <c r="D194" s="7" t="s">
        <v>774</v>
      </c>
      <c r="E194" s="2" t="s">
        <v>775</v>
      </c>
    </row>
    <row r="195" spans="1:5">
      <c r="A195" s="7" t="s">
        <v>776</v>
      </c>
      <c r="B195" s="2" t="s">
        <v>13</v>
      </c>
      <c r="C195" s="7" t="s">
        <v>777</v>
      </c>
      <c r="D195" s="7" t="s">
        <v>778</v>
      </c>
      <c r="E195" s="2" t="s">
        <v>779</v>
      </c>
    </row>
    <row r="196" spans="1:5">
      <c r="A196" s="7" t="s">
        <v>780</v>
      </c>
      <c r="B196" s="2" t="s">
        <v>13</v>
      </c>
      <c r="C196" s="7" t="s">
        <v>781</v>
      </c>
      <c r="D196" s="7" t="s">
        <v>782</v>
      </c>
      <c r="E196" s="2" t="s">
        <v>783</v>
      </c>
    </row>
    <row r="197" spans="1:5">
      <c r="A197" s="7" t="s">
        <v>784</v>
      </c>
      <c r="B197" s="2" t="s">
        <v>13</v>
      </c>
      <c r="C197" s="7" t="s">
        <v>785</v>
      </c>
      <c r="D197" s="7" t="s">
        <v>786</v>
      </c>
      <c r="E197" s="2" t="s">
        <v>787</v>
      </c>
    </row>
    <row r="198" spans="1:5">
      <c r="A198" s="7" t="s">
        <v>788</v>
      </c>
      <c r="B198" s="2" t="s">
        <v>13</v>
      </c>
      <c r="C198" s="7" t="s">
        <v>789</v>
      </c>
      <c r="D198" s="7" t="s">
        <v>790</v>
      </c>
      <c r="E198" s="2" t="s">
        <v>791</v>
      </c>
    </row>
    <row r="199" spans="1:5">
      <c r="A199" s="7" t="s">
        <v>792</v>
      </c>
      <c r="B199" s="2" t="s">
        <v>13</v>
      </c>
      <c r="C199" s="7" t="s">
        <v>793</v>
      </c>
      <c r="D199" s="7" t="s">
        <v>794</v>
      </c>
      <c r="E199" s="2" t="s">
        <v>795</v>
      </c>
    </row>
    <row r="200" spans="1:5">
      <c r="A200" s="7" t="s">
        <v>796</v>
      </c>
      <c r="B200" s="2" t="s">
        <v>13</v>
      </c>
      <c r="C200" s="7" t="s">
        <v>797</v>
      </c>
      <c r="D200" s="7" t="s">
        <v>798</v>
      </c>
      <c r="E200" s="2" t="s">
        <v>799</v>
      </c>
    </row>
    <row r="201" spans="1:5">
      <c r="A201" s="7" t="s">
        <v>800</v>
      </c>
      <c r="B201" s="2" t="s">
        <v>13</v>
      </c>
      <c r="C201" s="7" t="s">
        <v>801</v>
      </c>
      <c r="D201" s="7" t="s">
        <v>802</v>
      </c>
      <c r="E201" s="2" t="s">
        <v>803</v>
      </c>
    </row>
    <row r="202" spans="1:5">
      <c r="A202" s="7" t="s">
        <v>804</v>
      </c>
      <c r="B202" s="2" t="s">
        <v>13</v>
      </c>
      <c r="C202" s="7" t="s">
        <v>805</v>
      </c>
      <c r="D202" s="7" t="s">
        <v>806</v>
      </c>
      <c r="E202" s="2" t="s">
        <v>807</v>
      </c>
    </row>
    <row r="203" spans="1:5">
      <c r="A203" s="7" t="s">
        <v>808</v>
      </c>
      <c r="B203" s="2" t="s">
        <v>13</v>
      </c>
      <c r="C203" s="7" t="s">
        <v>809</v>
      </c>
      <c r="D203" s="7" t="s">
        <v>810</v>
      </c>
      <c r="E203" s="2" t="s">
        <v>811</v>
      </c>
    </row>
    <row r="204" spans="1:5">
      <c r="A204" s="7" t="s">
        <v>812</v>
      </c>
      <c r="B204" s="2" t="s">
        <v>13</v>
      </c>
      <c r="C204" s="7" t="s">
        <v>813</v>
      </c>
      <c r="D204" s="7" t="s">
        <v>814</v>
      </c>
      <c r="E204" s="2" t="s">
        <v>815</v>
      </c>
    </row>
    <row r="205" spans="1:5">
      <c r="A205" s="7" t="s">
        <v>816</v>
      </c>
      <c r="B205" s="2" t="s">
        <v>13</v>
      </c>
      <c r="C205" s="7" t="s">
        <v>817</v>
      </c>
      <c r="D205" s="7" t="s">
        <v>818</v>
      </c>
      <c r="E205" s="2" t="s">
        <v>819</v>
      </c>
    </row>
    <row r="206" spans="1:5">
      <c r="A206" s="7" t="s">
        <v>820</v>
      </c>
      <c r="B206" s="2" t="s">
        <v>13</v>
      </c>
      <c r="C206" s="7" t="s">
        <v>821</v>
      </c>
      <c r="D206" s="7" t="s">
        <v>822</v>
      </c>
      <c r="E206" s="2" t="s">
        <v>823</v>
      </c>
    </row>
    <row r="207" spans="1:5">
      <c r="A207" s="7" t="s">
        <v>824</v>
      </c>
      <c r="B207" s="2" t="s">
        <v>13</v>
      </c>
      <c r="C207" s="7" t="s">
        <v>825</v>
      </c>
      <c r="D207" s="7" t="s">
        <v>826</v>
      </c>
      <c r="E207" s="2" t="s">
        <v>827</v>
      </c>
    </row>
    <row r="208" spans="1:5">
      <c r="A208" s="7" t="s">
        <v>828</v>
      </c>
      <c r="B208" s="2" t="s">
        <v>13</v>
      </c>
      <c r="C208" s="7" t="s">
        <v>829</v>
      </c>
      <c r="D208" s="7" t="s">
        <v>830</v>
      </c>
      <c r="E208" s="2" t="s">
        <v>831</v>
      </c>
    </row>
    <row r="209" spans="1:5">
      <c r="A209" s="7" t="s">
        <v>832</v>
      </c>
      <c r="B209" s="2" t="s">
        <v>13</v>
      </c>
      <c r="C209" s="7" t="s">
        <v>833</v>
      </c>
      <c r="D209" s="7" t="s">
        <v>834</v>
      </c>
      <c r="E209" s="2" t="s">
        <v>835</v>
      </c>
    </row>
    <row r="210" spans="1:5">
      <c r="A210" s="7" t="s">
        <v>836</v>
      </c>
      <c r="B210" s="2" t="s">
        <v>13</v>
      </c>
      <c r="C210" s="7" t="s">
        <v>837</v>
      </c>
      <c r="D210" s="7" t="s">
        <v>838</v>
      </c>
      <c r="E210" s="2" t="s">
        <v>839</v>
      </c>
    </row>
    <row r="211" spans="1:5">
      <c r="A211" s="7" t="s">
        <v>840</v>
      </c>
      <c r="B211" s="2" t="s">
        <v>13</v>
      </c>
      <c r="C211" s="7" t="s">
        <v>841</v>
      </c>
      <c r="D211" s="7" t="s">
        <v>842</v>
      </c>
      <c r="E211" s="2" t="s">
        <v>843</v>
      </c>
    </row>
    <row r="212" spans="1:5">
      <c r="A212" s="7" t="s">
        <v>844</v>
      </c>
      <c r="B212" s="2" t="s">
        <v>13</v>
      </c>
      <c r="C212" s="7" t="s">
        <v>845</v>
      </c>
      <c r="D212" s="7" t="s">
        <v>846</v>
      </c>
      <c r="E212" s="2" t="s">
        <v>847</v>
      </c>
    </row>
    <row r="213" spans="1:5">
      <c r="A213" s="7" t="s">
        <v>848</v>
      </c>
      <c r="B213" s="2" t="s">
        <v>13</v>
      </c>
      <c r="C213" s="7" t="s">
        <v>849</v>
      </c>
      <c r="D213" s="7" t="s">
        <v>850</v>
      </c>
      <c r="E213" s="2" t="s">
        <v>851</v>
      </c>
    </row>
    <row r="214" spans="1:5">
      <c r="A214" s="7" t="s">
        <v>852</v>
      </c>
      <c r="B214" s="2" t="s">
        <v>13</v>
      </c>
      <c r="C214" s="7" t="s">
        <v>853</v>
      </c>
      <c r="D214" s="7" t="s">
        <v>854</v>
      </c>
      <c r="E214" s="2" t="s">
        <v>855</v>
      </c>
    </row>
    <row r="215" spans="1:5">
      <c r="A215" s="7" t="s">
        <v>856</v>
      </c>
      <c r="B215" s="2" t="s">
        <v>13</v>
      </c>
      <c r="C215" s="7" t="s">
        <v>857</v>
      </c>
      <c r="D215" s="7" t="s">
        <v>858</v>
      </c>
      <c r="E215" s="2" t="s">
        <v>859</v>
      </c>
    </row>
    <row r="216" spans="1:5">
      <c r="A216" s="7" t="s">
        <v>860</v>
      </c>
      <c r="B216" s="2" t="s">
        <v>13</v>
      </c>
      <c r="C216" s="7" t="s">
        <v>861</v>
      </c>
      <c r="D216" s="7" t="s">
        <v>862</v>
      </c>
      <c r="E216" s="2" t="s">
        <v>863</v>
      </c>
    </row>
    <row r="217" spans="1:5">
      <c r="A217" s="7" t="s">
        <v>864</v>
      </c>
      <c r="B217" s="2" t="s">
        <v>13</v>
      </c>
      <c r="C217" s="7" t="s">
        <v>865</v>
      </c>
      <c r="D217" s="7" t="s">
        <v>866</v>
      </c>
      <c r="E217" s="2" t="s">
        <v>867</v>
      </c>
    </row>
    <row r="218" spans="1:5">
      <c r="A218" s="7" t="s">
        <v>868</v>
      </c>
      <c r="B218" s="2" t="s">
        <v>13</v>
      </c>
      <c r="C218" s="7" t="s">
        <v>869</v>
      </c>
      <c r="D218" s="7" t="s">
        <v>870</v>
      </c>
      <c r="E218" s="2" t="s">
        <v>871</v>
      </c>
    </row>
    <row r="219" spans="1:5">
      <c r="A219" s="7" t="s">
        <v>872</v>
      </c>
      <c r="B219" s="2" t="s">
        <v>13</v>
      </c>
      <c r="C219" s="7" t="s">
        <v>873</v>
      </c>
      <c r="D219" s="7" t="s">
        <v>874</v>
      </c>
      <c r="E219" s="2" t="s">
        <v>875</v>
      </c>
    </row>
    <row r="220" spans="1:5">
      <c r="A220" s="7" t="s">
        <v>876</v>
      </c>
      <c r="B220" s="2" t="s">
        <v>13</v>
      </c>
      <c r="C220" s="7" t="s">
        <v>877</v>
      </c>
      <c r="D220" s="7" t="s">
        <v>878</v>
      </c>
      <c r="E220" s="2" t="s">
        <v>879</v>
      </c>
    </row>
    <row r="221" spans="1:5">
      <c r="A221" s="7" t="s">
        <v>880</v>
      </c>
      <c r="B221" s="2" t="s">
        <v>13</v>
      </c>
      <c r="C221" s="7" t="s">
        <v>881</v>
      </c>
      <c r="D221" s="7" t="s">
        <v>882</v>
      </c>
      <c r="E221" s="2" t="s">
        <v>883</v>
      </c>
    </row>
    <row r="222" spans="1:5">
      <c r="A222" s="7" t="s">
        <v>884</v>
      </c>
      <c r="B222" s="2" t="s">
        <v>13</v>
      </c>
      <c r="C222" s="7" t="s">
        <v>885</v>
      </c>
      <c r="D222" s="7" t="s">
        <v>886</v>
      </c>
      <c r="E222" s="2" t="s">
        <v>887</v>
      </c>
    </row>
    <row r="223" spans="1:5">
      <c r="A223" s="7" t="s">
        <v>888</v>
      </c>
      <c r="B223" s="2" t="s">
        <v>13</v>
      </c>
      <c r="C223" s="7" t="s">
        <v>889</v>
      </c>
      <c r="D223" s="7" t="s">
        <v>890</v>
      </c>
      <c r="E223" s="2" t="s">
        <v>891</v>
      </c>
    </row>
    <row r="224" spans="1:5">
      <c r="A224" s="7" t="s">
        <v>892</v>
      </c>
      <c r="B224" s="2" t="s">
        <v>13</v>
      </c>
      <c r="C224" s="7" t="s">
        <v>893</v>
      </c>
      <c r="D224" s="7" t="s">
        <v>894</v>
      </c>
      <c r="E224" s="2" t="s">
        <v>895</v>
      </c>
    </row>
    <row r="225" spans="1:5">
      <c r="A225" s="7" t="s">
        <v>896</v>
      </c>
      <c r="B225" s="2" t="s">
        <v>13</v>
      </c>
      <c r="C225" s="7" t="s">
        <v>897</v>
      </c>
      <c r="D225" s="7" t="s">
        <v>898</v>
      </c>
      <c r="E225" s="2" t="s">
        <v>899</v>
      </c>
    </row>
    <row r="226" spans="1:5">
      <c r="A226" s="7" t="s">
        <v>900</v>
      </c>
      <c r="B226" s="2" t="s">
        <v>13</v>
      </c>
      <c r="C226" s="7" t="s">
        <v>901</v>
      </c>
      <c r="D226" s="7" t="s">
        <v>902</v>
      </c>
      <c r="E226" s="2" t="s">
        <v>903</v>
      </c>
    </row>
    <row r="227" spans="1:5">
      <c r="A227" s="7" t="s">
        <v>904</v>
      </c>
      <c r="B227" s="2" t="s">
        <v>13</v>
      </c>
      <c r="C227" s="7" t="s">
        <v>905</v>
      </c>
      <c r="D227" s="7" t="s">
        <v>906</v>
      </c>
      <c r="E227" s="2" t="s">
        <v>907</v>
      </c>
    </row>
    <row r="228" spans="1:5">
      <c r="A228" s="7" t="s">
        <v>908</v>
      </c>
      <c r="B228" s="2" t="s">
        <v>13</v>
      </c>
      <c r="C228" s="7" t="s">
        <v>909</v>
      </c>
      <c r="D228" s="7" t="s">
        <v>910</v>
      </c>
      <c r="E228" s="2" t="s">
        <v>911</v>
      </c>
    </row>
    <row r="229" spans="1:5">
      <c r="A229" s="7" t="s">
        <v>912</v>
      </c>
      <c r="B229" s="2" t="s">
        <v>13</v>
      </c>
      <c r="C229" s="7" t="s">
        <v>913</v>
      </c>
      <c r="D229" s="7" t="s">
        <v>914</v>
      </c>
      <c r="E229" s="2" t="s">
        <v>915</v>
      </c>
    </row>
    <row r="230" spans="1:5">
      <c r="A230" s="7" t="s">
        <v>916</v>
      </c>
      <c r="B230" s="2" t="s">
        <v>13</v>
      </c>
      <c r="C230" s="7" t="s">
        <v>917</v>
      </c>
      <c r="D230" s="7" t="s">
        <v>918</v>
      </c>
      <c r="E230" s="2" t="s">
        <v>919</v>
      </c>
    </row>
    <row r="231" spans="1:5">
      <c r="A231" s="7" t="s">
        <v>920</v>
      </c>
      <c r="B231" s="2" t="s">
        <v>13</v>
      </c>
      <c r="C231" s="7" t="s">
        <v>921</v>
      </c>
      <c r="D231" s="7" t="s">
        <v>922</v>
      </c>
      <c r="E231" s="2" t="s">
        <v>923</v>
      </c>
    </row>
    <row r="232" spans="1:5">
      <c r="A232" s="7" t="s">
        <v>924</v>
      </c>
      <c r="B232" s="2" t="s">
        <v>13</v>
      </c>
      <c r="C232" s="7" t="s">
        <v>925</v>
      </c>
      <c r="D232" s="7" t="s">
        <v>926</v>
      </c>
      <c r="E232" s="2" t="s">
        <v>927</v>
      </c>
    </row>
    <row r="233" spans="1:5">
      <c r="A233" s="7" t="s">
        <v>928</v>
      </c>
      <c r="B233" s="2" t="s">
        <v>13</v>
      </c>
      <c r="C233" s="7" t="s">
        <v>929</v>
      </c>
      <c r="D233" s="7" t="s">
        <v>930</v>
      </c>
      <c r="E233" s="2" t="s">
        <v>931</v>
      </c>
    </row>
    <row r="234" spans="1:5">
      <c r="A234" s="7" t="s">
        <v>932</v>
      </c>
      <c r="B234" s="2" t="s">
        <v>13</v>
      </c>
      <c r="C234" s="7" t="s">
        <v>933</v>
      </c>
      <c r="D234" s="7" t="s">
        <v>934</v>
      </c>
      <c r="E234" s="2" t="s">
        <v>935</v>
      </c>
    </row>
    <row r="235" spans="1:5">
      <c r="A235" s="7" t="s">
        <v>936</v>
      </c>
      <c r="B235" s="2" t="s">
        <v>13</v>
      </c>
      <c r="C235" s="7" t="s">
        <v>937</v>
      </c>
      <c r="D235" s="7" t="s">
        <v>938</v>
      </c>
      <c r="E235" s="2" t="s">
        <v>939</v>
      </c>
    </row>
    <row r="236" spans="1:5">
      <c r="A236" s="7" t="s">
        <v>940</v>
      </c>
      <c r="B236" s="2" t="s">
        <v>13</v>
      </c>
      <c r="C236" s="7" t="s">
        <v>941</v>
      </c>
      <c r="D236" s="7" t="s">
        <v>942</v>
      </c>
      <c r="E236" s="2" t="s">
        <v>943</v>
      </c>
    </row>
    <row r="237" spans="1:5">
      <c r="A237" s="7" t="s">
        <v>944</v>
      </c>
      <c r="B237" s="2" t="s">
        <v>13</v>
      </c>
      <c r="C237" s="7" t="s">
        <v>945</v>
      </c>
      <c r="D237" s="7" t="s">
        <v>946</v>
      </c>
      <c r="E237" s="2" t="s">
        <v>947</v>
      </c>
    </row>
    <row r="238" spans="1:5">
      <c r="A238" s="7" t="s">
        <v>948</v>
      </c>
      <c r="B238" s="2" t="s">
        <v>13</v>
      </c>
      <c r="C238" s="7" t="s">
        <v>949</v>
      </c>
      <c r="D238" s="7" t="s">
        <v>950</v>
      </c>
      <c r="E238" s="2" t="s">
        <v>951</v>
      </c>
    </row>
    <row r="239" spans="1:5">
      <c r="A239" s="7" t="s">
        <v>952</v>
      </c>
      <c r="B239" s="2" t="s">
        <v>13</v>
      </c>
      <c r="C239" s="7" t="s">
        <v>953</v>
      </c>
      <c r="D239" s="7" t="s">
        <v>954</v>
      </c>
      <c r="E239" s="2" t="s">
        <v>955</v>
      </c>
    </row>
    <row r="240" spans="1:5">
      <c r="A240" s="7" t="s">
        <v>956</v>
      </c>
      <c r="B240" s="2" t="s">
        <v>13</v>
      </c>
      <c r="C240" s="7" t="s">
        <v>957</v>
      </c>
      <c r="D240" s="7" t="s">
        <v>958</v>
      </c>
      <c r="E240" s="2" t="s">
        <v>959</v>
      </c>
    </row>
    <row r="241" spans="1:5">
      <c r="A241" s="7" t="s">
        <v>960</v>
      </c>
      <c r="B241" s="2" t="s">
        <v>13</v>
      </c>
      <c r="C241" s="7" t="s">
        <v>961</v>
      </c>
      <c r="D241" s="7" t="s">
        <v>962</v>
      </c>
      <c r="E241" s="2" t="s">
        <v>963</v>
      </c>
    </row>
    <row r="242" spans="1:5">
      <c r="A242" s="7" t="s">
        <v>964</v>
      </c>
      <c r="B242" s="2" t="s">
        <v>13</v>
      </c>
      <c r="C242" s="7" t="s">
        <v>965</v>
      </c>
      <c r="D242" s="7" t="s">
        <v>966</v>
      </c>
      <c r="E242" s="2" t="s">
        <v>967</v>
      </c>
    </row>
    <row r="243" spans="1:5">
      <c r="A243" s="7" t="s">
        <v>968</v>
      </c>
      <c r="B243" s="2" t="s">
        <v>13</v>
      </c>
      <c r="C243" s="7" t="s">
        <v>969</v>
      </c>
      <c r="D243" s="7" t="s">
        <v>970</v>
      </c>
      <c r="E243" s="2" t="s">
        <v>971</v>
      </c>
    </row>
    <row r="244" spans="1:5">
      <c r="A244" s="7" t="s">
        <v>972</v>
      </c>
      <c r="B244" s="2" t="s">
        <v>13</v>
      </c>
      <c r="C244" s="7" t="s">
        <v>973</v>
      </c>
      <c r="D244" s="7" t="s">
        <v>974</v>
      </c>
      <c r="E244" s="2" t="s">
        <v>975</v>
      </c>
    </row>
    <row r="245" spans="1:5">
      <c r="A245" s="7" t="s">
        <v>976</v>
      </c>
      <c r="B245" s="2" t="s">
        <v>13</v>
      </c>
      <c r="C245" s="7" t="s">
        <v>977</v>
      </c>
      <c r="D245" s="7" t="s">
        <v>978</v>
      </c>
      <c r="E245" s="2" t="s">
        <v>979</v>
      </c>
    </row>
    <row r="246" spans="1:5">
      <c r="A246" s="7" t="s">
        <v>980</v>
      </c>
      <c r="B246" s="2" t="s">
        <v>13</v>
      </c>
      <c r="C246" s="7" t="s">
        <v>981</v>
      </c>
      <c r="D246" s="7" t="s">
        <v>982</v>
      </c>
      <c r="E246" s="2" t="s">
        <v>983</v>
      </c>
    </row>
    <row r="247" spans="1:5">
      <c r="A247" s="7" t="s">
        <v>984</v>
      </c>
      <c r="B247" s="2" t="s">
        <v>13</v>
      </c>
      <c r="C247" s="7" t="s">
        <v>985</v>
      </c>
      <c r="D247" s="7" t="s">
        <v>986</v>
      </c>
      <c r="E247" s="2" t="s">
        <v>987</v>
      </c>
    </row>
    <row r="248" spans="1:5">
      <c r="A248" s="7" t="s">
        <v>988</v>
      </c>
      <c r="B248" s="2" t="s">
        <v>13</v>
      </c>
      <c r="C248" s="7" t="s">
        <v>989</v>
      </c>
      <c r="D248" s="7" t="s">
        <v>990</v>
      </c>
      <c r="E248" s="2" t="s">
        <v>991</v>
      </c>
    </row>
    <row r="249" spans="1:5">
      <c r="A249" s="7" t="s">
        <v>992</v>
      </c>
      <c r="B249" s="2" t="s">
        <v>13</v>
      </c>
      <c r="C249" s="7" t="s">
        <v>993</v>
      </c>
      <c r="D249" s="7" t="s">
        <v>994</v>
      </c>
      <c r="E249" s="2" t="s">
        <v>995</v>
      </c>
    </row>
    <row r="250" spans="1:5">
      <c r="A250" s="7" t="s">
        <v>996</v>
      </c>
      <c r="B250" s="2" t="s">
        <v>13</v>
      </c>
      <c r="C250" s="7" t="s">
        <v>997</v>
      </c>
      <c r="D250" s="7" t="s">
        <v>998</v>
      </c>
      <c r="E250" s="2" t="s">
        <v>999</v>
      </c>
    </row>
    <row r="251" spans="1:5">
      <c r="A251" s="7" t="s">
        <v>1000</v>
      </c>
      <c r="B251" s="2" t="s">
        <v>13</v>
      </c>
      <c r="C251" s="7" t="s">
        <v>1001</v>
      </c>
      <c r="D251" s="7" t="s">
        <v>1002</v>
      </c>
      <c r="E251" s="2" t="s">
        <v>1003</v>
      </c>
    </row>
    <row r="252" spans="1:5">
      <c r="A252" s="7" t="s">
        <v>1004</v>
      </c>
      <c r="B252" s="2" t="s">
        <v>13</v>
      </c>
      <c r="C252" s="7" t="s">
        <v>1005</v>
      </c>
      <c r="D252" s="7" t="s">
        <v>1006</v>
      </c>
      <c r="E252" s="2" t="s">
        <v>1007</v>
      </c>
    </row>
    <row r="253" spans="1:5">
      <c r="A253" s="7" t="s">
        <v>1008</v>
      </c>
      <c r="B253" s="2" t="s">
        <v>13</v>
      </c>
      <c r="C253" s="7" t="s">
        <v>1009</v>
      </c>
      <c r="D253" s="7" t="s">
        <v>1010</v>
      </c>
      <c r="E253" s="2" t="s">
        <v>1011</v>
      </c>
    </row>
    <row r="254" spans="1:5">
      <c r="A254" s="7" t="s">
        <v>1012</v>
      </c>
      <c r="B254" s="2" t="s">
        <v>13</v>
      </c>
      <c r="C254" s="7" t="s">
        <v>1013</v>
      </c>
      <c r="D254" s="7" t="s">
        <v>1014</v>
      </c>
      <c r="E254" s="2" t="s">
        <v>1015</v>
      </c>
    </row>
    <row r="255" spans="1:5">
      <c r="A255" s="7" t="s">
        <v>1016</v>
      </c>
      <c r="B255" s="2" t="s">
        <v>13</v>
      </c>
      <c r="C255" s="7" t="s">
        <v>1017</v>
      </c>
      <c r="D255" s="7" t="s">
        <v>1018</v>
      </c>
      <c r="E255" s="2" t="s">
        <v>1019</v>
      </c>
    </row>
    <row r="256" spans="1:5">
      <c r="A256" s="7" t="s">
        <v>1020</v>
      </c>
      <c r="B256" s="2" t="s">
        <v>13</v>
      </c>
      <c r="C256" s="7" t="s">
        <v>1021</v>
      </c>
      <c r="D256" s="7" t="s">
        <v>1022</v>
      </c>
      <c r="E256" s="2" t="s">
        <v>1023</v>
      </c>
    </row>
    <row r="257" spans="1:5">
      <c r="A257" s="7" t="s">
        <v>1024</v>
      </c>
      <c r="B257" s="2" t="s">
        <v>13</v>
      </c>
      <c r="C257" s="7" t="s">
        <v>1025</v>
      </c>
      <c r="D257" s="7" t="s">
        <v>1026</v>
      </c>
      <c r="E257" s="2" t="s">
        <v>1027</v>
      </c>
    </row>
    <row r="258" spans="1:5">
      <c r="A258" s="7" t="s">
        <v>1028</v>
      </c>
      <c r="B258" s="2" t="s">
        <v>13</v>
      </c>
      <c r="C258" s="7" t="s">
        <v>1029</v>
      </c>
      <c r="D258" s="7" t="s">
        <v>1030</v>
      </c>
      <c r="E258" s="2" t="s">
        <v>1031</v>
      </c>
    </row>
    <row r="259" spans="1:5">
      <c r="A259" s="7" t="s">
        <v>1032</v>
      </c>
      <c r="B259" s="2" t="s">
        <v>13</v>
      </c>
      <c r="C259" s="7" t="s">
        <v>1033</v>
      </c>
      <c r="D259" s="7" t="s">
        <v>1034</v>
      </c>
      <c r="E259" s="2" t="s">
        <v>1035</v>
      </c>
    </row>
    <row r="260" spans="1:5">
      <c r="A260" s="7" t="s">
        <v>1036</v>
      </c>
      <c r="B260" s="2" t="s">
        <v>13</v>
      </c>
      <c r="C260" s="7" t="s">
        <v>1037</v>
      </c>
      <c r="D260" s="7" t="s">
        <v>1038</v>
      </c>
      <c r="E260" s="2" t="s">
        <v>1039</v>
      </c>
    </row>
    <row r="261" spans="1:5">
      <c r="A261" s="7" t="s">
        <v>1040</v>
      </c>
      <c r="B261" s="2" t="s">
        <v>13</v>
      </c>
      <c r="C261" s="7" t="s">
        <v>1041</v>
      </c>
      <c r="D261" s="7" t="s">
        <v>1042</v>
      </c>
      <c r="E261" s="2" t="s">
        <v>1043</v>
      </c>
    </row>
    <row r="262" spans="1:5">
      <c r="A262" s="7" t="s">
        <v>1044</v>
      </c>
      <c r="B262" s="2" t="s">
        <v>13</v>
      </c>
      <c r="C262" s="7" t="s">
        <v>1045</v>
      </c>
      <c r="D262" s="7" t="s">
        <v>1046</v>
      </c>
      <c r="E262" s="2" t="s">
        <v>1047</v>
      </c>
    </row>
    <row r="263" spans="1:5">
      <c r="A263" s="7" t="s">
        <v>1048</v>
      </c>
      <c r="B263" s="2" t="s">
        <v>13</v>
      </c>
      <c r="C263" s="7" t="s">
        <v>1049</v>
      </c>
      <c r="D263" s="7" t="s">
        <v>1050</v>
      </c>
      <c r="E263" s="2" t="s">
        <v>1051</v>
      </c>
    </row>
    <row r="264" spans="1:5">
      <c r="A264" s="7" t="s">
        <v>1052</v>
      </c>
      <c r="B264" s="2" t="s">
        <v>13</v>
      </c>
      <c r="C264" s="7" t="s">
        <v>1053</v>
      </c>
      <c r="D264" s="7" t="s">
        <v>1054</v>
      </c>
      <c r="E264" s="2" t="s">
        <v>1055</v>
      </c>
    </row>
    <row r="265" spans="1:5">
      <c r="A265" s="7" t="s">
        <v>1056</v>
      </c>
      <c r="B265" s="2" t="s">
        <v>13</v>
      </c>
      <c r="C265" s="7" t="s">
        <v>1057</v>
      </c>
      <c r="D265" s="7" t="s">
        <v>1058</v>
      </c>
      <c r="E265" s="2" t="s">
        <v>1059</v>
      </c>
    </row>
    <row r="266" spans="1:5">
      <c r="A266" s="7" t="s">
        <v>1060</v>
      </c>
      <c r="B266" s="2" t="s">
        <v>13</v>
      </c>
      <c r="C266" s="7" t="s">
        <v>1061</v>
      </c>
      <c r="D266" s="7" t="s">
        <v>1062</v>
      </c>
      <c r="E266" s="2" t="s">
        <v>1063</v>
      </c>
    </row>
    <row r="267" spans="1:5">
      <c r="A267" s="7" t="s">
        <v>1064</v>
      </c>
      <c r="B267" s="2" t="s">
        <v>13</v>
      </c>
      <c r="C267" s="7" t="s">
        <v>1065</v>
      </c>
      <c r="D267" s="7" t="s">
        <v>1066</v>
      </c>
      <c r="E267" s="2" t="s">
        <v>1067</v>
      </c>
    </row>
    <row r="268" spans="1:5">
      <c r="A268" s="7" t="s">
        <v>1068</v>
      </c>
      <c r="B268" s="2" t="s">
        <v>13</v>
      </c>
      <c r="C268" s="7" t="s">
        <v>1069</v>
      </c>
      <c r="D268" s="7" t="s">
        <v>1070</v>
      </c>
      <c r="E268" s="2" t="s">
        <v>1071</v>
      </c>
    </row>
    <row r="269" spans="1:5">
      <c r="A269" s="7" t="s">
        <v>1072</v>
      </c>
      <c r="B269" s="2" t="s">
        <v>13</v>
      </c>
      <c r="C269" s="7" t="s">
        <v>1073</v>
      </c>
      <c r="D269" s="7" t="s">
        <v>1074</v>
      </c>
      <c r="E269" s="2" t="s">
        <v>1075</v>
      </c>
    </row>
    <row r="270" spans="1:5">
      <c r="A270" s="7" t="s">
        <v>1076</v>
      </c>
      <c r="B270" s="2" t="s">
        <v>13</v>
      </c>
      <c r="C270" s="7" t="s">
        <v>1077</v>
      </c>
      <c r="D270" s="7" t="s">
        <v>1078</v>
      </c>
      <c r="E270" s="2" t="s">
        <v>1079</v>
      </c>
    </row>
    <row r="271" spans="1:5">
      <c r="A271" s="7" t="s">
        <v>1080</v>
      </c>
      <c r="B271" s="2" t="s">
        <v>13</v>
      </c>
      <c r="C271" s="7" t="s">
        <v>1081</v>
      </c>
      <c r="D271" s="7" t="s">
        <v>1082</v>
      </c>
      <c r="E271" s="2" t="s">
        <v>1083</v>
      </c>
    </row>
    <row r="272" spans="1:5">
      <c r="A272" s="7" t="s">
        <v>1084</v>
      </c>
      <c r="B272" s="2" t="s">
        <v>13</v>
      </c>
      <c r="C272" s="7" t="s">
        <v>1085</v>
      </c>
      <c r="D272" s="7" t="s">
        <v>1086</v>
      </c>
      <c r="E272" s="2" t="s">
        <v>1087</v>
      </c>
    </row>
    <row r="273" spans="1:5">
      <c r="A273" s="7" t="s">
        <v>1088</v>
      </c>
      <c r="B273" s="2" t="s">
        <v>13</v>
      </c>
      <c r="C273" s="7" t="s">
        <v>1089</v>
      </c>
      <c r="D273" s="7" t="s">
        <v>1090</v>
      </c>
      <c r="E273" s="2" t="s">
        <v>1091</v>
      </c>
    </row>
    <row r="274" spans="1:5">
      <c r="A274" s="7" t="s">
        <v>1092</v>
      </c>
      <c r="B274" s="2" t="s">
        <v>13</v>
      </c>
      <c r="C274" s="7" t="s">
        <v>1093</v>
      </c>
      <c r="D274" s="7" t="s">
        <v>1094</v>
      </c>
      <c r="E274" s="2" t="s">
        <v>1095</v>
      </c>
    </row>
    <row r="275" spans="1:5">
      <c r="A275" s="7" t="s">
        <v>1096</v>
      </c>
      <c r="B275" s="2" t="s">
        <v>13</v>
      </c>
      <c r="C275" s="7" t="s">
        <v>1097</v>
      </c>
      <c r="D275" s="7" t="s">
        <v>1098</v>
      </c>
      <c r="E275" s="2" t="s">
        <v>1099</v>
      </c>
    </row>
    <row r="276" spans="1:5">
      <c r="A276" s="7" t="s">
        <v>1100</v>
      </c>
      <c r="B276" s="2" t="s">
        <v>13</v>
      </c>
      <c r="C276" s="7" t="s">
        <v>1101</v>
      </c>
      <c r="D276" s="7" t="s">
        <v>1102</v>
      </c>
      <c r="E276" s="2" t="s">
        <v>1103</v>
      </c>
    </row>
    <row r="277" spans="1:5">
      <c r="A277" s="7" t="s">
        <v>1104</v>
      </c>
      <c r="B277" s="2" t="s">
        <v>13</v>
      </c>
      <c r="C277" s="7" t="s">
        <v>1105</v>
      </c>
      <c r="D277" s="7" t="s">
        <v>1106</v>
      </c>
      <c r="E277" s="2" t="s">
        <v>1107</v>
      </c>
    </row>
    <row r="278" spans="1:5">
      <c r="A278" s="7" t="s">
        <v>12</v>
      </c>
      <c r="B278" s="2" t="s">
        <v>13</v>
      </c>
      <c r="C278" s="7" t="s">
        <v>1108</v>
      </c>
      <c r="D278" s="7" t="s">
        <v>15</v>
      </c>
      <c r="E278" s="2" t="s">
        <v>1109</v>
      </c>
    </row>
    <row r="279" spans="1:5">
      <c r="A279" s="7" t="s">
        <v>1110</v>
      </c>
      <c r="B279" s="2" t="s">
        <v>13</v>
      </c>
      <c r="C279" s="7" t="s">
        <v>1111</v>
      </c>
      <c r="D279" s="7" t="s">
        <v>1112</v>
      </c>
      <c r="E279" s="2" t="s">
        <v>1113</v>
      </c>
    </row>
    <row r="280" spans="1:5">
      <c r="A280" s="7" t="s">
        <v>1114</v>
      </c>
      <c r="B280" s="2" t="s">
        <v>13</v>
      </c>
      <c r="C280" s="7" t="s">
        <v>1115</v>
      </c>
      <c r="D280" s="7" t="s">
        <v>1116</v>
      </c>
      <c r="E280" s="2" t="s">
        <v>1117</v>
      </c>
    </row>
    <row r="281" spans="1:5">
      <c r="A281" s="7" t="s">
        <v>1118</v>
      </c>
      <c r="B281" s="2" t="s">
        <v>13</v>
      </c>
      <c r="C281" s="7" t="s">
        <v>1119</v>
      </c>
      <c r="D281" s="7" t="s">
        <v>1120</v>
      </c>
      <c r="E281" s="2" t="s">
        <v>1121</v>
      </c>
    </row>
    <row r="282" spans="1:5">
      <c r="A282" s="7" t="s">
        <v>1122</v>
      </c>
      <c r="B282" s="2" t="s">
        <v>13</v>
      </c>
      <c r="C282" s="7" t="s">
        <v>1123</v>
      </c>
      <c r="D282" s="7" t="s">
        <v>1124</v>
      </c>
      <c r="E282" s="2" t="s">
        <v>1125</v>
      </c>
    </row>
    <row r="283" spans="1:5">
      <c r="A283" s="7" t="s">
        <v>1126</v>
      </c>
      <c r="B283" s="2" t="s">
        <v>13</v>
      </c>
      <c r="C283" s="7" t="s">
        <v>1127</v>
      </c>
      <c r="D283" s="7" t="s">
        <v>1128</v>
      </c>
      <c r="E283" s="2" t="s">
        <v>1129</v>
      </c>
    </row>
    <row r="284" spans="1:5">
      <c r="A284" s="7" t="s">
        <v>204</v>
      </c>
      <c r="B284" s="2" t="s">
        <v>13</v>
      </c>
      <c r="C284" s="7" t="s">
        <v>1130</v>
      </c>
      <c r="D284" s="7" t="s">
        <v>206</v>
      </c>
      <c r="E284" s="2" t="s">
        <v>1131</v>
      </c>
    </row>
    <row r="285" spans="1:5">
      <c r="A285" s="7" t="s">
        <v>1132</v>
      </c>
      <c r="B285" s="2" t="s">
        <v>13</v>
      </c>
      <c r="C285" s="7" t="s">
        <v>1133</v>
      </c>
      <c r="D285" s="7" t="s">
        <v>1134</v>
      </c>
      <c r="E285" s="2" t="s">
        <v>1135</v>
      </c>
    </row>
    <row r="286" spans="1:5">
      <c r="A286" s="7" t="s">
        <v>1136</v>
      </c>
      <c r="B286" s="2" t="s">
        <v>13</v>
      </c>
      <c r="C286" s="7" t="s">
        <v>1137</v>
      </c>
      <c r="D286" s="7" t="s">
        <v>1138</v>
      </c>
      <c r="E286" s="2" t="s">
        <v>1139</v>
      </c>
    </row>
    <row r="287" spans="1:5">
      <c r="A287" s="7" t="s">
        <v>1140</v>
      </c>
      <c r="B287" s="2" t="s">
        <v>13</v>
      </c>
      <c r="C287" s="7" t="s">
        <v>1141</v>
      </c>
      <c r="D287" s="7" t="s">
        <v>1142</v>
      </c>
      <c r="E287" s="2" t="s">
        <v>1143</v>
      </c>
    </row>
    <row r="288" spans="1:5">
      <c r="A288" s="7" t="s">
        <v>1144</v>
      </c>
      <c r="B288" s="2" t="s">
        <v>13</v>
      </c>
      <c r="C288" s="7" t="s">
        <v>1145</v>
      </c>
      <c r="D288" s="7" t="s">
        <v>1146</v>
      </c>
      <c r="E288" s="2" t="s">
        <v>1147</v>
      </c>
    </row>
    <row r="289" spans="1:27">
      <c r="A289" s="7" t="s">
        <v>1148</v>
      </c>
      <c r="B289" s="2" t="s">
        <v>13</v>
      </c>
      <c r="C289" s="7" t="s">
        <v>1149</v>
      </c>
      <c r="D289" s="7" t="s">
        <v>1150</v>
      </c>
      <c r="E289" s="2" t="s">
        <v>1151</v>
      </c>
    </row>
    <row r="290" spans="1:27">
      <c r="A290" s="7" t="s">
        <v>1152</v>
      </c>
      <c r="B290" s="2" t="s">
        <v>13</v>
      </c>
      <c r="C290" s="7" t="s">
        <v>1153</v>
      </c>
      <c r="D290" s="7" t="s">
        <v>1154</v>
      </c>
      <c r="E290" s="2" t="s">
        <v>1155</v>
      </c>
    </row>
    <row r="291" spans="1:27">
      <c r="A291" s="7" t="s">
        <v>1156</v>
      </c>
      <c r="B291" s="2" t="s">
        <v>13</v>
      </c>
      <c r="C291" s="7" t="s">
        <v>1157</v>
      </c>
      <c r="D291" s="7" t="s">
        <v>1158</v>
      </c>
      <c r="E291" s="2" t="s">
        <v>1159</v>
      </c>
    </row>
    <row r="292" spans="1:27">
      <c r="A292" s="7" t="s">
        <v>1160</v>
      </c>
      <c r="B292" s="2" t="s">
        <v>13</v>
      </c>
      <c r="C292" s="7" t="s">
        <v>1161</v>
      </c>
      <c r="D292" s="7" t="s">
        <v>1162</v>
      </c>
      <c r="E292" s="2" t="s">
        <v>1163</v>
      </c>
    </row>
    <row r="293" spans="1:27">
      <c r="A293" s="7" t="s">
        <v>1164</v>
      </c>
      <c r="B293" s="2" t="s">
        <v>13</v>
      </c>
      <c r="C293" s="7" t="s">
        <v>1165</v>
      </c>
      <c r="D293" s="7" t="s">
        <v>1166</v>
      </c>
      <c r="E293" s="2" t="s">
        <v>1167</v>
      </c>
    </row>
    <row r="294" spans="1:27">
      <c r="A294" s="7" t="s">
        <v>1168</v>
      </c>
      <c r="B294" s="2" t="s">
        <v>13</v>
      </c>
      <c r="C294" s="7" t="s">
        <v>1169</v>
      </c>
      <c r="D294" s="7" t="s">
        <v>1170</v>
      </c>
      <c r="E294" s="2" t="s">
        <v>1171</v>
      </c>
    </row>
    <row r="295" spans="1:27">
      <c r="A295" s="7" t="s">
        <v>1172</v>
      </c>
      <c r="B295" s="2" t="s">
        <v>13</v>
      </c>
      <c r="C295" s="7" t="s">
        <v>1173</v>
      </c>
      <c r="D295" s="7" t="s">
        <v>1174</v>
      </c>
      <c r="E295" s="2" t="s">
        <v>1175</v>
      </c>
    </row>
    <row r="296" spans="1:27">
      <c r="A296" s="7" t="s">
        <v>1176</v>
      </c>
      <c r="B296" s="2" t="s">
        <v>13</v>
      </c>
      <c r="C296" s="7" t="s">
        <v>1177</v>
      </c>
      <c r="D296" s="7" t="s">
        <v>1178</v>
      </c>
      <c r="E296" s="2" t="s">
        <v>1179</v>
      </c>
    </row>
    <row r="297" spans="1:27">
      <c r="A297" s="7" t="s">
        <v>1180</v>
      </c>
      <c r="B297" s="2" t="s">
        <v>13</v>
      </c>
      <c r="C297" s="7" t="s">
        <v>1181</v>
      </c>
      <c r="D297" s="7" t="s">
        <v>1182</v>
      </c>
      <c r="E297" s="2" t="s">
        <v>1183</v>
      </c>
    </row>
    <row r="298" spans="1:27">
      <c r="A298" s="7" t="s">
        <v>1184</v>
      </c>
      <c r="B298" s="2" t="s">
        <v>13</v>
      </c>
      <c r="C298" s="7" t="s">
        <v>1185</v>
      </c>
      <c r="D298" s="7" t="s">
        <v>1186</v>
      </c>
      <c r="E298" s="2" t="s">
        <v>1187</v>
      </c>
    </row>
    <row r="299" spans="1:27">
      <c r="A299" s="7" t="s">
        <v>1188</v>
      </c>
      <c r="B299" s="2" t="s">
        <v>13</v>
      </c>
      <c r="C299" s="7" t="s">
        <v>1189</v>
      </c>
      <c r="D299" s="7" t="s">
        <v>1190</v>
      </c>
      <c r="E299" s="2" t="s">
        <v>1191</v>
      </c>
    </row>
    <row r="300" spans="1:27">
      <c r="A300" s="7" t="s">
        <v>1192</v>
      </c>
      <c r="B300" s="2" t="s">
        <v>13</v>
      </c>
      <c r="C300" s="7" t="s">
        <v>1193</v>
      </c>
      <c r="D300" s="7" t="s">
        <v>1194</v>
      </c>
      <c r="E300" s="2" t="s">
        <v>1195</v>
      </c>
    </row>
    <row r="301" spans="1:27">
      <c r="A301" s="7" t="s">
        <v>1196</v>
      </c>
      <c r="B301" s="2" t="s">
        <v>13</v>
      </c>
      <c r="C301" s="7" t="s">
        <v>1197</v>
      </c>
      <c r="D301" s="7" t="s">
        <v>1198</v>
      </c>
      <c r="E301" s="2" t="s">
        <v>1199</v>
      </c>
    </row>
    <row r="303" spans="1:27" ht="90">
      <c r="A303" s="4"/>
      <c r="C303" s="4" t="s">
        <v>1200</v>
      </c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32.4" customHeight="1">
      <c r="A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31" spans="1:5">
      <c r="A331" s="7" t="s">
        <v>1201</v>
      </c>
      <c r="B331" s="2" t="s">
        <v>1202</v>
      </c>
      <c r="C331" s="7" t="s">
        <v>1203</v>
      </c>
      <c r="D331" s="7" t="s">
        <v>1204</v>
      </c>
      <c r="E331" s="2" t="s">
        <v>1205</v>
      </c>
    </row>
    <row r="332" spans="1:5">
      <c r="A332" s="7" t="s">
        <v>1206</v>
      </c>
      <c r="B332" s="2" t="s">
        <v>1202</v>
      </c>
      <c r="C332" s="7" t="s">
        <v>1207</v>
      </c>
      <c r="D332" s="7" t="s">
        <v>1208</v>
      </c>
      <c r="E332" s="2" t="s">
        <v>1209</v>
      </c>
    </row>
    <row r="333" spans="1:5">
      <c r="A333" s="7" t="s">
        <v>1210</v>
      </c>
      <c r="B333" s="2" t="s">
        <v>1202</v>
      </c>
      <c r="C333" s="7" t="s">
        <v>1211</v>
      </c>
      <c r="D333" s="7" t="s">
        <v>1212</v>
      </c>
      <c r="E333" s="2" t="s">
        <v>1213</v>
      </c>
    </row>
    <row r="334" spans="1:5">
      <c r="A334" s="7" t="s">
        <v>1214</v>
      </c>
      <c r="B334" s="2" t="s">
        <v>1202</v>
      </c>
      <c r="C334" s="7" t="s">
        <v>1215</v>
      </c>
      <c r="D334" s="7" t="s">
        <v>1216</v>
      </c>
      <c r="E334" s="2" t="s">
        <v>1217</v>
      </c>
    </row>
    <row r="335" spans="1:5">
      <c r="A335" s="7" t="s">
        <v>1218</v>
      </c>
      <c r="B335" s="2" t="s">
        <v>1202</v>
      </c>
      <c r="C335" s="7" t="s">
        <v>1219</v>
      </c>
      <c r="D335" s="7" t="s">
        <v>1220</v>
      </c>
      <c r="E335" s="2" t="s">
        <v>1221</v>
      </c>
    </row>
    <row r="336" spans="1:5">
      <c r="A336" s="7" t="s">
        <v>1222</v>
      </c>
      <c r="B336" s="2" t="s">
        <v>1202</v>
      </c>
      <c r="C336" s="7" t="s">
        <v>1223</v>
      </c>
      <c r="D336" s="7" t="s">
        <v>1224</v>
      </c>
      <c r="E336" s="2" t="s">
        <v>1225</v>
      </c>
    </row>
    <row r="337" spans="1:5">
      <c r="A337" s="7" t="s">
        <v>1226</v>
      </c>
      <c r="B337" s="2" t="s">
        <v>1202</v>
      </c>
      <c r="C337" s="7" t="s">
        <v>1227</v>
      </c>
      <c r="D337" s="7" t="s">
        <v>1228</v>
      </c>
      <c r="E337" s="2" t="s">
        <v>1229</v>
      </c>
    </row>
    <row r="338" spans="1:5">
      <c r="A338" s="7" t="s">
        <v>1230</v>
      </c>
      <c r="B338" s="2" t="s">
        <v>1202</v>
      </c>
      <c r="C338" s="7" t="s">
        <v>1231</v>
      </c>
      <c r="D338" s="7" t="s">
        <v>1232</v>
      </c>
      <c r="E338" s="2" t="s">
        <v>1233</v>
      </c>
    </row>
    <row r="339" spans="1:5">
      <c r="A339" s="7" t="s">
        <v>1234</v>
      </c>
      <c r="B339" s="2" t="s">
        <v>1202</v>
      </c>
      <c r="C339" s="7" t="s">
        <v>1235</v>
      </c>
      <c r="D339" s="7" t="s">
        <v>1236</v>
      </c>
      <c r="E339" s="2" t="s">
        <v>1237</v>
      </c>
    </row>
    <row r="340" spans="1:5">
      <c r="A340" s="7" t="s">
        <v>1238</v>
      </c>
      <c r="B340" s="2" t="s">
        <v>1202</v>
      </c>
      <c r="C340" s="7" t="s">
        <v>1239</v>
      </c>
      <c r="D340" s="7" t="s">
        <v>1240</v>
      </c>
      <c r="E340" s="2" t="s">
        <v>1241</v>
      </c>
    </row>
    <row r="341" spans="1:5">
      <c r="A341" s="7" t="s">
        <v>1242</v>
      </c>
      <c r="B341" s="2" t="s">
        <v>1202</v>
      </c>
      <c r="C341" s="7" t="s">
        <v>1243</v>
      </c>
      <c r="D341" s="7" t="s">
        <v>1244</v>
      </c>
      <c r="E341" s="2" t="s">
        <v>1245</v>
      </c>
    </row>
    <row r="342" spans="1:5">
      <c r="A342" s="7" t="s">
        <v>1246</v>
      </c>
      <c r="B342" s="2" t="s">
        <v>1202</v>
      </c>
      <c r="C342" s="7" t="s">
        <v>1247</v>
      </c>
      <c r="D342" s="7" t="s">
        <v>1248</v>
      </c>
      <c r="E342" s="2" t="s">
        <v>1249</v>
      </c>
    </row>
    <row r="343" spans="1:5">
      <c r="A343" s="7" t="s">
        <v>1250</v>
      </c>
      <c r="B343" s="2" t="s">
        <v>1202</v>
      </c>
      <c r="C343" s="7" t="s">
        <v>1251</v>
      </c>
      <c r="D343" s="7" t="s">
        <v>1252</v>
      </c>
      <c r="E343" s="2" t="s">
        <v>1253</v>
      </c>
    </row>
    <row r="344" spans="1:5">
      <c r="A344" s="7" t="s">
        <v>1254</v>
      </c>
      <c r="B344" s="2" t="s">
        <v>1202</v>
      </c>
      <c r="C344" s="7" t="s">
        <v>1255</v>
      </c>
      <c r="D344" s="7" t="s">
        <v>1256</v>
      </c>
      <c r="E344" s="2" t="s">
        <v>1257</v>
      </c>
    </row>
    <row r="345" spans="1:5">
      <c r="A345" s="7" t="s">
        <v>1258</v>
      </c>
      <c r="B345" s="2" t="s">
        <v>1202</v>
      </c>
      <c r="C345" s="7" t="s">
        <v>1259</v>
      </c>
      <c r="D345" s="7" t="s">
        <v>1260</v>
      </c>
      <c r="E345" s="2" t="s">
        <v>1261</v>
      </c>
    </row>
    <row r="346" spans="1:5">
      <c r="A346" s="7" t="s">
        <v>1262</v>
      </c>
      <c r="B346" s="2" t="s">
        <v>1202</v>
      </c>
      <c r="C346" s="7" t="s">
        <v>1263</v>
      </c>
      <c r="D346" s="7" t="s">
        <v>1264</v>
      </c>
      <c r="E346" s="2" t="s">
        <v>1265</v>
      </c>
    </row>
    <row r="347" spans="1:5">
      <c r="A347" s="7" t="s">
        <v>1266</v>
      </c>
      <c r="B347" s="2" t="s">
        <v>1202</v>
      </c>
      <c r="C347" s="7" t="s">
        <v>1267</v>
      </c>
      <c r="D347" s="7" t="s">
        <v>1268</v>
      </c>
      <c r="E347" s="2" t="s">
        <v>1269</v>
      </c>
    </row>
    <row r="348" spans="1:5">
      <c r="A348" s="7" t="s">
        <v>1270</v>
      </c>
      <c r="B348" s="2" t="s">
        <v>1202</v>
      </c>
      <c r="C348" s="7" t="s">
        <v>1271</v>
      </c>
      <c r="D348" s="7" t="s">
        <v>1272</v>
      </c>
      <c r="E348" s="2" t="s">
        <v>1273</v>
      </c>
    </row>
    <row r="349" spans="1:5">
      <c r="A349" s="7" t="s">
        <v>1274</v>
      </c>
      <c r="B349" s="2" t="s">
        <v>1202</v>
      </c>
      <c r="C349" s="7" t="s">
        <v>1275</v>
      </c>
      <c r="D349" s="7" t="s">
        <v>1276</v>
      </c>
      <c r="E349" s="2" t="s">
        <v>1277</v>
      </c>
    </row>
    <row r="350" spans="1:5">
      <c r="A350" s="7" t="s">
        <v>1278</v>
      </c>
      <c r="B350" s="2" t="s">
        <v>1202</v>
      </c>
      <c r="C350" s="7" t="s">
        <v>1279</v>
      </c>
      <c r="D350" s="7" t="s">
        <v>1280</v>
      </c>
      <c r="E350" s="2" t="s">
        <v>1281</v>
      </c>
    </row>
    <row r="351" spans="1:5">
      <c r="A351" s="7" t="s">
        <v>1282</v>
      </c>
      <c r="B351" s="2" t="s">
        <v>1202</v>
      </c>
      <c r="C351" s="7" t="s">
        <v>1283</v>
      </c>
      <c r="D351" s="7" t="s">
        <v>1284</v>
      </c>
      <c r="E351" s="2" t="s">
        <v>1285</v>
      </c>
    </row>
    <row r="352" spans="1:5">
      <c r="A352" s="7" t="s">
        <v>1286</v>
      </c>
      <c r="B352" s="2" t="s">
        <v>1202</v>
      </c>
      <c r="C352" s="7" t="s">
        <v>1287</v>
      </c>
      <c r="D352" s="7" t="s">
        <v>1288</v>
      </c>
      <c r="E352" s="2" t="s">
        <v>1289</v>
      </c>
    </row>
    <row r="353" spans="1:5">
      <c r="A353" s="7" t="s">
        <v>1290</v>
      </c>
      <c r="B353" s="2" t="s">
        <v>1202</v>
      </c>
      <c r="C353" s="7" t="s">
        <v>1291</v>
      </c>
      <c r="D353" s="7" t="s">
        <v>1292</v>
      </c>
      <c r="E353" s="2" t="s">
        <v>1293</v>
      </c>
    </row>
    <row r="354" spans="1:5">
      <c r="A354" s="7" t="s">
        <v>1294</v>
      </c>
      <c r="B354" s="2" t="s">
        <v>1202</v>
      </c>
      <c r="C354" s="7" t="s">
        <v>1295</v>
      </c>
      <c r="D354" s="7" t="s">
        <v>1296</v>
      </c>
      <c r="E354" s="2" t="s">
        <v>1297</v>
      </c>
    </row>
    <row r="355" spans="1:5">
      <c r="A355" s="7" t="s">
        <v>1298</v>
      </c>
      <c r="B355" s="2" t="s">
        <v>1202</v>
      </c>
      <c r="C355" s="7" t="s">
        <v>1299</v>
      </c>
      <c r="D355" s="7" t="s">
        <v>1300</v>
      </c>
      <c r="E355" s="2" t="s">
        <v>1301</v>
      </c>
    </row>
    <row r="356" spans="1:5">
      <c r="A356" s="7" t="s">
        <v>1302</v>
      </c>
      <c r="B356" s="2" t="s">
        <v>1202</v>
      </c>
      <c r="C356" s="7" t="s">
        <v>1303</v>
      </c>
      <c r="D356" s="7" t="s">
        <v>1304</v>
      </c>
      <c r="E356" s="2" t="s">
        <v>1305</v>
      </c>
    </row>
    <row r="357" spans="1:5">
      <c r="A357" s="7" t="s">
        <v>1306</v>
      </c>
      <c r="B357" s="2" t="s">
        <v>1202</v>
      </c>
      <c r="C357" s="7" t="s">
        <v>1307</v>
      </c>
      <c r="D357" s="7" t="s">
        <v>1308</v>
      </c>
      <c r="E357" s="2" t="s">
        <v>1309</v>
      </c>
    </row>
    <row r="358" spans="1:5">
      <c r="A358" s="7" t="s">
        <v>1310</v>
      </c>
      <c r="B358" s="2" t="s">
        <v>1202</v>
      </c>
      <c r="C358" s="7" t="s">
        <v>1311</v>
      </c>
      <c r="D358" s="7" t="s">
        <v>1312</v>
      </c>
      <c r="E358" s="2" t="s">
        <v>1313</v>
      </c>
    </row>
    <row r="359" spans="1:5">
      <c r="A359" s="7" t="s">
        <v>1314</v>
      </c>
      <c r="B359" s="2" t="s">
        <v>1202</v>
      </c>
      <c r="C359" s="7" t="s">
        <v>1315</v>
      </c>
      <c r="D359" s="7" t="s">
        <v>1316</v>
      </c>
      <c r="E359" s="2" t="s">
        <v>1317</v>
      </c>
    </row>
    <row r="360" spans="1:5">
      <c r="A360" s="7" t="s">
        <v>1318</v>
      </c>
      <c r="B360" s="2" t="s">
        <v>1202</v>
      </c>
      <c r="C360" s="7" t="s">
        <v>1319</v>
      </c>
      <c r="D360" s="7" t="s">
        <v>1320</v>
      </c>
      <c r="E360" s="2" t="s">
        <v>1321</v>
      </c>
    </row>
    <row r="361" spans="1:5">
      <c r="A361" s="7" t="s">
        <v>1322</v>
      </c>
      <c r="B361" s="2" t="s">
        <v>1202</v>
      </c>
      <c r="C361" s="7" t="s">
        <v>1323</v>
      </c>
      <c r="D361" s="7" t="s">
        <v>1324</v>
      </c>
      <c r="E361" s="2" t="s">
        <v>1325</v>
      </c>
    </row>
    <row r="362" spans="1:5">
      <c r="A362" s="7" t="s">
        <v>1326</v>
      </c>
      <c r="B362" s="2" t="s">
        <v>1202</v>
      </c>
      <c r="C362" s="7" t="s">
        <v>1327</v>
      </c>
      <c r="D362" s="7" t="s">
        <v>1328</v>
      </c>
      <c r="E362" s="2" t="s">
        <v>1329</v>
      </c>
    </row>
    <row r="363" spans="1:5">
      <c r="A363" s="7" t="s">
        <v>1330</v>
      </c>
      <c r="B363" s="2" t="s">
        <v>1202</v>
      </c>
      <c r="C363" s="7" t="s">
        <v>1331</v>
      </c>
      <c r="D363" s="7" t="s">
        <v>1332</v>
      </c>
      <c r="E363" s="2" t="s">
        <v>1333</v>
      </c>
    </row>
    <row r="364" spans="1:5">
      <c r="A364" s="7" t="s">
        <v>1334</v>
      </c>
      <c r="B364" s="2" t="s">
        <v>1202</v>
      </c>
      <c r="C364" s="7" t="s">
        <v>1335</v>
      </c>
      <c r="D364" s="7" t="s">
        <v>1336</v>
      </c>
      <c r="E364" s="2" t="s">
        <v>1337</v>
      </c>
    </row>
    <row r="365" spans="1:5">
      <c r="A365" s="7" t="s">
        <v>1338</v>
      </c>
      <c r="B365" s="2" t="s">
        <v>1202</v>
      </c>
      <c r="C365" s="7" t="s">
        <v>1339</v>
      </c>
      <c r="D365" s="7" t="s">
        <v>1340</v>
      </c>
      <c r="E365" s="2" t="s">
        <v>1341</v>
      </c>
    </row>
    <row r="366" spans="1:5">
      <c r="A366" s="7" t="s">
        <v>1342</v>
      </c>
      <c r="B366" s="2" t="s">
        <v>1202</v>
      </c>
      <c r="C366" s="7" t="s">
        <v>1343</v>
      </c>
      <c r="D366" s="7" t="s">
        <v>1344</v>
      </c>
      <c r="E366" s="2" t="s">
        <v>1345</v>
      </c>
    </row>
    <row r="367" spans="1:5">
      <c r="A367" s="7" t="s">
        <v>1346</v>
      </c>
      <c r="B367" s="2" t="s">
        <v>1202</v>
      </c>
      <c r="C367" s="7" t="s">
        <v>1347</v>
      </c>
      <c r="D367" s="7" t="s">
        <v>1348</v>
      </c>
      <c r="E367" s="2" t="s">
        <v>1349</v>
      </c>
    </row>
    <row r="368" spans="1:5">
      <c r="A368" s="7" t="s">
        <v>1350</v>
      </c>
      <c r="B368" s="2" t="s">
        <v>1202</v>
      </c>
      <c r="C368" s="7" t="s">
        <v>1351</v>
      </c>
      <c r="D368" s="7" t="s">
        <v>1352</v>
      </c>
      <c r="E368" s="2" t="s">
        <v>1353</v>
      </c>
    </row>
    <row r="369" spans="1:5">
      <c r="A369" s="7" t="s">
        <v>1354</v>
      </c>
      <c r="B369" s="2" t="s">
        <v>1202</v>
      </c>
      <c r="C369" s="7" t="s">
        <v>1355</v>
      </c>
      <c r="D369" s="7" t="s">
        <v>1356</v>
      </c>
      <c r="E369" s="2" t="s">
        <v>1357</v>
      </c>
    </row>
    <row r="370" spans="1:5">
      <c r="A370" s="7" t="s">
        <v>1358</v>
      </c>
      <c r="B370" s="2" t="s">
        <v>1202</v>
      </c>
      <c r="C370" s="7" t="s">
        <v>1359</v>
      </c>
      <c r="D370" s="7" t="s">
        <v>1360</v>
      </c>
      <c r="E370" s="2" t="s">
        <v>1361</v>
      </c>
    </row>
    <row r="371" spans="1:5">
      <c r="A371" s="7" t="s">
        <v>1362</v>
      </c>
      <c r="B371" s="2" t="s">
        <v>1202</v>
      </c>
      <c r="C371" s="7" t="s">
        <v>1363</v>
      </c>
      <c r="D371" s="7" t="s">
        <v>1364</v>
      </c>
      <c r="E371" s="2" t="s">
        <v>1365</v>
      </c>
    </row>
    <row r="372" spans="1:5">
      <c r="A372" s="7" t="s">
        <v>1366</v>
      </c>
      <c r="B372" s="2" t="s">
        <v>1202</v>
      </c>
      <c r="C372" s="7" t="s">
        <v>1367</v>
      </c>
      <c r="D372" s="7" t="s">
        <v>1368</v>
      </c>
      <c r="E372" s="2" t="s">
        <v>1369</v>
      </c>
    </row>
    <row r="373" spans="1:5">
      <c r="A373" s="7" t="s">
        <v>1370</v>
      </c>
      <c r="B373" s="2" t="s">
        <v>1202</v>
      </c>
      <c r="C373" s="7" t="s">
        <v>1371</v>
      </c>
      <c r="D373" s="7" t="s">
        <v>1372</v>
      </c>
      <c r="E373" s="2" t="s">
        <v>1373</v>
      </c>
    </row>
    <row r="374" spans="1:5">
      <c r="A374" s="7" t="s">
        <v>1374</v>
      </c>
      <c r="B374" s="2" t="s">
        <v>1202</v>
      </c>
      <c r="C374" s="7" t="s">
        <v>1375</v>
      </c>
      <c r="D374" s="7" t="s">
        <v>1376</v>
      </c>
      <c r="E374" s="2" t="s">
        <v>1377</v>
      </c>
    </row>
    <row r="375" spans="1:5">
      <c r="A375" s="7" t="s">
        <v>1378</v>
      </c>
      <c r="B375" s="2" t="s">
        <v>1202</v>
      </c>
      <c r="C375" s="7" t="s">
        <v>1379</v>
      </c>
      <c r="D375" s="7" t="s">
        <v>1380</v>
      </c>
      <c r="E375" s="2" t="s">
        <v>1381</v>
      </c>
    </row>
    <row r="376" spans="1:5">
      <c r="A376" s="7" t="s">
        <v>1382</v>
      </c>
      <c r="B376" s="2" t="s">
        <v>1202</v>
      </c>
      <c r="C376" s="7" t="s">
        <v>1383</v>
      </c>
      <c r="D376" s="7" t="s">
        <v>1384</v>
      </c>
      <c r="E376" s="2" t="s">
        <v>1385</v>
      </c>
    </row>
    <row r="377" spans="1:5">
      <c r="A377" s="7" t="s">
        <v>1386</v>
      </c>
      <c r="B377" s="2" t="s">
        <v>1202</v>
      </c>
      <c r="C377" s="7" t="s">
        <v>1387</v>
      </c>
      <c r="D377" s="7" t="s">
        <v>1388</v>
      </c>
      <c r="E377" s="2" t="s">
        <v>1389</v>
      </c>
    </row>
    <row r="378" spans="1:5">
      <c r="A378" s="7" t="s">
        <v>1390</v>
      </c>
      <c r="B378" s="2" t="s">
        <v>1202</v>
      </c>
      <c r="C378" s="7" t="s">
        <v>1391</v>
      </c>
      <c r="D378" s="7" t="s">
        <v>1392</v>
      </c>
      <c r="E378" s="2" t="s">
        <v>1393</v>
      </c>
    </row>
    <row r="379" spans="1:5">
      <c r="A379" s="7" t="s">
        <v>1394</v>
      </c>
      <c r="B379" s="2" t="s">
        <v>1202</v>
      </c>
      <c r="C379" s="7" t="s">
        <v>1395</v>
      </c>
      <c r="D379" s="7" t="s">
        <v>1396</v>
      </c>
      <c r="E379" s="2" t="s">
        <v>1397</v>
      </c>
    </row>
    <row r="380" spans="1:5">
      <c r="A380" s="7" t="s">
        <v>1398</v>
      </c>
      <c r="B380" s="2" t="s">
        <v>1202</v>
      </c>
      <c r="C380" s="7" t="s">
        <v>1399</v>
      </c>
      <c r="D380" s="7" t="s">
        <v>1400</v>
      </c>
      <c r="E380" s="2" t="s">
        <v>1401</v>
      </c>
    </row>
    <row r="381" spans="1:5">
      <c r="A381" s="7" t="s">
        <v>1402</v>
      </c>
      <c r="B381" s="2" t="s">
        <v>1202</v>
      </c>
      <c r="C381" s="7" t="s">
        <v>1403</v>
      </c>
      <c r="D381" s="7" t="s">
        <v>1404</v>
      </c>
      <c r="E381" s="2" t="s">
        <v>1405</v>
      </c>
    </row>
    <row r="382" spans="1:5">
      <c r="A382" s="7" t="s">
        <v>1406</v>
      </c>
      <c r="B382" s="2" t="s">
        <v>1202</v>
      </c>
      <c r="C382" s="7" t="s">
        <v>1407</v>
      </c>
      <c r="D382" s="7" t="s">
        <v>1408</v>
      </c>
      <c r="E382" s="2" t="s">
        <v>1409</v>
      </c>
    </row>
    <row r="383" spans="1:5">
      <c r="A383" s="7" t="s">
        <v>1410</v>
      </c>
      <c r="B383" s="2" t="s">
        <v>1202</v>
      </c>
      <c r="C383" s="7" t="s">
        <v>1411</v>
      </c>
      <c r="D383" s="7" t="s">
        <v>1412</v>
      </c>
      <c r="E383" s="2" t="s">
        <v>1413</v>
      </c>
    </row>
    <row r="384" spans="1:5">
      <c r="A384" s="7" t="s">
        <v>1414</v>
      </c>
      <c r="B384" s="2" t="s">
        <v>1202</v>
      </c>
      <c r="C384" s="7" t="s">
        <v>1415</v>
      </c>
      <c r="D384" s="7" t="s">
        <v>1416</v>
      </c>
      <c r="E384" s="2" t="s">
        <v>1417</v>
      </c>
    </row>
    <row r="385" spans="1:5">
      <c r="A385" s="7" t="s">
        <v>1418</v>
      </c>
      <c r="B385" s="2" t="s">
        <v>1202</v>
      </c>
      <c r="C385" s="7" t="s">
        <v>1419</v>
      </c>
      <c r="D385" s="7" t="s">
        <v>1420</v>
      </c>
      <c r="E385" s="2" t="s">
        <v>1421</v>
      </c>
    </row>
    <row r="386" spans="1:5">
      <c r="A386" s="7" t="s">
        <v>1422</v>
      </c>
      <c r="B386" s="2" t="s">
        <v>1202</v>
      </c>
      <c r="C386" s="7" t="s">
        <v>1423</v>
      </c>
      <c r="D386" s="7" t="s">
        <v>1424</v>
      </c>
      <c r="E386" s="2" t="s">
        <v>1425</v>
      </c>
    </row>
    <row r="387" spans="1:5">
      <c r="A387" s="7" t="s">
        <v>1426</v>
      </c>
      <c r="B387" s="2" t="s">
        <v>1202</v>
      </c>
      <c r="C387" s="7" t="s">
        <v>1427</v>
      </c>
      <c r="D387" s="7" t="s">
        <v>1428</v>
      </c>
      <c r="E387" s="2" t="s">
        <v>1429</v>
      </c>
    </row>
    <row r="388" spans="1:5">
      <c r="A388" s="7" t="s">
        <v>1430</v>
      </c>
      <c r="B388" s="2" t="s">
        <v>1202</v>
      </c>
      <c r="C388" s="7" t="s">
        <v>1431</v>
      </c>
      <c r="D388" s="7" t="s">
        <v>1432</v>
      </c>
      <c r="E388" s="2" t="s">
        <v>1433</v>
      </c>
    </row>
    <row r="389" spans="1:5">
      <c r="A389" s="7" t="s">
        <v>1434</v>
      </c>
      <c r="B389" s="2" t="s">
        <v>1202</v>
      </c>
      <c r="C389" s="7" t="s">
        <v>1435</v>
      </c>
      <c r="D389" s="7" t="s">
        <v>1436</v>
      </c>
      <c r="E389" s="2" t="s">
        <v>1437</v>
      </c>
    </row>
    <row r="390" spans="1:5">
      <c r="A390" s="7" t="s">
        <v>1438</v>
      </c>
      <c r="B390" s="2" t="s">
        <v>1202</v>
      </c>
      <c r="C390" s="7" t="s">
        <v>1439</v>
      </c>
      <c r="D390" s="7" t="s">
        <v>1440</v>
      </c>
      <c r="E390" s="2" t="s">
        <v>1441</v>
      </c>
    </row>
    <row r="391" spans="1:5">
      <c r="A391" s="7" t="s">
        <v>1442</v>
      </c>
      <c r="B391" s="2" t="s">
        <v>1202</v>
      </c>
      <c r="C391" s="7" t="s">
        <v>1443</v>
      </c>
      <c r="D391" s="7" t="s">
        <v>1444</v>
      </c>
      <c r="E391" s="2" t="s">
        <v>1445</v>
      </c>
    </row>
    <row r="392" spans="1:5">
      <c r="A392" s="7" t="s">
        <v>1446</v>
      </c>
      <c r="B392" s="2" t="s">
        <v>1202</v>
      </c>
      <c r="C392" s="7" t="s">
        <v>1447</v>
      </c>
      <c r="D392" s="7" t="s">
        <v>1448</v>
      </c>
      <c r="E392" s="2" t="s">
        <v>1449</v>
      </c>
    </row>
    <row r="393" spans="1:5">
      <c r="A393" s="7" t="s">
        <v>1450</v>
      </c>
      <c r="B393" s="2" t="s">
        <v>1202</v>
      </c>
      <c r="C393" s="7" t="s">
        <v>1451</v>
      </c>
      <c r="D393" s="7" t="s">
        <v>1452</v>
      </c>
      <c r="E393" s="2" t="s">
        <v>1453</v>
      </c>
    </row>
    <row r="394" spans="1:5">
      <c r="A394" s="7" t="s">
        <v>1454</v>
      </c>
      <c r="B394" s="2" t="s">
        <v>1202</v>
      </c>
      <c r="C394" s="7" t="s">
        <v>1455</v>
      </c>
      <c r="D394" s="7" t="s">
        <v>1456</v>
      </c>
      <c r="E394" s="2" t="s">
        <v>1457</v>
      </c>
    </row>
    <row r="395" spans="1:5">
      <c r="A395" s="7" t="s">
        <v>1458</v>
      </c>
      <c r="B395" s="2" t="s">
        <v>1202</v>
      </c>
      <c r="C395" s="7" t="s">
        <v>1459</v>
      </c>
      <c r="D395" s="7" t="s">
        <v>1460</v>
      </c>
      <c r="E395" s="2" t="s">
        <v>1461</v>
      </c>
    </row>
    <row r="396" spans="1:5">
      <c r="A396" s="7" t="s">
        <v>1462</v>
      </c>
      <c r="B396" s="2" t="s">
        <v>1202</v>
      </c>
      <c r="C396" s="7" t="s">
        <v>1463</v>
      </c>
      <c r="D396" s="7" t="s">
        <v>1464</v>
      </c>
      <c r="E396" s="2" t="s">
        <v>1465</v>
      </c>
    </row>
    <row r="397" spans="1:5">
      <c r="A397" s="7" t="s">
        <v>1466</v>
      </c>
      <c r="B397" s="2" t="s">
        <v>1202</v>
      </c>
      <c r="C397" s="7" t="s">
        <v>1467</v>
      </c>
      <c r="D397" s="7" t="s">
        <v>1468</v>
      </c>
      <c r="E397" s="2" t="s">
        <v>1469</v>
      </c>
    </row>
    <row r="398" spans="1:5">
      <c r="A398" s="7" t="s">
        <v>1470</v>
      </c>
      <c r="B398" s="2" t="s">
        <v>1202</v>
      </c>
      <c r="C398" s="7" t="s">
        <v>1471</v>
      </c>
      <c r="D398" s="7" t="s">
        <v>1472</v>
      </c>
      <c r="E398" s="2" t="s">
        <v>1473</v>
      </c>
    </row>
    <row r="399" spans="1:5">
      <c r="A399" s="7" t="s">
        <v>1474</v>
      </c>
      <c r="B399" s="2" t="s">
        <v>1202</v>
      </c>
      <c r="C399" s="7" t="s">
        <v>1475</v>
      </c>
      <c r="D399" s="7" t="s">
        <v>1476</v>
      </c>
      <c r="E399" s="2" t="s">
        <v>1477</v>
      </c>
    </row>
    <row r="400" spans="1:5">
      <c r="A400" s="7" t="s">
        <v>1478</v>
      </c>
      <c r="B400" s="2" t="s">
        <v>1202</v>
      </c>
      <c r="C400" s="7" t="s">
        <v>1479</v>
      </c>
      <c r="D400" s="7" t="s">
        <v>1480</v>
      </c>
      <c r="E400" s="2" t="s">
        <v>1481</v>
      </c>
    </row>
    <row r="401" spans="1:5">
      <c r="A401" s="7" t="s">
        <v>1482</v>
      </c>
      <c r="B401" s="2" t="s">
        <v>1202</v>
      </c>
      <c r="C401" s="7" t="s">
        <v>1483</v>
      </c>
      <c r="D401" s="7" t="s">
        <v>1484</v>
      </c>
      <c r="E401" s="2" t="s">
        <v>1485</v>
      </c>
    </row>
    <row r="402" spans="1:5">
      <c r="A402" s="7" t="s">
        <v>1486</v>
      </c>
      <c r="B402" s="2" t="s">
        <v>1202</v>
      </c>
      <c r="C402" s="7" t="s">
        <v>1487</v>
      </c>
      <c r="D402" s="7" t="s">
        <v>1488</v>
      </c>
      <c r="E402" s="2" t="s">
        <v>1489</v>
      </c>
    </row>
    <row r="403" spans="1:5">
      <c r="A403" s="7" t="s">
        <v>1490</v>
      </c>
      <c r="B403" s="2" t="s">
        <v>1202</v>
      </c>
      <c r="C403" s="7" t="s">
        <v>1491</v>
      </c>
      <c r="D403" s="7" t="s">
        <v>1492</v>
      </c>
      <c r="E403" s="2" t="s">
        <v>1493</v>
      </c>
    </row>
    <row r="404" spans="1:5">
      <c r="A404" s="7" t="s">
        <v>1494</v>
      </c>
      <c r="B404" s="2" t="s">
        <v>1202</v>
      </c>
      <c r="C404" s="7" t="s">
        <v>1495</v>
      </c>
      <c r="D404" s="7" t="s">
        <v>1496</v>
      </c>
      <c r="E404" s="2" t="s">
        <v>1497</v>
      </c>
    </row>
    <row r="405" spans="1:5">
      <c r="A405" s="7" t="s">
        <v>1498</v>
      </c>
      <c r="B405" s="2" t="s">
        <v>1202</v>
      </c>
      <c r="C405" s="7" t="s">
        <v>1499</v>
      </c>
      <c r="D405" s="7" t="s">
        <v>1500</v>
      </c>
      <c r="E405" s="2" t="s">
        <v>1501</v>
      </c>
    </row>
    <row r="406" spans="1:5">
      <c r="A406" s="7" t="s">
        <v>1502</v>
      </c>
      <c r="B406" s="2" t="s">
        <v>1202</v>
      </c>
      <c r="C406" s="7" t="s">
        <v>1503</v>
      </c>
      <c r="D406" s="7" t="s">
        <v>1504</v>
      </c>
      <c r="E406" s="2" t="s">
        <v>1505</v>
      </c>
    </row>
    <row r="407" spans="1:5">
      <c r="A407" s="7" t="s">
        <v>1506</v>
      </c>
      <c r="B407" s="2" t="s">
        <v>1202</v>
      </c>
      <c r="C407" s="7" t="s">
        <v>1507</v>
      </c>
      <c r="D407" s="7" t="s">
        <v>1508</v>
      </c>
      <c r="E407" s="2" t="s">
        <v>1509</v>
      </c>
    </row>
    <row r="408" spans="1:5">
      <c r="A408" s="7" t="s">
        <v>1510</v>
      </c>
      <c r="B408" s="2" t="s">
        <v>1202</v>
      </c>
      <c r="C408" s="7" t="s">
        <v>1511</v>
      </c>
      <c r="D408" s="7" t="s">
        <v>1512</v>
      </c>
      <c r="E408" s="2" t="s">
        <v>1513</v>
      </c>
    </row>
    <row r="409" spans="1:5">
      <c r="A409" s="7" t="s">
        <v>1514</v>
      </c>
      <c r="B409" s="2" t="s">
        <v>1202</v>
      </c>
      <c r="C409" s="7" t="s">
        <v>1515</v>
      </c>
      <c r="D409" s="7" t="s">
        <v>1516</v>
      </c>
      <c r="E409" s="2" t="s">
        <v>1517</v>
      </c>
    </row>
    <row r="410" spans="1:5">
      <c r="A410" s="7" t="s">
        <v>1518</v>
      </c>
      <c r="B410" s="2" t="s">
        <v>1202</v>
      </c>
      <c r="C410" s="7" t="s">
        <v>1519</v>
      </c>
      <c r="D410" s="7" t="s">
        <v>1520</v>
      </c>
      <c r="E410" s="2" t="s">
        <v>1521</v>
      </c>
    </row>
    <row r="411" spans="1:5">
      <c r="A411" s="7" t="s">
        <v>1522</v>
      </c>
      <c r="B411" s="2" t="s">
        <v>1202</v>
      </c>
      <c r="C411" s="7" t="s">
        <v>1523</v>
      </c>
      <c r="D411" s="7" t="s">
        <v>1524</v>
      </c>
      <c r="E411" s="2" t="s">
        <v>1525</v>
      </c>
    </row>
    <row r="412" spans="1:5">
      <c r="A412" s="7" t="s">
        <v>1526</v>
      </c>
      <c r="B412" s="2" t="s">
        <v>1202</v>
      </c>
      <c r="C412" s="7" t="s">
        <v>1527</v>
      </c>
      <c r="D412" s="7" t="s">
        <v>1528</v>
      </c>
      <c r="E412" s="2" t="s">
        <v>1529</v>
      </c>
    </row>
    <row r="413" spans="1:5">
      <c r="A413" s="7" t="s">
        <v>1530</v>
      </c>
      <c r="B413" s="2" t="s">
        <v>1202</v>
      </c>
      <c r="C413" s="7" t="s">
        <v>1531</v>
      </c>
      <c r="D413" s="7" t="s">
        <v>1532</v>
      </c>
      <c r="E413" s="2" t="s">
        <v>1533</v>
      </c>
    </row>
    <row r="414" spans="1:5">
      <c r="A414" s="7" t="s">
        <v>1534</v>
      </c>
      <c r="B414" s="2" t="s">
        <v>1202</v>
      </c>
      <c r="C414" s="7" t="s">
        <v>1535</v>
      </c>
      <c r="D414" s="7" t="s">
        <v>1536</v>
      </c>
      <c r="E414" s="2" t="s">
        <v>1537</v>
      </c>
    </row>
    <row r="415" spans="1:5">
      <c r="A415" s="7" t="s">
        <v>1538</v>
      </c>
      <c r="B415" s="2" t="s">
        <v>1202</v>
      </c>
      <c r="C415" s="7" t="s">
        <v>1539</v>
      </c>
      <c r="D415" s="7" t="s">
        <v>1540</v>
      </c>
      <c r="E415" s="2" t="s">
        <v>1541</v>
      </c>
    </row>
    <row r="416" spans="1:5">
      <c r="A416" s="7" t="s">
        <v>1542</v>
      </c>
      <c r="B416" s="2" t="s">
        <v>1202</v>
      </c>
      <c r="C416" s="7" t="s">
        <v>1543</v>
      </c>
      <c r="D416" s="7" t="s">
        <v>1544</v>
      </c>
      <c r="E416" s="2" t="s">
        <v>1545</v>
      </c>
    </row>
    <row r="417" spans="1:5">
      <c r="A417" s="7" t="s">
        <v>1546</v>
      </c>
      <c r="B417" s="2" t="s">
        <v>1202</v>
      </c>
      <c r="C417" s="7" t="s">
        <v>1547</v>
      </c>
      <c r="D417" s="7" t="s">
        <v>1548</v>
      </c>
      <c r="E417" s="2" t="s">
        <v>1549</v>
      </c>
    </row>
    <row r="418" spans="1:5">
      <c r="A418" s="7" t="s">
        <v>1550</v>
      </c>
      <c r="B418" s="2" t="s">
        <v>1202</v>
      </c>
      <c r="C418" s="7" t="s">
        <v>1551</v>
      </c>
      <c r="D418" s="7" t="s">
        <v>1552</v>
      </c>
      <c r="E418" s="2" t="s">
        <v>1553</v>
      </c>
    </row>
    <row r="419" spans="1:5">
      <c r="A419" s="7" t="s">
        <v>1554</v>
      </c>
      <c r="B419" s="2" t="s">
        <v>1202</v>
      </c>
      <c r="C419" s="7" t="s">
        <v>1555</v>
      </c>
      <c r="D419" s="7" t="s">
        <v>1556</v>
      </c>
      <c r="E419" s="2" t="s">
        <v>1557</v>
      </c>
    </row>
    <row r="420" spans="1:5">
      <c r="A420" s="7" t="s">
        <v>1558</v>
      </c>
      <c r="B420" s="2" t="s">
        <v>1202</v>
      </c>
      <c r="C420" s="7" t="s">
        <v>1559</v>
      </c>
      <c r="D420" s="7" t="s">
        <v>1560</v>
      </c>
      <c r="E420" s="2" t="s">
        <v>1561</v>
      </c>
    </row>
    <row r="421" spans="1:5">
      <c r="A421" s="7" t="s">
        <v>1562</v>
      </c>
      <c r="B421" s="2" t="s">
        <v>1202</v>
      </c>
      <c r="C421" s="7" t="s">
        <v>1563</v>
      </c>
      <c r="D421" s="7" t="s">
        <v>1564</v>
      </c>
      <c r="E421" s="2" t="s">
        <v>1565</v>
      </c>
    </row>
    <row r="422" spans="1:5">
      <c r="A422" s="7" t="s">
        <v>1566</v>
      </c>
      <c r="B422" s="2" t="s">
        <v>1202</v>
      </c>
      <c r="C422" s="7" t="s">
        <v>1567</v>
      </c>
      <c r="D422" s="7" t="s">
        <v>1568</v>
      </c>
      <c r="E422" s="2" t="s">
        <v>1569</v>
      </c>
    </row>
    <row r="423" spans="1:5">
      <c r="A423" s="7" t="s">
        <v>1570</v>
      </c>
      <c r="B423" s="2" t="s">
        <v>1202</v>
      </c>
      <c r="C423" s="7" t="s">
        <v>1571</v>
      </c>
      <c r="D423" s="7" t="s">
        <v>1572</v>
      </c>
      <c r="E423" s="2" t="s">
        <v>1573</v>
      </c>
    </row>
    <row r="424" spans="1:5">
      <c r="A424" s="7" t="s">
        <v>1574</v>
      </c>
      <c r="B424" s="2" t="s">
        <v>1202</v>
      </c>
      <c r="C424" s="7" t="s">
        <v>1575</v>
      </c>
      <c r="D424" s="7" t="s">
        <v>1576</v>
      </c>
      <c r="E424" s="2" t="s">
        <v>1577</v>
      </c>
    </row>
    <row r="425" spans="1:5">
      <c r="A425" s="7" t="s">
        <v>1578</v>
      </c>
      <c r="B425" s="2" t="s">
        <v>1202</v>
      </c>
      <c r="C425" s="7" t="s">
        <v>1579</v>
      </c>
      <c r="D425" s="7" t="s">
        <v>1580</v>
      </c>
      <c r="E425" s="2" t="s">
        <v>1581</v>
      </c>
    </row>
    <row r="426" spans="1:5">
      <c r="A426" s="7" t="s">
        <v>1582</v>
      </c>
      <c r="B426" s="2" t="s">
        <v>1202</v>
      </c>
      <c r="C426" s="7" t="s">
        <v>1583</v>
      </c>
      <c r="D426" s="7" t="s">
        <v>1584</v>
      </c>
      <c r="E426" s="2" t="s">
        <v>1585</v>
      </c>
    </row>
    <row r="427" spans="1:5">
      <c r="A427" s="7" t="s">
        <v>1586</v>
      </c>
      <c r="B427" s="2" t="s">
        <v>1202</v>
      </c>
      <c r="C427" s="7" t="s">
        <v>1587</v>
      </c>
      <c r="D427" s="7" t="s">
        <v>1588</v>
      </c>
      <c r="E427" s="2" t="s">
        <v>1589</v>
      </c>
    </row>
    <row r="428" spans="1:5">
      <c r="A428" s="7" t="s">
        <v>1590</v>
      </c>
      <c r="B428" s="2" t="s">
        <v>1202</v>
      </c>
      <c r="C428" s="7" t="s">
        <v>1591</v>
      </c>
      <c r="D428" s="7" t="s">
        <v>1592</v>
      </c>
      <c r="E428" s="2" t="s">
        <v>1593</v>
      </c>
    </row>
    <row r="429" spans="1:5">
      <c r="A429" s="7" t="s">
        <v>1594</v>
      </c>
      <c r="B429" s="2" t="s">
        <v>1202</v>
      </c>
      <c r="C429" s="7" t="s">
        <v>1595</v>
      </c>
      <c r="D429" s="7" t="s">
        <v>1596</v>
      </c>
      <c r="E429" s="2" t="s">
        <v>1597</v>
      </c>
    </row>
    <row r="430" spans="1:5">
      <c r="A430" s="7" t="s">
        <v>1598</v>
      </c>
      <c r="B430" s="2" t="s">
        <v>1202</v>
      </c>
      <c r="C430" s="7" t="s">
        <v>1599</v>
      </c>
      <c r="D430" s="7" t="s">
        <v>1600</v>
      </c>
      <c r="E430" s="2" t="s">
        <v>1601</v>
      </c>
    </row>
    <row r="431" spans="1:5">
      <c r="A431" s="7" t="s">
        <v>1602</v>
      </c>
      <c r="B431" s="2" t="s">
        <v>1202</v>
      </c>
      <c r="C431" s="7" t="s">
        <v>1603</v>
      </c>
      <c r="D431" s="7" t="s">
        <v>1604</v>
      </c>
      <c r="E431" s="2" t="s">
        <v>1605</v>
      </c>
    </row>
    <row r="432" spans="1:5">
      <c r="A432" s="7" t="s">
        <v>1606</v>
      </c>
      <c r="B432" s="2" t="s">
        <v>1202</v>
      </c>
      <c r="C432" s="7" t="s">
        <v>1607</v>
      </c>
      <c r="D432" s="7" t="s">
        <v>1608</v>
      </c>
      <c r="E432" s="2" t="s">
        <v>1609</v>
      </c>
    </row>
    <row r="433" spans="1:5">
      <c r="A433" s="7" t="s">
        <v>1610</v>
      </c>
      <c r="B433" s="2" t="s">
        <v>1202</v>
      </c>
      <c r="C433" s="7" t="s">
        <v>1611</v>
      </c>
      <c r="D433" s="7" t="s">
        <v>1612</v>
      </c>
      <c r="E433" s="2" t="s">
        <v>1613</v>
      </c>
    </row>
    <row r="434" spans="1:5">
      <c r="A434" s="7" t="s">
        <v>1614</v>
      </c>
      <c r="B434" s="2" t="s">
        <v>1202</v>
      </c>
      <c r="C434" s="7" t="s">
        <v>1615</v>
      </c>
      <c r="D434" s="7" t="s">
        <v>1616</v>
      </c>
      <c r="E434" s="2" t="s">
        <v>1617</v>
      </c>
    </row>
    <row r="435" spans="1:5">
      <c r="A435" s="7" t="s">
        <v>1618</v>
      </c>
      <c r="B435" s="2" t="s">
        <v>1202</v>
      </c>
      <c r="C435" s="7" t="s">
        <v>1619</v>
      </c>
      <c r="D435" s="7" t="s">
        <v>1620</v>
      </c>
      <c r="E435" s="2" t="s">
        <v>1621</v>
      </c>
    </row>
    <row r="436" spans="1:5">
      <c r="A436" s="7" t="s">
        <v>1622</v>
      </c>
      <c r="B436" s="2" t="s">
        <v>1202</v>
      </c>
      <c r="C436" s="7" t="s">
        <v>1623</v>
      </c>
      <c r="D436" s="7" t="s">
        <v>1624</v>
      </c>
      <c r="E436" s="2" t="s">
        <v>1625</v>
      </c>
    </row>
    <row r="437" spans="1:5">
      <c r="A437" s="7" t="s">
        <v>1626</v>
      </c>
      <c r="B437" s="2" t="s">
        <v>1202</v>
      </c>
      <c r="C437" s="7" t="s">
        <v>1627</v>
      </c>
      <c r="D437" s="7" t="s">
        <v>1628</v>
      </c>
      <c r="E437" s="2" t="s">
        <v>1629</v>
      </c>
    </row>
    <row r="438" spans="1:5">
      <c r="A438" s="7" t="s">
        <v>1630</v>
      </c>
      <c r="B438" s="2" t="s">
        <v>1202</v>
      </c>
      <c r="C438" s="7" t="s">
        <v>1631</v>
      </c>
      <c r="D438" s="7" t="s">
        <v>1632</v>
      </c>
      <c r="E438" s="2" t="s">
        <v>1633</v>
      </c>
    </row>
    <row r="439" spans="1:5">
      <c r="A439" s="7" t="s">
        <v>1634</v>
      </c>
      <c r="B439" s="2" t="s">
        <v>1202</v>
      </c>
      <c r="C439" s="7" t="s">
        <v>1635</v>
      </c>
      <c r="D439" s="7" t="s">
        <v>1636</v>
      </c>
      <c r="E439" s="2" t="s">
        <v>1637</v>
      </c>
    </row>
    <row r="440" spans="1:5">
      <c r="A440" s="7" t="s">
        <v>1638</v>
      </c>
      <c r="B440" s="2" t="s">
        <v>1202</v>
      </c>
      <c r="C440" s="7" t="s">
        <v>1639</v>
      </c>
      <c r="D440" s="7" t="s">
        <v>1640</v>
      </c>
      <c r="E440" s="2" t="s">
        <v>1641</v>
      </c>
    </row>
    <row r="441" spans="1:5">
      <c r="A441" s="7" t="s">
        <v>1642</v>
      </c>
      <c r="B441" s="2" t="s">
        <v>1202</v>
      </c>
      <c r="C441" s="7" t="s">
        <v>1643</v>
      </c>
      <c r="D441" s="7" t="s">
        <v>1644</v>
      </c>
      <c r="E441" s="2" t="s">
        <v>1645</v>
      </c>
    </row>
    <row r="442" spans="1:5">
      <c r="A442" s="7" t="s">
        <v>1646</v>
      </c>
      <c r="B442" s="2" t="s">
        <v>1202</v>
      </c>
      <c r="C442" s="7" t="s">
        <v>1647</v>
      </c>
      <c r="D442" s="7" t="s">
        <v>1648</v>
      </c>
      <c r="E442" s="2" t="s">
        <v>1649</v>
      </c>
    </row>
    <row r="443" spans="1:5">
      <c r="A443" s="7" t="s">
        <v>1650</v>
      </c>
      <c r="B443" s="2" t="s">
        <v>1202</v>
      </c>
      <c r="C443" s="7" t="s">
        <v>1651</v>
      </c>
      <c r="D443" s="7" t="s">
        <v>1652</v>
      </c>
      <c r="E443" s="2" t="s">
        <v>1653</v>
      </c>
    </row>
    <row r="444" spans="1:5">
      <c r="A444" s="7" t="s">
        <v>1654</v>
      </c>
      <c r="B444" s="2" t="s">
        <v>1202</v>
      </c>
      <c r="C444" s="7" t="s">
        <v>1655</v>
      </c>
      <c r="D444" s="7" t="s">
        <v>1656</v>
      </c>
      <c r="E444" s="2" t="s">
        <v>1657</v>
      </c>
    </row>
    <row r="445" spans="1:5">
      <c r="A445" s="7" t="s">
        <v>1658</v>
      </c>
      <c r="B445" s="2" t="s">
        <v>1202</v>
      </c>
      <c r="C445" s="7" t="s">
        <v>1659</v>
      </c>
      <c r="D445" s="7" t="s">
        <v>1660</v>
      </c>
      <c r="E445" s="2" t="s">
        <v>1661</v>
      </c>
    </row>
    <row r="446" spans="1:5">
      <c r="A446" s="7" t="s">
        <v>1662</v>
      </c>
      <c r="B446" s="2" t="s">
        <v>1202</v>
      </c>
      <c r="C446" s="7" t="s">
        <v>1663</v>
      </c>
      <c r="D446" s="7" t="s">
        <v>1664</v>
      </c>
      <c r="E446" s="2" t="s">
        <v>1665</v>
      </c>
    </row>
    <row r="447" spans="1:5">
      <c r="A447" s="7" t="s">
        <v>1666</v>
      </c>
      <c r="B447" s="2" t="s">
        <v>1202</v>
      </c>
      <c r="C447" s="7" t="s">
        <v>1667</v>
      </c>
      <c r="D447" s="7" t="s">
        <v>1668</v>
      </c>
      <c r="E447" s="2" t="s">
        <v>1669</v>
      </c>
    </row>
    <row r="448" spans="1:5">
      <c r="A448" s="7" t="s">
        <v>1670</v>
      </c>
      <c r="B448" s="2" t="s">
        <v>1202</v>
      </c>
      <c r="C448" s="7" t="s">
        <v>1671</v>
      </c>
      <c r="D448" s="7" t="s">
        <v>1672</v>
      </c>
      <c r="E448" s="2" t="s">
        <v>1673</v>
      </c>
    </row>
    <row r="449" spans="1:5">
      <c r="A449" s="7" t="s">
        <v>1674</v>
      </c>
      <c r="B449" s="2" t="s">
        <v>1202</v>
      </c>
      <c r="C449" s="7" t="s">
        <v>1675</v>
      </c>
      <c r="D449" s="7" t="s">
        <v>1676</v>
      </c>
      <c r="E449" s="2" t="s">
        <v>1677</v>
      </c>
    </row>
    <row r="450" spans="1:5">
      <c r="A450" s="7" t="s">
        <v>1678</v>
      </c>
      <c r="B450" s="2" t="s">
        <v>1202</v>
      </c>
      <c r="C450" s="7" t="s">
        <v>1679</v>
      </c>
      <c r="D450" s="7" t="s">
        <v>1680</v>
      </c>
      <c r="E450" s="2" t="s">
        <v>1681</v>
      </c>
    </row>
    <row r="451" spans="1:5">
      <c r="A451" s="7" t="s">
        <v>1682</v>
      </c>
      <c r="B451" s="2" t="s">
        <v>1202</v>
      </c>
      <c r="C451" s="7" t="s">
        <v>1683</v>
      </c>
      <c r="D451" s="7" t="s">
        <v>1684</v>
      </c>
      <c r="E451" s="2" t="s">
        <v>1685</v>
      </c>
    </row>
    <row r="452" spans="1:5">
      <c r="A452" s="7" t="s">
        <v>1686</v>
      </c>
      <c r="B452" s="2" t="s">
        <v>1202</v>
      </c>
      <c r="C452" s="7" t="s">
        <v>1687</v>
      </c>
      <c r="D452" s="7" t="s">
        <v>1688</v>
      </c>
      <c r="E452" s="2" t="s">
        <v>1689</v>
      </c>
    </row>
    <row r="453" spans="1:5">
      <c r="A453" s="7" t="s">
        <v>1690</v>
      </c>
      <c r="B453" s="2" t="s">
        <v>1202</v>
      </c>
      <c r="C453" s="7" t="s">
        <v>1691</v>
      </c>
      <c r="D453" s="7" t="s">
        <v>1692</v>
      </c>
      <c r="E453" s="2" t="s">
        <v>1693</v>
      </c>
    </row>
    <row r="454" spans="1:5">
      <c r="A454" s="7" t="s">
        <v>1694</v>
      </c>
      <c r="B454" s="2" t="s">
        <v>1202</v>
      </c>
      <c r="C454" s="7" t="s">
        <v>1695</v>
      </c>
      <c r="D454" s="7" t="s">
        <v>1696</v>
      </c>
      <c r="E454" s="2" t="s">
        <v>1697</v>
      </c>
    </row>
    <row r="455" spans="1:5">
      <c r="A455" s="7" t="s">
        <v>1698</v>
      </c>
      <c r="B455" s="2" t="s">
        <v>1202</v>
      </c>
      <c r="C455" s="7" t="s">
        <v>1699</v>
      </c>
      <c r="D455" s="7" t="s">
        <v>1700</v>
      </c>
      <c r="E455" s="2" t="s">
        <v>1701</v>
      </c>
    </row>
    <row r="456" spans="1:5">
      <c r="A456" s="7" t="s">
        <v>1702</v>
      </c>
      <c r="B456" s="2" t="s">
        <v>1202</v>
      </c>
      <c r="C456" s="7" t="s">
        <v>1703</v>
      </c>
      <c r="D456" s="7" t="s">
        <v>1704</v>
      </c>
      <c r="E456" s="2" t="s">
        <v>1705</v>
      </c>
    </row>
    <row r="457" spans="1:5">
      <c r="A457" s="7" t="s">
        <v>1706</v>
      </c>
      <c r="B457" s="2" t="s">
        <v>1202</v>
      </c>
      <c r="C457" s="7" t="s">
        <v>1707</v>
      </c>
      <c r="D457" s="7" t="s">
        <v>1708</v>
      </c>
      <c r="E457" s="2" t="s">
        <v>1709</v>
      </c>
    </row>
    <row r="458" spans="1:5">
      <c r="A458" s="7" t="s">
        <v>1710</v>
      </c>
      <c r="B458" s="2" t="s">
        <v>1202</v>
      </c>
      <c r="C458" s="7" t="s">
        <v>1711</v>
      </c>
      <c r="D458" s="7" t="s">
        <v>1712</v>
      </c>
      <c r="E458" s="2" t="s">
        <v>1713</v>
      </c>
    </row>
    <row r="459" spans="1:5">
      <c r="A459" s="7" t="s">
        <v>1714</v>
      </c>
      <c r="B459" s="2" t="s">
        <v>1202</v>
      </c>
      <c r="C459" s="7" t="s">
        <v>1715</v>
      </c>
      <c r="D459" s="7" t="s">
        <v>1716</v>
      </c>
      <c r="E459" s="2" t="s">
        <v>1717</v>
      </c>
    </row>
    <row r="460" spans="1:5">
      <c r="A460" s="7" t="s">
        <v>1718</v>
      </c>
      <c r="B460" s="2" t="s">
        <v>1202</v>
      </c>
      <c r="C460" s="7" t="s">
        <v>1719</v>
      </c>
      <c r="D460" s="7" t="s">
        <v>1720</v>
      </c>
      <c r="E460" s="2" t="s">
        <v>1721</v>
      </c>
    </row>
    <row r="461" spans="1:5">
      <c r="A461" s="7" t="s">
        <v>1722</v>
      </c>
      <c r="B461" s="2" t="s">
        <v>1202</v>
      </c>
      <c r="C461" s="7" t="s">
        <v>1723</v>
      </c>
      <c r="D461" s="7" t="s">
        <v>1724</v>
      </c>
      <c r="E461" s="2" t="s">
        <v>1725</v>
      </c>
    </row>
    <row r="462" spans="1:5">
      <c r="A462" s="7" t="s">
        <v>1726</v>
      </c>
      <c r="B462" s="2" t="s">
        <v>1202</v>
      </c>
      <c r="C462" s="7" t="s">
        <v>1727</v>
      </c>
      <c r="D462" s="7" t="s">
        <v>1728</v>
      </c>
      <c r="E462" s="2" t="s">
        <v>1729</v>
      </c>
    </row>
    <row r="463" spans="1:5">
      <c r="A463" s="7" t="s">
        <v>1730</v>
      </c>
      <c r="B463" s="2" t="s">
        <v>1202</v>
      </c>
      <c r="C463" s="7" t="s">
        <v>1731</v>
      </c>
      <c r="D463" s="7" t="s">
        <v>1732</v>
      </c>
      <c r="E463" s="2" t="s">
        <v>1733</v>
      </c>
    </row>
    <row r="464" spans="1:5">
      <c r="A464" s="7" t="s">
        <v>1734</v>
      </c>
      <c r="B464" s="2" t="s">
        <v>1202</v>
      </c>
      <c r="C464" s="7" t="s">
        <v>1735</v>
      </c>
      <c r="D464" s="7" t="s">
        <v>1736</v>
      </c>
      <c r="E464" s="2" t="s">
        <v>1737</v>
      </c>
    </row>
    <row r="465" spans="1:5">
      <c r="A465" s="7" t="s">
        <v>1738</v>
      </c>
      <c r="B465" s="2" t="s">
        <v>1202</v>
      </c>
      <c r="C465" s="7" t="s">
        <v>1739</v>
      </c>
      <c r="D465" s="7" t="s">
        <v>1740</v>
      </c>
      <c r="E465" s="2" t="s">
        <v>1741</v>
      </c>
    </row>
    <row r="466" spans="1:5">
      <c r="A466" s="7" t="s">
        <v>1742</v>
      </c>
      <c r="B466" s="2" t="s">
        <v>1202</v>
      </c>
      <c r="C466" s="7" t="s">
        <v>1743</v>
      </c>
      <c r="D466" s="7" t="s">
        <v>1744</v>
      </c>
      <c r="E466" s="2" t="s">
        <v>1745</v>
      </c>
    </row>
    <row r="467" spans="1:5">
      <c r="A467" s="7" t="s">
        <v>1746</v>
      </c>
      <c r="B467" s="2" t="s">
        <v>1202</v>
      </c>
      <c r="C467" s="7" t="s">
        <v>1747</v>
      </c>
      <c r="D467" s="7" t="s">
        <v>1748</v>
      </c>
      <c r="E467" s="2" t="s">
        <v>1749</v>
      </c>
    </row>
    <row r="468" spans="1:5">
      <c r="A468" s="7" t="s">
        <v>1750</v>
      </c>
      <c r="B468" s="2" t="s">
        <v>1202</v>
      </c>
      <c r="C468" s="7" t="s">
        <v>1751</v>
      </c>
      <c r="D468" s="7" t="s">
        <v>1752</v>
      </c>
      <c r="E468" s="2" t="s">
        <v>1753</v>
      </c>
    </row>
    <row r="469" spans="1:5">
      <c r="A469" s="7" t="s">
        <v>1754</v>
      </c>
      <c r="B469" s="2" t="s">
        <v>1202</v>
      </c>
      <c r="C469" s="7" t="s">
        <v>1755</v>
      </c>
      <c r="D469" s="7" t="s">
        <v>1756</v>
      </c>
      <c r="E469" s="2" t="s">
        <v>1757</v>
      </c>
    </row>
    <row r="470" spans="1:5">
      <c r="A470" s="7" t="s">
        <v>1758</v>
      </c>
      <c r="B470" s="2" t="s">
        <v>1202</v>
      </c>
      <c r="C470" s="7" t="s">
        <v>1759</v>
      </c>
      <c r="D470" s="7" t="s">
        <v>1760</v>
      </c>
      <c r="E470" s="2" t="s">
        <v>1761</v>
      </c>
    </row>
    <row r="471" spans="1:5">
      <c r="A471" s="7" t="s">
        <v>1762</v>
      </c>
      <c r="B471" s="2" t="s">
        <v>1202</v>
      </c>
      <c r="C471" s="7" t="s">
        <v>1763</v>
      </c>
      <c r="D471" s="7" t="s">
        <v>1764</v>
      </c>
      <c r="E471" s="2" t="s">
        <v>1765</v>
      </c>
    </row>
    <row r="472" spans="1:5">
      <c r="A472" s="7" t="s">
        <v>1766</v>
      </c>
      <c r="B472" s="2" t="s">
        <v>1202</v>
      </c>
      <c r="C472" s="7" t="s">
        <v>1767</v>
      </c>
      <c r="D472" s="7" t="s">
        <v>1768</v>
      </c>
      <c r="E472" s="2" t="s">
        <v>1769</v>
      </c>
    </row>
    <row r="473" spans="1:5">
      <c r="A473" s="7" t="s">
        <v>1770</v>
      </c>
      <c r="B473" s="2" t="s">
        <v>1202</v>
      </c>
      <c r="C473" s="7" t="s">
        <v>1771</v>
      </c>
      <c r="D473" s="7" t="s">
        <v>1772</v>
      </c>
      <c r="E473" s="2" t="s">
        <v>1773</v>
      </c>
    </row>
    <row r="474" spans="1:5">
      <c r="A474" s="7" t="s">
        <v>1774</v>
      </c>
      <c r="B474" s="2" t="s">
        <v>1202</v>
      </c>
      <c r="C474" s="7" t="s">
        <v>1775</v>
      </c>
      <c r="D474" s="7" t="s">
        <v>1776</v>
      </c>
      <c r="E474" s="2" t="s">
        <v>1777</v>
      </c>
    </row>
    <row r="475" spans="1:5">
      <c r="A475" s="7" t="s">
        <v>1778</v>
      </c>
      <c r="B475" s="2" t="s">
        <v>1202</v>
      </c>
      <c r="C475" s="7" t="s">
        <v>1779</v>
      </c>
      <c r="D475" s="7" t="s">
        <v>1780</v>
      </c>
      <c r="E475" s="2" t="s">
        <v>1781</v>
      </c>
    </row>
    <row r="476" spans="1:5">
      <c r="A476" s="7" t="s">
        <v>1782</v>
      </c>
      <c r="B476" s="2" t="s">
        <v>1202</v>
      </c>
      <c r="C476" s="7" t="s">
        <v>1783</v>
      </c>
      <c r="D476" s="7" t="s">
        <v>1784</v>
      </c>
      <c r="E476" s="2" t="s">
        <v>1785</v>
      </c>
    </row>
    <row r="477" spans="1:5">
      <c r="A477" s="7" t="s">
        <v>1786</v>
      </c>
      <c r="B477" s="2" t="s">
        <v>1202</v>
      </c>
      <c r="C477" s="7" t="s">
        <v>1787</v>
      </c>
      <c r="D477" s="7" t="s">
        <v>1788</v>
      </c>
      <c r="E477" s="2" t="s">
        <v>1789</v>
      </c>
    </row>
    <row r="478" spans="1:5">
      <c r="A478" s="7" t="s">
        <v>1790</v>
      </c>
      <c r="B478" s="2" t="s">
        <v>1202</v>
      </c>
      <c r="C478" s="7" t="s">
        <v>1791</v>
      </c>
      <c r="D478" s="7" t="s">
        <v>1792</v>
      </c>
      <c r="E478" s="2" t="s">
        <v>1793</v>
      </c>
    </row>
    <row r="479" spans="1:5">
      <c r="A479" s="7" t="s">
        <v>1794</v>
      </c>
      <c r="B479" s="2" t="s">
        <v>1202</v>
      </c>
      <c r="C479" s="7" t="s">
        <v>1795</v>
      </c>
      <c r="D479" s="7" t="s">
        <v>1796</v>
      </c>
      <c r="E479" s="2" t="s">
        <v>1797</v>
      </c>
    </row>
    <row r="480" spans="1:5">
      <c r="A480" s="7" t="s">
        <v>1798</v>
      </c>
      <c r="B480" s="2" t="s">
        <v>1202</v>
      </c>
      <c r="C480" s="7" t="s">
        <v>1799</v>
      </c>
      <c r="D480" s="7" t="s">
        <v>1800</v>
      </c>
      <c r="E480" s="2" t="s">
        <v>1801</v>
      </c>
    </row>
    <row r="481" spans="1:5">
      <c r="A481" s="7" t="s">
        <v>1802</v>
      </c>
      <c r="B481" s="2" t="s">
        <v>1202</v>
      </c>
      <c r="C481" s="7" t="s">
        <v>1803</v>
      </c>
      <c r="D481" s="7" t="s">
        <v>1804</v>
      </c>
      <c r="E481" s="2" t="s">
        <v>1805</v>
      </c>
    </row>
    <row r="482" spans="1:5">
      <c r="A482" s="7" t="s">
        <v>1806</v>
      </c>
      <c r="B482" s="2" t="s">
        <v>1202</v>
      </c>
      <c r="C482" s="7" t="s">
        <v>1807</v>
      </c>
      <c r="D482" s="7" t="s">
        <v>1808</v>
      </c>
      <c r="E482" s="2" t="s">
        <v>1809</v>
      </c>
    </row>
    <row r="483" spans="1:5">
      <c r="A483" s="7" t="s">
        <v>1810</v>
      </c>
      <c r="B483" s="2" t="s">
        <v>1202</v>
      </c>
      <c r="C483" s="7" t="s">
        <v>1811</v>
      </c>
      <c r="D483" s="7" t="s">
        <v>1812</v>
      </c>
      <c r="E483" s="2" t="s">
        <v>1813</v>
      </c>
    </row>
    <row r="484" spans="1:5">
      <c r="A484" s="7" t="s">
        <v>1814</v>
      </c>
      <c r="B484" s="2" t="s">
        <v>1202</v>
      </c>
      <c r="C484" s="7" t="s">
        <v>1815</v>
      </c>
      <c r="D484" s="7" t="s">
        <v>1816</v>
      </c>
      <c r="E484" s="2" t="s">
        <v>1817</v>
      </c>
    </row>
    <row r="485" spans="1:5">
      <c r="A485" s="7" t="s">
        <v>1818</v>
      </c>
      <c r="B485" s="2" t="s">
        <v>1202</v>
      </c>
      <c r="C485" s="7" t="s">
        <v>1819</v>
      </c>
      <c r="D485" s="7" t="s">
        <v>1820</v>
      </c>
      <c r="E485" s="2" t="s">
        <v>1821</v>
      </c>
    </row>
    <row r="486" spans="1:5">
      <c r="A486" s="7" t="s">
        <v>1822</v>
      </c>
      <c r="B486" s="2" t="s">
        <v>1202</v>
      </c>
      <c r="C486" s="7" t="s">
        <v>1823</v>
      </c>
      <c r="D486" s="7" t="s">
        <v>1824</v>
      </c>
      <c r="E486" s="2" t="s">
        <v>1825</v>
      </c>
    </row>
    <row r="487" spans="1:5">
      <c r="A487" s="7" t="s">
        <v>1826</v>
      </c>
      <c r="B487" s="2" t="s">
        <v>1202</v>
      </c>
      <c r="C487" s="7" t="s">
        <v>1827</v>
      </c>
      <c r="D487" s="7" t="s">
        <v>1828</v>
      </c>
      <c r="E487" s="2" t="s">
        <v>1829</v>
      </c>
    </row>
    <row r="488" spans="1:5">
      <c r="A488" s="7" t="s">
        <v>1830</v>
      </c>
      <c r="B488" s="2" t="s">
        <v>1202</v>
      </c>
      <c r="C488" s="7" t="s">
        <v>1831</v>
      </c>
      <c r="D488" s="7" t="s">
        <v>1832</v>
      </c>
      <c r="E488" s="2" t="s">
        <v>1833</v>
      </c>
    </row>
    <row r="489" spans="1:5">
      <c r="A489" s="7" t="s">
        <v>1834</v>
      </c>
      <c r="B489" s="2" t="s">
        <v>1202</v>
      </c>
      <c r="C489" s="7" t="s">
        <v>1835</v>
      </c>
      <c r="D489" s="7" t="s">
        <v>1836</v>
      </c>
      <c r="E489" s="2" t="s">
        <v>1837</v>
      </c>
    </row>
    <row r="490" spans="1:5">
      <c r="A490" s="7" t="s">
        <v>1838</v>
      </c>
      <c r="B490" s="2" t="s">
        <v>1202</v>
      </c>
      <c r="C490" s="7" t="s">
        <v>1839</v>
      </c>
      <c r="D490" s="7" t="s">
        <v>1840</v>
      </c>
      <c r="E490" s="2" t="s">
        <v>1841</v>
      </c>
    </row>
    <row r="491" spans="1:5">
      <c r="A491" s="7" t="s">
        <v>1842</v>
      </c>
      <c r="B491" s="2" t="s">
        <v>1202</v>
      </c>
      <c r="C491" s="7" t="s">
        <v>1843</v>
      </c>
      <c r="D491" s="7" t="s">
        <v>1844</v>
      </c>
      <c r="E491" s="2" t="s">
        <v>1845</v>
      </c>
    </row>
    <row r="492" spans="1:5">
      <c r="A492" s="7" t="s">
        <v>1846</v>
      </c>
      <c r="B492" s="2" t="s">
        <v>1202</v>
      </c>
      <c r="C492" s="7" t="s">
        <v>1847</v>
      </c>
      <c r="D492" s="7" t="s">
        <v>1848</v>
      </c>
      <c r="E492" s="2" t="s">
        <v>1849</v>
      </c>
    </row>
    <row r="493" spans="1:5">
      <c r="A493" s="7" t="s">
        <v>1850</v>
      </c>
      <c r="B493" s="2" t="s">
        <v>1202</v>
      </c>
      <c r="C493" s="7" t="s">
        <v>1851</v>
      </c>
      <c r="D493" s="7" t="s">
        <v>1852</v>
      </c>
      <c r="E493" s="2" t="s">
        <v>1853</v>
      </c>
    </row>
    <row r="494" spans="1:5">
      <c r="A494" s="7" t="s">
        <v>1854</v>
      </c>
      <c r="B494" s="2" t="s">
        <v>1202</v>
      </c>
      <c r="C494" s="7" t="s">
        <v>1855</v>
      </c>
      <c r="D494" s="7" t="s">
        <v>1856</v>
      </c>
      <c r="E494" s="2" t="s">
        <v>1857</v>
      </c>
    </row>
    <row r="495" spans="1:5">
      <c r="A495" s="7" t="s">
        <v>1858</v>
      </c>
      <c r="B495" s="2" t="s">
        <v>1202</v>
      </c>
      <c r="C495" s="7" t="s">
        <v>1859</v>
      </c>
      <c r="D495" s="7" t="s">
        <v>1860</v>
      </c>
      <c r="E495" s="2" t="s">
        <v>1861</v>
      </c>
    </row>
    <row r="496" spans="1:5">
      <c r="A496" s="7" t="s">
        <v>1862</v>
      </c>
      <c r="B496" s="2" t="s">
        <v>1202</v>
      </c>
      <c r="C496" s="7" t="s">
        <v>1863</v>
      </c>
      <c r="D496" s="7" t="s">
        <v>1864</v>
      </c>
      <c r="E496" s="2" t="s">
        <v>1865</v>
      </c>
    </row>
    <row r="497" spans="1:5">
      <c r="A497" s="7" t="s">
        <v>1866</v>
      </c>
      <c r="B497" s="2" t="s">
        <v>1202</v>
      </c>
      <c r="C497" s="7" t="s">
        <v>1867</v>
      </c>
      <c r="D497" s="7" t="s">
        <v>1868</v>
      </c>
      <c r="E497" s="2" t="s">
        <v>1869</v>
      </c>
    </row>
    <row r="498" spans="1:5">
      <c r="A498" s="7" t="s">
        <v>1870</v>
      </c>
      <c r="B498" s="2" t="s">
        <v>1202</v>
      </c>
      <c r="C498" s="7" t="s">
        <v>1871</v>
      </c>
      <c r="D498" s="7" t="s">
        <v>1872</v>
      </c>
      <c r="E498" s="2" t="s">
        <v>1873</v>
      </c>
    </row>
    <row r="499" spans="1:5">
      <c r="A499" s="7" t="s">
        <v>1874</v>
      </c>
      <c r="B499" s="2" t="s">
        <v>1202</v>
      </c>
      <c r="C499" s="7" t="s">
        <v>1875</v>
      </c>
      <c r="D499" s="7" t="s">
        <v>1876</v>
      </c>
      <c r="E499" s="2" t="s">
        <v>1877</v>
      </c>
    </row>
    <row r="500" spans="1:5">
      <c r="A500" s="7" t="s">
        <v>1878</v>
      </c>
      <c r="B500" s="2" t="s">
        <v>1202</v>
      </c>
      <c r="C500" s="7" t="s">
        <v>1879</v>
      </c>
      <c r="D500" s="7" t="s">
        <v>1880</v>
      </c>
      <c r="E500" s="2" t="s">
        <v>1881</v>
      </c>
    </row>
    <row r="501" spans="1:5">
      <c r="A501" s="7" t="s">
        <v>1882</v>
      </c>
      <c r="B501" s="2" t="s">
        <v>1202</v>
      </c>
      <c r="C501" s="7" t="s">
        <v>1883</v>
      </c>
      <c r="D501" s="7" t="s">
        <v>1884</v>
      </c>
      <c r="E501" s="2" t="s">
        <v>1885</v>
      </c>
    </row>
    <row r="502" spans="1:5">
      <c r="A502" s="7" t="s">
        <v>1886</v>
      </c>
      <c r="B502" s="2" t="s">
        <v>1202</v>
      </c>
      <c r="C502" s="7" t="s">
        <v>1887</v>
      </c>
      <c r="D502" s="7" t="s">
        <v>1888</v>
      </c>
      <c r="E502" s="2" t="s">
        <v>1889</v>
      </c>
    </row>
    <row r="503" spans="1:5">
      <c r="A503" s="7" t="s">
        <v>1890</v>
      </c>
      <c r="B503" s="2" t="s">
        <v>1202</v>
      </c>
      <c r="C503" s="7" t="s">
        <v>1891</v>
      </c>
      <c r="D503" s="7" t="s">
        <v>1892</v>
      </c>
      <c r="E503" s="2" t="s">
        <v>1893</v>
      </c>
    </row>
    <row r="504" spans="1:5">
      <c r="A504" s="7" t="s">
        <v>1894</v>
      </c>
      <c r="B504" s="2" t="s">
        <v>1202</v>
      </c>
      <c r="C504" s="7" t="s">
        <v>1895</v>
      </c>
      <c r="D504" s="7" t="s">
        <v>1896</v>
      </c>
      <c r="E504" s="2" t="s">
        <v>1897</v>
      </c>
    </row>
    <row r="505" spans="1:5">
      <c r="A505" s="7" t="s">
        <v>1898</v>
      </c>
      <c r="B505" s="2" t="s">
        <v>1202</v>
      </c>
      <c r="C505" s="7" t="s">
        <v>1899</v>
      </c>
      <c r="D505" s="7" t="s">
        <v>1900</v>
      </c>
      <c r="E505" s="2" t="s">
        <v>1901</v>
      </c>
    </row>
    <row r="506" spans="1:5">
      <c r="A506" s="7" t="s">
        <v>1902</v>
      </c>
      <c r="B506" s="2" t="s">
        <v>1202</v>
      </c>
      <c r="C506" s="7" t="s">
        <v>1903</v>
      </c>
      <c r="D506" s="7" t="s">
        <v>1904</v>
      </c>
      <c r="E506" s="2" t="s">
        <v>1905</v>
      </c>
    </row>
    <row r="507" spans="1:5">
      <c r="A507" s="7" t="s">
        <v>1906</v>
      </c>
      <c r="B507" s="2" t="s">
        <v>1202</v>
      </c>
      <c r="C507" s="7" t="s">
        <v>1907</v>
      </c>
      <c r="D507" s="7" t="s">
        <v>1908</v>
      </c>
      <c r="E507" s="2" t="s">
        <v>1909</v>
      </c>
    </row>
    <row r="508" spans="1:5">
      <c r="A508" s="7" t="s">
        <v>1910</v>
      </c>
      <c r="B508" s="2" t="s">
        <v>1202</v>
      </c>
      <c r="C508" s="7" t="s">
        <v>1911</v>
      </c>
      <c r="D508" s="7" t="s">
        <v>1912</v>
      </c>
      <c r="E508" s="2" t="s">
        <v>1913</v>
      </c>
    </row>
    <row r="509" spans="1:5">
      <c r="A509" s="7" t="s">
        <v>1914</v>
      </c>
      <c r="B509" s="2" t="s">
        <v>1202</v>
      </c>
      <c r="C509" s="7" t="s">
        <v>1915</v>
      </c>
      <c r="D509" s="7" t="s">
        <v>1916</v>
      </c>
      <c r="E509" s="2" t="s">
        <v>1917</v>
      </c>
    </row>
    <row r="510" spans="1:5">
      <c r="A510" s="7" t="s">
        <v>1918</v>
      </c>
      <c r="B510" s="2" t="s">
        <v>1202</v>
      </c>
      <c r="C510" s="7" t="s">
        <v>1919</v>
      </c>
      <c r="D510" s="7" t="s">
        <v>1920</v>
      </c>
      <c r="E510" s="2" t="s">
        <v>1921</v>
      </c>
    </row>
    <row r="511" spans="1:5">
      <c r="A511" s="7" t="s">
        <v>1922</v>
      </c>
      <c r="B511" s="2" t="s">
        <v>1202</v>
      </c>
      <c r="C511" s="7" t="s">
        <v>1923</v>
      </c>
      <c r="D511" s="7" t="s">
        <v>1924</v>
      </c>
      <c r="E511" s="2" t="s">
        <v>1925</v>
      </c>
    </row>
    <row r="512" spans="1:5">
      <c r="A512" s="7" t="s">
        <v>1926</v>
      </c>
      <c r="B512" s="2" t="s">
        <v>1202</v>
      </c>
      <c r="C512" s="7" t="s">
        <v>1927</v>
      </c>
      <c r="D512" s="7" t="s">
        <v>1928</v>
      </c>
      <c r="E512" s="2" t="s">
        <v>1929</v>
      </c>
    </row>
    <row r="513" spans="1:5">
      <c r="A513" s="7" t="s">
        <v>1930</v>
      </c>
      <c r="B513" s="2" t="s">
        <v>1202</v>
      </c>
      <c r="C513" s="7" t="s">
        <v>1931</v>
      </c>
      <c r="D513" s="7" t="s">
        <v>1932</v>
      </c>
      <c r="E513" s="2" t="s">
        <v>1933</v>
      </c>
    </row>
    <row r="514" spans="1:5">
      <c r="A514" s="7" t="s">
        <v>1934</v>
      </c>
      <c r="B514" s="2" t="s">
        <v>1202</v>
      </c>
      <c r="C514" s="7" t="s">
        <v>1935</v>
      </c>
      <c r="D514" s="7" t="s">
        <v>1936</v>
      </c>
      <c r="E514" s="2" t="s">
        <v>1937</v>
      </c>
    </row>
    <row r="515" spans="1:5">
      <c r="A515" s="7" t="s">
        <v>1938</v>
      </c>
      <c r="B515" s="2" t="s">
        <v>1202</v>
      </c>
      <c r="C515" s="7" t="s">
        <v>1939</v>
      </c>
      <c r="D515" s="7" t="s">
        <v>1940</v>
      </c>
      <c r="E515" s="2" t="s">
        <v>1941</v>
      </c>
    </row>
    <row r="516" spans="1:5">
      <c r="A516" s="7" t="s">
        <v>1942</v>
      </c>
      <c r="B516" s="2" t="s">
        <v>1202</v>
      </c>
      <c r="C516" s="7" t="s">
        <v>1943</v>
      </c>
      <c r="D516" s="7" t="s">
        <v>1944</v>
      </c>
      <c r="E516" s="2" t="s">
        <v>1945</v>
      </c>
    </row>
    <row r="517" spans="1:5">
      <c r="A517" s="7" t="s">
        <v>1946</v>
      </c>
      <c r="B517" s="2" t="s">
        <v>1202</v>
      </c>
      <c r="C517" s="7" t="s">
        <v>1947</v>
      </c>
      <c r="D517" s="7" t="s">
        <v>1948</v>
      </c>
      <c r="E517" s="2" t="s">
        <v>1949</v>
      </c>
    </row>
    <row r="518" spans="1:5">
      <c r="A518" s="7" t="s">
        <v>1950</v>
      </c>
      <c r="B518" s="2" t="s">
        <v>1202</v>
      </c>
      <c r="C518" s="7" t="s">
        <v>1951</v>
      </c>
      <c r="D518" s="7" t="s">
        <v>1952</v>
      </c>
      <c r="E518" s="2" t="s">
        <v>1953</v>
      </c>
    </row>
    <row r="519" spans="1:5">
      <c r="A519" s="7" t="s">
        <v>1954</v>
      </c>
      <c r="B519" s="2" t="s">
        <v>1202</v>
      </c>
      <c r="C519" s="7" t="s">
        <v>1955</v>
      </c>
      <c r="D519" s="7" t="s">
        <v>1956</v>
      </c>
      <c r="E519" s="2" t="s">
        <v>1957</v>
      </c>
    </row>
    <row r="520" spans="1:5">
      <c r="A520" s="7" t="s">
        <v>1958</v>
      </c>
      <c r="B520" s="2" t="s">
        <v>1202</v>
      </c>
      <c r="C520" s="7" t="s">
        <v>1959</v>
      </c>
      <c r="D520" s="7" t="s">
        <v>1960</v>
      </c>
      <c r="E520" s="2" t="s">
        <v>1961</v>
      </c>
    </row>
    <row r="521" spans="1:5">
      <c r="A521" s="7" t="s">
        <v>1962</v>
      </c>
      <c r="B521" s="2" t="s">
        <v>1202</v>
      </c>
      <c r="C521" s="7" t="s">
        <v>1963</v>
      </c>
      <c r="D521" s="7" t="s">
        <v>1964</v>
      </c>
      <c r="E521" s="2" t="s">
        <v>1965</v>
      </c>
    </row>
    <row r="522" spans="1:5">
      <c r="A522" s="7" t="s">
        <v>1966</v>
      </c>
      <c r="B522" s="2" t="s">
        <v>1202</v>
      </c>
      <c r="C522" s="7" t="s">
        <v>1967</v>
      </c>
      <c r="D522" s="7" t="s">
        <v>1968</v>
      </c>
      <c r="E522" s="2" t="s">
        <v>1969</v>
      </c>
    </row>
    <row r="523" spans="1:5">
      <c r="A523" s="7" t="s">
        <v>1970</v>
      </c>
      <c r="B523" s="2" t="s">
        <v>1202</v>
      </c>
      <c r="C523" s="7" t="s">
        <v>1971</v>
      </c>
      <c r="D523" s="7" t="s">
        <v>1972</v>
      </c>
      <c r="E523" s="2" t="s">
        <v>1973</v>
      </c>
    </row>
    <row r="524" spans="1:5">
      <c r="A524" s="7" t="s">
        <v>1974</v>
      </c>
      <c r="B524" s="2" t="s">
        <v>1202</v>
      </c>
      <c r="C524" s="7" t="s">
        <v>1975</v>
      </c>
      <c r="D524" s="7" t="s">
        <v>1976</v>
      </c>
      <c r="E524" s="2" t="s">
        <v>1977</v>
      </c>
    </row>
    <row r="525" spans="1:5">
      <c r="A525" s="7" t="s">
        <v>1978</v>
      </c>
      <c r="B525" s="2" t="s">
        <v>1202</v>
      </c>
      <c r="C525" s="7" t="s">
        <v>1979</v>
      </c>
      <c r="D525" s="7" t="s">
        <v>1980</v>
      </c>
      <c r="E525" s="2" t="s">
        <v>1981</v>
      </c>
    </row>
    <row r="526" spans="1:5">
      <c r="A526" s="7" t="s">
        <v>1982</v>
      </c>
      <c r="B526" s="2" t="s">
        <v>1202</v>
      </c>
      <c r="C526" s="7" t="s">
        <v>1983</v>
      </c>
      <c r="D526" s="7" t="s">
        <v>1984</v>
      </c>
      <c r="E526" s="2" t="s">
        <v>1985</v>
      </c>
    </row>
    <row r="527" spans="1:5">
      <c r="A527" s="7" t="s">
        <v>1986</v>
      </c>
      <c r="B527" s="2" t="s">
        <v>1202</v>
      </c>
      <c r="C527" s="7" t="s">
        <v>1987</v>
      </c>
      <c r="D527" s="7" t="s">
        <v>1988</v>
      </c>
      <c r="E527" s="2" t="s">
        <v>1989</v>
      </c>
    </row>
    <row r="528" spans="1:5">
      <c r="A528" s="7" t="s">
        <v>1990</v>
      </c>
      <c r="B528" s="2" t="s">
        <v>1202</v>
      </c>
      <c r="C528" s="7" t="s">
        <v>1991</v>
      </c>
      <c r="D528" s="7" t="s">
        <v>1992</v>
      </c>
      <c r="E528" s="2" t="s">
        <v>1993</v>
      </c>
    </row>
    <row r="529" spans="1:5">
      <c r="A529" s="7" t="s">
        <v>1994</v>
      </c>
      <c r="B529" s="2" t="s">
        <v>1202</v>
      </c>
      <c r="C529" s="7" t="s">
        <v>1995</v>
      </c>
      <c r="D529" s="7" t="s">
        <v>1996</v>
      </c>
      <c r="E529" s="2" t="s">
        <v>1997</v>
      </c>
    </row>
    <row r="530" spans="1:5">
      <c r="A530" s="7" t="s">
        <v>1998</v>
      </c>
      <c r="B530" s="2" t="s">
        <v>1202</v>
      </c>
      <c r="C530" s="7" t="s">
        <v>1999</v>
      </c>
      <c r="D530" s="7" t="s">
        <v>2000</v>
      </c>
      <c r="E530" s="2" t="s">
        <v>2001</v>
      </c>
    </row>
    <row r="531" spans="1:5">
      <c r="A531" s="7" t="s">
        <v>2002</v>
      </c>
      <c r="B531" s="2" t="s">
        <v>1202</v>
      </c>
      <c r="C531" s="7" t="s">
        <v>2003</v>
      </c>
      <c r="D531" s="7" t="s">
        <v>2004</v>
      </c>
      <c r="E531" s="2" t="s">
        <v>2005</v>
      </c>
    </row>
    <row r="532" spans="1:5">
      <c r="A532" s="7" t="s">
        <v>2006</v>
      </c>
      <c r="B532" s="2" t="s">
        <v>1202</v>
      </c>
      <c r="C532" s="7" t="s">
        <v>2007</v>
      </c>
      <c r="D532" s="7" t="s">
        <v>2008</v>
      </c>
      <c r="E532" s="2" t="s">
        <v>2009</v>
      </c>
    </row>
    <row r="533" spans="1:5">
      <c r="A533" s="7" t="s">
        <v>2010</v>
      </c>
      <c r="B533" s="2" t="s">
        <v>1202</v>
      </c>
      <c r="C533" s="7" t="s">
        <v>2011</v>
      </c>
      <c r="D533" s="7" t="s">
        <v>2012</v>
      </c>
      <c r="E533" s="2" t="s">
        <v>2013</v>
      </c>
    </row>
    <row r="534" spans="1:5">
      <c r="A534" s="7" t="s">
        <v>2014</v>
      </c>
      <c r="B534" s="2" t="s">
        <v>1202</v>
      </c>
      <c r="C534" s="7" t="s">
        <v>2015</v>
      </c>
      <c r="D534" s="7" t="s">
        <v>2016</v>
      </c>
      <c r="E534" s="2" t="s">
        <v>2017</v>
      </c>
    </row>
    <row r="535" spans="1:5">
      <c r="A535" s="7" t="s">
        <v>2018</v>
      </c>
      <c r="B535" s="2" t="s">
        <v>1202</v>
      </c>
      <c r="C535" s="7" t="s">
        <v>2019</v>
      </c>
      <c r="D535" s="7" t="s">
        <v>2020</v>
      </c>
      <c r="E535" s="2" t="s">
        <v>2021</v>
      </c>
    </row>
    <row r="536" spans="1:5">
      <c r="A536" s="7" t="s">
        <v>2022</v>
      </c>
      <c r="B536" s="2" t="s">
        <v>1202</v>
      </c>
      <c r="C536" s="7" t="s">
        <v>2023</v>
      </c>
      <c r="D536" s="7" t="s">
        <v>2024</v>
      </c>
      <c r="E536" s="2" t="s">
        <v>2025</v>
      </c>
    </row>
    <row r="537" spans="1:5">
      <c r="A537" s="7" t="s">
        <v>2026</v>
      </c>
      <c r="B537" s="2" t="s">
        <v>1202</v>
      </c>
      <c r="C537" s="7" t="s">
        <v>2027</v>
      </c>
      <c r="D537" s="7" t="s">
        <v>2028</v>
      </c>
      <c r="E537" s="2" t="s">
        <v>2029</v>
      </c>
    </row>
    <row r="538" spans="1:5">
      <c r="A538" s="7" t="s">
        <v>2030</v>
      </c>
      <c r="B538" s="2" t="s">
        <v>1202</v>
      </c>
      <c r="C538" s="7" t="s">
        <v>2031</v>
      </c>
      <c r="D538" s="7" t="s">
        <v>2032</v>
      </c>
      <c r="E538" s="2" t="s">
        <v>2033</v>
      </c>
    </row>
    <row r="539" spans="1:5">
      <c r="A539" s="7" t="s">
        <v>2034</v>
      </c>
      <c r="B539" s="2" t="s">
        <v>1202</v>
      </c>
      <c r="C539" s="7" t="s">
        <v>2035</v>
      </c>
      <c r="D539" s="7" t="s">
        <v>2036</v>
      </c>
      <c r="E539" s="2" t="s">
        <v>2037</v>
      </c>
    </row>
    <row r="540" spans="1:5">
      <c r="A540" s="7" t="s">
        <v>2038</v>
      </c>
      <c r="B540" s="2" t="s">
        <v>1202</v>
      </c>
      <c r="C540" s="7" t="s">
        <v>2039</v>
      </c>
      <c r="D540" s="7" t="s">
        <v>2040</v>
      </c>
      <c r="E540" s="2" t="s">
        <v>2041</v>
      </c>
    </row>
    <row r="541" spans="1:5">
      <c r="A541" s="7" t="s">
        <v>1084</v>
      </c>
      <c r="B541" s="2" t="s">
        <v>1202</v>
      </c>
      <c r="C541" s="7" t="s">
        <v>2042</v>
      </c>
      <c r="D541" s="7" t="s">
        <v>2043</v>
      </c>
      <c r="E541" s="2" t="s">
        <v>2044</v>
      </c>
    </row>
    <row r="542" spans="1:5">
      <c r="A542" s="7" t="s">
        <v>1104</v>
      </c>
      <c r="B542" s="2" t="s">
        <v>1202</v>
      </c>
      <c r="C542" s="7" t="s">
        <v>1105</v>
      </c>
      <c r="D542" s="7" t="s">
        <v>2045</v>
      </c>
      <c r="E542" s="2" t="s">
        <v>2046</v>
      </c>
    </row>
    <row r="543" spans="1:5">
      <c r="A543" s="7" t="s">
        <v>1076</v>
      </c>
      <c r="B543" s="2" t="s">
        <v>1202</v>
      </c>
      <c r="C543" s="7" t="s">
        <v>1077</v>
      </c>
      <c r="D543" s="7" t="s">
        <v>2047</v>
      </c>
      <c r="E543" s="2" t="s">
        <v>2048</v>
      </c>
    </row>
    <row r="544" spans="1:5">
      <c r="A544" s="7" t="s">
        <v>1092</v>
      </c>
      <c r="B544" s="2" t="s">
        <v>1202</v>
      </c>
      <c r="C544" s="7" t="s">
        <v>1093</v>
      </c>
      <c r="D544" s="7" t="s">
        <v>2049</v>
      </c>
      <c r="E544" s="2" t="s">
        <v>2050</v>
      </c>
    </row>
    <row r="545" spans="1:5">
      <c r="A545" s="7" t="s">
        <v>1028</v>
      </c>
      <c r="B545" s="2" t="s">
        <v>1202</v>
      </c>
      <c r="C545" s="7" t="s">
        <v>1029</v>
      </c>
      <c r="D545" s="7" t="s">
        <v>2051</v>
      </c>
      <c r="E545" s="2" t="s">
        <v>2052</v>
      </c>
    </row>
    <row r="546" spans="1:5">
      <c r="A546" s="7" t="s">
        <v>1020</v>
      </c>
      <c r="B546" s="2" t="s">
        <v>1202</v>
      </c>
      <c r="C546" s="7" t="s">
        <v>1021</v>
      </c>
      <c r="D546" s="7" t="s">
        <v>2053</v>
      </c>
      <c r="E546" s="2" t="s">
        <v>2054</v>
      </c>
    </row>
    <row r="547" spans="1:5">
      <c r="A547" s="7" t="s">
        <v>1016</v>
      </c>
      <c r="B547" s="2" t="s">
        <v>1202</v>
      </c>
      <c r="C547" s="7" t="s">
        <v>1017</v>
      </c>
      <c r="D547" s="7" t="s">
        <v>2055</v>
      </c>
      <c r="E547" s="2" t="s">
        <v>2056</v>
      </c>
    </row>
    <row r="548" spans="1:5">
      <c r="A548" s="7" t="s">
        <v>2057</v>
      </c>
      <c r="B548" s="2" t="s">
        <v>1202</v>
      </c>
      <c r="C548" s="7" t="s">
        <v>2058</v>
      </c>
      <c r="D548" s="7" t="s">
        <v>2059</v>
      </c>
      <c r="E548" s="2" t="s">
        <v>2060</v>
      </c>
    </row>
    <row r="549" spans="1:5">
      <c r="A549" s="7" t="s">
        <v>2061</v>
      </c>
      <c r="B549" s="2" t="s">
        <v>1202</v>
      </c>
      <c r="C549" s="7" t="s">
        <v>2062</v>
      </c>
      <c r="D549" s="7" t="s">
        <v>2063</v>
      </c>
      <c r="E549" s="2" t="s">
        <v>2064</v>
      </c>
    </row>
    <row r="550" spans="1:5">
      <c r="A550" s="7" t="s">
        <v>2065</v>
      </c>
      <c r="B550" s="2" t="s">
        <v>1202</v>
      </c>
      <c r="C550" s="7" t="s">
        <v>2066</v>
      </c>
      <c r="D550" s="7" t="s">
        <v>2067</v>
      </c>
      <c r="E550" s="2" t="s">
        <v>2068</v>
      </c>
    </row>
    <row r="551" spans="1:5">
      <c r="A551" s="7" t="s">
        <v>2069</v>
      </c>
      <c r="B551" s="2" t="s">
        <v>1202</v>
      </c>
      <c r="C551" s="7" t="s">
        <v>2070</v>
      </c>
      <c r="D551" s="7" t="s">
        <v>2071</v>
      </c>
      <c r="E551" s="2" t="s">
        <v>2072</v>
      </c>
    </row>
    <row r="552" spans="1:5">
      <c r="A552" s="7" t="s">
        <v>2073</v>
      </c>
      <c r="B552" s="2" t="s">
        <v>1202</v>
      </c>
      <c r="C552" s="7" t="s">
        <v>2074</v>
      </c>
      <c r="D552" s="7" t="s">
        <v>2075</v>
      </c>
      <c r="E552" s="2" t="s">
        <v>2076</v>
      </c>
    </row>
    <row r="553" spans="1:5">
      <c r="A553" s="7" t="s">
        <v>2077</v>
      </c>
      <c r="B553" s="2" t="s">
        <v>1202</v>
      </c>
      <c r="C553" s="7" t="s">
        <v>2078</v>
      </c>
      <c r="D553" s="7" t="s">
        <v>2079</v>
      </c>
      <c r="E553" s="2" t="s">
        <v>2080</v>
      </c>
    </row>
    <row r="554" spans="1:5">
      <c r="A554" s="7" t="s">
        <v>2081</v>
      </c>
      <c r="B554" s="2" t="s">
        <v>1202</v>
      </c>
      <c r="C554" s="7" t="s">
        <v>2082</v>
      </c>
      <c r="D554" s="7" t="s">
        <v>2083</v>
      </c>
      <c r="E554" s="2" t="s">
        <v>2084</v>
      </c>
    </row>
    <row r="555" spans="1:5">
      <c r="A555" s="7" t="s">
        <v>2085</v>
      </c>
      <c r="B555" s="2" t="s">
        <v>1202</v>
      </c>
      <c r="C555" s="7" t="s">
        <v>2086</v>
      </c>
      <c r="D555" s="7" t="s">
        <v>2087</v>
      </c>
      <c r="E555" s="2" t="s">
        <v>2088</v>
      </c>
    </row>
    <row r="556" spans="1:5">
      <c r="A556" s="7" t="s">
        <v>2089</v>
      </c>
      <c r="B556" s="2" t="s">
        <v>1202</v>
      </c>
      <c r="C556" s="7" t="s">
        <v>2090</v>
      </c>
      <c r="D556" s="7" t="s">
        <v>2091</v>
      </c>
      <c r="E556" s="2" t="s">
        <v>2092</v>
      </c>
    </row>
    <row r="557" spans="1:5">
      <c r="A557" s="7" t="s">
        <v>2093</v>
      </c>
      <c r="B557" s="2" t="s">
        <v>1202</v>
      </c>
      <c r="C557" s="7" t="s">
        <v>2094</v>
      </c>
      <c r="D557" s="7" t="s">
        <v>2095</v>
      </c>
      <c r="E557" s="2" t="s">
        <v>2096</v>
      </c>
    </row>
    <row r="558" spans="1:5">
      <c r="A558" s="7" t="s">
        <v>2097</v>
      </c>
      <c r="B558" s="2" t="s">
        <v>1202</v>
      </c>
      <c r="C558" s="7" t="s">
        <v>2098</v>
      </c>
      <c r="D558" s="7" t="s">
        <v>2099</v>
      </c>
      <c r="E558" s="2" t="s">
        <v>2100</v>
      </c>
    </row>
    <row r="559" spans="1:5">
      <c r="A559" s="7" t="s">
        <v>2101</v>
      </c>
      <c r="B559" s="2" t="s">
        <v>1202</v>
      </c>
      <c r="C559" s="7" t="s">
        <v>2102</v>
      </c>
      <c r="D559" s="7" t="s">
        <v>2103</v>
      </c>
      <c r="E559" s="2" t="s">
        <v>2104</v>
      </c>
    </row>
    <row r="560" spans="1:5">
      <c r="A560" s="7" t="s">
        <v>2105</v>
      </c>
      <c r="B560" s="2" t="s">
        <v>1202</v>
      </c>
      <c r="C560" s="7" t="s">
        <v>2106</v>
      </c>
      <c r="D560" s="7" t="s">
        <v>2107</v>
      </c>
      <c r="E560" s="2" t="s">
        <v>2108</v>
      </c>
    </row>
    <row r="561" spans="1:5">
      <c r="A561" s="7" t="s">
        <v>2109</v>
      </c>
      <c r="B561" s="2" t="s">
        <v>1202</v>
      </c>
      <c r="C561" s="7" t="s">
        <v>2110</v>
      </c>
      <c r="D561" s="7" t="s">
        <v>2111</v>
      </c>
      <c r="E561" s="2" t="s">
        <v>2112</v>
      </c>
    </row>
    <row r="562" spans="1:5">
      <c r="A562" s="7" t="s">
        <v>2113</v>
      </c>
      <c r="B562" s="2" t="s">
        <v>1202</v>
      </c>
      <c r="C562" s="7" t="s">
        <v>2114</v>
      </c>
      <c r="D562" s="7" t="s">
        <v>2115</v>
      </c>
      <c r="E562" s="2" t="s">
        <v>2116</v>
      </c>
    </row>
    <row r="563" spans="1:5">
      <c r="A563" s="7" t="s">
        <v>2117</v>
      </c>
      <c r="B563" s="2" t="s">
        <v>1202</v>
      </c>
      <c r="C563" s="7" t="s">
        <v>2118</v>
      </c>
      <c r="D563" s="7" t="s">
        <v>2119</v>
      </c>
      <c r="E563" s="2" t="s">
        <v>2120</v>
      </c>
    </row>
    <row r="564" spans="1:5">
      <c r="A564" s="7" t="s">
        <v>2121</v>
      </c>
      <c r="B564" s="2" t="s">
        <v>1202</v>
      </c>
      <c r="C564" s="7" t="s">
        <v>2122</v>
      </c>
      <c r="D564" s="7" t="s">
        <v>2123</v>
      </c>
      <c r="E564" s="2" t="s">
        <v>2124</v>
      </c>
    </row>
    <row r="565" spans="1:5">
      <c r="A565" s="7" t="s">
        <v>2125</v>
      </c>
      <c r="B565" s="2" t="s">
        <v>1202</v>
      </c>
      <c r="C565" s="7" t="s">
        <v>2126</v>
      </c>
      <c r="D565" s="7" t="s">
        <v>2127</v>
      </c>
      <c r="E565" s="2" t="s">
        <v>2128</v>
      </c>
    </row>
    <row r="566" spans="1:5">
      <c r="A566" s="7" t="s">
        <v>2129</v>
      </c>
      <c r="B566" s="2" t="s">
        <v>1202</v>
      </c>
      <c r="C566" s="7" t="s">
        <v>2130</v>
      </c>
      <c r="D566" s="7" t="s">
        <v>2131</v>
      </c>
      <c r="E566" s="2" t="s">
        <v>2132</v>
      </c>
    </row>
    <row r="567" spans="1:5">
      <c r="A567" s="7" t="s">
        <v>2133</v>
      </c>
      <c r="B567" s="2" t="s">
        <v>1202</v>
      </c>
      <c r="C567" s="7" t="s">
        <v>2134</v>
      </c>
      <c r="D567" s="7" t="s">
        <v>2135</v>
      </c>
      <c r="E567" s="2" t="s">
        <v>2136</v>
      </c>
    </row>
    <row r="568" spans="1:5">
      <c r="A568" s="7" t="s">
        <v>2137</v>
      </c>
      <c r="B568" s="2" t="s">
        <v>1202</v>
      </c>
      <c r="C568" s="7" t="s">
        <v>2138</v>
      </c>
      <c r="D568" s="7" t="s">
        <v>2139</v>
      </c>
      <c r="E568" s="2" t="s">
        <v>2140</v>
      </c>
    </row>
    <row r="569" spans="1:5">
      <c r="A569" s="7" t="s">
        <v>2141</v>
      </c>
      <c r="B569" s="2" t="s">
        <v>1202</v>
      </c>
      <c r="C569" s="7" t="s">
        <v>2142</v>
      </c>
      <c r="D569" s="7" t="s">
        <v>2143</v>
      </c>
      <c r="E569" s="2" t="s">
        <v>2144</v>
      </c>
    </row>
    <row r="570" spans="1:5">
      <c r="A570" s="7" t="s">
        <v>2145</v>
      </c>
      <c r="B570" s="2" t="s">
        <v>1202</v>
      </c>
      <c r="C570" s="7" t="s">
        <v>2146</v>
      </c>
      <c r="D570" s="7" t="s">
        <v>2147</v>
      </c>
      <c r="E570" s="2" t="s">
        <v>2148</v>
      </c>
    </row>
    <row r="571" spans="1:5">
      <c r="A571" s="7" t="s">
        <v>2149</v>
      </c>
      <c r="B571" s="2" t="s">
        <v>1202</v>
      </c>
      <c r="C571" s="7" t="s">
        <v>2150</v>
      </c>
      <c r="D571" s="7" t="s">
        <v>2151</v>
      </c>
      <c r="E571" s="2" t="s">
        <v>2152</v>
      </c>
    </row>
    <row r="572" spans="1:5">
      <c r="A572" s="7" t="s">
        <v>2153</v>
      </c>
      <c r="B572" s="2" t="s">
        <v>1202</v>
      </c>
      <c r="C572" s="7" t="s">
        <v>2154</v>
      </c>
      <c r="D572" s="7" t="s">
        <v>2155</v>
      </c>
      <c r="E572" s="2" t="s">
        <v>2156</v>
      </c>
    </row>
    <row r="573" spans="1:5">
      <c r="A573" s="7" t="s">
        <v>2157</v>
      </c>
      <c r="B573" s="2" t="s">
        <v>1202</v>
      </c>
      <c r="C573" s="7" t="s">
        <v>2158</v>
      </c>
      <c r="D573" s="7" t="s">
        <v>2159</v>
      </c>
      <c r="E573" s="2" t="s">
        <v>2160</v>
      </c>
    </row>
    <row r="574" spans="1:5">
      <c r="A574" s="7" t="s">
        <v>2161</v>
      </c>
      <c r="B574" s="2" t="s">
        <v>1202</v>
      </c>
      <c r="C574" s="7" t="s">
        <v>2162</v>
      </c>
      <c r="D574" s="7" t="s">
        <v>2163</v>
      </c>
      <c r="E574" s="2" t="s">
        <v>2164</v>
      </c>
    </row>
    <row r="575" spans="1:5">
      <c r="A575" s="7" t="s">
        <v>2165</v>
      </c>
      <c r="B575" s="2" t="s">
        <v>1202</v>
      </c>
      <c r="C575" s="7" t="s">
        <v>2166</v>
      </c>
      <c r="D575" s="7" t="s">
        <v>2167</v>
      </c>
      <c r="E575" s="2" t="s">
        <v>2168</v>
      </c>
    </row>
    <row r="576" spans="1:5">
      <c r="A576" s="7" t="s">
        <v>2169</v>
      </c>
      <c r="B576" s="2" t="s">
        <v>1202</v>
      </c>
      <c r="C576" s="7" t="s">
        <v>2170</v>
      </c>
      <c r="D576" s="7" t="s">
        <v>2171</v>
      </c>
      <c r="E576" s="2" t="s">
        <v>2172</v>
      </c>
    </row>
    <row r="577" spans="1:5">
      <c r="A577" s="7" t="s">
        <v>2173</v>
      </c>
      <c r="B577" s="2" t="s">
        <v>1202</v>
      </c>
      <c r="C577" s="7" t="s">
        <v>2174</v>
      </c>
      <c r="D577" s="7" t="s">
        <v>2175</v>
      </c>
      <c r="E577" s="2" t="s">
        <v>2176</v>
      </c>
    </row>
    <row r="578" spans="1:5">
      <c r="A578" s="7" t="s">
        <v>2177</v>
      </c>
      <c r="B578" s="2" t="s">
        <v>1202</v>
      </c>
      <c r="C578" s="7" t="s">
        <v>2178</v>
      </c>
      <c r="D578" s="7" t="s">
        <v>2179</v>
      </c>
      <c r="E578" s="2" t="s">
        <v>2180</v>
      </c>
    </row>
    <row r="579" spans="1:5">
      <c r="A579" s="7" t="s">
        <v>2181</v>
      </c>
      <c r="B579" s="2" t="s">
        <v>1202</v>
      </c>
      <c r="C579" s="7" t="s">
        <v>2182</v>
      </c>
      <c r="D579" s="7" t="s">
        <v>2183</v>
      </c>
      <c r="E579" s="2" t="s">
        <v>2184</v>
      </c>
    </row>
    <row r="580" spans="1:5">
      <c r="A580" s="7" t="s">
        <v>2185</v>
      </c>
      <c r="B580" s="2" t="s">
        <v>1202</v>
      </c>
      <c r="C580" s="7" t="s">
        <v>2186</v>
      </c>
      <c r="D580" s="7" t="s">
        <v>2187</v>
      </c>
      <c r="E580" s="2" t="s">
        <v>2188</v>
      </c>
    </row>
    <row r="581" spans="1:5">
      <c r="A581" s="7" t="s">
        <v>2189</v>
      </c>
      <c r="B581" s="2" t="s">
        <v>1202</v>
      </c>
      <c r="C581" s="7" t="s">
        <v>2190</v>
      </c>
      <c r="D581" s="7" t="s">
        <v>2191</v>
      </c>
      <c r="E581" s="2" t="s">
        <v>2192</v>
      </c>
    </row>
    <row r="582" spans="1:5">
      <c r="A582" s="7" t="s">
        <v>2193</v>
      </c>
      <c r="B582" s="2" t="s">
        <v>1202</v>
      </c>
      <c r="C582" s="7" t="s">
        <v>2194</v>
      </c>
      <c r="D582" s="7" t="s">
        <v>2195</v>
      </c>
      <c r="E582" s="2" t="s">
        <v>2196</v>
      </c>
    </row>
    <row r="583" spans="1:5">
      <c r="A583" s="7" t="s">
        <v>2197</v>
      </c>
      <c r="B583" s="2" t="s">
        <v>1202</v>
      </c>
      <c r="C583" s="7" t="s">
        <v>2198</v>
      </c>
      <c r="D583" s="7" t="s">
        <v>2199</v>
      </c>
      <c r="E583" s="2" t="s">
        <v>2200</v>
      </c>
    </row>
    <row r="584" spans="1:5">
      <c r="A584" s="7" t="s">
        <v>2201</v>
      </c>
      <c r="B584" s="2" t="s">
        <v>1202</v>
      </c>
      <c r="C584" s="7" t="s">
        <v>2202</v>
      </c>
      <c r="D584" s="7" t="s">
        <v>2203</v>
      </c>
      <c r="E584" s="2" t="s">
        <v>2204</v>
      </c>
    </row>
    <row r="585" spans="1:5">
      <c r="A585" s="7" t="s">
        <v>2205</v>
      </c>
      <c r="B585" s="2" t="s">
        <v>1202</v>
      </c>
      <c r="C585" s="7" t="s">
        <v>2206</v>
      </c>
      <c r="D585" s="7" t="s">
        <v>2207</v>
      </c>
      <c r="E585" s="2" t="s">
        <v>2208</v>
      </c>
    </row>
    <row r="586" spans="1:5">
      <c r="A586" s="7" t="s">
        <v>2209</v>
      </c>
      <c r="B586" s="2" t="s">
        <v>1202</v>
      </c>
      <c r="C586" s="7" t="s">
        <v>2210</v>
      </c>
      <c r="D586" s="7" t="s">
        <v>2211</v>
      </c>
      <c r="E586" s="2" t="s">
        <v>2212</v>
      </c>
    </row>
    <row r="587" spans="1:5">
      <c r="A587" s="7" t="s">
        <v>2213</v>
      </c>
      <c r="B587" s="2" t="s">
        <v>1202</v>
      </c>
      <c r="C587" s="7" t="s">
        <v>2214</v>
      </c>
      <c r="D587" s="7" t="s">
        <v>2215</v>
      </c>
      <c r="E587" s="2" t="s">
        <v>2216</v>
      </c>
    </row>
    <row r="588" spans="1:5">
      <c r="A588" s="7" t="s">
        <v>2217</v>
      </c>
      <c r="B588" s="2" t="s">
        <v>1202</v>
      </c>
      <c r="C588" s="7" t="s">
        <v>2218</v>
      </c>
      <c r="D588" s="7" t="s">
        <v>2219</v>
      </c>
      <c r="E588" s="2" t="s">
        <v>2220</v>
      </c>
    </row>
    <row r="589" spans="1:5">
      <c r="A589" s="7" t="s">
        <v>2221</v>
      </c>
      <c r="B589" s="2" t="s">
        <v>1202</v>
      </c>
      <c r="C589" s="7" t="s">
        <v>2222</v>
      </c>
      <c r="D589" s="7" t="s">
        <v>2223</v>
      </c>
      <c r="E589" s="2" t="s">
        <v>2224</v>
      </c>
    </row>
    <row r="590" spans="1:5">
      <c r="A590" s="7" t="s">
        <v>2225</v>
      </c>
      <c r="B590" s="2" t="s">
        <v>1202</v>
      </c>
      <c r="C590" s="7" t="s">
        <v>2226</v>
      </c>
      <c r="D590" s="7" t="s">
        <v>2227</v>
      </c>
      <c r="E590" s="2" t="s">
        <v>2228</v>
      </c>
    </row>
    <row r="591" spans="1:5">
      <c r="A591" s="7" t="s">
        <v>2229</v>
      </c>
      <c r="B591" s="2" t="s">
        <v>1202</v>
      </c>
      <c r="C591" s="7" t="s">
        <v>2230</v>
      </c>
      <c r="D591" s="7" t="s">
        <v>2231</v>
      </c>
      <c r="E591" s="2" t="s">
        <v>2232</v>
      </c>
    </row>
    <row r="592" spans="1:5">
      <c r="A592" s="7" t="s">
        <v>2233</v>
      </c>
      <c r="B592" s="2" t="s">
        <v>1202</v>
      </c>
      <c r="C592" s="7" t="s">
        <v>2234</v>
      </c>
      <c r="D592" s="7" t="s">
        <v>2235</v>
      </c>
      <c r="E592" s="2" t="s">
        <v>2236</v>
      </c>
    </row>
    <row r="593" spans="1:5">
      <c r="A593" s="7" t="s">
        <v>2237</v>
      </c>
      <c r="B593" s="2" t="s">
        <v>1202</v>
      </c>
      <c r="C593" s="7" t="s">
        <v>2238</v>
      </c>
      <c r="D593" s="7" t="s">
        <v>2239</v>
      </c>
      <c r="E593" s="2" t="s">
        <v>2240</v>
      </c>
    </row>
    <row r="594" spans="1:5">
      <c r="A594" s="7" t="s">
        <v>2241</v>
      </c>
      <c r="B594" s="2" t="s">
        <v>1202</v>
      </c>
      <c r="C594" s="7" t="s">
        <v>2242</v>
      </c>
      <c r="D594" s="7" t="s">
        <v>2243</v>
      </c>
      <c r="E594" s="2" t="s">
        <v>2244</v>
      </c>
    </row>
    <row r="595" spans="1:5">
      <c r="A595" s="7" t="s">
        <v>2245</v>
      </c>
      <c r="B595" s="2" t="s">
        <v>1202</v>
      </c>
      <c r="C595" s="7" t="s">
        <v>2246</v>
      </c>
      <c r="D595" s="7" t="s">
        <v>2247</v>
      </c>
      <c r="E595" s="2" t="s">
        <v>2248</v>
      </c>
    </row>
    <row r="596" spans="1:5">
      <c r="A596" s="7" t="s">
        <v>2249</v>
      </c>
      <c r="B596" s="2" t="s">
        <v>1202</v>
      </c>
      <c r="C596" s="7" t="s">
        <v>2250</v>
      </c>
      <c r="D596" s="7" t="s">
        <v>2251</v>
      </c>
      <c r="E596" s="2" t="s">
        <v>2252</v>
      </c>
    </row>
    <row r="597" spans="1:5">
      <c r="A597" s="7" t="s">
        <v>2253</v>
      </c>
      <c r="B597" s="2" t="s">
        <v>1202</v>
      </c>
      <c r="C597" s="7" t="s">
        <v>2254</v>
      </c>
      <c r="D597" s="7" t="s">
        <v>2255</v>
      </c>
      <c r="E597" s="2" t="s">
        <v>2256</v>
      </c>
    </row>
    <row r="598" spans="1:5">
      <c r="A598" s="7" t="s">
        <v>2257</v>
      </c>
      <c r="B598" s="2" t="s">
        <v>1202</v>
      </c>
      <c r="C598" s="7" t="s">
        <v>2258</v>
      </c>
      <c r="D598" s="7" t="s">
        <v>2259</v>
      </c>
      <c r="E598" s="2" t="s">
        <v>2260</v>
      </c>
    </row>
    <row r="599" spans="1:5">
      <c r="A599" s="7" t="s">
        <v>2261</v>
      </c>
      <c r="B599" s="2" t="s">
        <v>1202</v>
      </c>
      <c r="C599" s="7" t="s">
        <v>2262</v>
      </c>
      <c r="D599" s="7" t="s">
        <v>2263</v>
      </c>
      <c r="E599" s="2" t="s">
        <v>2264</v>
      </c>
    </row>
    <row r="600" spans="1:5">
      <c r="A600" s="7" t="s">
        <v>2265</v>
      </c>
      <c r="B600" s="2" t="s">
        <v>1202</v>
      </c>
      <c r="C600" s="7" t="s">
        <v>2266</v>
      </c>
      <c r="D600" s="7" t="s">
        <v>2267</v>
      </c>
      <c r="E600" s="2" t="s">
        <v>2268</v>
      </c>
    </row>
    <row r="601" spans="1:5">
      <c r="A601" s="7" t="s">
        <v>2269</v>
      </c>
      <c r="B601" s="2" t="s">
        <v>1202</v>
      </c>
      <c r="C601" s="7" t="s">
        <v>2270</v>
      </c>
      <c r="D601" s="7" t="s">
        <v>2271</v>
      </c>
      <c r="E601" s="2" t="s">
        <v>2272</v>
      </c>
    </row>
    <row r="602" spans="1:5">
      <c r="A602" s="7" t="s">
        <v>2273</v>
      </c>
      <c r="B602" s="2" t="s">
        <v>1202</v>
      </c>
      <c r="C602" s="7" t="s">
        <v>2274</v>
      </c>
      <c r="D602" s="7" t="s">
        <v>2275</v>
      </c>
      <c r="E602" s="2" t="s">
        <v>2276</v>
      </c>
    </row>
    <row r="603" spans="1:5">
      <c r="A603" s="7" t="s">
        <v>2277</v>
      </c>
      <c r="B603" s="2" t="s">
        <v>1202</v>
      </c>
      <c r="C603" s="7" t="s">
        <v>2278</v>
      </c>
      <c r="D603" s="7" t="s">
        <v>2279</v>
      </c>
      <c r="E603" s="2" t="s">
        <v>2280</v>
      </c>
    </row>
    <row r="604" spans="1:5">
      <c r="A604" s="7" t="s">
        <v>2281</v>
      </c>
      <c r="B604" s="2" t="s">
        <v>1202</v>
      </c>
      <c r="C604" s="7" t="s">
        <v>2282</v>
      </c>
      <c r="D604" s="7" t="s">
        <v>2283</v>
      </c>
      <c r="E604" s="2" t="s">
        <v>2284</v>
      </c>
    </row>
    <row r="605" spans="1:5">
      <c r="A605" s="7" t="s">
        <v>2285</v>
      </c>
      <c r="B605" s="2" t="s">
        <v>1202</v>
      </c>
      <c r="C605" s="7" t="s">
        <v>2286</v>
      </c>
      <c r="D605" s="7" t="s">
        <v>2287</v>
      </c>
      <c r="E605" s="2" t="s">
        <v>2288</v>
      </c>
    </row>
    <row r="606" spans="1:5">
      <c r="A606" s="7" t="s">
        <v>2289</v>
      </c>
      <c r="B606" s="2" t="s">
        <v>1202</v>
      </c>
      <c r="C606" s="7" t="s">
        <v>2290</v>
      </c>
      <c r="D606" s="7" t="s">
        <v>2291</v>
      </c>
      <c r="E606" s="2" t="s">
        <v>2292</v>
      </c>
    </row>
    <row r="607" spans="1:5">
      <c r="A607" s="7" t="s">
        <v>2293</v>
      </c>
      <c r="B607" s="2" t="s">
        <v>1202</v>
      </c>
      <c r="C607" s="7" t="s">
        <v>2294</v>
      </c>
      <c r="D607" s="7" t="s">
        <v>2295</v>
      </c>
      <c r="E607" s="2" t="s">
        <v>2296</v>
      </c>
    </row>
    <row r="608" spans="1:5">
      <c r="A608" s="7" t="s">
        <v>2297</v>
      </c>
      <c r="B608" s="2" t="s">
        <v>1202</v>
      </c>
      <c r="C608" s="7" t="s">
        <v>2298</v>
      </c>
      <c r="D608" s="7" t="s">
        <v>2299</v>
      </c>
      <c r="E608" s="2" t="s">
        <v>2300</v>
      </c>
    </row>
    <row r="609" spans="1:5">
      <c r="A609" s="7" t="s">
        <v>2301</v>
      </c>
      <c r="B609" s="2" t="s">
        <v>1202</v>
      </c>
      <c r="C609" s="7" t="s">
        <v>2302</v>
      </c>
      <c r="D609" s="7" t="s">
        <v>2303</v>
      </c>
      <c r="E609" s="2" t="s">
        <v>2304</v>
      </c>
    </row>
    <row r="610" spans="1:5">
      <c r="A610" s="7" t="s">
        <v>2305</v>
      </c>
      <c r="B610" s="2" t="s">
        <v>1202</v>
      </c>
      <c r="C610" s="7" t="s">
        <v>2306</v>
      </c>
      <c r="D610" s="7" t="s">
        <v>2307</v>
      </c>
      <c r="E610" s="2" t="s">
        <v>2308</v>
      </c>
    </row>
    <row r="611" spans="1:5">
      <c r="A611" s="7" t="s">
        <v>2309</v>
      </c>
      <c r="B611" s="2" t="s">
        <v>1202</v>
      </c>
      <c r="C611" s="7" t="s">
        <v>2310</v>
      </c>
      <c r="D611" s="7" t="s">
        <v>2311</v>
      </c>
      <c r="E611" s="2" t="s">
        <v>2312</v>
      </c>
    </row>
    <row r="612" spans="1:5">
      <c r="A612" s="7" t="s">
        <v>2313</v>
      </c>
      <c r="B612" s="2" t="s">
        <v>1202</v>
      </c>
      <c r="C612" s="7" t="s">
        <v>2314</v>
      </c>
      <c r="D612" s="7" t="s">
        <v>2315</v>
      </c>
      <c r="E612" s="2" t="s">
        <v>2316</v>
      </c>
    </row>
    <row r="613" spans="1:5">
      <c r="A613" s="7" t="s">
        <v>2317</v>
      </c>
      <c r="B613" s="2" t="s">
        <v>1202</v>
      </c>
      <c r="C613" s="7" t="s">
        <v>2318</v>
      </c>
      <c r="D613" s="7" t="s">
        <v>2319</v>
      </c>
      <c r="E613" s="2" t="s">
        <v>2320</v>
      </c>
    </row>
    <row r="614" spans="1:5">
      <c r="A614" s="7" t="s">
        <v>2321</v>
      </c>
      <c r="B614" s="2" t="s">
        <v>1202</v>
      </c>
      <c r="C614" s="7" t="s">
        <v>2322</v>
      </c>
      <c r="D614" s="7" t="s">
        <v>2323</v>
      </c>
      <c r="E614" s="2" t="s">
        <v>2324</v>
      </c>
    </row>
    <row r="615" spans="1:5">
      <c r="A615" s="7" t="s">
        <v>2325</v>
      </c>
      <c r="B615" s="2" t="s">
        <v>1202</v>
      </c>
      <c r="C615" s="7" t="s">
        <v>2326</v>
      </c>
      <c r="D615" s="7" t="s">
        <v>2327</v>
      </c>
      <c r="E615" s="2" t="s">
        <v>2328</v>
      </c>
    </row>
    <row r="616" spans="1:5">
      <c r="A616" s="7" t="s">
        <v>2329</v>
      </c>
      <c r="B616" s="2" t="s">
        <v>1202</v>
      </c>
      <c r="C616" s="7" t="s">
        <v>2330</v>
      </c>
      <c r="D616" s="7" t="s">
        <v>2331</v>
      </c>
      <c r="E616" s="2" t="s">
        <v>2332</v>
      </c>
    </row>
    <row r="617" spans="1:5">
      <c r="A617" s="7" t="s">
        <v>2333</v>
      </c>
      <c r="B617" s="2" t="s">
        <v>1202</v>
      </c>
      <c r="C617" s="7" t="s">
        <v>2334</v>
      </c>
      <c r="D617" s="7" t="s">
        <v>2335</v>
      </c>
      <c r="E617" s="2" t="s">
        <v>2336</v>
      </c>
    </row>
    <row r="618" spans="1:5">
      <c r="A618" s="7" t="s">
        <v>2337</v>
      </c>
      <c r="B618" s="2" t="s">
        <v>1202</v>
      </c>
      <c r="C618" s="7" t="s">
        <v>2338</v>
      </c>
      <c r="D618" s="7" t="s">
        <v>2339</v>
      </c>
      <c r="E618" s="2" t="s">
        <v>2340</v>
      </c>
    </row>
    <row r="619" spans="1:5">
      <c r="A619" s="7" t="s">
        <v>2341</v>
      </c>
      <c r="B619" s="2" t="s">
        <v>1202</v>
      </c>
      <c r="C619" s="7" t="s">
        <v>2342</v>
      </c>
      <c r="D619" s="7" t="s">
        <v>2343</v>
      </c>
      <c r="E619" s="2" t="s">
        <v>2344</v>
      </c>
    </row>
    <row r="620" spans="1:5">
      <c r="A620" s="7" t="s">
        <v>2345</v>
      </c>
      <c r="B620" s="2" t="s">
        <v>1202</v>
      </c>
      <c r="C620" s="7" t="s">
        <v>2346</v>
      </c>
      <c r="D620" s="7" t="s">
        <v>2347</v>
      </c>
      <c r="E620" s="2" t="s">
        <v>2348</v>
      </c>
    </row>
    <row r="621" spans="1:5">
      <c r="A621" s="7" t="s">
        <v>2349</v>
      </c>
      <c r="B621" s="2" t="s">
        <v>1202</v>
      </c>
      <c r="C621" s="7" t="s">
        <v>2350</v>
      </c>
      <c r="D621" s="7" t="s">
        <v>2351</v>
      </c>
      <c r="E621" s="2" t="s">
        <v>2352</v>
      </c>
    </row>
    <row r="622" spans="1:5">
      <c r="A622" s="7" t="s">
        <v>2353</v>
      </c>
      <c r="B622" s="2" t="s">
        <v>1202</v>
      </c>
      <c r="C622" s="7" t="s">
        <v>2354</v>
      </c>
      <c r="D622" s="7" t="s">
        <v>2355</v>
      </c>
      <c r="E622" s="2" t="s">
        <v>2356</v>
      </c>
    </row>
    <row r="623" spans="1:5">
      <c r="A623" s="7" t="s">
        <v>2357</v>
      </c>
      <c r="B623" s="2" t="s">
        <v>1202</v>
      </c>
      <c r="C623" s="7" t="s">
        <v>2358</v>
      </c>
      <c r="D623" s="7" t="s">
        <v>2359</v>
      </c>
      <c r="E623" s="2" t="s">
        <v>2360</v>
      </c>
    </row>
    <row r="624" spans="1:5">
      <c r="A624" s="7" t="s">
        <v>2361</v>
      </c>
      <c r="B624" s="2" t="s">
        <v>1202</v>
      </c>
      <c r="C624" s="7" t="s">
        <v>2362</v>
      </c>
      <c r="D624" s="7" t="s">
        <v>2363</v>
      </c>
      <c r="E624" s="2" t="s">
        <v>2364</v>
      </c>
    </row>
    <row r="625" spans="1:5">
      <c r="A625" s="7" t="s">
        <v>2365</v>
      </c>
      <c r="B625" s="2" t="s">
        <v>1202</v>
      </c>
      <c r="C625" s="7" t="s">
        <v>2366</v>
      </c>
      <c r="D625" s="7" t="s">
        <v>2367</v>
      </c>
      <c r="E625" s="2" t="s">
        <v>2368</v>
      </c>
    </row>
    <row r="626" spans="1:5">
      <c r="A626" s="7" t="s">
        <v>2369</v>
      </c>
      <c r="B626" s="2" t="s">
        <v>1202</v>
      </c>
      <c r="C626" s="7" t="s">
        <v>2370</v>
      </c>
      <c r="D626" s="7" t="s">
        <v>2371</v>
      </c>
      <c r="E626" s="2" t="s">
        <v>2372</v>
      </c>
    </row>
    <row r="627" spans="1:5">
      <c r="A627" s="7" t="s">
        <v>2373</v>
      </c>
      <c r="B627" s="2" t="s">
        <v>1202</v>
      </c>
      <c r="C627" s="7" t="s">
        <v>2374</v>
      </c>
      <c r="D627" s="7" t="s">
        <v>2375</v>
      </c>
      <c r="E627" s="2" t="s">
        <v>2376</v>
      </c>
    </row>
    <row r="628" spans="1:5">
      <c r="A628" s="7" t="s">
        <v>2377</v>
      </c>
      <c r="B628" s="2" t="s">
        <v>1202</v>
      </c>
      <c r="C628" s="7" t="s">
        <v>2378</v>
      </c>
      <c r="D628" s="7" t="s">
        <v>2379</v>
      </c>
      <c r="E628" s="2" t="s">
        <v>2380</v>
      </c>
    </row>
    <row r="629" spans="1:5">
      <c r="A629" s="7" t="s">
        <v>2381</v>
      </c>
      <c r="B629" s="2" t="s">
        <v>1202</v>
      </c>
      <c r="C629" s="7" t="s">
        <v>2382</v>
      </c>
      <c r="D629" s="7" t="s">
        <v>2383</v>
      </c>
      <c r="E629" s="2" t="s">
        <v>2384</v>
      </c>
    </row>
    <row r="630" spans="1:5">
      <c r="A630" s="7" t="s">
        <v>2385</v>
      </c>
      <c r="B630" s="2" t="s">
        <v>1202</v>
      </c>
      <c r="C630" s="7" t="s">
        <v>2386</v>
      </c>
      <c r="D630" s="7" t="s">
        <v>2387</v>
      </c>
      <c r="E630" s="2" t="s">
        <v>2388</v>
      </c>
    </row>
    <row r="631" spans="1:5">
      <c r="A631" s="7" t="s">
        <v>2389</v>
      </c>
      <c r="B631" s="2" t="s">
        <v>1202</v>
      </c>
      <c r="C631" s="7" t="s">
        <v>2390</v>
      </c>
      <c r="D631" s="7" t="s">
        <v>2391</v>
      </c>
      <c r="E631" s="2" t="s">
        <v>2392</v>
      </c>
    </row>
    <row r="632" spans="1:5">
      <c r="A632" s="7" t="s">
        <v>2393</v>
      </c>
      <c r="B632" s="2" t="s">
        <v>1202</v>
      </c>
      <c r="C632" s="7" t="s">
        <v>2394</v>
      </c>
      <c r="D632" s="7" t="s">
        <v>2395</v>
      </c>
      <c r="E632" s="2" t="s">
        <v>2396</v>
      </c>
    </row>
    <row r="633" spans="1:5">
      <c r="A633" s="7" t="s">
        <v>2397</v>
      </c>
      <c r="B633" s="2" t="s">
        <v>1202</v>
      </c>
      <c r="C633" s="7" t="s">
        <v>2398</v>
      </c>
      <c r="D633" s="7" t="s">
        <v>2399</v>
      </c>
      <c r="E633" s="2" t="s">
        <v>2400</v>
      </c>
    </row>
    <row r="634" spans="1:5">
      <c r="A634" s="7" t="s">
        <v>2401</v>
      </c>
      <c r="B634" s="2" t="s">
        <v>1202</v>
      </c>
      <c r="C634" s="7" t="s">
        <v>2402</v>
      </c>
      <c r="D634" s="7" t="s">
        <v>2403</v>
      </c>
      <c r="E634" s="2" t="s">
        <v>2404</v>
      </c>
    </row>
    <row r="635" spans="1:5">
      <c r="A635" s="7" t="s">
        <v>2405</v>
      </c>
      <c r="B635" s="2" t="s">
        <v>1202</v>
      </c>
      <c r="C635" s="7" t="s">
        <v>2406</v>
      </c>
      <c r="D635" s="7" t="s">
        <v>2407</v>
      </c>
      <c r="E635" s="2" t="s">
        <v>2408</v>
      </c>
    </row>
    <row r="636" spans="1:5">
      <c r="A636" s="7" t="s">
        <v>2409</v>
      </c>
      <c r="B636" s="2" t="s">
        <v>1202</v>
      </c>
      <c r="C636" s="7" t="s">
        <v>2410</v>
      </c>
      <c r="D636" s="7" t="s">
        <v>2411</v>
      </c>
      <c r="E636" s="2" t="s">
        <v>2412</v>
      </c>
    </row>
    <row r="637" spans="1:5">
      <c r="A637" s="7" t="s">
        <v>2413</v>
      </c>
      <c r="B637" s="2" t="s">
        <v>1202</v>
      </c>
      <c r="C637" s="7" t="s">
        <v>2414</v>
      </c>
      <c r="D637" s="7" t="s">
        <v>2415</v>
      </c>
      <c r="E637" s="2" t="s">
        <v>2416</v>
      </c>
    </row>
    <row r="638" spans="1:5">
      <c r="A638" s="7" t="s">
        <v>2417</v>
      </c>
      <c r="B638" s="2" t="s">
        <v>1202</v>
      </c>
      <c r="C638" s="7" t="s">
        <v>2418</v>
      </c>
      <c r="D638" s="7" t="s">
        <v>2419</v>
      </c>
      <c r="E638" s="2" t="s">
        <v>2420</v>
      </c>
    </row>
    <row r="639" spans="1:5">
      <c r="A639" s="7" t="s">
        <v>2421</v>
      </c>
      <c r="B639" s="2" t="s">
        <v>1202</v>
      </c>
      <c r="C639" s="7" t="s">
        <v>2422</v>
      </c>
      <c r="D639" s="7" t="s">
        <v>2423</v>
      </c>
      <c r="E639" s="2" t="s">
        <v>2424</v>
      </c>
    </row>
    <row r="640" spans="1:5">
      <c r="A640" s="7" t="s">
        <v>2425</v>
      </c>
      <c r="B640" s="2" t="s">
        <v>1202</v>
      </c>
      <c r="C640" s="7" t="s">
        <v>2426</v>
      </c>
      <c r="D640" s="7" t="s">
        <v>2427</v>
      </c>
      <c r="E640" s="2" t="s">
        <v>2428</v>
      </c>
    </row>
    <row r="641" spans="1:5">
      <c r="A641" s="7" t="s">
        <v>2429</v>
      </c>
      <c r="B641" s="2" t="s">
        <v>1202</v>
      </c>
      <c r="C641" s="7" t="s">
        <v>2430</v>
      </c>
      <c r="D641" s="7" t="s">
        <v>2431</v>
      </c>
      <c r="E641" s="2" t="s">
        <v>2432</v>
      </c>
    </row>
    <row r="642" spans="1:5">
      <c r="A642" s="7" t="s">
        <v>2433</v>
      </c>
      <c r="B642" s="2" t="s">
        <v>1202</v>
      </c>
      <c r="C642" s="7" t="s">
        <v>2434</v>
      </c>
      <c r="D642" s="7" t="s">
        <v>2435</v>
      </c>
      <c r="E642" s="2" t="s">
        <v>2436</v>
      </c>
    </row>
    <row r="643" spans="1:5">
      <c r="A643" s="7" t="s">
        <v>2437</v>
      </c>
      <c r="B643" s="2" t="s">
        <v>1202</v>
      </c>
      <c r="C643" s="7" t="s">
        <v>2438</v>
      </c>
      <c r="D643" s="7" t="s">
        <v>2439</v>
      </c>
      <c r="E643" s="2" t="s">
        <v>2440</v>
      </c>
    </row>
    <row r="644" spans="1:5">
      <c r="A644" s="7" t="s">
        <v>2441</v>
      </c>
      <c r="B644" s="2" t="s">
        <v>1202</v>
      </c>
      <c r="C644" s="7" t="s">
        <v>2442</v>
      </c>
      <c r="D644" s="7" t="s">
        <v>2443</v>
      </c>
      <c r="E644" s="2" t="s">
        <v>2444</v>
      </c>
    </row>
    <row r="645" spans="1:5">
      <c r="A645" s="7" t="s">
        <v>2445</v>
      </c>
      <c r="B645" s="2" t="s">
        <v>1202</v>
      </c>
      <c r="C645" s="7" t="s">
        <v>2446</v>
      </c>
      <c r="D645" s="7" t="s">
        <v>2447</v>
      </c>
      <c r="E645" s="2" t="s">
        <v>2448</v>
      </c>
    </row>
    <row r="646" spans="1:5">
      <c r="A646" s="7" t="s">
        <v>2449</v>
      </c>
      <c r="B646" s="2" t="s">
        <v>1202</v>
      </c>
      <c r="C646" s="7" t="s">
        <v>2450</v>
      </c>
      <c r="D646" s="7" t="s">
        <v>2451</v>
      </c>
      <c r="E646" s="2" t="s">
        <v>2452</v>
      </c>
    </row>
    <row r="647" spans="1:5">
      <c r="A647" s="7" t="s">
        <v>2453</v>
      </c>
      <c r="B647" s="2" t="s">
        <v>1202</v>
      </c>
      <c r="C647" s="7" t="s">
        <v>2454</v>
      </c>
      <c r="D647" s="7" t="s">
        <v>2455</v>
      </c>
      <c r="E647" s="2" t="s">
        <v>2456</v>
      </c>
    </row>
    <row r="648" spans="1:5">
      <c r="A648" s="7" t="s">
        <v>2457</v>
      </c>
      <c r="B648" s="2" t="s">
        <v>1202</v>
      </c>
      <c r="C648" s="7" t="s">
        <v>2458</v>
      </c>
      <c r="D648" s="7" t="s">
        <v>2459</v>
      </c>
      <c r="E648" s="2" t="s">
        <v>2460</v>
      </c>
    </row>
    <row r="649" spans="1:5">
      <c r="A649" s="7" t="s">
        <v>2461</v>
      </c>
      <c r="B649" s="2" t="s">
        <v>1202</v>
      </c>
      <c r="C649" s="7" t="s">
        <v>2462</v>
      </c>
      <c r="D649" s="7" t="s">
        <v>2463</v>
      </c>
      <c r="E649" s="2" t="s">
        <v>2464</v>
      </c>
    </row>
    <row r="650" spans="1:5">
      <c r="A650" s="7" t="s">
        <v>2465</v>
      </c>
      <c r="B650" s="2" t="s">
        <v>1202</v>
      </c>
      <c r="C650" s="7" t="s">
        <v>2466</v>
      </c>
      <c r="D650" s="7" t="s">
        <v>2463</v>
      </c>
      <c r="E650" s="2" t="s">
        <v>2467</v>
      </c>
    </row>
    <row r="651" spans="1:5">
      <c r="A651" s="7" t="s">
        <v>2468</v>
      </c>
      <c r="B651" s="2" t="s">
        <v>1202</v>
      </c>
      <c r="C651" s="7" t="s">
        <v>2469</v>
      </c>
      <c r="D651" s="7" t="s">
        <v>2470</v>
      </c>
      <c r="E651" s="2" t="s">
        <v>2471</v>
      </c>
    </row>
    <row r="652" spans="1:5">
      <c r="A652" s="7" t="s">
        <v>2472</v>
      </c>
      <c r="B652" s="2" t="s">
        <v>1202</v>
      </c>
      <c r="C652" s="7" t="s">
        <v>2473</v>
      </c>
      <c r="D652" s="7" t="s">
        <v>2474</v>
      </c>
      <c r="E652" s="2" t="s">
        <v>2475</v>
      </c>
    </row>
    <row r="653" spans="1:5">
      <c r="A653" s="7" t="s">
        <v>2476</v>
      </c>
      <c r="B653" s="2" t="s">
        <v>1202</v>
      </c>
      <c r="C653" s="7" t="s">
        <v>2477</v>
      </c>
      <c r="D653" s="7" t="s">
        <v>2478</v>
      </c>
      <c r="E653" s="2" t="s">
        <v>2479</v>
      </c>
    </row>
    <row r="654" spans="1:5">
      <c r="A654" s="7" t="s">
        <v>2480</v>
      </c>
      <c r="B654" s="2" t="s">
        <v>1202</v>
      </c>
      <c r="C654" s="7" t="s">
        <v>2481</v>
      </c>
      <c r="D654" s="7" t="s">
        <v>2482</v>
      </c>
      <c r="E654" s="2" t="s">
        <v>2483</v>
      </c>
    </row>
    <row r="655" spans="1:5">
      <c r="A655" s="7" t="s">
        <v>2484</v>
      </c>
      <c r="B655" s="2" t="s">
        <v>1202</v>
      </c>
      <c r="C655" s="7" t="s">
        <v>2485</v>
      </c>
      <c r="D655" s="7" t="s">
        <v>2486</v>
      </c>
      <c r="E655" s="2" t="s">
        <v>2487</v>
      </c>
    </row>
    <row r="656" spans="1:5">
      <c r="A656" s="7" t="s">
        <v>2488</v>
      </c>
      <c r="B656" s="2" t="s">
        <v>1202</v>
      </c>
      <c r="C656" s="7" t="s">
        <v>2489</v>
      </c>
      <c r="D656" s="7" t="s">
        <v>2490</v>
      </c>
      <c r="E656" s="2" t="s">
        <v>2491</v>
      </c>
    </row>
    <row r="657" spans="1:5">
      <c r="A657" s="7" t="s">
        <v>2492</v>
      </c>
      <c r="B657" s="2" t="s">
        <v>1202</v>
      </c>
      <c r="C657" s="7" t="s">
        <v>2493</v>
      </c>
      <c r="D657" s="7" t="s">
        <v>2494</v>
      </c>
      <c r="E657" s="2" t="s">
        <v>2495</v>
      </c>
    </row>
    <row r="658" spans="1:5">
      <c r="A658" s="7" t="s">
        <v>2496</v>
      </c>
      <c r="B658" s="2" t="s">
        <v>1202</v>
      </c>
      <c r="C658" s="7" t="s">
        <v>2497</v>
      </c>
      <c r="D658" s="7" t="s">
        <v>2498</v>
      </c>
      <c r="E658" s="2" t="s">
        <v>2499</v>
      </c>
    </row>
    <row r="659" spans="1:5">
      <c r="A659" s="7" t="s">
        <v>2500</v>
      </c>
      <c r="B659" s="2" t="s">
        <v>1202</v>
      </c>
      <c r="C659" s="7" t="s">
        <v>2501</v>
      </c>
      <c r="D659" s="7" t="s">
        <v>2502</v>
      </c>
      <c r="E659" s="2" t="s">
        <v>2503</v>
      </c>
    </row>
    <row r="660" spans="1:5">
      <c r="A660" s="7" t="s">
        <v>2504</v>
      </c>
      <c r="B660" s="2" t="s">
        <v>1202</v>
      </c>
      <c r="C660" s="7" t="s">
        <v>2505</v>
      </c>
      <c r="D660" s="7" t="s">
        <v>2506</v>
      </c>
      <c r="E660" s="2" t="s">
        <v>2507</v>
      </c>
    </row>
    <row r="661" spans="1:5">
      <c r="A661" s="7" t="s">
        <v>2508</v>
      </c>
      <c r="B661" s="2" t="s">
        <v>1202</v>
      </c>
      <c r="C661" s="7" t="s">
        <v>2509</v>
      </c>
      <c r="D661" s="7" t="s">
        <v>2510</v>
      </c>
      <c r="E661" s="2" t="s">
        <v>2511</v>
      </c>
    </row>
    <row r="662" spans="1:5">
      <c r="A662" s="7" t="s">
        <v>2512</v>
      </c>
      <c r="B662" s="2" t="s">
        <v>1202</v>
      </c>
      <c r="C662" s="7" t="s">
        <v>2513</v>
      </c>
      <c r="D662" s="7" t="s">
        <v>2514</v>
      </c>
      <c r="E662" s="2" t="s">
        <v>2515</v>
      </c>
    </row>
    <row r="663" spans="1:5">
      <c r="A663" s="7" t="s">
        <v>2516</v>
      </c>
      <c r="B663" s="2" t="s">
        <v>1202</v>
      </c>
      <c r="C663" s="7" t="s">
        <v>2517</v>
      </c>
      <c r="D663" s="7" t="s">
        <v>2518</v>
      </c>
      <c r="E663" s="2" t="s">
        <v>2519</v>
      </c>
    </row>
    <row r="664" spans="1:5">
      <c r="A664" s="7" t="s">
        <v>2520</v>
      </c>
      <c r="B664" s="2" t="s">
        <v>1202</v>
      </c>
      <c r="C664" s="7" t="s">
        <v>2521</v>
      </c>
      <c r="D664" s="7" t="s">
        <v>2522</v>
      </c>
      <c r="E664" s="2" t="s">
        <v>2523</v>
      </c>
    </row>
    <row r="665" spans="1:5">
      <c r="A665" s="7" t="s">
        <v>2524</v>
      </c>
      <c r="B665" s="2" t="s">
        <v>1202</v>
      </c>
      <c r="C665" s="7" t="s">
        <v>2525</v>
      </c>
      <c r="D665" s="7" t="s">
        <v>2526</v>
      </c>
      <c r="E665" s="2" t="s">
        <v>2527</v>
      </c>
    </row>
    <row r="666" spans="1:5">
      <c r="A666" s="7" t="s">
        <v>2528</v>
      </c>
      <c r="B666" s="2" t="s">
        <v>1202</v>
      </c>
      <c r="C666" s="7" t="s">
        <v>2529</v>
      </c>
      <c r="D666" s="7" t="s">
        <v>2530</v>
      </c>
      <c r="E666" s="2" t="s">
        <v>2531</v>
      </c>
    </row>
    <row r="667" spans="1:5">
      <c r="A667" s="7" t="s">
        <v>2532</v>
      </c>
      <c r="B667" s="2" t="s">
        <v>1202</v>
      </c>
      <c r="C667" s="7" t="s">
        <v>2533</v>
      </c>
      <c r="D667" s="7" t="s">
        <v>2534</v>
      </c>
      <c r="E667" s="2" t="s">
        <v>2535</v>
      </c>
    </row>
    <row r="668" spans="1:5">
      <c r="A668" s="7" t="s">
        <v>2536</v>
      </c>
      <c r="B668" s="2" t="s">
        <v>1202</v>
      </c>
      <c r="C668" s="7" t="s">
        <v>2537</v>
      </c>
      <c r="D668" s="7" t="s">
        <v>2538</v>
      </c>
      <c r="E668" s="2" t="s">
        <v>2539</v>
      </c>
    </row>
    <row r="669" spans="1:5">
      <c r="A669" s="7" t="s">
        <v>2540</v>
      </c>
      <c r="B669" s="2" t="s">
        <v>1202</v>
      </c>
      <c r="C669" s="7" t="s">
        <v>2541</v>
      </c>
      <c r="D669" s="7" t="s">
        <v>2542</v>
      </c>
      <c r="E669" s="2" t="s">
        <v>2543</v>
      </c>
    </row>
    <row r="670" spans="1:5">
      <c r="A670" s="7" t="s">
        <v>2544</v>
      </c>
      <c r="B670" s="2" t="s">
        <v>1202</v>
      </c>
      <c r="C670" s="7" t="s">
        <v>2545</v>
      </c>
      <c r="D670" s="7" t="s">
        <v>2546</v>
      </c>
      <c r="E670" s="2" t="s">
        <v>2547</v>
      </c>
    </row>
    <row r="671" spans="1:5">
      <c r="A671" s="7" t="s">
        <v>2548</v>
      </c>
      <c r="B671" s="2" t="s">
        <v>1202</v>
      </c>
      <c r="C671" s="7" t="s">
        <v>2549</v>
      </c>
      <c r="D671" s="7" t="s">
        <v>2550</v>
      </c>
      <c r="E671" s="2" t="s">
        <v>2551</v>
      </c>
    </row>
    <row r="672" spans="1:5">
      <c r="A672" s="7" t="s">
        <v>2552</v>
      </c>
      <c r="B672" s="2" t="s">
        <v>1202</v>
      </c>
      <c r="C672" s="7" t="s">
        <v>2553</v>
      </c>
      <c r="D672" s="7" t="s">
        <v>2554</v>
      </c>
      <c r="E672" s="2" t="s">
        <v>2555</v>
      </c>
    </row>
    <row r="673" spans="1:5">
      <c r="A673" s="7" t="s">
        <v>2556</v>
      </c>
      <c r="B673" s="2" t="s">
        <v>1202</v>
      </c>
      <c r="C673" s="7" t="s">
        <v>2557</v>
      </c>
      <c r="D673" s="7" t="s">
        <v>2558</v>
      </c>
      <c r="E673" s="2" t="s">
        <v>2559</v>
      </c>
    </row>
    <row r="674" spans="1:5">
      <c r="A674" s="7" t="s">
        <v>2560</v>
      </c>
      <c r="B674" s="2" t="s">
        <v>1202</v>
      </c>
      <c r="C674" s="7" t="s">
        <v>2561</v>
      </c>
      <c r="D674" s="7" t="s">
        <v>2562</v>
      </c>
      <c r="E674" s="2" t="s">
        <v>2563</v>
      </c>
    </row>
    <row r="675" spans="1:5">
      <c r="A675" s="7" t="s">
        <v>2564</v>
      </c>
      <c r="B675" s="2" t="s">
        <v>1202</v>
      </c>
      <c r="C675" s="7" t="s">
        <v>2565</v>
      </c>
      <c r="D675" s="7" t="s">
        <v>2566</v>
      </c>
      <c r="E675" s="2" t="s">
        <v>2567</v>
      </c>
    </row>
    <row r="676" spans="1:5">
      <c r="A676" s="7" t="s">
        <v>2568</v>
      </c>
      <c r="B676" s="2" t="s">
        <v>1202</v>
      </c>
      <c r="C676" s="7" t="s">
        <v>2569</v>
      </c>
      <c r="D676" s="7" t="s">
        <v>2570</v>
      </c>
      <c r="E676" s="2" t="s">
        <v>2571</v>
      </c>
    </row>
    <row r="677" spans="1:5">
      <c r="A677" s="7" t="s">
        <v>2572</v>
      </c>
      <c r="B677" s="2" t="s">
        <v>1202</v>
      </c>
      <c r="C677" s="7" t="s">
        <v>2573</v>
      </c>
      <c r="D677" s="7" t="s">
        <v>2574</v>
      </c>
      <c r="E677" s="2" t="s">
        <v>2575</v>
      </c>
    </row>
    <row r="678" spans="1:5">
      <c r="A678" s="7" t="s">
        <v>2576</v>
      </c>
      <c r="B678" s="2" t="s">
        <v>1202</v>
      </c>
      <c r="C678" s="7" t="s">
        <v>2577</v>
      </c>
      <c r="D678" s="7" t="s">
        <v>2578</v>
      </c>
      <c r="E678" s="2" t="s">
        <v>2579</v>
      </c>
    </row>
    <row r="679" spans="1:5">
      <c r="A679" s="7" t="s">
        <v>2580</v>
      </c>
      <c r="B679" s="2" t="s">
        <v>1202</v>
      </c>
      <c r="C679" s="7" t="s">
        <v>2581</v>
      </c>
      <c r="D679" s="7" t="s">
        <v>2582</v>
      </c>
      <c r="E679" s="2" t="s">
        <v>2583</v>
      </c>
    </row>
    <row r="680" spans="1:5">
      <c r="A680" s="7" t="s">
        <v>2584</v>
      </c>
      <c r="B680" s="2" t="s">
        <v>1202</v>
      </c>
      <c r="C680" s="7" t="s">
        <v>2585</v>
      </c>
      <c r="D680" s="7" t="s">
        <v>2586</v>
      </c>
      <c r="E680" s="2" t="s">
        <v>2587</v>
      </c>
    </row>
    <row r="681" spans="1:5">
      <c r="A681" s="7" t="s">
        <v>2588</v>
      </c>
      <c r="B681" s="2" t="s">
        <v>1202</v>
      </c>
      <c r="C681" s="7" t="s">
        <v>2589</v>
      </c>
      <c r="D681" s="7" t="s">
        <v>2590</v>
      </c>
      <c r="E681" s="2" t="s">
        <v>2591</v>
      </c>
    </row>
    <row r="682" spans="1:5">
      <c r="A682" s="7" t="s">
        <v>2592</v>
      </c>
      <c r="B682" s="2" t="s">
        <v>1202</v>
      </c>
      <c r="C682" s="7" t="s">
        <v>2593</v>
      </c>
      <c r="D682" s="7" t="s">
        <v>2594</v>
      </c>
      <c r="E682" s="2" t="s">
        <v>2595</v>
      </c>
    </row>
    <row r="683" spans="1:5">
      <c r="A683" s="7" t="s">
        <v>2596</v>
      </c>
      <c r="B683" s="2" t="s">
        <v>1202</v>
      </c>
      <c r="C683" s="7" t="s">
        <v>2597</v>
      </c>
      <c r="D683" s="7" t="s">
        <v>2598</v>
      </c>
      <c r="E683" s="2" t="s">
        <v>2599</v>
      </c>
    </row>
    <row r="684" spans="1:5">
      <c r="A684" s="7" t="s">
        <v>2600</v>
      </c>
      <c r="B684" s="2" t="s">
        <v>1202</v>
      </c>
      <c r="C684" s="7" t="s">
        <v>2601</v>
      </c>
      <c r="D684" s="7" t="s">
        <v>2602</v>
      </c>
      <c r="E684" s="2" t="s">
        <v>2603</v>
      </c>
    </row>
    <row r="685" spans="1:5">
      <c r="A685" s="7" t="s">
        <v>2604</v>
      </c>
      <c r="B685" s="2" t="s">
        <v>1202</v>
      </c>
      <c r="C685" s="7" t="s">
        <v>2605</v>
      </c>
      <c r="D685" s="7" t="s">
        <v>2606</v>
      </c>
      <c r="E685" s="2" t="s">
        <v>2607</v>
      </c>
    </row>
    <row r="686" spans="1:5">
      <c r="A686" s="7" t="s">
        <v>2608</v>
      </c>
      <c r="B686" s="2" t="s">
        <v>1202</v>
      </c>
      <c r="C686" s="7" t="s">
        <v>2609</v>
      </c>
      <c r="D686" s="7" t="s">
        <v>2610</v>
      </c>
      <c r="E686" s="2" t="s">
        <v>2611</v>
      </c>
    </row>
    <row r="687" spans="1:5">
      <c r="A687" s="7" t="s">
        <v>2612</v>
      </c>
      <c r="B687" s="2" t="s">
        <v>1202</v>
      </c>
      <c r="C687" s="7" t="s">
        <v>2613</v>
      </c>
      <c r="D687" s="7" t="s">
        <v>2614</v>
      </c>
      <c r="E687" s="2" t="s">
        <v>2615</v>
      </c>
    </row>
    <row r="688" spans="1:5">
      <c r="A688" s="7" t="s">
        <v>2616</v>
      </c>
      <c r="B688" s="2" t="s">
        <v>1202</v>
      </c>
      <c r="C688" s="7" t="s">
        <v>2617</v>
      </c>
      <c r="D688" s="7" t="s">
        <v>2618</v>
      </c>
      <c r="E688" s="2" t="s">
        <v>2619</v>
      </c>
    </row>
    <row r="689" spans="1:5">
      <c r="A689" s="7" t="s">
        <v>2620</v>
      </c>
      <c r="B689" s="2" t="s">
        <v>1202</v>
      </c>
      <c r="C689" s="7" t="s">
        <v>2621</v>
      </c>
      <c r="D689" s="7" t="s">
        <v>2622</v>
      </c>
      <c r="E689" s="2" t="s">
        <v>2623</v>
      </c>
    </row>
    <row r="690" spans="1:5">
      <c r="A690" s="7" t="s">
        <v>2624</v>
      </c>
      <c r="B690" s="2" t="s">
        <v>1202</v>
      </c>
      <c r="C690" s="7" t="s">
        <v>2625</v>
      </c>
      <c r="D690" s="7" t="s">
        <v>2626</v>
      </c>
      <c r="E690" s="2" t="s">
        <v>2627</v>
      </c>
    </row>
    <row r="691" spans="1:5">
      <c r="A691" s="7" t="s">
        <v>2628</v>
      </c>
      <c r="B691" s="2" t="s">
        <v>1202</v>
      </c>
      <c r="C691" s="7" t="s">
        <v>2629</v>
      </c>
      <c r="D691" s="7" t="s">
        <v>2630</v>
      </c>
      <c r="E691" s="2" t="s">
        <v>2631</v>
      </c>
    </row>
    <row r="692" spans="1:5">
      <c r="A692" s="7" t="s">
        <v>2632</v>
      </c>
      <c r="B692" s="2" t="s">
        <v>1202</v>
      </c>
      <c r="C692" s="7" t="s">
        <v>2633</v>
      </c>
      <c r="D692" s="7" t="s">
        <v>2634</v>
      </c>
      <c r="E692" s="2" t="s">
        <v>2635</v>
      </c>
    </row>
    <row r="693" spans="1:5">
      <c r="A693" s="7" t="s">
        <v>2636</v>
      </c>
      <c r="B693" s="2" t="s">
        <v>1202</v>
      </c>
      <c r="C693" s="7" t="s">
        <v>2637</v>
      </c>
      <c r="D693" s="7" t="s">
        <v>2638</v>
      </c>
      <c r="E693" s="2" t="s">
        <v>2639</v>
      </c>
    </row>
    <row r="694" spans="1:5">
      <c r="A694" s="7" t="s">
        <v>2640</v>
      </c>
      <c r="B694" s="2" t="s">
        <v>1202</v>
      </c>
      <c r="C694" s="7" t="s">
        <v>2641</v>
      </c>
      <c r="D694" s="7" t="s">
        <v>2642</v>
      </c>
      <c r="E694" s="2" t="s">
        <v>2643</v>
      </c>
    </row>
    <row r="695" spans="1:5">
      <c r="A695" s="7" t="s">
        <v>2644</v>
      </c>
      <c r="B695" s="2" t="s">
        <v>1202</v>
      </c>
      <c r="C695" s="7" t="s">
        <v>2645</v>
      </c>
      <c r="D695" s="7" t="s">
        <v>2646</v>
      </c>
      <c r="E695" s="2" t="s">
        <v>2647</v>
      </c>
    </row>
    <row r="696" spans="1:5">
      <c r="A696" s="7" t="s">
        <v>2648</v>
      </c>
      <c r="B696" s="2" t="s">
        <v>1202</v>
      </c>
      <c r="C696" s="7" t="s">
        <v>2649</v>
      </c>
      <c r="D696" s="7" t="s">
        <v>2650</v>
      </c>
      <c r="E696" s="2" t="s">
        <v>2651</v>
      </c>
    </row>
    <row r="697" spans="1:5">
      <c r="A697" s="7" t="s">
        <v>2652</v>
      </c>
      <c r="B697" s="2" t="s">
        <v>1202</v>
      </c>
      <c r="C697" s="7" t="s">
        <v>2653</v>
      </c>
      <c r="D697" s="7" t="s">
        <v>2654</v>
      </c>
      <c r="E697" s="2" t="s">
        <v>2655</v>
      </c>
    </row>
    <row r="698" spans="1:5">
      <c r="A698" s="7" t="s">
        <v>2656</v>
      </c>
      <c r="B698" s="2" t="s">
        <v>1202</v>
      </c>
      <c r="C698" s="7" t="s">
        <v>2657</v>
      </c>
      <c r="D698" s="7" t="s">
        <v>2658</v>
      </c>
      <c r="E698" s="2" t="s">
        <v>2659</v>
      </c>
    </row>
    <row r="699" spans="1:5">
      <c r="A699" s="7" t="s">
        <v>2660</v>
      </c>
      <c r="B699" s="2" t="s">
        <v>1202</v>
      </c>
      <c r="C699" s="7" t="s">
        <v>2661</v>
      </c>
      <c r="D699" s="7" t="s">
        <v>2662</v>
      </c>
      <c r="E699" s="2" t="s">
        <v>2663</v>
      </c>
    </row>
    <row r="700" spans="1:5">
      <c r="A700" s="7" t="s">
        <v>2664</v>
      </c>
      <c r="B700" s="2" t="s">
        <v>1202</v>
      </c>
      <c r="C700" s="7" t="s">
        <v>2665</v>
      </c>
      <c r="D700" s="7" t="s">
        <v>2666</v>
      </c>
      <c r="E700" s="2" t="s">
        <v>2667</v>
      </c>
    </row>
    <row r="701" spans="1:5">
      <c r="A701" s="7" t="s">
        <v>2668</v>
      </c>
      <c r="B701" s="2" t="s">
        <v>1202</v>
      </c>
      <c r="C701" s="7" t="s">
        <v>2669</v>
      </c>
      <c r="D701" s="7" t="s">
        <v>2670</v>
      </c>
      <c r="E701" s="2" t="s">
        <v>2671</v>
      </c>
    </row>
    <row r="702" spans="1:5">
      <c r="A702" s="7" t="s">
        <v>2672</v>
      </c>
      <c r="B702" s="2" t="s">
        <v>1202</v>
      </c>
      <c r="C702" s="7" t="s">
        <v>2673</v>
      </c>
      <c r="D702" s="7" t="s">
        <v>2674</v>
      </c>
      <c r="E702" s="2" t="s">
        <v>2675</v>
      </c>
    </row>
    <row r="703" spans="1:5">
      <c r="A703" s="7" t="s">
        <v>2676</v>
      </c>
      <c r="B703" s="2" t="s">
        <v>1202</v>
      </c>
      <c r="C703" s="7" t="s">
        <v>2677</v>
      </c>
      <c r="D703" s="7" t="s">
        <v>2678</v>
      </c>
      <c r="E703" s="2" t="s">
        <v>2679</v>
      </c>
    </row>
    <row r="704" spans="1:5">
      <c r="A704" s="7" t="s">
        <v>2680</v>
      </c>
      <c r="B704" s="2" t="s">
        <v>1202</v>
      </c>
      <c r="C704" s="7" t="s">
        <v>2681</v>
      </c>
      <c r="D704" s="7" t="s">
        <v>2682</v>
      </c>
      <c r="E704" s="2" t="s">
        <v>2683</v>
      </c>
    </row>
    <row r="705" spans="1:5">
      <c r="A705" s="7" t="s">
        <v>2684</v>
      </c>
      <c r="B705" s="2" t="s">
        <v>1202</v>
      </c>
      <c r="C705" s="7" t="s">
        <v>2685</v>
      </c>
      <c r="D705" s="7" t="s">
        <v>2686</v>
      </c>
      <c r="E705" s="2" t="s">
        <v>2687</v>
      </c>
    </row>
    <row r="706" spans="1:5">
      <c r="A706" s="7" t="s">
        <v>2688</v>
      </c>
      <c r="B706" s="2" t="s">
        <v>1202</v>
      </c>
      <c r="C706" s="7" t="s">
        <v>2689</v>
      </c>
      <c r="D706" s="7" t="s">
        <v>2690</v>
      </c>
      <c r="E706" s="2" t="s">
        <v>2691</v>
      </c>
    </row>
    <row r="707" spans="1:5">
      <c r="A707" s="7" t="s">
        <v>2692</v>
      </c>
      <c r="B707" s="2" t="s">
        <v>1202</v>
      </c>
      <c r="C707" s="7" t="s">
        <v>2693</v>
      </c>
      <c r="D707" s="7" t="s">
        <v>2694</v>
      </c>
      <c r="E707" s="2" t="s">
        <v>2695</v>
      </c>
    </row>
    <row r="708" spans="1:5">
      <c r="A708" s="7" t="s">
        <v>2696</v>
      </c>
      <c r="B708" s="2" t="s">
        <v>1202</v>
      </c>
      <c r="C708" s="7" t="s">
        <v>2697</v>
      </c>
      <c r="D708" s="7" t="s">
        <v>2698</v>
      </c>
      <c r="E708" s="2" t="s">
        <v>2699</v>
      </c>
    </row>
    <row r="709" spans="1:5">
      <c r="A709" s="7" t="s">
        <v>2700</v>
      </c>
      <c r="B709" s="2" t="s">
        <v>1202</v>
      </c>
      <c r="C709" s="7" t="s">
        <v>2701</v>
      </c>
      <c r="D709" s="7" t="s">
        <v>2702</v>
      </c>
      <c r="E709" s="2" t="s">
        <v>2703</v>
      </c>
    </row>
    <row r="710" spans="1:5">
      <c r="A710" s="7" t="s">
        <v>2704</v>
      </c>
      <c r="B710" s="2" t="s">
        <v>1202</v>
      </c>
      <c r="C710" s="7" t="s">
        <v>2705</v>
      </c>
      <c r="D710" s="7" t="s">
        <v>2706</v>
      </c>
      <c r="E710" s="2" t="s">
        <v>2707</v>
      </c>
    </row>
    <row r="711" spans="1:5">
      <c r="A711" s="7" t="s">
        <v>2708</v>
      </c>
      <c r="B711" s="2" t="s">
        <v>1202</v>
      </c>
      <c r="C711" s="7" t="s">
        <v>2709</v>
      </c>
      <c r="D711" s="7" t="s">
        <v>2710</v>
      </c>
      <c r="E711" s="2" t="s">
        <v>2711</v>
      </c>
    </row>
    <row r="712" spans="1:5">
      <c r="A712" s="7" t="s">
        <v>2712</v>
      </c>
      <c r="B712" s="2" t="s">
        <v>1202</v>
      </c>
      <c r="C712" s="7" t="s">
        <v>2713</v>
      </c>
      <c r="D712" s="7" t="s">
        <v>2714</v>
      </c>
      <c r="E712" s="2" t="s">
        <v>2715</v>
      </c>
    </row>
    <row r="713" spans="1:5">
      <c r="A713" s="7" t="s">
        <v>2716</v>
      </c>
      <c r="B713" s="2" t="s">
        <v>1202</v>
      </c>
      <c r="C713" s="7" t="s">
        <v>2717</v>
      </c>
      <c r="D713" s="7" t="s">
        <v>2718</v>
      </c>
      <c r="E713" s="2" t="s">
        <v>2719</v>
      </c>
    </row>
    <row r="714" spans="1:5">
      <c r="A714" s="7" t="s">
        <v>2720</v>
      </c>
      <c r="B714" s="2" t="s">
        <v>1202</v>
      </c>
      <c r="C714" s="7" t="s">
        <v>2721</v>
      </c>
      <c r="D714" s="7" t="s">
        <v>2722</v>
      </c>
      <c r="E714" s="2" t="s">
        <v>2723</v>
      </c>
    </row>
    <row r="715" spans="1:5">
      <c r="A715" s="7" t="s">
        <v>2724</v>
      </c>
      <c r="B715" s="2" t="s">
        <v>1202</v>
      </c>
      <c r="C715" s="7" t="s">
        <v>2725</v>
      </c>
      <c r="D715" s="7" t="s">
        <v>2726</v>
      </c>
      <c r="E715" s="2" t="s">
        <v>2727</v>
      </c>
    </row>
    <row r="716" spans="1:5">
      <c r="A716" s="7" t="s">
        <v>2728</v>
      </c>
      <c r="B716" s="2" t="s">
        <v>1202</v>
      </c>
      <c r="C716" s="7" t="s">
        <v>2729</v>
      </c>
      <c r="D716" s="7" t="s">
        <v>2730</v>
      </c>
      <c r="E716" s="2" t="s">
        <v>2731</v>
      </c>
    </row>
    <row r="717" spans="1:5">
      <c r="A717" s="7" t="s">
        <v>2732</v>
      </c>
      <c r="B717" s="2" t="s">
        <v>1202</v>
      </c>
      <c r="C717" s="7" t="s">
        <v>2733</v>
      </c>
      <c r="D717" s="7" t="s">
        <v>2734</v>
      </c>
      <c r="E717" s="2" t="s">
        <v>2735</v>
      </c>
    </row>
    <row r="718" spans="1:5">
      <c r="A718" s="7" t="s">
        <v>2736</v>
      </c>
      <c r="B718" s="2" t="s">
        <v>1202</v>
      </c>
      <c r="C718" s="7" t="s">
        <v>2737</v>
      </c>
      <c r="D718" s="7" t="s">
        <v>2738</v>
      </c>
      <c r="E718" s="2" t="s">
        <v>2739</v>
      </c>
    </row>
    <row r="719" spans="1:5">
      <c r="A719" s="7" t="s">
        <v>2740</v>
      </c>
      <c r="B719" s="2" t="s">
        <v>1202</v>
      </c>
      <c r="C719" s="7" t="s">
        <v>2741</v>
      </c>
      <c r="D719" s="7" t="s">
        <v>2742</v>
      </c>
      <c r="E719" s="2" t="s">
        <v>2743</v>
      </c>
    </row>
    <row r="720" spans="1:5">
      <c r="A720" s="7" t="s">
        <v>2744</v>
      </c>
      <c r="B720" s="2" t="s">
        <v>1202</v>
      </c>
      <c r="C720" s="7" t="s">
        <v>2745</v>
      </c>
      <c r="D720" s="7" t="s">
        <v>2746</v>
      </c>
      <c r="E720" s="2" t="s">
        <v>2747</v>
      </c>
    </row>
    <row r="721" spans="1:5">
      <c r="A721" s="7" t="s">
        <v>2748</v>
      </c>
      <c r="B721" s="2" t="s">
        <v>1202</v>
      </c>
      <c r="C721" s="7" t="s">
        <v>2749</v>
      </c>
      <c r="D721" s="7" t="s">
        <v>2750</v>
      </c>
      <c r="E721" s="2" t="s">
        <v>2751</v>
      </c>
    </row>
    <row r="722" spans="1:5">
      <c r="A722" s="7" t="s">
        <v>2752</v>
      </c>
      <c r="B722" s="2" t="s">
        <v>1202</v>
      </c>
      <c r="C722" s="7" t="s">
        <v>2753</v>
      </c>
      <c r="D722" s="7" t="s">
        <v>2754</v>
      </c>
      <c r="E722" s="2" t="s">
        <v>2755</v>
      </c>
    </row>
    <row r="723" spans="1:5">
      <c r="A723" s="7" t="s">
        <v>2756</v>
      </c>
      <c r="B723" s="2" t="s">
        <v>1202</v>
      </c>
      <c r="C723" s="7" t="s">
        <v>2757</v>
      </c>
      <c r="D723" s="7" t="s">
        <v>2758</v>
      </c>
      <c r="E723" s="2" t="s">
        <v>2759</v>
      </c>
    </row>
    <row r="724" spans="1:5">
      <c r="A724" s="7" t="s">
        <v>2760</v>
      </c>
      <c r="B724" s="2" t="s">
        <v>1202</v>
      </c>
      <c r="C724" s="7" t="s">
        <v>2761</v>
      </c>
      <c r="D724" s="7" t="s">
        <v>2762</v>
      </c>
      <c r="E724" s="2" t="s">
        <v>2763</v>
      </c>
    </row>
    <row r="725" spans="1:5">
      <c r="A725" s="7" t="s">
        <v>2764</v>
      </c>
      <c r="B725" s="2" t="s">
        <v>1202</v>
      </c>
      <c r="C725" s="7" t="s">
        <v>2765</v>
      </c>
      <c r="D725" s="7" t="s">
        <v>2766</v>
      </c>
      <c r="E725" s="2" t="s">
        <v>2767</v>
      </c>
    </row>
    <row r="726" spans="1:5">
      <c r="A726" s="7" t="s">
        <v>2768</v>
      </c>
      <c r="B726" s="2" t="s">
        <v>1202</v>
      </c>
      <c r="C726" s="7" t="s">
        <v>2769</v>
      </c>
      <c r="D726" s="7" t="s">
        <v>2770</v>
      </c>
      <c r="E726" s="2" t="s">
        <v>2771</v>
      </c>
    </row>
    <row r="727" spans="1:5">
      <c r="A727" s="7" t="s">
        <v>2772</v>
      </c>
      <c r="B727" s="2" t="s">
        <v>1202</v>
      </c>
      <c r="C727" s="7" t="s">
        <v>2773</v>
      </c>
      <c r="D727" s="7" t="s">
        <v>2774</v>
      </c>
      <c r="E727" s="2" t="s">
        <v>2775</v>
      </c>
    </row>
    <row r="728" spans="1:5">
      <c r="A728" s="7" t="s">
        <v>2776</v>
      </c>
      <c r="B728" s="2" t="s">
        <v>1202</v>
      </c>
      <c r="C728" s="7" t="s">
        <v>2777</v>
      </c>
      <c r="D728" s="7" t="s">
        <v>2778</v>
      </c>
      <c r="E728" s="2" t="s">
        <v>2779</v>
      </c>
    </row>
    <row r="729" spans="1:5">
      <c r="A729" s="7" t="s">
        <v>1118</v>
      </c>
      <c r="B729" s="2" t="s">
        <v>1202</v>
      </c>
      <c r="C729" s="7" t="s">
        <v>2780</v>
      </c>
      <c r="D729" s="7" t="s">
        <v>2781</v>
      </c>
      <c r="E729" s="2" t="s">
        <v>2782</v>
      </c>
    </row>
    <row r="730" spans="1:5">
      <c r="A730" s="7" t="s">
        <v>1144</v>
      </c>
      <c r="B730" s="2" t="s">
        <v>1202</v>
      </c>
      <c r="C730" s="7" t="s">
        <v>2783</v>
      </c>
      <c r="D730" s="7" t="s">
        <v>2784</v>
      </c>
      <c r="E730" s="2" t="s">
        <v>2785</v>
      </c>
    </row>
    <row r="731" spans="1:5">
      <c r="A731" s="7" t="s">
        <v>1136</v>
      </c>
      <c r="B731" s="2" t="s">
        <v>1202</v>
      </c>
      <c r="C731" s="7" t="s">
        <v>2786</v>
      </c>
      <c r="D731" s="7" t="s">
        <v>2787</v>
      </c>
      <c r="E731" s="2" t="s">
        <v>2788</v>
      </c>
    </row>
    <row r="732" spans="1:5">
      <c r="A732" s="7" t="s">
        <v>1140</v>
      </c>
      <c r="B732" s="2" t="s">
        <v>1202</v>
      </c>
      <c r="C732" s="7" t="s">
        <v>2789</v>
      </c>
      <c r="D732" s="7" t="s">
        <v>2790</v>
      </c>
      <c r="E732" s="2" t="s">
        <v>2791</v>
      </c>
    </row>
    <row r="733" spans="1:5">
      <c r="A733" s="7" t="s">
        <v>2792</v>
      </c>
      <c r="B733" s="2" t="s">
        <v>1202</v>
      </c>
      <c r="C733" s="7" t="s">
        <v>2793</v>
      </c>
      <c r="D733" s="7" t="s">
        <v>2794</v>
      </c>
      <c r="E733" s="2" t="s">
        <v>2795</v>
      </c>
    </row>
    <row r="734" spans="1:5">
      <c r="A734" s="7" t="s">
        <v>2796</v>
      </c>
      <c r="B734" s="2" t="s">
        <v>1202</v>
      </c>
      <c r="C734" s="7" t="s">
        <v>2797</v>
      </c>
      <c r="D734" s="7" t="s">
        <v>2798</v>
      </c>
      <c r="E734" s="2" t="s">
        <v>2799</v>
      </c>
    </row>
    <row r="735" spans="1:5">
      <c r="A735" s="7" t="s">
        <v>2800</v>
      </c>
      <c r="B735" s="2" t="s">
        <v>1202</v>
      </c>
      <c r="C735" s="7" t="s">
        <v>2801</v>
      </c>
      <c r="D735" s="7" t="s">
        <v>2802</v>
      </c>
      <c r="E735" s="2" t="s">
        <v>2803</v>
      </c>
    </row>
    <row r="736" spans="1:5">
      <c r="A736" s="7" t="s">
        <v>2804</v>
      </c>
      <c r="B736" s="2" t="s">
        <v>1202</v>
      </c>
      <c r="C736" s="7" t="s">
        <v>2805</v>
      </c>
      <c r="D736" s="7" t="s">
        <v>2806</v>
      </c>
      <c r="E736" s="2" t="s">
        <v>2807</v>
      </c>
    </row>
    <row r="737" spans="1:5">
      <c r="A737" s="7" t="s">
        <v>2808</v>
      </c>
      <c r="B737" s="2" t="s">
        <v>1202</v>
      </c>
      <c r="C737" s="7" t="s">
        <v>2809</v>
      </c>
      <c r="D737" s="7" t="s">
        <v>2810</v>
      </c>
      <c r="E737" s="2" t="s">
        <v>2811</v>
      </c>
    </row>
    <row r="738" spans="1:5">
      <c r="A738" s="7" t="s">
        <v>2812</v>
      </c>
      <c r="B738" s="2" t="s">
        <v>1202</v>
      </c>
      <c r="C738" s="7" t="s">
        <v>2813</v>
      </c>
      <c r="D738" s="7" t="s">
        <v>2814</v>
      </c>
      <c r="E738" s="2" t="s">
        <v>2815</v>
      </c>
    </row>
    <row r="739" spans="1:5">
      <c r="A739" s="7" t="s">
        <v>2816</v>
      </c>
      <c r="B739" s="2" t="s">
        <v>1202</v>
      </c>
      <c r="C739" s="7" t="s">
        <v>2817</v>
      </c>
      <c r="D739" s="7" t="s">
        <v>2818</v>
      </c>
      <c r="E739" s="2" t="s">
        <v>2819</v>
      </c>
    </row>
    <row r="740" spans="1:5">
      <c r="A740" s="7" t="s">
        <v>2820</v>
      </c>
      <c r="B740" s="2" t="s">
        <v>1202</v>
      </c>
      <c r="C740" s="7" t="s">
        <v>2821</v>
      </c>
      <c r="D740" s="7" t="s">
        <v>2822</v>
      </c>
      <c r="E740" s="2" t="s">
        <v>2823</v>
      </c>
    </row>
    <row r="741" spans="1:5">
      <c r="A741" s="7" t="s">
        <v>2824</v>
      </c>
      <c r="B741" s="2" t="s">
        <v>1202</v>
      </c>
      <c r="C741" s="7" t="s">
        <v>2825</v>
      </c>
      <c r="D741" s="7" t="s">
        <v>2826</v>
      </c>
      <c r="E741" s="2" t="s">
        <v>2827</v>
      </c>
    </row>
    <row r="742" spans="1:5">
      <c r="A742" s="7" t="s">
        <v>2828</v>
      </c>
      <c r="B742" s="2" t="s">
        <v>1202</v>
      </c>
      <c r="C742" s="7" t="s">
        <v>2829</v>
      </c>
      <c r="D742" s="7" t="s">
        <v>2830</v>
      </c>
      <c r="E742" s="2" t="s">
        <v>2831</v>
      </c>
    </row>
    <row r="743" spans="1:5">
      <c r="A743" s="7" t="s">
        <v>2832</v>
      </c>
      <c r="B743" s="2" t="s">
        <v>1202</v>
      </c>
      <c r="C743" s="7" t="s">
        <v>2833</v>
      </c>
      <c r="D743" s="7" t="s">
        <v>2834</v>
      </c>
      <c r="E743" s="2" t="s">
        <v>2835</v>
      </c>
    </row>
    <row r="744" spans="1:5">
      <c r="A744" s="7" t="s">
        <v>2836</v>
      </c>
      <c r="B744" s="2" t="s">
        <v>1202</v>
      </c>
      <c r="C744" s="7" t="s">
        <v>2837</v>
      </c>
      <c r="D744" s="7" t="s">
        <v>2838</v>
      </c>
      <c r="E744" s="2" t="s">
        <v>2839</v>
      </c>
    </row>
    <row r="745" spans="1:5">
      <c r="A745" s="7" t="s">
        <v>2840</v>
      </c>
      <c r="B745" s="2" t="s">
        <v>1202</v>
      </c>
      <c r="C745" s="7" t="s">
        <v>2841</v>
      </c>
      <c r="D745" s="7" t="s">
        <v>2842</v>
      </c>
      <c r="E745" s="2" t="s">
        <v>2843</v>
      </c>
    </row>
    <row r="746" spans="1:5">
      <c r="A746" s="7" t="s">
        <v>2844</v>
      </c>
      <c r="B746" s="2" t="s">
        <v>1202</v>
      </c>
      <c r="C746" s="7" t="s">
        <v>2845</v>
      </c>
      <c r="D746" s="7" t="s">
        <v>2846</v>
      </c>
      <c r="E746" s="2" t="s">
        <v>2847</v>
      </c>
    </row>
    <row r="747" spans="1:5">
      <c r="A747" s="7" t="s">
        <v>2848</v>
      </c>
      <c r="B747" s="2" t="s">
        <v>1202</v>
      </c>
      <c r="C747" s="7" t="s">
        <v>2849</v>
      </c>
      <c r="D747" s="7" t="s">
        <v>2850</v>
      </c>
      <c r="E747" s="2" t="s">
        <v>2851</v>
      </c>
    </row>
    <row r="748" spans="1:5">
      <c r="A748" s="7" t="s">
        <v>2852</v>
      </c>
      <c r="B748" s="2" t="s">
        <v>1202</v>
      </c>
      <c r="C748" s="7" t="s">
        <v>2853</v>
      </c>
      <c r="D748" s="7" t="s">
        <v>2850</v>
      </c>
      <c r="E748" s="2" t="s">
        <v>2854</v>
      </c>
    </row>
    <row r="749" spans="1:5">
      <c r="A749" s="7" t="s">
        <v>2855</v>
      </c>
      <c r="B749" s="2" t="s">
        <v>1202</v>
      </c>
      <c r="C749" s="7" t="s">
        <v>2856</v>
      </c>
      <c r="D749" s="7" t="s">
        <v>2857</v>
      </c>
      <c r="E749" s="2" t="s">
        <v>2858</v>
      </c>
    </row>
    <row r="750" spans="1:5">
      <c r="A750" s="7" t="s">
        <v>2859</v>
      </c>
      <c r="B750" s="2" t="s">
        <v>1202</v>
      </c>
      <c r="C750" s="7" t="s">
        <v>2860</v>
      </c>
      <c r="D750" s="7" t="s">
        <v>2861</v>
      </c>
      <c r="E750" s="2" t="s">
        <v>2862</v>
      </c>
    </row>
    <row r="751" spans="1:5">
      <c r="A751" s="7" t="s">
        <v>2863</v>
      </c>
      <c r="B751" s="2" t="s">
        <v>1202</v>
      </c>
      <c r="C751" s="7" t="s">
        <v>2864</v>
      </c>
      <c r="D751" s="7" t="s">
        <v>2865</v>
      </c>
      <c r="E751" s="2" t="s">
        <v>2866</v>
      </c>
    </row>
    <row r="752" spans="1:5">
      <c r="A752" s="7" t="s">
        <v>2867</v>
      </c>
      <c r="B752" s="2" t="s">
        <v>1202</v>
      </c>
      <c r="C752" s="7" t="s">
        <v>2868</v>
      </c>
      <c r="D752" s="7" t="s">
        <v>2869</v>
      </c>
      <c r="E752" s="2" t="s">
        <v>2870</v>
      </c>
    </row>
    <row r="753" spans="1:5">
      <c r="A753" s="7" t="s">
        <v>2871</v>
      </c>
      <c r="B753" s="2" t="s">
        <v>1202</v>
      </c>
      <c r="C753" s="7" t="s">
        <v>2872</v>
      </c>
      <c r="D753" s="7" t="s">
        <v>2873</v>
      </c>
      <c r="E753" s="2" t="s">
        <v>2874</v>
      </c>
    </row>
    <row r="754" spans="1:5">
      <c r="A754" s="7" t="s">
        <v>2875</v>
      </c>
      <c r="B754" s="2" t="s">
        <v>1202</v>
      </c>
      <c r="C754" s="7" t="s">
        <v>2876</v>
      </c>
      <c r="D754" s="7" t="s">
        <v>2877</v>
      </c>
      <c r="E754" s="2" t="s">
        <v>2878</v>
      </c>
    </row>
    <row r="755" spans="1:5">
      <c r="A755" s="7" t="s">
        <v>2879</v>
      </c>
      <c r="B755" s="2" t="s">
        <v>1202</v>
      </c>
      <c r="C755" s="7" t="s">
        <v>2880</v>
      </c>
      <c r="D755" s="7" t="s">
        <v>2881</v>
      </c>
      <c r="E755" s="2" t="s">
        <v>2882</v>
      </c>
    </row>
    <row r="756" spans="1:5">
      <c r="A756" s="7" t="s">
        <v>2883</v>
      </c>
      <c r="B756" s="2" t="s">
        <v>1202</v>
      </c>
      <c r="C756" s="7" t="s">
        <v>2884</v>
      </c>
      <c r="D756" s="7" t="s">
        <v>2885</v>
      </c>
      <c r="E756" s="2" t="s">
        <v>2886</v>
      </c>
    </row>
    <row r="757" spans="1:5">
      <c r="A757" s="7" t="s">
        <v>2887</v>
      </c>
      <c r="B757" s="2" t="s">
        <v>1202</v>
      </c>
      <c r="C757" s="7" t="s">
        <v>2888</v>
      </c>
      <c r="D757" s="7" t="s">
        <v>2889</v>
      </c>
      <c r="E757" s="2" t="s">
        <v>2890</v>
      </c>
    </row>
    <row r="758" spans="1:5">
      <c r="A758" s="7" t="s">
        <v>2891</v>
      </c>
      <c r="B758" s="2" t="s">
        <v>1202</v>
      </c>
      <c r="C758" s="7" t="s">
        <v>2892</v>
      </c>
      <c r="D758" s="7" t="s">
        <v>2893</v>
      </c>
      <c r="E758" s="2" t="s">
        <v>2894</v>
      </c>
    </row>
    <row r="759" spans="1:5">
      <c r="A759" s="7" t="s">
        <v>2895</v>
      </c>
      <c r="B759" s="2" t="s">
        <v>1202</v>
      </c>
      <c r="C759" s="7" t="s">
        <v>2896</v>
      </c>
      <c r="D759" s="7" t="s">
        <v>2897</v>
      </c>
      <c r="E759" s="2" t="s">
        <v>2898</v>
      </c>
    </row>
    <row r="760" spans="1:5">
      <c r="A760" s="7" t="s">
        <v>2899</v>
      </c>
      <c r="B760" s="2" t="s">
        <v>1202</v>
      </c>
      <c r="C760" s="7" t="s">
        <v>2900</v>
      </c>
      <c r="D760" s="7" t="s">
        <v>2901</v>
      </c>
      <c r="E760" s="2" t="s">
        <v>2902</v>
      </c>
    </row>
    <row r="761" spans="1:5">
      <c r="A761" s="7" t="s">
        <v>2903</v>
      </c>
      <c r="B761" s="2" t="s">
        <v>1202</v>
      </c>
      <c r="C761" s="7" t="s">
        <v>2904</v>
      </c>
      <c r="D761" s="7" t="s">
        <v>2905</v>
      </c>
      <c r="E761" s="2" t="s">
        <v>2906</v>
      </c>
    </row>
    <row r="762" spans="1:5">
      <c r="A762" s="7" t="s">
        <v>2907</v>
      </c>
      <c r="B762" s="2" t="s">
        <v>1202</v>
      </c>
      <c r="C762" s="7" t="s">
        <v>2908</v>
      </c>
      <c r="D762" s="7" t="s">
        <v>2909</v>
      </c>
      <c r="E762" s="2" t="s">
        <v>2910</v>
      </c>
    </row>
    <row r="763" spans="1:5">
      <c r="A763" s="7" t="s">
        <v>2911</v>
      </c>
      <c r="B763" s="2" t="s">
        <v>1202</v>
      </c>
      <c r="C763" s="7" t="s">
        <v>2912</v>
      </c>
      <c r="D763" s="7" t="s">
        <v>2913</v>
      </c>
      <c r="E763" s="2" t="s">
        <v>2914</v>
      </c>
    </row>
    <row r="764" spans="1:5">
      <c r="A764" s="7" t="s">
        <v>2915</v>
      </c>
      <c r="B764" s="2" t="s">
        <v>1202</v>
      </c>
      <c r="C764" s="7" t="s">
        <v>2916</v>
      </c>
      <c r="D764" s="7" t="s">
        <v>2917</v>
      </c>
      <c r="E764" s="2" t="s">
        <v>2918</v>
      </c>
    </row>
    <row r="765" spans="1:5">
      <c r="A765" s="7" t="s">
        <v>2919</v>
      </c>
      <c r="B765" s="2" t="s">
        <v>1202</v>
      </c>
      <c r="C765" s="7" t="s">
        <v>2920</v>
      </c>
      <c r="D765" s="7" t="s">
        <v>2921</v>
      </c>
      <c r="E765" s="2" t="s">
        <v>2922</v>
      </c>
    </row>
    <row r="766" spans="1:5">
      <c r="A766" s="7" t="s">
        <v>2923</v>
      </c>
      <c r="B766" s="2" t="s">
        <v>1202</v>
      </c>
      <c r="C766" s="7" t="s">
        <v>2924</v>
      </c>
      <c r="D766" s="7" t="s">
        <v>2925</v>
      </c>
      <c r="E766" s="2" t="s">
        <v>2926</v>
      </c>
    </row>
    <row r="767" spans="1:5">
      <c r="A767" s="7" t="s">
        <v>2927</v>
      </c>
      <c r="B767" s="2" t="s">
        <v>1202</v>
      </c>
      <c r="C767" s="7" t="s">
        <v>2928</v>
      </c>
      <c r="D767" s="7" t="s">
        <v>2929</v>
      </c>
      <c r="E767" s="2" t="s">
        <v>2930</v>
      </c>
    </row>
    <row r="768" spans="1:5">
      <c r="A768" s="7" t="s">
        <v>2931</v>
      </c>
      <c r="B768" s="2" t="s">
        <v>1202</v>
      </c>
      <c r="C768" s="7" t="s">
        <v>2932</v>
      </c>
      <c r="D768" s="7" t="s">
        <v>2933</v>
      </c>
      <c r="E768" s="2" t="s">
        <v>2934</v>
      </c>
    </row>
    <row r="769" spans="1:5">
      <c r="A769" s="7" t="s">
        <v>2935</v>
      </c>
      <c r="B769" s="2" t="s">
        <v>1202</v>
      </c>
      <c r="C769" s="7" t="s">
        <v>2936</v>
      </c>
      <c r="D769" s="7" t="s">
        <v>2937</v>
      </c>
      <c r="E769" s="2" t="s">
        <v>2938</v>
      </c>
    </row>
    <row r="770" spans="1:5">
      <c r="A770" s="7" t="s">
        <v>2939</v>
      </c>
      <c r="B770" s="2" t="s">
        <v>1202</v>
      </c>
      <c r="C770" s="7" t="s">
        <v>2940</v>
      </c>
      <c r="D770" s="7" t="s">
        <v>2941</v>
      </c>
      <c r="E770" s="2" t="s">
        <v>2942</v>
      </c>
    </row>
    <row r="771" spans="1:5">
      <c r="A771" s="7" t="s">
        <v>2943</v>
      </c>
      <c r="B771" s="2" t="s">
        <v>1202</v>
      </c>
      <c r="C771" s="7" t="s">
        <v>2944</v>
      </c>
      <c r="D771" s="7" t="s">
        <v>2945</v>
      </c>
      <c r="E771" s="2" t="s">
        <v>2946</v>
      </c>
    </row>
    <row r="772" spans="1:5">
      <c r="A772" s="7" t="s">
        <v>2947</v>
      </c>
      <c r="B772" s="2" t="s">
        <v>1202</v>
      </c>
      <c r="C772" s="7" t="s">
        <v>2948</v>
      </c>
      <c r="D772" s="7" t="s">
        <v>2949</v>
      </c>
      <c r="E772" s="2" t="s">
        <v>2950</v>
      </c>
    </row>
    <row r="773" spans="1:5">
      <c r="A773" s="7" t="s">
        <v>2951</v>
      </c>
      <c r="B773" s="2" t="s">
        <v>1202</v>
      </c>
      <c r="C773" s="7" t="s">
        <v>2952</v>
      </c>
      <c r="D773" s="7" t="s">
        <v>2953</v>
      </c>
      <c r="E773" s="2" t="s">
        <v>2954</v>
      </c>
    </row>
    <row r="774" spans="1:5">
      <c r="A774" s="7" t="s">
        <v>2955</v>
      </c>
      <c r="B774" s="2" t="s">
        <v>1202</v>
      </c>
      <c r="C774" s="7" t="s">
        <v>2956</v>
      </c>
      <c r="D774" s="7" t="s">
        <v>2957</v>
      </c>
      <c r="E774" s="2" t="s">
        <v>2958</v>
      </c>
    </row>
    <row r="775" spans="1:5">
      <c r="A775" s="7" t="s">
        <v>2959</v>
      </c>
      <c r="B775" s="2" t="s">
        <v>1202</v>
      </c>
      <c r="C775" s="7" t="s">
        <v>2960</v>
      </c>
      <c r="D775" s="7" t="s">
        <v>2961</v>
      </c>
      <c r="E775" s="2" t="s">
        <v>2962</v>
      </c>
    </row>
    <row r="776" spans="1:5">
      <c r="A776" s="7" t="s">
        <v>2963</v>
      </c>
      <c r="B776" s="2" t="s">
        <v>1202</v>
      </c>
      <c r="C776" s="7" t="s">
        <v>2964</v>
      </c>
      <c r="D776" s="7" t="s">
        <v>2965</v>
      </c>
      <c r="E776" s="2" t="s">
        <v>2966</v>
      </c>
    </row>
    <row r="777" spans="1:5">
      <c r="A777" s="7" t="s">
        <v>2967</v>
      </c>
      <c r="B777" s="2" t="s">
        <v>1202</v>
      </c>
      <c r="C777" s="7" t="s">
        <v>2968</v>
      </c>
      <c r="D777" s="7" t="s">
        <v>2969</v>
      </c>
      <c r="E777" s="2" t="s">
        <v>2970</v>
      </c>
    </row>
    <row r="778" spans="1:5">
      <c r="A778" s="7" t="s">
        <v>2971</v>
      </c>
      <c r="B778" s="2" t="s">
        <v>1202</v>
      </c>
      <c r="C778" s="7" t="s">
        <v>2972</v>
      </c>
      <c r="D778" s="7" t="s">
        <v>2973</v>
      </c>
      <c r="E778" s="2" t="s">
        <v>2974</v>
      </c>
    </row>
    <row r="779" spans="1:5">
      <c r="A779" s="7" t="s">
        <v>2975</v>
      </c>
      <c r="B779" s="2" t="s">
        <v>1202</v>
      </c>
      <c r="C779" s="7" t="s">
        <v>2976</v>
      </c>
      <c r="D779" s="7" t="s">
        <v>2977</v>
      </c>
      <c r="E779" s="2" t="s">
        <v>2978</v>
      </c>
    </row>
    <row r="780" spans="1:5">
      <c r="A780" s="7" t="s">
        <v>2979</v>
      </c>
      <c r="B780" s="2" t="s">
        <v>1202</v>
      </c>
      <c r="C780" s="7" t="s">
        <v>2980</v>
      </c>
      <c r="D780" s="7" t="s">
        <v>2981</v>
      </c>
      <c r="E780" s="2" t="s">
        <v>2982</v>
      </c>
    </row>
    <row r="781" spans="1:5">
      <c r="A781" s="7" t="s">
        <v>2983</v>
      </c>
      <c r="B781" s="2" t="s">
        <v>1202</v>
      </c>
      <c r="C781" s="7" t="s">
        <v>2984</v>
      </c>
      <c r="D781" s="7" t="s">
        <v>2985</v>
      </c>
      <c r="E781" s="2" t="s">
        <v>2986</v>
      </c>
    </row>
    <row r="782" spans="1:5">
      <c r="A782" s="7" t="s">
        <v>2987</v>
      </c>
      <c r="B782" s="2" t="s">
        <v>1202</v>
      </c>
      <c r="C782" s="7" t="s">
        <v>2988</v>
      </c>
      <c r="D782" s="7" t="s">
        <v>2989</v>
      </c>
      <c r="E782" s="2" t="s">
        <v>2990</v>
      </c>
    </row>
    <row r="783" spans="1:5">
      <c r="A783" s="7" t="s">
        <v>2991</v>
      </c>
      <c r="B783" s="2" t="s">
        <v>1202</v>
      </c>
      <c r="C783" s="7" t="s">
        <v>2992</v>
      </c>
      <c r="D783" s="7" t="s">
        <v>2993</v>
      </c>
      <c r="E783" s="2" t="s">
        <v>2994</v>
      </c>
    </row>
    <row r="784" spans="1:5">
      <c r="A784" s="7" t="s">
        <v>2995</v>
      </c>
      <c r="B784" s="2" t="s">
        <v>1202</v>
      </c>
      <c r="C784" s="7" t="s">
        <v>2996</v>
      </c>
      <c r="D784" s="7" t="s">
        <v>2997</v>
      </c>
      <c r="E784" s="2" t="s">
        <v>2998</v>
      </c>
    </row>
    <row r="785" spans="1:5">
      <c r="A785" s="7" t="s">
        <v>2999</v>
      </c>
      <c r="B785" s="2" t="s">
        <v>1202</v>
      </c>
      <c r="C785" s="7" t="s">
        <v>3000</v>
      </c>
      <c r="D785" s="7" t="s">
        <v>3001</v>
      </c>
      <c r="E785" s="2" t="s">
        <v>3002</v>
      </c>
    </row>
    <row r="786" spans="1:5">
      <c r="A786" s="7" t="s">
        <v>3003</v>
      </c>
      <c r="B786" s="2" t="s">
        <v>1202</v>
      </c>
      <c r="C786" s="7" t="s">
        <v>3004</v>
      </c>
      <c r="D786" s="7" t="s">
        <v>3005</v>
      </c>
      <c r="E786" s="2" t="s">
        <v>3006</v>
      </c>
    </row>
    <row r="787" spans="1:5">
      <c r="A787" s="7" t="s">
        <v>3007</v>
      </c>
      <c r="B787" s="2" t="s">
        <v>1202</v>
      </c>
      <c r="C787" s="7" t="s">
        <v>3008</v>
      </c>
      <c r="D787" s="7" t="s">
        <v>3009</v>
      </c>
      <c r="E787" s="2" t="s">
        <v>3010</v>
      </c>
    </row>
    <row r="788" spans="1:5">
      <c r="A788" s="7" t="s">
        <v>3011</v>
      </c>
      <c r="B788" s="2" t="s">
        <v>1202</v>
      </c>
      <c r="C788" s="7" t="s">
        <v>3012</v>
      </c>
      <c r="D788" s="7" t="s">
        <v>3013</v>
      </c>
      <c r="E788" s="2" t="s">
        <v>3014</v>
      </c>
    </row>
    <row r="789" spans="1:5">
      <c r="A789" s="7" t="s">
        <v>3015</v>
      </c>
      <c r="B789" s="2" t="s">
        <v>1202</v>
      </c>
      <c r="C789" s="7" t="s">
        <v>3016</v>
      </c>
      <c r="D789" s="7" t="s">
        <v>3017</v>
      </c>
      <c r="E789" s="2" t="s">
        <v>3018</v>
      </c>
    </row>
    <row r="790" spans="1:5">
      <c r="A790" s="7" t="s">
        <v>3019</v>
      </c>
      <c r="B790" s="2" t="s">
        <v>1202</v>
      </c>
      <c r="C790" s="7" t="s">
        <v>3020</v>
      </c>
      <c r="D790" s="7" t="s">
        <v>3021</v>
      </c>
      <c r="E790" s="2" t="s">
        <v>3022</v>
      </c>
    </row>
    <row r="791" spans="1:5">
      <c r="A791" s="7" t="s">
        <v>3023</v>
      </c>
      <c r="B791" s="2" t="s">
        <v>1202</v>
      </c>
      <c r="C791" s="7" t="s">
        <v>3024</v>
      </c>
      <c r="D791" s="7" t="s">
        <v>3025</v>
      </c>
      <c r="E791" s="2" t="s">
        <v>3026</v>
      </c>
    </row>
    <row r="792" spans="1:5">
      <c r="A792" s="7" t="s">
        <v>3027</v>
      </c>
      <c r="B792" s="2" t="s">
        <v>1202</v>
      </c>
      <c r="C792" s="7" t="s">
        <v>3028</v>
      </c>
      <c r="D792" s="7" t="s">
        <v>3029</v>
      </c>
      <c r="E792" s="2" t="s">
        <v>3030</v>
      </c>
    </row>
    <row r="793" spans="1:5">
      <c r="A793" s="7" t="s">
        <v>3031</v>
      </c>
      <c r="B793" s="2" t="s">
        <v>1202</v>
      </c>
      <c r="C793" s="7" t="s">
        <v>3032</v>
      </c>
      <c r="D793" s="7" t="s">
        <v>3033</v>
      </c>
      <c r="E793" s="2" t="s">
        <v>3034</v>
      </c>
    </row>
    <row r="794" spans="1:5">
      <c r="A794" s="7" t="s">
        <v>3035</v>
      </c>
      <c r="B794" s="2" t="s">
        <v>1202</v>
      </c>
      <c r="C794" s="7" t="s">
        <v>3036</v>
      </c>
      <c r="D794" s="7" t="s">
        <v>3037</v>
      </c>
      <c r="E794" s="2" t="s">
        <v>3038</v>
      </c>
    </row>
    <row r="795" spans="1:5">
      <c r="A795" s="7" t="s">
        <v>3039</v>
      </c>
      <c r="B795" s="2" t="s">
        <v>1202</v>
      </c>
      <c r="C795" s="7" t="s">
        <v>3040</v>
      </c>
      <c r="D795" s="7" t="s">
        <v>3041</v>
      </c>
      <c r="E795" s="2" t="s">
        <v>3042</v>
      </c>
    </row>
    <row r="796" spans="1:5">
      <c r="A796" s="7" t="s">
        <v>3043</v>
      </c>
      <c r="B796" s="2" t="s">
        <v>1202</v>
      </c>
      <c r="C796" s="7" t="s">
        <v>3044</v>
      </c>
      <c r="D796" s="7" t="s">
        <v>3045</v>
      </c>
      <c r="E796" s="2" t="s">
        <v>3046</v>
      </c>
    </row>
    <row r="797" spans="1:5">
      <c r="A797" s="7" t="s">
        <v>3047</v>
      </c>
      <c r="B797" s="2" t="s">
        <v>1202</v>
      </c>
      <c r="C797" s="7" t="s">
        <v>3048</v>
      </c>
      <c r="D797" s="7" t="s">
        <v>3049</v>
      </c>
      <c r="E797" s="2" t="s">
        <v>3050</v>
      </c>
    </row>
    <row r="798" spans="1:5">
      <c r="A798" s="7" t="s">
        <v>3051</v>
      </c>
      <c r="B798" s="2" t="s">
        <v>1202</v>
      </c>
      <c r="C798" s="7" t="s">
        <v>3052</v>
      </c>
      <c r="D798" s="7" t="s">
        <v>3053</v>
      </c>
      <c r="E798" s="2" t="s">
        <v>3054</v>
      </c>
    </row>
    <row r="799" spans="1:5">
      <c r="A799" s="7" t="s">
        <v>3055</v>
      </c>
      <c r="B799" s="2" t="s">
        <v>1202</v>
      </c>
      <c r="C799" s="7" t="s">
        <v>3056</v>
      </c>
      <c r="D799" s="7" t="s">
        <v>3057</v>
      </c>
      <c r="E799" s="2" t="s">
        <v>3058</v>
      </c>
    </row>
    <row r="800" spans="1:5">
      <c r="A800" s="7" t="s">
        <v>3059</v>
      </c>
      <c r="B800" s="2" t="s">
        <v>1202</v>
      </c>
      <c r="C800" s="7" t="s">
        <v>3060</v>
      </c>
      <c r="D800" s="7" t="s">
        <v>3061</v>
      </c>
      <c r="E800" s="2" t="s">
        <v>3062</v>
      </c>
    </row>
    <row r="801" spans="1:5">
      <c r="A801" s="7" t="s">
        <v>3063</v>
      </c>
      <c r="B801" s="2" t="s">
        <v>1202</v>
      </c>
      <c r="C801" s="7" t="s">
        <v>3064</v>
      </c>
      <c r="D801" s="7" t="s">
        <v>3065</v>
      </c>
      <c r="E801" s="2" t="s">
        <v>3066</v>
      </c>
    </row>
    <row r="802" spans="1:5">
      <c r="A802" s="7" t="s">
        <v>3067</v>
      </c>
      <c r="B802" s="2" t="s">
        <v>1202</v>
      </c>
      <c r="C802" s="7" t="s">
        <v>3068</v>
      </c>
      <c r="D802" s="7" t="s">
        <v>3069</v>
      </c>
      <c r="E802" s="2" t="s">
        <v>3070</v>
      </c>
    </row>
    <row r="803" spans="1:5">
      <c r="A803" s="7" t="s">
        <v>3071</v>
      </c>
      <c r="B803" s="2" t="s">
        <v>1202</v>
      </c>
      <c r="C803" s="7" t="s">
        <v>3072</v>
      </c>
      <c r="D803" s="7" t="s">
        <v>3073</v>
      </c>
      <c r="E803" s="2" t="s">
        <v>3074</v>
      </c>
    </row>
    <row r="804" spans="1:5">
      <c r="A804" s="7" t="s">
        <v>3075</v>
      </c>
      <c r="B804" s="2" t="s">
        <v>1202</v>
      </c>
      <c r="C804" s="7" t="s">
        <v>3076</v>
      </c>
      <c r="D804" s="7" t="s">
        <v>3077</v>
      </c>
      <c r="E804" s="2" t="s">
        <v>3078</v>
      </c>
    </row>
    <row r="805" spans="1:5">
      <c r="A805" s="7" t="s">
        <v>3079</v>
      </c>
      <c r="B805" s="2" t="s">
        <v>1202</v>
      </c>
      <c r="C805" s="7" t="s">
        <v>3080</v>
      </c>
      <c r="D805" s="7" t="s">
        <v>3081</v>
      </c>
      <c r="E805" s="2" t="s">
        <v>3082</v>
      </c>
    </row>
    <row r="806" spans="1:5">
      <c r="A806" s="7" t="s">
        <v>3083</v>
      </c>
      <c r="B806" s="2" t="s">
        <v>1202</v>
      </c>
      <c r="C806" s="7" t="s">
        <v>3084</v>
      </c>
      <c r="D806" s="7" t="s">
        <v>3085</v>
      </c>
      <c r="E806" s="2" t="s">
        <v>3086</v>
      </c>
    </row>
    <row r="807" spans="1:5">
      <c r="A807" s="7" t="s">
        <v>3087</v>
      </c>
      <c r="B807" s="2" t="s">
        <v>1202</v>
      </c>
      <c r="C807" s="7" t="s">
        <v>3088</v>
      </c>
      <c r="D807" s="7" t="s">
        <v>3089</v>
      </c>
      <c r="E807" s="2" t="s">
        <v>3090</v>
      </c>
    </row>
    <row r="808" spans="1:5">
      <c r="A808" s="7" t="s">
        <v>3091</v>
      </c>
      <c r="B808" s="2" t="s">
        <v>1202</v>
      </c>
      <c r="C808" s="7" t="s">
        <v>3092</v>
      </c>
      <c r="D808" s="7" t="s">
        <v>3093</v>
      </c>
      <c r="E808" s="2" t="s">
        <v>3094</v>
      </c>
    </row>
    <row r="809" spans="1:5">
      <c r="A809" s="7" t="s">
        <v>3095</v>
      </c>
      <c r="B809" s="2" t="s">
        <v>1202</v>
      </c>
      <c r="C809" s="7" t="s">
        <v>3096</v>
      </c>
      <c r="D809" s="7" t="s">
        <v>3097</v>
      </c>
      <c r="E809" s="2" t="s">
        <v>3098</v>
      </c>
    </row>
    <row r="810" spans="1:5">
      <c r="A810" s="7" t="s">
        <v>3099</v>
      </c>
      <c r="B810" s="2" t="s">
        <v>1202</v>
      </c>
      <c r="C810" s="7" t="s">
        <v>3100</v>
      </c>
      <c r="D810" s="7" t="s">
        <v>3101</v>
      </c>
      <c r="E810" s="2" t="s">
        <v>3102</v>
      </c>
    </row>
    <row r="811" spans="1:5">
      <c r="A811" s="7" t="s">
        <v>3103</v>
      </c>
      <c r="B811" s="2" t="s">
        <v>1202</v>
      </c>
      <c r="C811" s="7" t="s">
        <v>3104</v>
      </c>
      <c r="D811" s="7" t="s">
        <v>3105</v>
      </c>
      <c r="E811" s="2" t="s">
        <v>3106</v>
      </c>
    </row>
    <row r="812" spans="1:5">
      <c r="A812" s="7" t="s">
        <v>3107</v>
      </c>
      <c r="B812" s="2" t="s">
        <v>1202</v>
      </c>
      <c r="C812" s="7" t="s">
        <v>3108</v>
      </c>
      <c r="D812" s="7" t="s">
        <v>3109</v>
      </c>
      <c r="E812" s="2" t="s">
        <v>3110</v>
      </c>
    </row>
    <row r="813" spans="1:5">
      <c r="A813" s="7" t="s">
        <v>3111</v>
      </c>
      <c r="B813" s="2" t="s">
        <v>1202</v>
      </c>
      <c r="C813" s="7" t="s">
        <v>3112</v>
      </c>
      <c r="D813" s="7" t="s">
        <v>3113</v>
      </c>
      <c r="E813" s="2" t="s">
        <v>3114</v>
      </c>
    </row>
    <row r="814" spans="1:5">
      <c r="A814" s="7" t="s">
        <v>3115</v>
      </c>
      <c r="B814" s="2" t="s">
        <v>1202</v>
      </c>
      <c r="C814" s="7" t="s">
        <v>3116</v>
      </c>
      <c r="D814" s="7" t="s">
        <v>3117</v>
      </c>
      <c r="E814" s="2" t="s">
        <v>3118</v>
      </c>
    </row>
    <row r="815" spans="1:5">
      <c r="A815" s="7" t="s">
        <v>3119</v>
      </c>
      <c r="B815" s="2" t="s">
        <v>1202</v>
      </c>
      <c r="C815" s="7" t="s">
        <v>3120</v>
      </c>
      <c r="D815" s="7" t="s">
        <v>3121</v>
      </c>
      <c r="E815" s="2" t="s">
        <v>3122</v>
      </c>
    </row>
    <row r="816" spans="1:5">
      <c r="A816" s="7" t="s">
        <v>3123</v>
      </c>
      <c r="B816" s="2" t="s">
        <v>1202</v>
      </c>
      <c r="C816" s="7" t="s">
        <v>3124</v>
      </c>
      <c r="D816" s="7" t="s">
        <v>3125</v>
      </c>
      <c r="E816" s="2" t="s">
        <v>3126</v>
      </c>
    </row>
    <row r="817" spans="1:5">
      <c r="A817" s="7" t="s">
        <v>3127</v>
      </c>
      <c r="B817" s="2" t="s">
        <v>1202</v>
      </c>
      <c r="C817" s="7" t="s">
        <v>3128</v>
      </c>
      <c r="D817" s="7" t="s">
        <v>3129</v>
      </c>
      <c r="E817" s="2" t="s">
        <v>3130</v>
      </c>
    </row>
    <row r="818" spans="1:5">
      <c r="A818" s="7" t="s">
        <v>3131</v>
      </c>
      <c r="B818" s="2" t="s">
        <v>1202</v>
      </c>
      <c r="C818" s="7" t="s">
        <v>3132</v>
      </c>
      <c r="D818" s="7" t="s">
        <v>3133</v>
      </c>
      <c r="E818" s="2" t="s">
        <v>3134</v>
      </c>
    </row>
    <row r="819" spans="1:5">
      <c r="A819" s="7" t="s">
        <v>3135</v>
      </c>
      <c r="B819" s="2" t="s">
        <v>1202</v>
      </c>
      <c r="C819" s="7" t="s">
        <v>3136</v>
      </c>
      <c r="D819" s="7" t="s">
        <v>3137</v>
      </c>
      <c r="E819" s="2" t="s">
        <v>3138</v>
      </c>
    </row>
    <row r="820" spans="1:5">
      <c r="A820" s="7" t="s">
        <v>3139</v>
      </c>
      <c r="B820" s="2" t="s">
        <v>1202</v>
      </c>
      <c r="C820" s="7" t="s">
        <v>3140</v>
      </c>
      <c r="D820" s="7" t="s">
        <v>3141</v>
      </c>
      <c r="E820" s="2" t="s">
        <v>3142</v>
      </c>
    </row>
    <row r="821" spans="1:5">
      <c r="A821" s="7" t="s">
        <v>3143</v>
      </c>
      <c r="B821" s="2" t="s">
        <v>1202</v>
      </c>
      <c r="C821" s="7" t="s">
        <v>3144</v>
      </c>
      <c r="D821" s="7" t="s">
        <v>3145</v>
      </c>
      <c r="E821" s="2" t="s">
        <v>3146</v>
      </c>
    </row>
    <row r="822" spans="1:5">
      <c r="A822" s="7" t="s">
        <v>3147</v>
      </c>
      <c r="B822" s="2" t="s">
        <v>1202</v>
      </c>
      <c r="C822" s="7" t="s">
        <v>3148</v>
      </c>
      <c r="D822" s="7" t="s">
        <v>3149</v>
      </c>
      <c r="E822" s="2" t="s">
        <v>3150</v>
      </c>
    </row>
    <row r="823" spans="1:5">
      <c r="A823" s="7" t="s">
        <v>3151</v>
      </c>
      <c r="B823" s="2" t="s">
        <v>1202</v>
      </c>
      <c r="C823" s="7" t="s">
        <v>3152</v>
      </c>
      <c r="D823" s="7" t="s">
        <v>3153</v>
      </c>
      <c r="E823" s="2" t="s">
        <v>3154</v>
      </c>
    </row>
    <row r="824" spans="1:5">
      <c r="A824" s="7" t="s">
        <v>3155</v>
      </c>
      <c r="B824" s="2" t="s">
        <v>1202</v>
      </c>
      <c r="C824" s="7" t="s">
        <v>3156</v>
      </c>
      <c r="D824" s="7" t="s">
        <v>3157</v>
      </c>
      <c r="E824" s="2" t="s">
        <v>3158</v>
      </c>
    </row>
    <row r="825" spans="1:5">
      <c r="A825" s="7" t="s">
        <v>3159</v>
      </c>
      <c r="B825" s="2" t="s">
        <v>1202</v>
      </c>
      <c r="C825" s="7" t="s">
        <v>3160</v>
      </c>
      <c r="D825" s="7" t="s">
        <v>3161</v>
      </c>
      <c r="E825" s="2" t="s">
        <v>3162</v>
      </c>
    </row>
    <row r="826" spans="1:5">
      <c r="A826" s="7" t="s">
        <v>3163</v>
      </c>
      <c r="B826" s="2" t="s">
        <v>1202</v>
      </c>
      <c r="C826" s="7" t="s">
        <v>3164</v>
      </c>
      <c r="D826" s="7" t="s">
        <v>3165</v>
      </c>
      <c r="E826" s="2" t="s">
        <v>3166</v>
      </c>
    </row>
    <row r="827" spans="1:5">
      <c r="A827" s="7" t="s">
        <v>3167</v>
      </c>
      <c r="B827" s="2" t="s">
        <v>1202</v>
      </c>
      <c r="C827" s="7" t="s">
        <v>3168</v>
      </c>
      <c r="D827" s="7" t="s">
        <v>3169</v>
      </c>
      <c r="E827" s="2" t="s">
        <v>3170</v>
      </c>
    </row>
    <row r="828" spans="1:5">
      <c r="A828" s="7" t="s">
        <v>3171</v>
      </c>
      <c r="B828" s="2" t="s">
        <v>1202</v>
      </c>
      <c r="C828" s="7" t="s">
        <v>3172</v>
      </c>
      <c r="D828" s="7" t="s">
        <v>3173</v>
      </c>
      <c r="E828" s="2" t="s">
        <v>3174</v>
      </c>
    </row>
    <row r="829" spans="1:5">
      <c r="A829" s="7" t="s">
        <v>3175</v>
      </c>
      <c r="B829" s="2" t="s">
        <v>1202</v>
      </c>
      <c r="C829" s="7" t="s">
        <v>3176</v>
      </c>
      <c r="D829" s="7" t="s">
        <v>3177</v>
      </c>
      <c r="E829" s="2" t="s">
        <v>3178</v>
      </c>
    </row>
    <row r="830" spans="1:5">
      <c r="A830" s="7" t="s">
        <v>3179</v>
      </c>
      <c r="B830" s="2" t="s">
        <v>1202</v>
      </c>
      <c r="C830" s="7" t="s">
        <v>3180</v>
      </c>
      <c r="D830" s="7" t="s">
        <v>3181</v>
      </c>
      <c r="E830" s="2" t="s">
        <v>3182</v>
      </c>
    </row>
    <row r="831" spans="1:5">
      <c r="A831" s="7" t="s">
        <v>3183</v>
      </c>
      <c r="B831" s="2" t="s">
        <v>1202</v>
      </c>
      <c r="C831" s="7" t="s">
        <v>3184</v>
      </c>
      <c r="D831" s="7" t="s">
        <v>3185</v>
      </c>
      <c r="E831" s="2" t="s">
        <v>3186</v>
      </c>
    </row>
    <row r="832" spans="1:5">
      <c r="A832" s="7" t="s">
        <v>3187</v>
      </c>
      <c r="B832" s="2" t="s">
        <v>1202</v>
      </c>
      <c r="C832" s="7" t="s">
        <v>3188</v>
      </c>
      <c r="D832" s="7" t="s">
        <v>3189</v>
      </c>
      <c r="E832" s="2" t="s">
        <v>3190</v>
      </c>
    </row>
    <row r="833" spans="1:5">
      <c r="A833" s="7" t="s">
        <v>3191</v>
      </c>
      <c r="B833" s="2" t="s">
        <v>1202</v>
      </c>
      <c r="C833" s="7" t="s">
        <v>3192</v>
      </c>
      <c r="D833" s="7" t="s">
        <v>3193</v>
      </c>
      <c r="E833" s="2" t="s">
        <v>3194</v>
      </c>
    </row>
    <row r="834" spans="1:5">
      <c r="A834" s="7" t="s">
        <v>3195</v>
      </c>
      <c r="B834" s="2" t="s">
        <v>1202</v>
      </c>
      <c r="C834" s="7" t="s">
        <v>3196</v>
      </c>
      <c r="D834" s="7" t="s">
        <v>3197</v>
      </c>
      <c r="E834" s="2" t="s">
        <v>3198</v>
      </c>
    </row>
    <row r="835" spans="1:5">
      <c r="A835" s="7" t="s">
        <v>3199</v>
      </c>
      <c r="B835" s="2" t="s">
        <v>1202</v>
      </c>
      <c r="C835" s="7" t="s">
        <v>3200</v>
      </c>
      <c r="D835" s="7" t="s">
        <v>3201</v>
      </c>
      <c r="E835" s="2" t="s">
        <v>3202</v>
      </c>
    </row>
    <row r="836" spans="1:5">
      <c r="A836" s="7" t="s">
        <v>3203</v>
      </c>
      <c r="B836" s="2" t="s">
        <v>1202</v>
      </c>
      <c r="C836" s="7" t="s">
        <v>3204</v>
      </c>
      <c r="D836" s="7" t="s">
        <v>3205</v>
      </c>
      <c r="E836" s="2" t="s">
        <v>3206</v>
      </c>
    </row>
    <row r="837" spans="1:5">
      <c r="A837" s="7" t="s">
        <v>3207</v>
      </c>
      <c r="B837" s="2" t="s">
        <v>1202</v>
      </c>
      <c r="C837" s="7" t="s">
        <v>3208</v>
      </c>
      <c r="D837" s="7" t="s">
        <v>3209</v>
      </c>
      <c r="E837" s="2" t="s">
        <v>3210</v>
      </c>
    </row>
    <row r="838" spans="1:5">
      <c r="A838" s="7" t="s">
        <v>3211</v>
      </c>
      <c r="B838" s="2" t="s">
        <v>1202</v>
      </c>
      <c r="C838" s="7" t="s">
        <v>3212</v>
      </c>
      <c r="D838" s="7" t="s">
        <v>3213</v>
      </c>
      <c r="E838" s="2" t="s">
        <v>3214</v>
      </c>
    </row>
    <row r="839" spans="1:5">
      <c r="A839" s="7" t="s">
        <v>3215</v>
      </c>
      <c r="B839" s="2" t="s">
        <v>1202</v>
      </c>
      <c r="C839" s="7" t="s">
        <v>3216</v>
      </c>
      <c r="D839" s="7" t="s">
        <v>3217</v>
      </c>
      <c r="E839" s="2" t="s">
        <v>3218</v>
      </c>
    </row>
    <row r="840" spans="1:5">
      <c r="A840" s="7" t="s">
        <v>3219</v>
      </c>
      <c r="B840" s="2" t="s">
        <v>1202</v>
      </c>
      <c r="C840" s="7" t="s">
        <v>3220</v>
      </c>
      <c r="D840" s="7" t="s">
        <v>3221</v>
      </c>
      <c r="E840" s="2" t="s">
        <v>3222</v>
      </c>
    </row>
    <row r="841" spans="1:5">
      <c r="A841" s="7" t="s">
        <v>3223</v>
      </c>
      <c r="B841" s="2" t="s">
        <v>1202</v>
      </c>
      <c r="C841" s="7" t="s">
        <v>3224</v>
      </c>
      <c r="D841" s="7" t="s">
        <v>3225</v>
      </c>
      <c r="E841" s="2" t="s">
        <v>3226</v>
      </c>
    </row>
    <row r="842" spans="1:5">
      <c r="A842" s="7" t="s">
        <v>3227</v>
      </c>
      <c r="B842" s="2" t="s">
        <v>1202</v>
      </c>
      <c r="C842" s="7" t="s">
        <v>3228</v>
      </c>
      <c r="D842" s="7" t="s">
        <v>3229</v>
      </c>
      <c r="E842" s="2" t="s">
        <v>3230</v>
      </c>
    </row>
    <row r="843" spans="1:5">
      <c r="A843" s="7" t="s">
        <v>3231</v>
      </c>
      <c r="B843" s="2" t="s">
        <v>1202</v>
      </c>
      <c r="C843" s="7" t="s">
        <v>3232</v>
      </c>
      <c r="D843" s="7" t="s">
        <v>3233</v>
      </c>
      <c r="E843" s="2" t="s">
        <v>3234</v>
      </c>
    </row>
    <row r="844" spans="1:5">
      <c r="A844" s="7" t="s">
        <v>3235</v>
      </c>
      <c r="B844" s="2" t="s">
        <v>1202</v>
      </c>
      <c r="C844" s="7" t="s">
        <v>3236</v>
      </c>
      <c r="D844" s="7" t="s">
        <v>3237</v>
      </c>
      <c r="E844" s="2" t="s">
        <v>3238</v>
      </c>
    </row>
    <row r="845" spans="1:5">
      <c r="A845" s="7" t="s">
        <v>3239</v>
      </c>
      <c r="B845" s="2" t="s">
        <v>1202</v>
      </c>
      <c r="C845" s="7" t="s">
        <v>3240</v>
      </c>
      <c r="D845" s="7" t="s">
        <v>3241</v>
      </c>
      <c r="E845" s="2" t="s">
        <v>3242</v>
      </c>
    </row>
    <row r="846" spans="1:5">
      <c r="A846" s="7" t="s">
        <v>3243</v>
      </c>
      <c r="B846" s="2" t="s">
        <v>1202</v>
      </c>
      <c r="C846" s="7" t="s">
        <v>3244</v>
      </c>
      <c r="D846" s="7" t="s">
        <v>3245</v>
      </c>
      <c r="E846" s="2" t="s">
        <v>3246</v>
      </c>
    </row>
    <row r="847" spans="1:5">
      <c r="A847" s="7" t="s">
        <v>3247</v>
      </c>
      <c r="B847" s="2" t="s">
        <v>1202</v>
      </c>
      <c r="C847" s="7" t="s">
        <v>3248</v>
      </c>
      <c r="D847" s="7" t="s">
        <v>3249</v>
      </c>
      <c r="E847" s="2" t="s">
        <v>3250</v>
      </c>
    </row>
    <row r="848" spans="1:5">
      <c r="A848" s="7" t="s">
        <v>3251</v>
      </c>
      <c r="B848" s="2" t="s">
        <v>1202</v>
      </c>
      <c r="C848" s="7" t="s">
        <v>3252</v>
      </c>
      <c r="D848" s="7" t="s">
        <v>3253</v>
      </c>
      <c r="E848" s="2" t="s">
        <v>3254</v>
      </c>
    </row>
    <row r="849" spans="1:5">
      <c r="A849" s="7" t="s">
        <v>3255</v>
      </c>
      <c r="B849" s="2" t="s">
        <v>1202</v>
      </c>
      <c r="C849" s="7" t="s">
        <v>3256</v>
      </c>
      <c r="D849" s="7" t="s">
        <v>3257</v>
      </c>
      <c r="E849" s="2" t="s">
        <v>3258</v>
      </c>
    </row>
    <row r="850" spans="1:5">
      <c r="A850" s="7" t="s">
        <v>3259</v>
      </c>
      <c r="B850" s="2" t="s">
        <v>1202</v>
      </c>
      <c r="C850" s="7" t="s">
        <v>3260</v>
      </c>
      <c r="D850" s="7" t="s">
        <v>3261</v>
      </c>
      <c r="E850" s="2" t="s">
        <v>3262</v>
      </c>
    </row>
    <row r="851" spans="1:5">
      <c r="A851" s="7" t="s">
        <v>3263</v>
      </c>
      <c r="B851" s="2" t="s">
        <v>1202</v>
      </c>
      <c r="C851" s="7" t="s">
        <v>3264</v>
      </c>
      <c r="D851" s="7" t="s">
        <v>3265</v>
      </c>
      <c r="E851" s="2" t="s">
        <v>3266</v>
      </c>
    </row>
    <row r="852" spans="1:5">
      <c r="A852" s="7" t="s">
        <v>3267</v>
      </c>
      <c r="B852" s="2" t="s">
        <v>1202</v>
      </c>
      <c r="C852" s="7" t="s">
        <v>3268</v>
      </c>
      <c r="D852" s="7" t="s">
        <v>3269</v>
      </c>
      <c r="E852" s="2" t="s">
        <v>3270</v>
      </c>
    </row>
    <row r="853" spans="1:5">
      <c r="A853" s="7" t="s">
        <v>3271</v>
      </c>
      <c r="B853" s="2" t="s">
        <v>1202</v>
      </c>
      <c r="C853" s="7" t="s">
        <v>3272</v>
      </c>
      <c r="D853" s="7" t="s">
        <v>3273</v>
      </c>
      <c r="E853" s="2" t="s">
        <v>3274</v>
      </c>
    </row>
    <row r="854" spans="1:5">
      <c r="A854" s="7" t="s">
        <v>3275</v>
      </c>
      <c r="B854" s="2" t="s">
        <v>1202</v>
      </c>
      <c r="C854" s="7" t="s">
        <v>3276</v>
      </c>
      <c r="D854" s="7" t="s">
        <v>3277</v>
      </c>
      <c r="E854" s="2" t="s">
        <v>3278</v>
      </c>
    </row>
    <row r="855" spans="1:5">
      <c r="A855" s="7" t="s">
        <v>3279</v>
      </c>
      <c r="B855" s="2" t="s">
        <v>1202</v>
      </c>
      <c r="C855" s="7" t="s">
        <v>3280</v>
      </c>
      <c r="D855" s="7" t="s">
        <v>3281</v>
      </c>
      <c r="E855" s="2" t="s">
        <v>3282</v>
      </c>
    </row>
    <row r="856" spans="1:5">
      <c r="A856" s="7" t="s">
        <v>3283</v>
      </c>
      <c r="B856" s="2" t="s">
        <v>1202</v>
      </c>
      <c r="C856" s="7" t="s">
        <v>3284</v>
      </c>
      <c r="D856" s="7" t="s">
        <v>3285</v>
      </c>
      <c r="E856" s="2" t="s">
        <v>3286</v>
      </c>
    </row>
    <row r="857" spans="1:5">
      <c r="A857" s="7" t="s">
        <v>3287</v>
      </c>
      <c r="B857" s="2" t="s">
        <v>1202</v>
      </c>
      <c r="C857" s="7" t="s">
        <v>3288</v>
      </c>
      <c r="D857" s="7" t="s">
        <v>3289</v>
      </c>
      <c r="E857" s="2" t="s">
        <v>3290</v>
      </c>
    </row>
    <row r="858" spans="1:5">
      <c r="A858" s="7" t="s">
        <v>3291</v>
      </c>
      <c r="B858" s="2" t="s">
        <v>1202</v>
      </c>
      <c r="C858" s="7" t="s">
        <v>3292</v>
      </c>
      <c r="D858" s="7" t="s">
        <v>3293</v>
      </c>
      <c r="E858" s="2" t="s">
        <v>3294</v>
      </c>
    </row>
    <row r="859" spans="1:5">
      <c r="A859" s="7" t="s">
        <v>88</v>
      </c>
      <c r="B859" s="2" t="s">
        <v>1202</v>
      </c>
      <c r="C859" s="7" t="s">
        <v>89</v>
      </c>
      <c r="D859" s="7" t="s">
        <v>90</v>
      </c>
      <c r="E859" s="2" t="s">
        <v>3295</v>
      </c>
    </row>
    <row r="860" spans="1:5">
      <c r="A860" s="7" t="s">
        <v>3296</v>
      </c>
      <c r="B860" s="2" t="s">
        <v>1202</v>
      </c>
      <c r="C860" s="7" t="s">
        <v>3297</v>
      </c>
      <c r="D860" s="7" t="s">
        <v>3298</v>
      </c>
      <c r="E860" s="2" t="s">
        <v>3299</v>
      </c>
    </row>
    <row r="861" spans="1:5">
      <c r="A861" s="7" t="s">
        <v>3300</v>
      </c>
      <c r="B861" s="2" t="s">
        <v>1202</v>
      </c>
      <c r="C861" s="7" t="s">
        <v>3301</v>
      </c>
      <c r="D861" s="7" t="s">
        <v>3302</v>
      </c>
      <c r="E861" s="2" t="s">
        <v>3303</v>
      </c>
    </row>
    <row r="862" spans="1:5">
      <c r="A862" s="7" t="s">
        <v>3304</v>
      </c>
      <c r="B862" s="2" t="s">
        <v>1202</v>
      </c>
      <c r="C862" s="7" t="s">
        <v>3305</v>
      </c>
      <c r="D862" s="7" t="s">
        <v>3306</v>
      </c>
      <c r="E862" s="2" t="s">
        <v>3307</v>
      </c>
    </row>
    <row r="863" spans="1:5">
      <c r="A863" s="7" t="s">
        <v>3308</v>
      </c>
      <c r="B863" s="2" t="s">
        <v>1202</v>
      </c>
      <c r="C863" s="7" t="s">
        <v>3309</v>
      </c>
      <c r="D863" s="7" t="s">
        <v>3310</v>
      </c>
      <c r="E863" s="2" t="s">
        <v>3311</v>
      </c>
    </row>
    <row r="864" spans="1:5">
      <c r="A864" s="7" t="s">
        <v>3312</v>
      </c>
      <c r="B864" s="2" t="s">
        <v>1202</v>
      </c>
      <c r="C864" s="7" t="s">
        <v>3313</v>
      </c>
      <c r="D864" s="7" t="s">
        <v>3314</v>
      </c>
      <c r="E864" s="2" t="s">
        <v>3315</v>
      </c>
    </row>
    <row r="865" spans="1:5">
      <c r="A865" s="7" t="s">
        <v>3316</v>
      </c>
      <c r="B865" s="2" t="s">
        <v>1202</v>
      </c>
      <c r="C865" s="7" t="s">
        <v>3317</v>
      </c>
      <c r="D865" s="7" t="s">
        <v>3318</v>
      </c>
      <c r="E865" s="2" t="s">
        <v>3319</v>
      </c>
    </row>
    <row r="866" spans="1:5">
      <c r="A866" s="7" t="s">
        <v>3320</v>
      </c>
      <c r="B866" s="2" t="s">
        <v>1202</v>
      </c>
      <c r="C866" s="7" t="s">
        <v>3321</v>
      </c>
      <c r="D866" s="7" t="s">
        <v>3322</v>
      </c>
      <c r="E866" s="2" t="s">
        <v>3323</v>
      </c>
    </row>
    <row r="867" spans="1:5">
      <c r="A867" s="7" t="s">
        <v>3324</v>
      </c>
      <c r="B867" s="2" t="s">
        <v>1202</v>
      </c>
      <c r="C867" s="7" t="s">
        <v>3325</v>
      </c>
      <c r="D867" s="7" t="s">
        <v>3326</v>
      </c>
      <c r="E867" s="2" t="s">
        <v>3327</v>
      </c>
    </row>
    <row r="868" spans="1:5">
      <c r="A868" s="7" t="s">
        <v>3328</v>
      </c>
      <c r="B868" s="2" t="s">
        <v>1202</v>
      </c>
      <c r="C868" s="7" t="s">
        <v>3329</v>
      </c>
      <c r="D868" s="7" t="s">
        <v>3330</v>
      </c>
      <c r="E868" s="2" t="s">
        <v>3331</v>
      </c>
    </row>
    <row r="869" spans="1:5">
      <c r="A869" s="7" t="s">
        <v>3332</v>
      </c>
      <c r="B869" s="2" t="s">
        <v>1202</v>
      </c>
      <c r="C869" s="7" t="s">
        <v>3333</v>
      </c>
      <c r="D869" s="7" t="s">
        <v>3334</v>
      </c>
      <c r="E869" s="2" t="s">
        <v>3335</v>
      </c>
    </row>
    <row r="870" spans="1:5">
      <c r="A870" s="7" t="s">
        <v>3336</v>
      </c>
      <c r="B870" s="2" t="s">
        <v>1202</v>
      </c>
      <c r="C870" s="7" t="s">
        <v>3337</v>
      </c>
      <c r="D870" s="7" t="s">
        <v>3338</v>
      </c>
      <c r="E870" s="2" t="s">
        <v>3339</v>
      </c>
    </row>
    <row r="871" spans="1:5">
      <c r="A871" s="7" t="s">
        <v>3340</v>
      </c>
      <c r="B871" s="2" t="s">
        <v>1202</v>
      </c>
      <c r="C871" s="7" t="s">
        <v>3341</v>
      </c>
      <c r="D871" s="7" t="s">
        <v>3342</v>
      </c>
      <c r="E871" s="2" t="s">
        <v>3343</v>
      </c>
    </row>
    <row r="872" spans="1:5">
      <c r="A872" s="7" t="s">
        <v>3344</v>
      </c>
      <c r="B872" s="2" t="s">
        <v>1202</v>
      </c>
      <c r="C872" s="7" t="s">
        <v>3345</v>
      </c>
      <c r="D872" s="7" t="s">
        <v>3346</v>
      </c>
      <c r="E872" s="2" t="s">
        <v>3347</v>
      </c>
    </row>
    <row r="873" spans="1:5">
      <c r="A873" s="7" t="s">
        <v>3348</v>
      </c>
      <c r="B873" s="2" t="s">
        <v>1202</v>
      </c>
      <c r="C873" s="7" t="s">
        <v>3349</v>
      </c>
      <c r="D873" s="7" t="s">
        <v>3350</v>
      </c>
      <c r="E873" s="2" t="s">
        <v>3351</v>
      </c>
    </row>
    <row r="874" spans="1:5">
      <c r="A874" s="7" t="s">
        <v>3352</v>
      </c>
      <c r="B874" s="2" t="s">
        <v>1202</v>
      </c>
      <c r="C874" s="7" t="s">
        <v>3353</v>
      </c>
      <c r="D874" s="7" t="s">
        <v>3354</v>
      </c>
      <c r="E874" s="2" t="s">
        <v>3355</v>
      </c>
    </row>
    <row r="875" spans="1:5">
      <c r="A875" s="7" t="s">
        <v>3356</v>
      </c>
      <c r="B875" s="2" t="s">
        <v>1202</v>
      </c>
      <c r="C875" s="7" t="s">
        <v>3357</v>
      </c>
      <c r="D875" s="7" t="s">
        <v>3358</v>
      </c>
      <c r="E875" s="2" t="s">
        <v>3359</v>
      </c>
    </row>
    <row r="876" spans="1:5">
      <c r="A876" s="7" t="s">
        <v>3360</v>
      </c>
      <c r="B876" s="2" t="s">
        <v>1202</v>
      </c>
      <c r="C876" s="7" t="s">
        <v>3361</v>
      </c>
      <c r="D876" s="7" t="s">
        <v>3362</v>
      </c>
      <c r="E876" s="2" t="s">
        <v>3363</v>
      </c>
    </row>
    <row r="877" spans="1:5">
      <c r="A877" s="7" t="s">
        <v>3364</v>
      </c>
      <c r="B877" s="2" t="s">
        <v>1202</v>
      </c>
      <c r="C877" s="7" t="s">
        <v>3365</v>
      </c>
      <c r="D877" s="7" t="s">
        <v>3366</v>
      </c>
      <c r="E877" s="2" t="s">
        <v>3367</v>
      </c>
    </row>
    <row r="878" spans="1:5">
      <c r="A878" s="7" t="s">
        <v>3368</v>
      </c>
      <c r="B878" s="2" t="s">
        <v>1202</v>
      </c>
      <c r="C878" s="7" t="s">
        <v>3369</v>
      </c>
      <c r="D878" s="7" t="s">
        <v>3370</v>
      </c>
      <c r="E878" s="2" t="s">
        <v>3371</v>
      </c>
    </row>
    <row r="879" spans="1:5">
      <c r="A879" s="7" t="s">
        <v>3372</v>
      </c>
      <c r="B879" s="2" t="s">
        <v>1202</v>
      </c>
      <c r="C879" s="7" t="s">
        <v>3373</v>
      </c>
      <c r="D879" s="7" t="s">
        <v>3374</v>
      </c>
      <c r="E879" s="2" t="s">
        <v>3375</v>
      </c>
    </row>
    <row r="880" spans="1:5">
      <c r="A880" s="7" t="s">
        <v>3376</v>
      </c>
      <c r="B880" s="2" t="s">
        <v>1202</v>
      </c>
      <c r="C880" s="7" t="s">
        <v>3377</v>
      </c>
      <c r="D880" s="7" t="s">
        <v>3378</v>
      </c>
      <c r="E880" s="2" t="s">
        <v>3379</v>
      </c>
    </row>
    <row r="881" spans="1:5">
      <c r="A881" s="7" t="s">
        <v>3380</v>
      </c>
      <c r="B881" s="2" t="s">
        <v>1202</v>
      </c>
      <c r="C881" s="7" t="s">
        <v>3381</v>
      </c>
      <c r="D881" s="7" t="s">
        <v>3382</v>
      </c>
      <c r="E881" s="2" t="s">
        <v>3383</v>
      </c>
    </row>
    <row r="882" spans="1:5">
      <c r="A882" s="7" t="s">
        <v>3384</v>
      </c>
      <c r="B882" s="2" t="s">
        <v>1202</v>
      </c>
      <c r="C882" s="7" t="s">
        <v>3385</v>
      </c>
      <c r="D882" s="7" t="s">
        <v>3386</v>
      </c>
      <c r="E882" s="2" t="s">
        <v>3387</v>
      </c>
    </row>
    <row r="883" spans="1:5">
      <c r="A883" s="7" t="s">
        <v>3388</v>
      </c>
      <c r="B883" s="2" t="s">
        <v>1202</v>
      </c>
      <c r="C883" s="7" t="s">
        <v>3389</v>
      </c>
      <c r="D883" s="7" t="s">
        <v>3390</v>
      </c>
      <c r="E883" s="2" t="s">
        <v>3391</v>
      </c>
    </row>
    <row r="884" spans="1:5">
      <c r="A884" s="7" t="s">
        <v>3392</v>
      </c>
      <c r="B884" s="2" t="s">
        <v>1202</v>
      </c>
      <c r="C884" s="7" t="s">
        <v>3393</v>
      </c>
      <c r="D884" s="7" t="s">
        <v>3394</v>
      </c>
      <c r="E884" s="2" t="s">
        <v>3395</v>
      </c>
    </row>
    <row r="885" spans="1:5">
      <c r="A885" s="7" t="s">
        <v>3396</v>
      </c>
      <c r="B885" s="2" t="s">
        <v>1202</v>
      </c>
      <c r="C885" s="7" t="s">
        <v>3397</v>
      </c>
      <c r="D885" s="7" t="s">
        <v>3398</v>
      </c>
      <c r="E885" s="2" t="s">
        <v>3399</v>
      </c>
    </row>
    <row r="886" spans="1:5">
      <c r="A886" s="7" t="s">
        <v>3400</v>
      </c>
      <c r="B886" s="2" t="s">
        <v>1202</v>
      </c>
      <c r="C886" s="7" t="s">
        <v>3401</v>
      </c>
      <c r="D886" s="7" t="s">
        <v>3402</v>
      </c>
      <c r="E886" s="2" t="s">
        <v>3403</v>
      </c>
    </row>
    <row r="887" spans="1:5">
      <c r="A887" s="7" t="s">
        <v>3404</v>
      </c>
      <c r="B887" s="2" t="s">
        <v>1202</v>
      </c>
      <c r="C887" s="7" t="s">
        <v>3405</v>
      </c>
      <c r="D887" s="7" t="s">
        <v>3406</v>
      </c>
      <c r="E887" s="2" t="s">
        <v>3407</v>
      </c>
    </row>
    <row r="888" spans="1:5">
      <c r="A888" s="7" t="s">
        <v>3408</v>
      </c>
      <c r="B888" s="2" t="s">
        <v>1202</v>
      </c>
      <c r="C888" s="7" t="s">
        <v>3409</v>
      </c>
      <c r="D888" s="7" t="s">
        <v>3410</v>
      </c>
      <c r="E888" s="2" t="s">
        <v>3411</v>
      </c>
    </row>
    <row r="889" spans="1:5">
      <c r="A889" s="7" t="s">
        <v>3412</v>
      </c>
      <c r="B889" s="2" t="s">
        <v>1202</v>
      </c>
      <c r="C889" s="7" t="s">
        <v>3413</v>
      </c>
      <c r="D889" s="7" t="s">
        <v>3414</v>
      </c>
      <c r="E889" s="2" t="s">
        <v>3415</v>
      </c>
    </row>
    <row r="890" spans="1:5">
      <c r="A890" s="7" t="s">
        <v>3416</v>
      </c>
      <c r="B890" s="2" t="s">
        <v>1202</v>
      </c>
      <c r="C890" s="7" t="s">
        <v>3417</v>
      </c>
      <c r="D890" s="7" t="s">
        <v>3418</v>
      </c>
      <c r="E890" s="2" t="s">
        <v>3419</v>
      </c>
    </row>
    <row r="891" spans="1:5">
      <c r="A891" s="7" t="s">
        <v>3420</v>
      </c>
      <c r="B891" s="2" t="s">
        <v>1202</v>
      </c>
      <c r="C891" s="7" t="s">
        <v>3421</v>
      </c>
      <c r="D891" s="7" t="s">
        <v>3422</v>
      </c>
      <c r="E891" s="2" t="s">
        <v>3423</v>
      </c>
    </row>
    <row r="892" spans="1:5">
      <c r="A892" s="7" t="s">
        <v>3424</v>
      </c>
      <c r="B892" s="2" t="s">
        <v>1202</v>
      </c>
      <c r="C892" s="7" t="s">
        <v>3425</v>
      </c>
      <c r="D892" s="7" t="s">
        <v>3426</v>
      </c>
      <c r="E892" s="2" t="s">
        <v>3427</v>
      </c>
    </row>
    <row r="893" spans="1:5">
      <c r="A893" s="7" t="s">
        <v>3428</v>
      </c>
      <c r="B893" s="2" t="s">
        <v>1202</v>
      </c>
      <c r="C893" s="7" t="s">
        <v>3429</v>
      </c>
      <c r="D893" s="7" t="s">
        <v>3430</v>
      </c>
      <c r="E893" s="2" t="s">
        <v>3431</v>
      </c>
    </row>
    <row r="894" spans="1:5">
      <c r="A894" s="7" t="s">
        <v>3432</v>
      </c>
      <c r="B894" s="2" t="s">
        <v>1202</v>
      </c>
      <c r="C894" s="7" t="s">
        <v>3433</v>
      </c>
      <c r="D894" s="7" t="s">
        <v>3434</v>
      </c>
      <c r="E894" s="2" t="s">
        <v>3435</v>
      </c>
    </row>
    <row r="895" spans="1:5">
      <c r="A895" s="7" t="s">
        <v>3436</v>
      </c>
      <c r="B895" s="2" t="s">
        <v>1202</v>
      </c>
      <c r="C895" s="7" t="s">
        <v>3437</v>
      </c>
      <c r="D895" s="7" t="s">
        <v>3438</v>
      </c>
      <c r="E895" s="2" t="s">
        <v>3439</v>
      </c>
    </row>
    <row r="896" spans="1:5">
      <c r="A896" s="7" t="s">
        <v>3440</v>
      </c>
      <c r="B896" s="2" t="s">
        <v>1202</v>
      </c>
      <c r="C896" s="7" t="s">
        <v>3441</v>
      </c>
      <c r="D896" s="7" t="s">
        <v>3442</v>
      </c>
      <c r="E896" s="2" t="s">
        <v>3443</v>
      </c>
    </row>
    <row r="897" spans="1:5">
      <c r="A897" s="7" t="s">
        <v>3444</v>
      </c>
      <c r="B897" s="2" t="s">
        <v>1202</v>
      </c>
      <c r="C897" s="7" t="s">
        <v>3445</v>
      </c>
      <c r="D897" s="7" t="s">
        <v>3446</v>
      </c>
      <c r="E897" s="2" t="s">
        <v>3447</v>
      </c>
    </row>
    <row r="898" spans="1:5">
      <c r="A898" s="7" t="s">
        <v>3448</v>
      </c>
      <c r="B898" s="2" t="s">
        <v>1202</v>
      </c>
      <c r="C898" s="7" t="s">
        <v>3449</v>
      </c>
      <c r="D898" s="7" t="s">
        <v>3450</v>
      </c>
      <c r="E898" s="2" t="s">
        <v>3451</v>
      </c>
    </row>
    <row r="899" spans="1:5">
      <c r="A899" s="7" t="s">
        <v>3452</v>
      </c>
      <c r="B899" s="2" t="s">
        <v>1202</v>
      </c>
      <c r="C899" s="7" t="s">
        <v>3453</v>
      </c>
      <c r="D899" s="7" t="s">
        <v>3454</v>
      </c>
      <c r="E899" s="2" t="s">
        <v>3455</v>
      </c>
    </row>
    <row r="900" spans="1:5">
      <c r="A900" s="7" t="s">
        <v>3456</v>
      </c>
      <c r="B900" s="2" t="s">
        <v>1202</v>
      </c>
      <c r="C900" s="7" t="s">
        <v>3457</v>
      </c>
      <c r="D900" s="7" t="s">
        <v>3458</v>
      </c>
      <c r="E900" s="2" t="s">
        <v>3459</v>
      </c>
    </row>
    <row r="901" spans="1:5">
      <c r="A901" s="7" t="s">
        <v>3460</v>
      </c>
      <c r="B901" s="2" t="s">
        <v>1202</v>
      </c>
      <c r="C901" s="7" t="s">
        <v>3461</v>
      </c>
      <c r="D901" s="7" t="s">
        <v>3462</v>
      </c>
      <c r="E901" s="2" t="s">
        <v>3463</v>
      </c>
    </row>
    <row r="902" spans="1:5">
      <c r="A902" s="7" t="s">
        <v>3464</v>
      </c>
      <c r="B902" s="2" t="s">
        <v>1202</v>
      </c>
      <c r="C902" s="7" t="s">
        <v>3465</v>
      </c>
      <c r="D902" s="7" t="s">
        <v>3466</v>
      </c>
      <c r="E902" s="2" t="s">
        <v>3467</v>
      </c>
    </row>
    <row r="903" spans="1:5">
      <c r="A903" s="7" t="s">
        <v>3468</v>
      </c>
      <c r="B903" s="2" t="s">
        <v>1202</v>
      </c>
      <c r="C903" s="7" t="s">
        <v>3469</v>
      </c>
      <c r="D903" s="7" t="s">
        <v>3470</v>
      </c>
      <c r="E903" s="2" t="s">
        <v>3471</v>
      </c>
    </row>
    <row r="904" spans="1:5">
      <c r="A904" s="7" t="s">
        <v>3472</v>
      </c>
      <c r="B904" s="2" t="s">
        <v>1202</v>
      </c>
      <c r="C904" s="7" t="s">
        <v>3473</v>
      </c>
      <c r="D904" s="7" t="s">
        <v>3474</v>
      </c>
      <c r="E904" s="2" t="s">
        <v>3475</v>
      </c>
    </row>
    <row r="905" spans="1:5">
      <c r="A905" s="7" t="s">
        <v>3476</v>
      </c>
      <c r="B905" s="2" t="s">
        <v>1202</v>
      </c>
      <c r="C905" s="7" t="s">
        <v>3477</v>
      </c>
      <c r="D905" s="7" t="s">
        <v>3478</v>
      </c>
      <c r="E905" s="2" t="s">
        <v>3479</v>
      </c>
    </row>
    <row r="906" spans="1:5">
      <c r="A906" s="7" t="s">
        <v>3480</v>
      </c>
      <c r="B906" s="2" t="s">
        <v>1202</v>
      </c>
      <c r="C906" s="7" t="s">
        <v>3481</v>
      </c>
      <c r="D906" s="7" t="s">
        <v>3482</v>
      </c>
      <c r="E906" s="2" t="s">
        <v>3483</v>
      </c>
    </row>
    <row r="907" spans="1:5">
      <c r="A907" s="7" t="s">
        <v>3484</v>
      </c>
      <c r="B907" s="2" t="s">
        <v>1202</v>
      </c>
      <c r="C907" s="7" t="s">
        <v>3485</v>
      </c>
      <c r="D907" s="7" t="s">
        <v>3486</v>
      </c>
      <c r="E907" s="2" t="s">
        <v>3487</v>
      </c>
    </row>
    <row r="908" spans="1:5">
      <c r="A908" s="7" t="s">
        <v>3488</v>
      </c>
      <c r="B908" s="2" t="s">
        <v>1202</v>
      </c>
      <c r="C908" s="7" t="s">
        <v>3489</v>
      </c>
      <c r="D908" s="7" t="s">
        <v>3490</v>
      </c>
      <c r="E908" s="2" t="s">
        <v>3491</v>
      </c>
    </row>
    <row r="909" spans="1:5">
      <c r="A909" s="7" t="s">
        <v>3492</v>
      </c>
      <c r="B909" s="2" t="s">
        <v>1202</v>
      </c>
      <c r="C909" s="7" t="s">
        <v>3493</v>
      </c>
      <c r="D909" s="7" t="s">
        <v>3494</v>
      </c>
      <c r="E909" s="2" t="s">
        <v>3495</v>
      </c>
    </row>
    <row r="910" spans="1:5">
      <c r="A910" s="7" t="s">
        <v>3496</v>
      </c>
      <c r="B910" s="2" t="s">
        <v>1202</v>
      </c>
      <c r="C910" s="7" t="s">
        <v>3497</v>
      </c>
      <c r="D910" s="7" t="s">
        <v>3498</v>
      </c>
      <c r="E910" s="2" t="s">
        <v>3499</v>
      </c>
    </row>
    <row r="911" spans="1:5">
      <c r="A911" s="7" t="s">
        <v>3500</v>
      </c>
      <c r="B911" s="2" t="s">
        <v>1202</v>
      </c>
      <c r="C911" s="7" t="s">
        <v>3501</v>
      </c>
      <c r="D911" s="7" t="s">
        <v>3502</v>
      </c>
      <c r="E911" s="2" t="s">
        <v>3503</v>
      </c>
    </row>
    <row r="912" spans="1:5">
      <c r="A912" s="7" t="s">
        <v>3504</v>
      </c>
      <c r="B912" s="2" t="s">
        <v>1202</v>
      </c>
      <c r="C912" s="7" t="s">
        <v>3505</v>
      </c>
      <c r="D912" s="7" t="s">
        <v>3506</v>
      </c>
      <c r="E912" s="2" t="s">
        <v>3507</v>
      </c>
    </row>
    <row r="913" spans="1:5">
      <c r="A913" s="7" t="s">
        <v>3508</v>
      </c>
      <c r="B913" s="2" t="s">
        <v>1202</v>
      </c>
      <c r="C913" s="7" t="s">
        <v>3509</v>
      </c>
      <c r="D913" s="7" t="s">
        <v>3510</v>
      </c>
      <c r="E913" s="2" t="s">
        <v>3511</v>
      </c>
    </row>
    <row r="914" spans="1:5">
      <c r="A914" s="7" t="s">
        <v>3512</v>
      </c>
      <c r="B914" s="2" t="s">
        <v>1202</v>
      </c>
      <c r="C914" s="7" t="s">
        <v>3513</v>
      </c>
      <c r="D914" s="7" t="s">
        <v>3514</v>
      </c>
      <c r="E914" s="2" t="s">
        <v>3515</v>
      </c>
    </row>
    <row r="915" spans="1:5">
      <c r="A915" s="7" t="s">
        <v>3516</v>
      </c>
      <c r="B915" s="2" t="s">
        <v>1202</v>
      </c>
      <c r="C915" s="7" t="s">
        <v>3517</v>
      </c>
      <c r="D915" s="7" t="s">
        <v>3518</v>
      </c>
      <c r="E915" s="2" t="s">
        <v>3519</v>
      </c>
    </row>
    <row r="916" spans="1:5">
      <c r="A916" s="7" t="s">
        <v>3520</v>
      </c>
      <c r="B916" s="2" t="s">
        <v>1202</v>
      </c>
      <c r="C916" s="7" t="s">
        <v>3521</v>
      </c>
      <c r="D916" s="7" t="s">
        <v>3522</v>
      </c>
      <c r="E916" s="2" t="s">
        <v>3523</v>
      </c>
    </row>
    <row r="917" spans="1:5">
      <c r="A917" s="7" t="s">
        <v>3524</v>
      </c>
      <c r="B917" s="2" t="s">
        <v>1202</v>
      </c>
      <c r="C917" s="7" t="s">
        <v>3525</v>
      </c>
      <c r="D917" s="7" t="s">
        <v>3526</v>
      </c>
      <c r="E917" s="2" t="s">
        <v>3527</v>
      </c>
    </row>
    <row r="918" spans="1:5">
      <c r="A918" s="7" t="s">
        <v>3528</v>
      </c>
      <c r="B918" s="2" t="s">
        <v>1202</v>
      </c>
      <c r="C918" s="7" t="s">
        <v>3529</v>
      </c>
      <c r="D918" s="7" t="s">
        <v>3530</v>
      </c>
      <c r="E918" s="2" t="s">
        <v>3531</v>
      </c>
    </row>
    <row r="919" spans="1:5">
      <c r="A919" s="7" t="s">
        <v>3532</v>
      </c>
      <c r="B919" s="2" t="s">
        <v>1202</v>
      </c>
      <c r="C919" s="7" t="s">
        <v>3533</v>
      </c>
      <c r="D919" s="7" t="s">
        <v>3534</v>
      </c>
      <c r="E919" s="2" t="s">
        <v>3535</v>
      </c>
    </row>
    <row r="920" spans="1:5">
      <c r="A920" s="7" t="s">
        <v>3536</v>
      </c>
      <c r="B920" s="2" t="s">
        <v>1202</v>
      </c>
      <c r="C920" s="7" t="s">
        <v>3537</v>
      </c>
      <c r="D920" s="7" t="s">
        <v>3538</v>
      </c>
      <c r="E920" s="2" t="s">
        <v>3539</v>
      </c>
    </row>
    <row r="921" spans="1:5">
      <c r="A921" s="7" t="s">
        <v>3540</v>
      </c>
      <c r="B921" s="2" t="s">
        <v>1202</v>
      </c>
      <c r="C921" s="7" t="s">
        <v>3541</v>
      </c>
      <c r="D921" s="7" t="s">
        <v>3542</v>
      </c>
      <c r="E921" s="2" t="s">
        <v>3543</v>
      </c>
    </row>
    <row r="922" spans="1:5">
      <c r="A922" s="7" t="s">
        <v>3544</v>
      </c>
      <c r="B922" s="2" t="s">
        <v>1202</v>
      </c>
      <c r="C922" s="7" t="s">
        <v>3545</v>
      </c>
      <c r="D922" s="7" t="s">
        <v>3546</v>
      </c>
      <c r="E922" s="2" t="s">
        <v>3547</v>
      </c>
    </row>
    <row r="923" spans="1:5">
      <c r="A923" s="7" t="s">
        <v>3548</v>
      </c>
      <c r="B923" s="2" t="s">
        <v>1202</v>
      </c>
      <c r="C923" s="7" t="s">
        <v>3549</v>
      </c>
      <c r="D923" s="7" t="s">
        <v>3550</v>
      </c>
      <c r="E923" s="2" t="s">
        <v>3551</v>
      </c>
    </row>
    <row r="924" spans="1:5">
      <c r="A924" s="7" t="s">
        <v>3552</v>
      </c>
      <c r="B924" s="2" t="s">
        <v>1202</v>
      </c>
      <c r="C924" s="7" t="s">
        <v>3553</v>
      </c>
      <c r="D924" s="7" t="s">
        <v>3554</v>
      </c>
      <c r="E924" s="2" t="s">
        <v>3555</v>
      </c>
    </row>
    <row r="925" spans="1:5">
      <c r="A925" s="7" t="s">
        <v>3556</v>
      </c>
      <c r="B925" s="2" t="s">
        <v>1202</v>
      </c>
      <c r="C925" s="7" t="s">
        <v>3557</v>
      </c>
      <c r="D925" s="7" t="s">
        <v>3558</v>
      </c>
      <c r="E925" s="2" t="s">
        <v>3559</v>
      </c>
    </row>
    <row r="926" spans="1:5">
      <c r="A926" s="7" t="s">
        <v>3560</v>
      </c>
      <c r="B926" s="2" t="s">
        <v>1202</v>
      </c>
      <c r="C926" s="7" t="s">
        <v>3561</v>
      </c>
      <c r="D926" s="7" t="s">
        <v>3562</v>
      </c>
      <c r="E926" s="2" t="s">
        <v>3563</v>
      </c>
    </row>
    <row r="927" spans="1:5">
      <c r="A927" s="7" t="s">
        <v>3564</v>
      </c>
      <c r="B927" s="2" t="s">
        <v>1202</v>
      </c>
      <c r="C927" s="7" t="s">
        <v>3565</v>
      </c>
      <c r="D927" s="7" t="s">
        <v>3566</v>
      </c>
      <c r="E927" s="2" t="s">
        <v>3567</v>
      </c>
    </row>
    <row r="928" spans="1:5">
      <c r="A928" s="7" t="s">
        <v>152</v>
      </c>
      <c r="B928" s="2" t="s">
        <v>1202</v>
      </c>
      <c r="C928" s="7" t="s">
        <v>153</v>
      </c>
      <c r="D928" s="7" t="s">
        <v>154</v>
      </c>
      <c r="E928" s="2" t="s">
        <v>3568</v>
      </c>
    </row>
    <row r="929" spans="1:5">
      <c r="A929" s="7" t="s">
        <v>3569</v>
      </c>
      <c r="B929" s="2" t="s">
        <v>1202</v>
      </c>
      <c r="C929" s="7" t="s">
        <v>3570</v>
      </c>
      <c r="D929" s="7" t="s">
        <v>3571</v>
      </c>
      <c r="E929" s="2" t="s">
        <v>3572</v>
      </c>
    </row>
    <row r="930" spans="1:5">
      <c r="A930" s="7" t="s">
        <v>3573</v>
      </c>
      <c r="B930" s="2" t="s">
        <v>1202</v>
      </c>
      <c r="C930" s="7" t="s">
        <v>3574</v>
      </c>
      <c r="D930" s="7" t="s">
        <v>3575</v>
      </c>
      <c r="E930" s="2" t="s">
        <v>3576</v>
      </c>
    </row>
    <row r="931" spans="1:5">
      <c r="A931" s="7" t="s">
        <v>3577</v>
      </c>
      <c r="B931" s="2" t="s">
        <v>1202</v>
      </c>
      <c r="C931" s="7" t="s">
        <v>3578</v>
      </c>
      <c r="D931" s="7" t="s">
        <v>3579</v>
      </c>
      <c r="E931" s="2" t="s">
        <v>3580</v>
      </c>
    </row>
    <row r="932" spans="1:5">
      <c r="A932" s="7" t="s">
        <v>3581</v>
      </c>
      <c r="B932" s="2" t="s">
        <v>1202</v>
      </c>
      <c r="C932" s="7" t="s">
        <v>3582</v>
      </c>
      <c r="D932" s="7" t="s">
        <v>3583</v>
      </c>
      <c r="E932" s="2" t="s">
        <v>3584</v>
      </c>
    </row>
    <row r="933" spans="1:5">
      <c r="A933" s="7" t="s">
        <v>3585</v>
      </c>
      <c r="B933" s="2" t="s">
        <v>1202</v>
      </c>
      <c r="C933" s="7" t="s">
        <v>3586</v>
      </c>
      <c r="D933" s="7" t="s">
        <v>3587</v>
      </c>
      <c r="E933" s="2" t="s">
        <v>3588</v>
      </c>
    </row>
    <row r="934" spans="1:5">
      <c r="A934" s="7" t="s">
        <v>3589</v>
      </c>
      <c r="B934" s="2" t="s">
        <v>1202</v>
      </c>
      <c r="C934" s="7" t="s">
        <v>3590</v>
      </c>
      <c r="D934" s="7" t="s">
        <v>3591</v>
      </c>
      <c r="E934" s="2" t="s">
        <v>3592</v>
      </c>
    </row>
    <row r="935" spans="1:5">
      <c r="A935" s="7" t="s">
        <v>3593</v>
      </c>
      <c r="B935" s="2" t="s">
        <v>1202</v>
      </c>
      <c r="C935" s="7" t="s">
        <v>3594</v>
      </c>
      <c r="D935" s="7" t="s">
        <v>3595</v>
      </c>
      <c r="E935" s="2" t="s">
        <v>3596</v>
      </c>
    </row>
    <row r="936" spans="1:5">
      <c r="A936" s="7" t="s">
        <v>3597</v>
      </c>
      <c r="B936" s="2" t="s">
        <v>1202</v>
      </c>
      <c r="C936" s="7" t="s">
        <v>3598</v>
      </c>
      <c r="D936" s="7" t="s">
        <v>3599</v>
      </c>
      <c r="E936" s="2" t="s">
        <v>3600</v>
      </c>
    </row>
    <row r="937" spans="1:5">
      <c r="A937" s="7" t="s">
        <v>3601</v>
      </c>
      <c r="B937" s="2" t="s">
        <v>1202</v>
      </c>
      <c r="C937" s="7" t="s">
        <v>3602</v>
      </c>
      <c r="D937" s="7" t="s">
        <v>3603</v>
      </c>
      <c r="E937" s="2" t="s">
        <v>3604</v>
      </c>
    </row>
    <row r="938" spans="1:5">
      <c r="A938" s="7" t="s">
        <v>3605</v>
      </c>
      <c r="B938" s="2" t="s">
        <v>1202</v>
      </c>
      <c r="C938" s="7" t="s">
        <v>3606</v>
      </c>
      <c r="D938" s="7" t="s">
        <v>3607</v>
      </c>
      <c r="E938" s="2" t="s">
        <v>3608</v>
      </c>
    </row>
    <row r="939" spans="1:5">
      <c r="A939" s="7" t="s">
        <v>3609</v>
      </c>
      <c r="B939" s="2" t="s">
        <v>1202</v>
      </c>
      <c r="C939" s="7" t="s">
        <v>3610</v>
      </c>
      <c r="D939" s="7" t="s">
        <v>3611</v>
      </c>
      <c r="E939" s="2" t="s">
        <v>3612</v>
      </c>
    </row>
    <row r="940" spans="1:5">
      <c r="A940" s="7" t="s">
        <v>3613</v>
      </c>
      <c r="B940" s="2" t="s">
        <v>1202</v>
      </c>
      <c r="C940" s="7" t="s">
        <v>3614</v>
      </c>
      <c r="D940" s="7" t="s">
        <v>3615</v>
      </c>
      <c r="E940" s="2" t="s">
        <v>3616</v>
      </c>
    </row>
    <row r="941" spans="1:5">
      <c r="A941" s="7" t="s">
        <v>3617</v>
      </c>
      <c r="B941" s="2" t="s">
        <v>1202</v>
      </c>
      <c r="C941" s="7" t="s">
        <v>3618</v>
      </c>
      <c r="D941" s="7" t="s">
        <v>3619</v>
      </c>
      <c r="E941" s="2" t="s">
        <v>3620</v>
      </c>
    </row>
    <row r="942" spans="1:5">
      <c r="A942" s="7" t="s">
        <v>3621</v>
      </c>
      <c r="B942" s="2" t="s">
        <v>1202</v>
      </c>
      <c r="C942" s="7" t="s">
        <v>3622</v>
      </c>
      <c r="D942" s="7" t="s">
        <v>3623</v>
      </c>
      <c r="E942" s="2" t="s">
        <v>3624</v>
      </c>
    </row>
    <row r="943" spans="1:5">
      <c r="A943" s="7" t="s">
        <v>3625</v>
      </c>
      <c r="B943" s="2" t="s">
        <v>1202</v>
      </c>
      <c r="C943" s="7" t="s">
        <v>3626</v>
      </c>
      <c r="D943" s="7" t="s">
        <v>3627</v>
      </c>
      <c r="E943" s="2" t="s">
        <v>3628</v>
      </c>
    </row>
    <row r="944" spans="1:5">
      <c r="A944" s="7" t="s">
        <v>3629</v>
      </c>
      <c r="B944" s="2" t="s">
        <v>1202</v>
      </c>
      <c r="C944" s="7" t="s">
        <v>3630</v>
      </c>
      <c r="D944" s="7" t="s">
        <v>3631</v>
      </c>
      <c r="E944" s="2" t="s">
        <v>3632</v>
      </c>
    </row>
    <row r="945" spans="1:5">
      <c r="A945" s="7" t="s">
        <v>3633</v>
      </c>
      <c r="B945" s="2" t="s">
        <v>1202</v>
      </c>
      <c r="C945" s="7" t="s">
        <v>3634</v>
      </c>
      <c r="D945" s="7" t="s">
        <v>3635</v>
      </c>
      <c r="E945" s="2" t="s">
        <v>3636</v>
      </c>
    </row>
    <row r="946" spans="1:5">
      <c r="A946" s="7" t="s">
        <v>3637</v>
      </c>
      <c r="B946" s="2" t="s">
        <v>1202</v>
      </c>
      <c r="C946" s="7" t="s">
        <v>3638</v>
      </c>
      <c r="D946" s="7" t="s">
        <v>3639</v>
      </c>
      <c r="E946" s="2" t="s">
        <v>3640</v>
      </c>
    </row>
    <row r="947" spans="1:5">
      <c r="A947" s="7" t="s">
        <v>3641</v>
      </c>
      <c r="B947" s="2" t="s">
        <v>1202</v>
      </c>
      <c r="C947" s="7" t="s">
        <v>3642</v>
      </c>
      <c r="D947" s="7" t="s">
        <v>3643</v>
      </c>
      <c r="E947" s="2" t="s">
        <v>3644</v>
      </c>
    </row>
    <row r="948" spans="1:5">
      <c r="A948" s="7" t="s">
        <v>3645</v>
      </c>
      <c r="B948" s="2" t="s">
        <v>1202</v>
      </c>
      <c r="C948" s="7" t="s">
        <v>3646</v>
      </c>
      <c r="D948" s="7" t="s">
        <v>3647</v>
      </c>
      <c r="E948" s="2" t="s">
        <v>3648</v>
      </c>
    </row>
    <row r="949" spans="1:5">
      <c r="A949" s="7" t="s">
        <v>3649</v>
      </c>
      <c r="B949" s="2" t="s">
        <v>1202</v>
      </c>
      <c r="C949" s="7" t="s">
        <v>3650</v>
      </c>
      <c r="D949" s="7" t="s">
        <v>3651</v>
      </c>
      <c r="E949" s="2" t="s">
        <v>3652</v>
      </c>
    </row>
    <row r="950" spans="1:5">
      <c r="A950" s="7" t="s">
        <v>3653</v>
      </c>
      <c r="B950" s="2" t="s">
        <v>1202</v>
      </c>
      <c r="C950" s="7" t="s">
        <v>3654</v>
      </c>
      <c r="D950" s="7" t="s">
        <v>3655</v>
      </c>
      <c r="E950" s="2" t="s">
        <v>3656</v>
      </c>
    </row>
    <row r="951" spans="1:5">
      <c r="A951" s="7" t="s">
        <v>3657</v>
      </c>
      <c r="B951" s="2" t="s">
        <v>1202</v>
      </c>
      <c r="C951" s="7" t="s">
        <v>3658</v>
      </c>
      <c r="D951" s="7" t="s">
        <v>3659</v>
      </c>
      <c r="E951" s="2" t="s">
        <v>3660</v>
      </c>
    </row>
    <row r="952" spans="1:5">
      <c r="A952" s="7" t="s">
        <v>3661</v>
      </c>
      <c r="B952" s="2" t="s">
        <v>1202</v>
      </c>
      <c r="C952" s="7" t="s">
        <v>3662</v>
      </c>
      <c r="D952" s="7" t="s">
        <v>3663</v>
      </c>
      <c r="E952" s="2" t="s">
        <v>3664</v>
      </c>
    </row>
    <row r="953" spans="1:5">
      <c r="A953" s="7" t="s">
        <v>3665</v>
      </c>
      <c r="B953" s="2" t="s">
        <v>1202</v>
      </c>
      <c r="C953" s="7" t="s">
        <v>3666</v>
      </c>
      <c r="D953" s="7" t="s">
        <v>3667</v>
      </c>
      <c r="E953" s="2" t="s">
        <v>3668</v>
      </c>
    </row>
    <row r="954" spans="1:5">
      <c r="A954" s="7" t="s">
        <v>3669</v>
      </c>
      <c r="B954" s="2" t="s">
        <v>1202</v>
      </c>
      <c r="C954" s="7" t="s">
        <v>3670</v>
      </c>
      <c r="D954" s="7" t="s">
        <v>3671</v>
      </c>
      <c r="E954" s="2" t="s">
        <v>3672</v>
      </c>
    </row>
    <row r="955" spans="1:5">
      <c r="A955" s="7" t="s">
        <v>3673</v>
      </c>
      <c r="B955" s="2" t="s">
        <v>1202</v>
      </c>
      <c r="C955" s="7" t="s">
        <v>3674</v>
      </c>
      <c r="D955" s="7" t="s">
        <v>3675</v>
      </c>
      <c r="E955" s="2" t="s">
        <v>3676</v>
      </c>
    </row>
    <row r="956" spans="1:5">
      <c r="A956" s="7" t="s">
        <v>3677</v>
      </c>
      <c r="B956" s="2" t="s">
        <v>1202</v>
      </c>
      <c r="C956" s="7" t="s">
        <v>3678</v>
      </c>
      <c r="D956" s="7" t="s">
        <v>3679</v>
      </c>
      <c r="E956" s="2" t="s">
        <v>3680</v>
      </c>
    </row>
    <row r="957" spans="1:5">
      <c r="A957" s="7" t="s">
        <v>3681</v>
      </c>
      <c r="B957" s="2" t="s">
        <v>1202</v>
      </c>
      <c r="C957" s="7" t="s">
        <v>3682</v>
      </c>
      <c r="D957" s="7" t="s">
        <v>3683</v>
      </c>
      <c r="E957" s="2" t="s">
        <v>3684</v>
      </c>
    </row>
    <row r="958" spans="1:5">
      <c r="A958" s="7" t="s">
        <v>3685</v>
      </c>
      <c r="B958" s="2" t="s">
        <v>1202</v>
      </c>
      <c r="C958" s="7" t="s">
        <v>3686</v>
      </c>
      <c r="D958" s="7" t="s">
        <v>3687</v>
      </c>
      <c r="E958" s="2" t="s">
        <v>3688</v>
      </c>
    </row>
    <row r="959" spans="1:5">
      <c r="A959" s="7" t="s">
        <v>3689</v>
      </c>
      <c r="B959" s="2" t="s">
        <v>1202</v>
      </c>
      <c r="C959" s="7" t="s">
        <v>3690</v>
      </c>
      <c r="D959" s="7" t="s">
        <v>3691</v>
      </c>
      <c r="E959" s="2" t="s">
        <v>3692</v>
      </c>
    </row>
    <row r="960" spans="1:5">
      <c r="A960" s="7" t="s">
        <v>3693</v>
      </c>
      <c r="B960" s="2" t="s">
        <v>1202</v>
      </c>
      <c r="C960" s="7" t="s">
        <v>3694</v>
      </c>
      <c r="D960" s="7" t="s">
        <v>3695</v>
      </c>
      <c r="E960" s="2" t="s">
        <v>3696</v>
      </c>
    </row>
    <row r="961" spans="1:5">
      <c r="A961" s="7" t="s">
        <v>3697</v>
      </c>
      <c r="B961" s="2" t="s">
        <v>1202</v>
      </c>
      <c r="C961" s="7" t="s">
        <v>3698</v>
      </c>
      <c r="D961" s="7" t="s">
        <v>3699</v>
      </c>
      <c r="E961" s="2" t="s">
        <v>3700</v>
      </c>
    </row>
    <row r="962" spans="1:5">
      <c r="A962" s="7" t="s">
        <v>3701</v>
      </c>
      <c r="B962" s="2" t="s">
        <v>1202</v>
      </c>
      <c r="C962" s="7" t="s">
        <v>3702</v>
      </c>
      <c r="D962" s="7" t="s">
        <v>3703</v>
      </c>
      <c r="E962" s="2" t="s">
        <v>3704</v>
      </c>
    </row>
    <row r="963" spans="1:5">
      <c r="A963" s="7" t="s">
        <v>3705</v>
      </c>
      <c r="B963" s="2" t="s">
        <v>1202</v>
      </c>
      <c r="C963" s="7" t="s">
        <v>3706</v>
      </c>
      <c r="D963" s="7" t="s">
        <v>3707</v>
      </c>
      <c r="E963" s="2" t="s">
        <v>3708</v>
      </c>
    </row>
    <row r="964" spans="1:5">
      <c r="A964" s="7" t="s">
        <v>3709</v>
      </c>
      <c r="B964" s="2" t="s">
        <v>1202</v>
      </c>
      <c r="C964" s="7" t="s">
        <v>3710</v>
      </c>
      <c r="D964" s="7" t="s">
        <v>3711</v>
      </c>
      <c r="E964" s="2" t="s">
        <v>3712</v>
      </c>
    </row>
    <row r="965" spans="1:5">
      <c r="A965" s="7" t="s">
        <v>3713</v>
      </c>
      <c r="B965" s="2" t="s">
        <v>1202</v>
      </c>
      <c r="C965" s="7" t="s">
        <v>3714</v>
      </c>
      <c r="D965" s="7" t="s">
        <v>3715</v>
      </c>
      <c r="E965" s="2" t="s">
        <v>3716</v>
      </c>
    </row>
    <row r="966" spans="1:5">
      <c r="A966" s="7" t="s">
        <v>3717</v>
      </c>
      <c r="B966" s="2" t="s">
        <v>1202</v>
      </c>
      <c r="C966" s="7" t="s">
        <v>3718</v>
      </c>
      <c r="D966" s="7" t="s">
        <v>3719</v>
      </c>
      <c r="E966" s="2" t="s">
        <v>3720</v>
      </c>
    </row>
    <row r="967" spans="1:5">
      <c r="A967" s="7" t="s">
        <v>3721</v>
      </c>
      <c r="B967" s="2" t="s">
        <v>1202</v>
      </c>
      <c r="C967" s="7" t="s">
        <v>3722</v>
      </c>
      <c r="D967" s="7" t="s">
        <v>3723</v>
      </c>
      <c r="E967" s="2" t="s">
        <v>3724</v>
      </c>
    </row>
    <row r="968" spans="1:5">
      <c r="A968" s="7" t="s">
        <v>3725</v>
      </c>
      <c r="B968" s="2" t="s">
        <v>1202</v>
      </c>
      <c r="C968" s="7" t="s">
        <v>3726</v>
      </c>
      <c r="D968" s="7" t="s">
        <v>3727</v>
      </c>
      <c r="E968" s="2" t="s">
        <v>3728</v>
      </c>
    </row>
    <row r="969" spans="1:5">
      <c r="A969" s="7" t="s">
        <v>3729</v>
      </c>
      <c r="B969" s="2" t="s">
        <v>1202</v>
      </c>
      <c r="C969" s="7" t="s">
        <v>3730</v>
      </c>
      <c r="D969" s="7" t="s">
        <v>3731</v>
      </c>
      <c r="E969" s="2" t="s">
        <v>3732</v>
      </c>
    </row>
    <row r="970" spans="1:5">
      <c r="A970" s="7" t="s">
        <v>3733</v>
      </c>
      <c r="B970" s="2" t="s">
        <v>1202</v>
      </c>
      <c r="C970" s="7" t="s">
        <v>3734</v>
      </c>
      <c r="D970" s="7" t="s">
        <v>3735</v>
      </c>
      <c r="E970" s="2" t="s">
        <v>3736</v>
      </c>
    </row>
    <row r="971" spans="1:5">
      <c r="A971" s="7" t="s">
        <v>3737</v>
      </c>
      <c r="B971" s="2" t="s">
        <v>1202</v>
      </c>
      <c r="C971" s="7" t="s">
        <v>3738</v>
      </c>
      <c r="D971" s="7" t="s">
        <v>3739</v>
      </c>
      <c r="E971" s="2" t="s">
        <v>3740</v>
      </c>
    </row>
    <row r="972" spans="1:5">
      <c r="A972" s="7" t="s">
        <v>3741</v>
      </c>
      <c r="B972" s="2" t="s">
        <v>1202</v>
      </c>
      <c r="C972" s="7" t="s">
        <v>3742</v>
      </c>
      <c r="D972" s="7" t="s">
        <v>3743</v>
      </c>
      <c r="E972" s="2" t="s">
        <v>3744</v>
      </c>
    </row>
    <row r="973" spans="1:5">
      <c r="A973" s="7" t="s">
        <v>3745</v>
      </c>
      <c r="B973" s="2" t="s">
        <v>1202</v>
      </c>
      <c r="C973" s="7" t="s">
        <v>3746</v>
      </c>
      <c r="D973" s="7" t="s">
        <v>3747</v>
      </c>
      <c r="E973" s="2" t="s">
        <v>3748</v>
      </c>
    </row>
    <row r="974" spans="1:5">
      <c r="A974" s="7" t="s">
        <v>3749</v>
      </c>
      <c r="B974" s="2" t="s">
        <v>1202</v>
      </c>
      <c r="C974" s="7" t="s">
        <v>3750</v>
      </c>
      <c r="D974" s="7" t="s">
        <v>3751</v>
      </c>
      <c r="E974" s="2" t="s">
        <v>3752</v>
      </c>
    </row>
    <row r="975" spans="1:5">
      <c r="A975" s="7" t="s">
        <v>3753</v>
      </c>
      <c r="B975" s="2" t="s">
        <v>1202</v>
      </c>
      <c r="C975" s="7" t="s">
        <v>3754</v>
      </c>
      <c r="D975" s="7" t="s">
        <v>3755</v>
      </c>
      <c r="E975" s="2" t="s">
        <v>3756</v>
      </c>
    </row>
    <row r="976" spans="1:5">
      <c r="A976" s="7" t="s">
        <v>3757</v>
      </c>
      <c r="B976" s="2" t="s">
        <v>1202</v>
      </c>
      <c r="C976" s="7" t="s">
        <v>3758</v>
      </c>
      <c r="D976" s="7" t="s">
        <v>3759</v>
      </c>
      <c r="E976" s="2" t="s">
        <v>3760</v>
      </c>
    </row>
    <row r="977" spans="1:5">
      <c r="A977" s="7" t="s">
        <v>3761</v>
      </c>
      <c r="B977" s="2" t="s">
        <v>1202</v>
      </c>
      <c r="C977" s="7" t="s">
        <v>3762</v>
      </c>
      <c r="D977" s="7" t="s">
        <v>3763</v>
      </c>
      <c r="E977" s="2" t="s">
        <v>3764</v>
      </c>
    </row>
    <row r="978" spans="1:5">
      <c r="A978" s="7" t="s">
        <v>3765</v>
      </c>
      <c r="B978" s="2" t="s">
        <v>1202</v>
      </c>
      <c r="C978" s="7" t="s">
        <v>3766</v>
      </c>
      <c r="D978" s="7" t="s">
        <v>3767</v>
      </c>
      <c r="E978" s="2" t="s">
        <v>3768</v>
      </c>
    </row>
    <row r="979" spans="1:5">
      <c r="A979" s="7" t="s">
        <v>3769</v>
      </c>
      <c r="B979" s="2" t="s">
        <v>1202</v>
      </c>
      <c r="C979" s="7" t="s">
        <v>3770</v>
      </c>
      <c r="D979" s="7" t="s">
        <v>3771</v>
      </c>
      <c r="E979" s="2" t="s">
        <v>3772</v>
      </c>
    </row>
    <row r="980" spans="1:5">
      <c r="A980" s="7" t="s">
        <v>3773</v>
      </c>
      <c r="B980" s="2" t="s">
        <v>1202</v>
      </c>
      <c r="C980" s="7" t="s">
        <v>3774</v>
      </c>
      <c r="D980" s="7" t="s">
        <v>3775</v>
      </c>
      <c r="E980" s="2" t="s">
        <v>3776</v>
      </c>
    </row>
    <row r="981" spans="1:5">
      <c r="A981" s="7" t="s">
        <v>3777</v>
      </c>
      <c r="B981" s="2" t="s">
        <v>1202</v>
      </c>
      <c r="C981" s="7" t="s">
        <v>3778</v>
      </c>
      <c r="D981" s="7" t="s">
        <v>3779</v>
      </c>
      <c r="E981" s="2" t="s">
        <v>3780</v>
      </c>
    </row>
    <row r="982" spans="1:5">
      <c r="A982" s="7" t="s">
        <v>3781</v>
      </c>
      <c r="B982" s="2" t="s">
        <v>1202</v>
      </c>
      <c r="C982" s="7" t="s">
        <v>3782</v>
      </c>
      <c r="D982" s="7" t="s">
        <v>3783</v>
      </c>
      <c r="E982" s="2" t="s">
        <v>3784</v>
      </c>
    </row>
    <row r="983" spans="1:5">
      <c r="A983" s="7" t="s">
        <v>3785</v>
      </c>
      <c r="B983" s="2" t="s">
        <v>1202</v>
      </c>
      <c r="C983" s="7" t="s">
        <v>3786</v>
      </c>
      <c r="D983" s="7" t="s">
        <v>3787</v>
      </c>
      <c r="E983" s="2" t="s">
        <v>3788</v>
      </c>
    </row>
    <row r="984" spans="1:5">
      <c r="A984" s="7" t="s">
        <v>3789</v>
      </c>
      <c r="B984" s="2" t="s">
        <v>1202</v>
      </c>
      <c r="C984" s="7" t="s">
        <v>3790</v>
      </c>
      <c r="D984" s="7" t="s">
        <v>3791</v>
      </c>
      <c r="E984" s="2" t="s">
        <v>3792</v>
      </c>
    </row>
    <row r="985" spans="1:5">
      <c r="A985" s="7" t="s">
        <v>3793</v>
      </c>
      <c r="B985" s="2" t="s">
        <v>1202</v>
      </c>
      <c r="C985" s="7" t="s">
        <v>3794</v>
      </c>
      <c r="D985" s="7" t="s">
        <v>3795</v>
      </c>
      <c r="E985" s="2" t="s">
        <v>3796</v>
      </c>
    </row>
    <row r="986" spans="1:5">
      <c r="A986" s="7" t="s">
        <v>3797</v>
      </c>
      <c r="B986" s="2" t="s">
        <v>1202</v>
      </c>
      <c r="C986" s="7" t="s">
        <v>3798</v>
      </c>
      <c r="D986" s="7" t="s">
        <v>3799</v>
      </c>
      <c r="E986" s="2" t="s">
        <v>3800</v>
      </c>
    </row>
    <row r="987" spans="1:5">
      <c r="A987" s="7" t="s">
        <v>3801</v>
      </c>
      <c r="B987" s="2" t="s">
        <v>1202</v>
      </c>
      <c r="C987" s="7" t="s">
        <v>3802</v>
      </c>
      <c r="D987" s="7" t="s">
        <v>3803</v>
      </c>
      <c r="E987" s="2" t="s">
        <v>3804</v>
      </c>
    </row>
    <row r="988" spans="1:5">
      <c r="A988" s="7" t="s">
        <v>3805</v>
      </c>
      <c r="B988" s="2" t="s">
        <v>1202</v>
      </c>
      <c r="C988" s="7" t="s">
        <v>3806</v>
      </c>
      <c r="D988" s="7" t="s">
        <v>3807</v>
      </c>
      <c r="E988" s="2" t="s">
        <v>3808</v>
      </c>
    </row>
    <row r="989" spans="1:5">
      <c r="A989" s="7" t="s">
        <v>3809</v>
      </c>
      <c r="B989" s="2" t="s">
        <v>1202</v>
      </c>
      <c r="C989" s="7" t="s">
        <v>3810</v>
      </c>
      <c r="D989" s="7" t="s">
        <v>3811</v>
      </c>
      <c r="E989" s="2" t="s">
        <v>3812</v>
      </c>
    </row>
    <row r="990" spans="1:5">
      <c r="A990" s="7" t="s">
        <v>3813</v>
      </c>
      <c r="B990" s="2" t="s">
        <v>1202</v>
      </c>
      <c r="C990" s="7" t="s">
        <v>3814</v>
      </c>
      <c r="D990" s="7" t="s">
        <v>3815</v>
      </c>
      <c r="E990" s="2" t="s">
        <v>3816</v>
      </c>
    </row>
    <row r="991" spans="1:5">
      <c r="A991" s="7" t="s">
        <v>3817</v>
      </c>
      <c r="B991" s="2" t="s">
        <v>1202</v>
      </c>
      <c r="C991" s="7" t="s">
        <v>3818</v>
      </c>
      <c r="D991" s="7" t="s">
        <v>3819</v>
      </c>
      <c r="E991" s="2" t="s">
        <v>3820</v>
      </c>
    </row>
    <row r="992" spans="1:5">
      <c r="A992" s="7" t="s">
        <v>3821</v>
      </c>
      <c r="B992" s="2" t="s">
        <v>1202</v>
      </c>
      <c r="C992" s="7" t="s">
        <v>3822</v>
      </c>
      <c r="D992" s="7" t="s">
        <v>3823</v>
      </c>
      <c r="E992" s="2" t="s">
        <v>3824</v>
      </c>
    </row>
    <row r="993" spans="1:5">
      <c r="A993" s="7" t="s">
        <v>3825</v>
      </c>
      <c r="B993" s="2" t="s">
        <v>1202</v>
      </c>
      <c r="C993" s="7" t="s">
        <v>3826</v>
      </c>
      <c r="D993" s="7" t="s">
        <v>3827</v>
      </c>
      <c r="E993" s="2" t="s">
        <v>3828</v>
      </c>
    </row>
    <row r="994" spans="1:5">
      <c r="A994" s="7" t="s">
        <v>3829</v>
      </c>
      <c r="B994" s="2" t="s">
        <v>1202</v>
      </c>
      <c r="C994" s="7" t="s">
        <v>3830</v>
      </c>
      <c r="D994" s="7" t="s">
        <v>3831</v>
      </c>
      <c r="E994" s="2" t="s">
        <v>3832</v>
      </c>
    </row>
    <row r="995" spans="1:5">
      <c r="A995" s="7" t="s">
        <v>3833</v>
      </c>
      <c r="B995" s="2" t="s">
        <v>1202</v>
      </c>
      <c r="C995" s="7" t="s">
        <v>3834</v>
      </c>
      <c r="D995" s="7" t="s">
        <v>3835</v>
      </c>
      <c r="E995" s="2" t="s">
        <v>3836</v>
      </c>
    </row>
    <row r="996" spans="1:5">
      <c r="A996" s="7" t="s">
        <v>3837</v>
      </c>
      <c r="B996" s="2" t="s">
        <v>1202</v>
      </c>
      <c r="C996" s="7" t="s">
        <v>3838</v>
      </c>
      <c r="D996" s="7" t="s">
        <v>3839</v>
      </c>
      <c r="E996" s="2" t="s">
        <v>3840</v>
      </c>
    </row>
    <row r="997" spans="1:5">
      <c r="A997" s="7" t="s">
        <v>3841</v>
      </c>
      <c r="B997" s="2" t="s">
        <v>1202</v>
      </c>
      <c r="C997" s="7" t="s">
        <v>3842</v>
      </c>
      <c r="D997" s="7" t="s">
        <v>3843</v>
      </c>
      <c r="E997" s="2" t="s">
        <v>3844</v>
      </c>
    </row>
    <row r="998" spans="1:5">
      <c r="A998" s="7" t="s">
        <v>3845</v>
      </c>
      <c r="B998" s="2" t="s">
        <v>1202</v>
      </c>
      <c r="C998" s="7" t="s">
        <v>3846</v>
      </c>
      <c r="D998" s="7" t="s">
        <v>3847</v>
      </c>
      <c r="E998" s="2" t="s">
        <v>3848</v>
      </c>
    </row>
    <row r="999" spans="1:5">
      <c r="A999" s="7" t="s">
        <v>3849</v>
      </c>
      <c r="B999" s="2" t="s">
        <v>1202</v>
      </c>
      <c r="C999" s="7" t="s">
        <v>3850</v>
      </c>
      <c r="D999" s="7" t="s">
        <v>3851</v>
      </c>
      <c r="E999" s="2" t="s">
        <v>3852</v>
      </c>
    </row>
    <row r="1000" spans="1:5">
      <c r="A1000" s="7" t="s">
        <v>3853</v>
      </c>
      <c r="B1000" s="2" t="s">
        <v>1202</v>
      </c>
      <c r="C1000" s="7" t="s">
        <v>3854</v>
      </c>
      <c r="D1000" s="7" t="s">
        <v>3855</v>
      </c>
      <c r="E1000" s="2" t="s">
        <v>3856</v>
      </c>
    </row>
    <row r="1001" spans="1:5">
      <c r="A1001" s="7" t="s">
        <v>3857</v>
      </c>
      <c r="B1001" s="2" t="s">
        <v>1202</v>
      </c>
      <c r="C1001" s="7" t="s">
        <v>3858</v>
      </c>
      <c r="D1001" s="7" t="s">
        <v>3859</v>
      </c>
      <c r="E1001" s="2" t="s">
        <v>3860</v>
      </c>
    </row>
    <row r="1002" spans="1:5">
      <c r="A1002" s="7" t="s">
        <v>3861</v>
      </c>
      <c r="B1002" s="2" t="s">
        <v>1202</v>
      </c>
      <c r="C1002" s="7" t="s">
        <v>3862</v>
      </c>
      <c r="D1002" s="7" t="s">
        <v>3863</v>
      </c>
      <c r="E1002" s="2" t="s">
        <v>3864</v>
      </c>
    </row>
    <row r="1003" spans="1:5">
      <c r="A1003" s="7" t="s">
        <v>3865</v>
      </c>
      <c r="B1003" s="2" t="s">
        <v>1202</v>
      </c>
      <c r="C1003" s="7" t="s">
        <v>3866</v>
      </c>
      <c r="D1003" s="7" t="s">
        <v>3867</v>
      </c>
      <c r="E1003" s="2" t="s">
        <v>3868</v>
      </c>
    </row>
    <row r="1004" spans="1:5">
      <c r="A1004" s="7" t="s">
        <v>3869</v>
      </c>
      <c r="B1004" s="2" t="s">
        <v>1202</v>
      </c>
      <c r="C1004" s="7" t="s">
        <v>3870</v>
      </c>
      <c r="D1004" s="7" t="s">
        <v>3871</v>
      </c>
      <c r="E1004" s="2" t="s">
        <v>3872</v>
      </c>
    </row>
    <row r="1005" spans="1:5">
      <c r="A1005" s="7" t="s">
        <v>3873</v>
      </c>
      <c r="B1005" s="2" t="s">
        <v>1202</v>
      </c>
      <c r="C1005" s="7" t="s">
        <v>3874</v>
      </c>
      <c r="D1005" s="7" t="s">
        <v>3875</v>
      </c>
      <c r="E1005" s="2" t="s">
        <v>3876</v>
      </c>
    </row>
    <row r="1006" spans="1:5">
      <c r="A1006" s="7" t="s">
        <v>3877</v>
      </c>
      <c r="B1006" s="2" t="s">
        <v>1202</v>
      </c>
      <c r="C1006" s="7" t="s">
        <v>3878</v>
      </c>
      <c r="D1006" s="7" t="s">
        <v>3879</v>
      </c>
      <c r="E1006" s="2" t="s">
        <v>3880</v>
      </c>
    </row>
    <row r="1007" spans="1:5">
      <c r="A1007" s="7" t="s">
        <v>3881</v>
      </c>
      <c r="B1007" s="2" t="s">
        <v>1202</v>
      </c>
      <c r="C1007" s="7" t="s">
        <v>3882</v>
      </c>
      <c r="D1007" s="7" t="s">
        <v>3883</v>
      </c>
      <c r="E1007" s="2" t="s">
        <v>3884</v>
      </c>
    </row>
    <row r="1008" spans="1:5">
      <c r="A1008" s="7" t="s">
        <v>3885</v>
      </c>
      <c r="B1008" s="2" t="s">
        <v>1202</v>
      </c>
      <c r="C1008" s="7" t="s">
        <v>3886</v>
      </c>
      <c r="D1008" s="7" t="s">
        <v>3887</v>
      </c>
      <c r="E1008" s="2" t="s">
        <v>3888</v>
      </c>
    </row>
    <row r="1009" spans="1:5">
      <c r="A1009" s="7" t="s">
        <v>3889</v>
      </c>
      <c r="B1009" s="2" t="s">
        <v>1202</v>
      </c>
      <c r="C1009" s="7" t="s">
        <v>3890</v>
      </c>
      <c r="D1009" s="7" t="s">
        <v>3891</v>
      </c>
      <c r="E1009" s="2" t="s">
        <v>3892</v>
      </c>
    </row>
    <row r="1010" spans="1:5">
      <c r="A1010" s="7" t="s">
        <v>3893</v>
      </c>
      <c r="B1010" s="2" t="s">
        <v>1202</v>
      </c>
      <c r="C1010" s="7" t="s">
        <v>3894</v>
      </c>
      <c r="D1010" s="7" t="s">
        <v>3895</v>
      </c>
      <c r="E1010" s="2" t="s">
        <v>3896</v>
      </c>
    </row>
    <row r="1011" spans="1:5">
      <c r="A1011" s="7" t="s">
        <v>3897</v>
      </c>
      <c r="B1011" s="2" t="s">
        <v>1202</v>
      </c>
      <c r="C1011" s="7" t="s">
        <v>3898</v>
      </c>
      <c r="D1011" s="7" t="s">
        <v>3899</v>
      </c>
      <c r="E1011" s="2" t="s">
        <v>3900</v>
      </c>
    </row>
    <row r="1012" spans="1:5">
      <c r="A1012" s="7" t="s">
        <v>3901</v>
      </c>
      <c r="B1012" s="2" t="s">
        <v>1202</v>
      </c>
      <c r="C1012" s="7" t="s">
        <v>3902</v>
      </c>
      <c r="D1012" s="7" t="s">
        <v>3903</v>
      </c>
      <c r="E1012" s="2" t="s">
        <v>3904</v>
      </c>
    </row>
    <row r="1013" spans="1:5">
      <c r="A1013" s="7" t="s">
        <v>3905</v>
      </c>
      <c r="B1013" s="2" t="s">
        <v>1202</v>
      </c>
      <c r="C1013" s="7" t="s">
        <v>3906</v>
      </c>
      <c r="D1013" s="7" t="s">
        <v>3907</v>
      </c>
      <c r="E1013" s="2" t="s">
        <v>3908</v>
      </c>
    </row>
    <row r="1014" spans="1:5">
      <c r="A1014" s="7" t="s">
        <v>3909</v>
      </c>
      <c r="B1014" s="2" t="s">
        <v>1202</v>
      </c>
      <c r="C1014" s="7" t="s">
        <v>3910</v>
      </c>
      <c r="D1014" s="7" t="s">
        <v>3911</v>
      </c>
      <c r="E1014" s="2" t="s">
        <v>3912</v>
      </c>
    </row>
    <row r="1015" spans="1:5">
      <c r="A1015" s="7" t="s">
        <v>3913</v>
      </c>
      <c r="B1015" s="2" t="s">
        <v>1202</v>
      </c>
      <c r="C1015" s="7" t="s">
        <v>3914</v>
      </c>
      <c r="D1015" s="7" t="s">
        <v>3915</v>
      </c>
      <c r="E1015" s="2" t="s">
        <v>3916</v>
      </c>
    </row>
    <row r="1016" spans="1:5">
      <c r="A1016" s="7" t="s">
        <v>3917</v>
      </c>
      <c r="B1016" s="2" t="s">
        <v>1202</v>
      </c>
      <c r="C1016" s="7" t="s">
        <v>3918</v>
      </c>
      <c r="D1016" s="7" t="s">
        <v>3919</v>
      </c>
      <c r="E1016" s="2" t="s">
        <v>3920</v>
      </c>
    </row>
    <row r="1017" spans="1:5">
      <c r="A1017" s="7" t="s">
        <v>3921</v>
      </c>
      <c r="B1017" s="2" t="s">
        <v>1202</v>
      </c>
      <c r="C1017" s="7" t="s">
        <v>3922</v>
      </c>
      <c r="D1017" s="7" t="s">
        <v>3923</v>
      </c>
      <c r="E1017" s="2" t="s">
        <v>3924</v>
      </c>
    </row>
    <row r="1018" spans="1:5">
      <c r="A1018" s="7" t="s">
        <v>3925</v>
      </c>
      <c r="B1018" s="2" t="s">
        <v>1202</v>
      </c>
      <c r="C1018" s="7" t="s">
        <v>3926</v>
      </c>
      <c r="D1018" s="7" t="s">
        <v>3927</v>
      </c>
      <c r="E1018" s="2" t="s">
        <v>3928</v>
      </c>
    </row>
    <row r="1019" spans="1:5">
      <c r="A1019" s="7" t="s">
        <v>3929</v>
      </c>
      <c r="B1019" s="2" t="s">
        <v>1202</v>
      </c>
      <c r="C1019" s="7" t="s">
        <v>3930</v>
      </c>
      <c r="D1019" s="7" t="s">
        <v>3931</v>
      </c>
      <c r="E1019" s="2" t="s">
        <v>3932</v>
      </c>
    </row>
    <row r="1020" spans="1:5">
      <c r="A1020" s="7" t="s">
        <v>3933</v>
      </c>
      <c r="B1020" s="2" t="s">
        <v>1202</v>
      </c>
      <c r="C1020" s="7" t="s">
        <v>3934</v>
      </c>
      <c r="D1020" s="7" t="s">
        <v>3935</v>
      </c>
      <c r="E1020" s="2" t="s">
        <v>3936</v>
      </c>
    </row>
    <row r="1021" spans="1:5">
      <c r="A1021" s="7" t="s">
        <v>3937</v>
      </c>
      <c r="B1021" s="2" t="s">
        <v>1202</v>
      </c>
      <c r="C1021" s="7" t="s">
        <v>3938</v>
      </c>
      <c r="D1021" s="7" t="s">
        <v>3939</v>
      </c>
      <c r="E1021" s="2" t="s">
        <v>3940</v>
      </c>
    </row>
    <row r="1022" spans="1:5">
      <c r="A1022" s="7" t="s">
        <v>3941</v>
      </c>
      <c r="B1022" s="2" t="s">
        <v>1202</v>
      </c>
      <c r="C1022" s="7" t="s">
        <v>3942</v>
      </c>
      <c r="D1022" s="7" t="s">
        <v>3943</v>
      </c>
      <c r="E1022" s="2" t="s">
        <v>3944</v>
      </c>
    </row>
    <row r="1023" spans="1:5">
      <c r="A1023" s="7" t="s">
        <v>3945</v>
      </c>
      <c r="B1023" s="2" t="s">
        <v>1202</v>
      </c>
      <c r="C1023" s="7" t="s">
        <v>3946</v>
      </c>
      <c r="D1023" s="7" t="s">
        <v>3947</v>
      </c>
      <c r="E1023" s="2" t="s">
        <v>3948</v>
      </c>
    </row>
    <row r="1024" spans="1:5">
      <c r="A1024" s="7" t="s">
        <v>3949</v>
      </c>
      <c r="B1024" s="2" t="s">
        <v>1202</v>
      </c>
      <c r="C1024" s="7" t="s">
        <v>3950</v>
      </c>
      <c r="D1024" s="7" t="s">
        <v>3951</v>
      </c>
      <c r="E1024" s="2" t="s">
        <v>3952</v>
      </c>
    </row>
    <row r="1025" spans="1:5">
      <c r="A1025" s="7" t="s">
        <v>3953</v>
      </c>
      <c r="B1025" s="2" t="s">
        <v>1202</v>
      </c>
      <c r="C1025" s="7" t="s">
        <v>3954</v>
      </c>
      <c r="D1025" s="7" t="s">
        <v>3955</v>
      </c>
      <c r="E1025" s="2" t="s">
        <v>3956</v>
      </c>
    </row>
    <row r="1026" spans="1:5">
      <c r="A1026" s="7" t="s">
        <v>3957</v>
      </c>
      <c r="B1026" s="2" t="s">
        <v>1202</v>
      </c>
      <c r="C1026" s="7" t="s">
        <v>3958</v>
      </c>
      <c r="D1026" s="7" t="s">
        <v>3959</v>
      </c>
      <c r="E1026" s="2" t="s">
        <v>3960</v>
      </c>
    </row>
    <row r="1027" spans="1:5">
      <c r="A1027" s="7" t="s">
        <v>3961</v>
      </c>
      <c r="B1027" s="2" t="s">
        <v>1202</v>
      </c>
      <c r="C1027" s="7" t="s">
        <v>3962</v>
      </c>
      <c r="D1027" s="7" t="s">
        <v>3963</v>
      </c>
      <c r="E1027" s="2" t="s">
        <v>3964</v>
      </c>
    </row>
    <row r="1028" spans="1:5">
      <c r="A1028" s="7" t="s">
        <v>3965</v>
      </c>
      <c r="B1028" s="2" t="s">
        <v>1202</v>
      </c>
      <c r="C1028" s="7" t="s">
        <v>3966</v>
      </c>
      <c r="D1028" s="7" t="s">
        <v>3967</v>
      </c>
      <c r="E1028" s="2" t="s">
        <v>3968</v>
      </c>
    </row>
    <row r="1029" spans="1:5">
      <c r="A1029" s="7" t="s">
        <v>3969</v>
      </c>
      <c r="B1029" s="2" t="s">
        <v>1202</v>
      </c>
      <c r="C1029" s="7" t="s">
        <v>3970</v>
      </c>
      <c r="D1029" s="7" t="s">
        <v>3971</v>
      </c>
      <c r="E1029" s="2" t="s">
        <v>3972</v>
      </c>
    </row>
    <row r="1030" spans="1:5">
      <c r="A1030" s="7" t="s">
        <v>3973</v>
      </c>
      <c r="B1030" s="2" t="s">
        <v>1202</v>
      </c>
      <c r="C1030" s="7" t="s">
        <v>3974</v>
      </c>
      <c r="D1030" s="7" t="s">
        <v>3975</v>
      </c>
      <c r="E1030" s="2" t="s">
        <v>3976</v>
      </c>
    </row>
    <row r="1031" spans="1:5">
      <c r="A1031" s="7" t="s">
        <v>3977</v>
      </c>
      <c r="B1031" s="2" t="s">
        <v>1202</v>
      </c>
      <c r="C1031" s="7" t="s">
        <v>3978</v>
      </c>
      <c r="D1031" s="7" t="s">
        <v>3979</v>
      </c>
      <c r="E1031" s="2" t="s">
        <v>3980</v>
      </c>
    </row>
    <row r="1032" spans="1:5">
      <c r="A1032" s="7" t="s">
        <v>3981</v>
      </c>
      <c r="B1032" s="2" t="s">
        <v>1202</v>
      </c>
      <c r="C1032" s="7" t="s">
        <v>3982</v>
      </c>
      <c r="D1032" s="7" t="s">
        <v>3983</v>
      </c>
      <c r="E1032" s="2" t="s">
        <v>3984</v>
      </c>
    </row>
    <row r="1033" spans="1:5">
      <c r="A1033" s="7" t="s">
        <v>3985</v>
      </c>
      <c r="B1033" s="2" t="s">
        <v>1202</v>
      </c>
      <c r="C1033" s="7" t="s">
        <v>3986</v>
      </c>
      <c r="D1033" s="7" t="s">
        <v>3987</v>
      </c>
      <c r="E1033" s="2" t="s">
        <v>3988</v>
      </c>
    </row>
    <row r="1034" spans="1:5">
      <c r="A1034" s="7" t="s">
        <v>3989</v>
      </c>
      <c r="B1034" s="2" t="s">
        <v>1202</v>
      </c>
      <c r="C1034" s="7" t="s">
        <v>3990</v>
      </c>
      <c r="D1034" s="7" t="s">
        <v>3991</v>
      </c>
      <c r="E1034" s="2" t="s">
        <v>3992</v>
      </c>
    </row>
    <row r="1035" spans="1:5">
      <c r="A1035" s="7" t="s">
        <v>3993</v>
      </c>
      <c r="B1035" s="2" t="s">
        <v>1202</v>
      </c>
      <c r="C1035" s="7" t="s">
        <v>3994</v>
      </c>
      <c r="D1035" s="7" t="s">
        <v>3995</v>
      </c>
      <c r="E1035" s="2" t="s">
        <v>3996</v>
      </c>
    </row>
    <row r="1036" spans="1:5">
      <c r="A1036" s="7" t="s">
        <v>3997</v>
      </c>
      <c r="B1036" s="2" t="s">
        <v>1202</v>
      </c>
      <c r="C1036" s="7" t="s">
        <v>3998</v>
      </c>
      <c r="D1036" s="7" t="s">
        <v>3999</v>
      </c>
      <c r="E1036" s="2" t="s">
        <v>4000</v>
      </c>
    </row>
    <row r="1037" spans="1:5">
      <c r="A1037" s="7" t="s">
        <v>4001</v>
      </c>
      <c r="B1037" s="2" t="s">
        <v>1202</v>
      </c>
      <c r="C1037" s="7" t="s">
        <v>4002</v>
      </c>
      <c r="D1037" s="7" t="s">
        <v>4003</v>
      </c>
      <c r="E1037" s="2" t="s">
        <v>4004</v>
      </c>
    </row>
    <row r="1038" spans="1:5">
      <c r="A1038" s="7" t="s">
        <v>4005</v>
      </c>
      <c r="B1038" s="2" t="s">
        <v>1202</v>
      </c>
      <c r="C1038" s="7" t="s">
        <v>4006</v>
      </c>
      <c r="D1038" s="7" t="s">
        <v>4007</v>
      </c>
      <c r="E1038" s="2" t="s">
        <v>4008</v>
      </c>
    </row>
    <row r="1039" spans="1:5">
      <c r="A1039" s="7" t="s">
        <v>4009</v>
      </c>
      <c r="B1039" s="2" t="s">
        <v>1202</v>
      </c>
      <c r="C1039" s="7" t="s">
        <v>4010</v>
      </c>
      <c r="D1039" s="7" t="s">
        <v>4011</v>
      </c>
      <c r="E1039" s="2" t="s">
        <v>4012</v>
      </c>
    </row>
    <row r="1040" spans="1:5">
      <c r="A1040" s="7" t="s">
        <v>4013</v>
      </c>
      <c r="B1040" s="2" t="s">
        <v>1202</v>
      </c>
      <c r="C1040" s="7" t="s">
        <v>4014</v>
      </c>
      <c r="D1040" s="7" t="s">
        <v>4015</v>
      </c>
      <c r="E1040" s="2" t="s">
        <v>4016</v>
      </c>
    </row>
    <row r="1041" spans="1:5">
      <c r="A1041" s="7" t="s">
        <v>4017</v>
      </c>
      <c r="B1041" s="2" t="s">
        <v>1202</v>
      </c>
      <c r="C1041" s="7" t="s">
        <v>4018</v>
      </c>
      <c r="D1041" s="7" t="s">
        <v>4019</v>
      </c>
      <c r="E1041" s="2" t="s">
        <v>4020</v>
      </c>
    </row>
    <row r="1042" spans="1:5">
      <c r="A1042" s="7" t="s">
        <v>4021</v>
      </c>
      <c r="B1042" s="2" t="s">
        <v>1202</v>
      </c>
      <c r="C1042" s="7" t="s">
        <v>4022</v>
      </c>
      <c r="D1042" s="7" t="s">
        <v>4023</v>
      </c>
      <c r="E1042" s="2" t="s">
        <v>4024</v>
      </c>
    </row>
    <row r="1043" spans="1:5">
      <c r="A1043" s="7" t="s">
        <v>4025</v>
      </c>
      <c r="B1043" s="2" t="s">
        <v>1202</v>
      </c>
      <c r="C1043" s="7" t="s">
        <v>4026</v>
      </c>
      <c r="D1043" s="7" t="s">
        <v>4027</v>
      </c>
      <c r="E1043" s="2" t="s">
        <v>4028</v>
      </c>
    </row>
    <row r="1044" spans="1:5">
      <c r="A1044" s="7" t="s">
        <v>4029</v>
      </c>
      <c r="B1044" s="2" t="s">
        <v>1202</v>
      </c>
      <c r="C1044" s="7" t="s">
        <v>4030</v>
      </c>
      <c r="D1044" s="7" t="s">
        <v>4031</v>
      </c>
      <c r="E1044" s="2" t="s">
        <v>4032</v>
      </c>
    </row>
    <row r="1045" spans="1:5">
      <c r="A1045" s="7" t="s">
        <v>4033</v>
      </c>
      <c r="B1045" s="2" t="s">
        <v>1202</v>
      </c>
      <c r="C1045" s="7" t="s">
        <v>4034</v>
      </c>
      <c r="D1045" s="7" t="s">
        <v>4035</v>
      </c>
      <c r="E1045" s="2" t="s">
        <v>4036</v>
      </c>
    </row>
    <row r="1046" spans="1:5">
      <c r="A1046" s="7" t="s">
        <v>4037</v>
      </c>
      <c r="B1046" s="2" t="s">
        <v>1202</v>
      </c>
      <c r="C1046" s="7" t="s">
        <v>4038</v>
      </c>
      <c r="D1046" s="7" t="s">
        <v>4039</v>
      </c>
      <c r="E1046" s="2" t="s">
        <v>4040</v>
      </c>
    </row>
    <row r="1047" spans="1:5">
      <c r="A1047" s="7" t="s">
        <v>4041</v>
      </c>
      <c r="B1047" s="2" t="s">
        <v>1202</v>
      </c>
      <c r="C1047" s="7" t="s">
        <v>4042</v>
      </c>
      <c r="D1047" s="7" t="s">
        <v>4043</v>
      </c>
      <c r="E1047" s="2" t="s">
        <v>4044</v>
      </c>
    </row>
    <row r="1048" spans="1:5">
      <c r="A1048" s="7" t="s">
        <v>4045</v>
      </c>
      <c r="B1048" s="2" t="s">
        <v>1202</v>
      </c>
      <c r="C1048" s="7" t="s">
        <v>4046</v>
      </c>
      <c r="D1048" s="7" t="s">
        <v>4047</v>
      </c>
      <c r="E1048" s="2" t="s">
        <v>4048</v>
      </c>
    </row>
    <row r="1049" spans="1:5">
      <c r="A1049" s="7" t="s">
        <v>4049</v>
      </c>
      <c r="B1049" s="2" t="s">
        <v>1202</v>
      </c>
      <c r="C1049" s="7" t="s">
        <v>4050</v>
      </c>
      <c r="D1049" s="7" t="s">
        <v>4051</v>
      </c>
      <c r="E1049" s="2" t="s">
        <v>4052</v>
      </c>
    </row>
    <row r="1050" spans="1:5">
      <c r="A1050" s="7" t="s">
        <v>4053</v>
      </c>
      <c r="B1050" s="2" t="s">
        <v>1202</v>
      </c>
      <c r="C1050" s="7" t="s">
        <v>4054</v>
      </c>
      <c r="D1050" s="7" t="s">
        <v>4055</v>
      </c>
      <c r="E1050" s="2" t="s">
        <v>4056</v>
      </c>
    </row>
    <row r="1051" spans="1:5">
      <c r="A1051" s="7" t="s">
        <v>4057</v>
      </c>
      <c r="B1051" s="2" t="s">
        <v>1202</v>
      </c>
      <c r="C1051" s="7" t="s">
        <v>4058</v>
      </c>
      <c r="D1051" s="7" t="s">
        <v>4059</v>
      </c>
      <c r="E1051" s="2" t="s">
        <v>4060</v>
      </c>
    </row>
    <row r="1052" spans="1:5">
      <c r="A1052" s="7" t="s">
        <v>4061</v>
      </c>
      <c r="B1052" s="2" t="s">
        <v>1202</v>
      </c>
      <c r="C1052" s="7" t="s">
        <v>4062</v>
      </c>
      <c r="D1052" s="7" t="s">
        <v>4063</v>
      </c>
      <c r="E1052" s="2" t="s">
        <v>4064</v>
      </c>
    </row>
    <row r="1053" spans="1:5">
      <c r="A1053" s="7" t="s">
        <v>4065</v>
      </c>
      <c r="B1053" s="2" t="s">
        <v>1202</v>
      </c>
      <c r="C1053" s="7" t="s">
        <v>4066</v>
      </c>
      <c r="D1053" s="7" t="s">
        <v>4067</v>
      </c>
      <c r="E1053" s="2" t="s">
        <v>4068</v>
      </c>
    </row>
    <row r="1054" spans="1:5">
      <c r="A1054" s="7" t="s">
        <v>4069</v>
      </c>
      <c r="B1054" s="2" t="s">
        <v>1202</v>
      </c>
      <c r="C1054" s="7" t="s">
        <v>4070</v>
      </c>
      <c r="D1054" s="7" t="s">
        <v>4071</v>
      </c>
      <c r="E1054" s="2" t="s">
        <v>4072</v>
      </c>
    </row>
    <row r="1055" spans="1:5">
      <c r="A1055" s="7" t="s">
        <v>4073</v>
      </c>
      <c r="B1055" s="2" t="s">
        <v>1202</v>
      </c>
      <c r="C1055" s="7" t="s">
        <v>4074</v>
      </c>
      <c r="D1055" s="7" t="s">
        <v>4075</v>
      </c>
      <c r="E1055" s="2" t="s">
        <v>4076</v>
      </c>
    </row>
    <row r="1056" spans="1:5">
      <c r="A1056" s="7" t="s">
        <v>4077</v>
      </c>
      <c r="B1056" s="2" t="s">
        <v>1202</v>
      </c>
      <c r="C1056" s="7" t="s">
        <v>4078</v>
      </c>
      <c r="D1056" s="7" t="s">
        <v>4079</v>
      </c>
      <c r="E1056" s="2" t="s">
        <v>4080</v>
      </c>
    </row>
    <row r="1057" spans="1:5">
      <c r="A1057" s="7" t="s">
        <v>4081</v>
      </c>
      <c r="B1057" s="2" t="s">
        <v>1202</v>
      </c>
      <c r="C1057" s="7" t="s">
        <v>4082</v>
      </c>
      <c r="D1057" s="7" t="s">
        <v>4083</v>
      </c>
      <c r="E1057" s="2" t="s">
        <v>4084</v>
      </c>
    </row>
    <row r="1058" spans="1:5">
      <c r="A1058" s="7" t="s">
        <v>4085</v>
      </c>
      <c r="B1058" s="2" t="s">
        <v>1202</v>
      </c>
      <c r="C1058" s="7" t="s">
        <v>4086</v>
      </c>
      <c r="D1058" s="7" t="s">
        <v>4087</v>
      </c>
      <c r="E1058" s="2" t="s">
        <v>4088</v>
      </c>
    </row>
    <row r="1059" spans="1:5">
      <c r="A1059" s="7" t="s">
        <v>4089</v>
      </c>
      <c r="B1059" s="2" t="s">
        <v>1202</v>
      </c>
      <c r="C1059" s="7" t="s">
        <v>4090</v>
      </c>
      <c r="D1059" s="7" t="s">
        <v>4091</v>
      </c>
      <c r="E1059" s="2" t="s">
        <v>4092</v>
      </c>
    </row>
    <row r="1060" spans="1:5">
      <c r="A1060" s="7" t="s">
        <v>4093</v>
      </c>
      <c r="B1060" s="2" t="s">
        <v>1202</v>
      </c>
      <c r="C1060" s="7" t="s">
        <v>4094</v>
      </c>
      <c r="D1060" s="7" t="s">
        <v>4095</v>
      </c>
      <c r="E1060" s="2" t="s">
        <v>4096</v>
      </c>
    </row>
    <row r="1061" spans="1:5">
      <c r="A1061" s="7" t="s">
        <v>4097</v>
      </c>
      <c r="B1061" s="2" t="s">
        <v>1202</v>
      </c>
      <c r="C1061" s="7" t="s">
        <v>4098</v>
      </c>
      <c r="D1061" s="7" t="s">
        <v>4099</v>
      </c>
      <c r="E1061" s="2" t="s">
        <v>4100</v>
      </c>
    </row>
    <row r="1062" spans="1:5">
      <c r="A1062" s="7" t="s">
        <v>4101</v>
      </c>
      <c r="B1062" s="2" t="s">
        <v>1202</v>
      </c>
      <c r="C1062" s="7" t="s">
        <v>4102</v>
      </c>
      <c r="D1062" s="7" t="s">
        <v>4103</v>
      </c>
      <c r="E1062" s="2" t="s">
        <v>4104</v>
      </c>
    </row>
    <row r="1063" spans="1:5">
      <c r="A1063" s="7" t="s">
        <v>4105</v>
      </c>
      <c r="B1063" s="2" t="s">
        <v>1202</v>
      </c>
      <c r="C1063" s="7" t="s">
        <v>4106</v>
      </c>
      <c r="D1063" s="7" t="s">
        <v>4107</v>
      </c>
      <c r="E1063" s="2" t="s">
        <v>4108</v>
      </c>
    </row>
    <row r="1064" spans="1:5">
      <c r="A1064" s="7" t="s">
        <v>4109</v>
      </c>
      <c r="B1064" s="2" t="s">
        <v>1202</v>
      </c>
      <c r="C1064" s="7" t="s">
        <v>4110</v>
      </c>
      <c r="D1064" s="7" t="s">
        <v>4111</v>
      </c>
      <c r="E1064" s="2" t="s">
        <v>4112</v>
      </c>
    </row>
    <row r="1065" spans="1:5">
      <c r="A1065" s="7" t="s">
        <v>4113</v>
      </c>
      <c r="B1065" s="2" t="s">
        <v>1202</v>
      </c>
      <c r="C1065" s="7" t="s">
        <v>4114</v>
      </c>
      <c r="D1065" s="7" t="s">
        <v>4115</v>
      </c>
      <c r="E1065" s="2" t="s">
        <v>4116</v>
      </c>
    </row>
    <row r="1066" spans="1:5">
      <c r="A1066" s="7" t="s">
        <v>4117</v>
      </c>
      <c r="B1066" s="2" t="s">
        <v>1202</v>
      </c>
      <c r="C1066" s="7" t="s">
        <v>4118</v>
      </c>
      <c r="D1066" s="7" t="s">
        <v>4119</v>
      </c>
      <c r="E1066" s="2" t="s">
        <v>4120</v>
      </c>
    </row>
    <row r="1067" spans="1:5">
      <c r="A1067" s="7" t="s">
        <v>4121</v>
      </c>
      <c r="B1067" s="2" t="s">
        <v>1202</v>
      </c>
      <c r="C1067" s="7" t="s">
        <v>4122</v>
      </c>
      <c r="D1067" s="7" t="s">
        <v>4123</v>
      </c>
      <c r="E1067" s="2" t="s">
        <v>4124</v>
      </c>
    </row>
    <row r="1068" spans="1:5">
      <c r="A1068" s="7" t="s">
        <v>4125</v>
      </c>
      <c r="B1068" s="2" t="s">
        <v>1202</v>
      </c>
      <c r="C1068" s="7" t="s">
        <v>4126</v>
      </c>
      <c r="D1068" s="7" t="s">
        <v>4127</v>
      </c>
      <c r="E1068" s="2" t="s">
        <v>4128</v>
      </c>
    </row>
    <row r="1069" spans="1:5">
      <c r="A1069" s="7" t="s">
        <v>4129</v>
      </c>
      <c r="B1069" s="2" t="s">
        <v>1202</v>
      </c>
      <c r="C1069" s="7" t="s">
        <v>4130</v>
      </c>
      <c r="D1069" s="7" t="s">
        <v>4131</v>
      </c>
      <c r="E1069" s="2" t="s">
        <v>4132</v>
      </c>
    </row>
    <row r="1070" spans="1:5">
      <c r="A1070" s="7" t="s">
        <v>4133</v>
      </c>
      <c r="B1070" s="2" t="s">
        <v>1202</v>
      </c>
      <c r="C1070" s="7" t="s">
        <v>4134</v>
      </c>
      <c r="D1070" s="7" t="s">
        <v>4135</v>
      </c>
      <c r="E1070" s="2" t="s">
        <v>4136</v>
      </c>
    </row>
    <row r="1071" spans="1:5">
      <c r="A1071" s="7" t="s">
        <v>4137</v>
      </c>
      <c r="B1071" s="2" t="s">
        <v>1202</v>
      </c>
      <c r="C1071" s="7" t="s">
        <v>4138</v>
      </c>
      <c r="D1071" s="7" t="s">
        <v>4139</v>
      </c>
      <c r="E1071" s="2" t="s">
        <v>4140</v>
      </c>
    </row>
    <row r="1072" spans="1:5">
      <c r="A1072" s="7" t="s">
        <v>4141</v>
      </c>
      <c r="B1072" s="2" t="s">
        <v>1202</v>
      </c>
      <c r="C1072" s="7" t="s">
        <v>4142</v>
      </c>
      <c r="D1072" s="7" t="s">
        <v>4143</v>
      </c>
      <c r="E1072" s="2" t="s">
        <v>4144</v>
      </c>
    </row>
    <row r="1073" spans="1:5">
      <c r="A1073" s="7" t="s">
        <v>4145</v>
      </c>
      <c r="B1073" s="2" t="s">
        <v>1202</v>
      </c>
      <c r="C1073" s="7" t="s">
        <v>4146</v>
      </c>
      <c r="D1073" s="7" t="s">
        <v>4147</v>
      </c>
      <c r="E1073" s="2" t="s">
        <v>4148</v>
      </c>
    </row>
    <row r="1074" spans="1:5">
      <c r="A1074" s="7" t="s">
        <v>4149</v>
      </c>
      <c r="B1074" s="2" t="s">
        <v>1202</v>
      </c>
      <c r="C1074" s="7" t="s">
        <v>4150</v>
      </c>
      <c r="D1074" s="7" t="s">
        <v>4151</v>
      </c>
      <c r="E1074" s="2" t="s">
        <v>4152</v>
      </c>
    </row>
    <row r="1075" spans="1:5">
      <c r="A1075" s="7" t="s">
        <v>4153</v>
      </c>
      <c r="B1075" s="2" t="s">
        <v>1202</v>
      </c>
      <c r="C1075" s="7" t="s">
        <v>4154</v>
      </c>
      <c r="D1075" s="7" t="s">
        <v>4155</v>
      </c>
      <c r="E1075" s="2" t="s">
        <v>4156</v>
      </c>
    </row>
    <row r="1076" spans="1:5">
      <c r="A1076" s="7" t="s">
        <v>4157</v>
      </c>
      <c r="B1076" s="2" t="s">
        <v>1202</v>
      </c>
      <c r="C1076" s="7" t="s">
        <v>4158</v>
      </c>
      <c r="D1076" s="7" t="s">
        <v>4159</v>
      </c>
      <c r="E1076" s="2" t="s">
        <v>4160</v>
      </c>
    </row>
    <row r="1077" spans="1:5">
      <c r="A1077" s="7" t="s">
        <v>4161</v>
      </c>
      <c r="B1077" s="2" t="s">
        <v>1202</v>
      </c>
      <c r="C1077" s="7" t="s">
        <v>4162</v>
      </c>
      <c r="D1077" s="7" t="s">
        <v>4163</v>
      </c>
      <c r="E1077" s="2" t="s">
        <v>4164</v>
      </c>
    </row>
    <row r="1078" spans="1:5">
      <c r="A1078" s="7" t="s">
        <v>1168</v>
      </c>
      <c r="B1078" s="2" t="s">
        <v>1202</v>
      </c>
      <c r="C1078" s="7" t="s">
        <v>4165</v>
      </c>
      <c r="D1078" s="7" t="s">
        <v>4166</v>
      </c>
      <c r="E1078" s="2" t="s">
        <v>4167</v>
      </c>
    </row>
    <row r="1079" spans="1:5">
      <c r="A1079" s="7" t="s">
        <v>4168</v>
      </c>
      <c r="B1079" s="2" t="s">
        <v>1202</v>
      </c>
      <c r="C1079" s="7" t="s">
        <v>4169</v>
      </c>
      <c r="D1079" s="7" t="s">
        <v>4170</v>
      </c>
      <c r="E1079" s="2" t="s">
        <v>4171</v>
      </c>
    </row>
    <row r="1080" spans="1:5">
      <c r="A1080" s="7" t="s">
        <v>4172</v>
      </c>
      <c r="B1080" s="2" t="s">
        <v>1202</v>
      </c>
      <c r="C1080" s="7" t="s">
        <v>4173</v>
      </c>
      <c r="D1080" s="7" t="s">
        <v>4174</v>
      </c>
      <c r="E1080" s="2" t="s">
        <v>4175</v>
      </c>
    </row>
    <row r="1081" spans="1:5">
      <c r="A1081" s="7" t="s">
        <v>4176</v>
      </c>
      <c r="B1081" s="2" t="s">
        <v>1202</v>
      </c>
      <c r="C1081" s="7" t="s">
        <v>4177</v>
      </c>
      <c r="D1081" s="7" t="s">
        <v>4178</v>
      </c>
      <c r="E1081" s="2" t="s">
        <v>4179</v>
      </c>
    </row>
    <row r="1082" spans="1:5">
      <c r="A1082" s="7" t="s">
        <v>4180</v>
      </c>
      <c r="B1082" s="2" t="s">
        <v>1202</v>
      </c>
      <c r="C1082" s="7" t="s">
        <v>4181</v>
      </c>
      <c r="D1082" s="7" t="s">
        <v>4182</v>
      </c>
      <c r="E1082" s="2" t="s">
        <v>4183</v>
      </c>
    </row>
    <row r="1083" spans="1:5">
      <c r="A1083" s="7" t="s">
        <v>4184</v>
      </c>
      <c r="B1083" s="2" t="s">
        <v>1202</v>
      </c>
      <c r="C1083" s="7" t="s">
        <v>4185</v>
      </c>
      <c r="D1083" s="7" t="s">
        <v>4186</v>
      </c>
      <c r="E1083" s="2" t="s">
        <v>4187</v>
      </c>
    </row>
    <row r="1084" spans="1:5">
      <c r="A1084" s="7" t="s">
        <v>4188</v>
      </c>
      <c r="B1084" s="2" t="s">
        <v>1202</v>
      </c>
      <c r="C1084" s="7" t="s">
        <v>4189</v>
      </c>
      <c r="D1084" s="7" t="s">
        <v>4190</v>
      </c>
      <c r="E1084" s="2" t="s">
        <v>4191</v>
      </c>
    </row>
    <row r="1085" spans="1:5">
      <c r="A1085" s="7" t="s">
        <v>4192</v>
      </c>
      <c r="B1085" s="2" t="s">
        <v>1202</v>
      </c>
      <c r="C1085" s="7" t="s">
        <v>4193</v>
      </c>
      <c r="D1085" s="7" t="s">
        <v>4194</v>
      </c>
      <c r="E1085" s="2" t="s">
        <v>4195</v>
      </c>
    </row>
    <row r="1086" spans="1:5">
      <c r="A1086" s="7" t="s">
        <v>4196</v>
      </c>
      <c r="B1086" s="2" t="s">
        <v>1202</v>
      </c>
      <c r="C1086" s="7" t="s">
        <v>4197</v>
      </c>
      <c r="D1086" s="7" t="s">
        <v>4198</v>
      </c>
      <c r="E1086" s="2" t="s">
        <v>4199</v>
      </c>
    </row>
    <row r="1087" spans="1:5">
      <c r="A1087" s="7" t="s">
        <v>4200</v>
      </c>
      <c r="B1087" s="2" t="s">
        <v>1202</v>
      </c>
      <c r="C1087" s="7" t="s">
        <v>4201</v>
      </c>
      <c r="D1087" s="7" t="s">
        <v>4202</v>
      </c>
      <c r="E1087" s="2" t="s">
        <v>4203</v>
      </c>
    </row>
    <row r="1088" spans="1:5">
      <c r="A1088" s="7" t="s">
        <v>4204</v>
      </c>
      <c r="B1088" s="2" t="s">
        <v>1202</v>
      </c>
      <c r="C1088" s="7" t="s">
        <v>4205</v>
      </c>
      <c r="D1088" s="7" t="s">
        <v>4206</v>
      </c>
      <c r="E1088" s="2" t="s">
        <v>4207</v>
      </c>
    </row>
    <row r="1089" spans="1:5">
      <c r="A1089" s="7" t="s">
        <v>4208</v>
      </c>
      <c r="B1089" s="2" t="s">
        <v>1202</v>
      </c>
      <c r="C1089" s="7" t="s">
        <v>4209</v>
      </c>
      <c r="D1089" s="7" t="s">
        <v>4210</v>
      </c>
      <c r="E1089" s="2" t="s">
        <v>4211</v>
      </c>
    </row>
    <row r="1090" spans="1:5">
      <c r="A1090" s="7" t="s">
        <v>4212</v>
      </c>
      <c r="B1090" s="2" t="s">
        <v>1202</v>
      </c>
      <c r="C1090" s="7" t="s">
        <v>4213</v>
      </c>
      <c r="D1090" s="7" t="s">
        <v>4214</v>
      </c>
      <c r="E1090" s="2" t="s">
        <v>4215</v>
      </c>
    </row>
    <row r="1091" spans="1:5">
      <c r="A1091" s="7" t="s">
        <v>4216</v>
      </c>
      <c r="B1091" s="2" t="s">
        <v>1202</v>
      </c>
      <c r="C1091" s="7" t="s">
        <v>4217</v>
      </c>
      <c r="D1091" s="7" t="s">
        <v>4218</v>
      </c>
      <c r="E1091" s="2" t="s">
        <v>4219</v>
      </c>
    </row>
    <row r="1092" spans="1:5">
      <c r="A1092" s="7" t="s">
        <v>4220</v>
      </c>
      <c r="B1092" s="2" t="s">
        <v>1202</v>
      </c>
      <c r="C1092" s="7" t="s">
        <v>4221</v>
      </c>
      <c r="D1092" s="7" t="s">
        <v>4222</v>
      </c>
      <c r="E1092" s="2" t="s">
        <v>4223</v>
      </c>
    </row>
    <row r="1093" spans="1:5">
      <c r="A1093" s="7" t="s">
        <v>4224</v>
      </c>
      <c r="B1093" s="2" t="s">
        <v>1202</v>
      </c>
      <c r="C1093" s="7" t="s">
        <v>4225</v>
      </c>
      <c r="D1093" s="7" t="s">
        <v>4226</v>
      </c>
      <c r="E1093" s="2" t="s">
        <v>4227</v>
      </c>
    </row>
    <row r="1094" spans="1:5">
      <c r="A1094" s="7" t="s">
        <v>4228</v>
      </c>
      <c r="B1094" s="2" t="s">
        <v>1202</v>
      </c>
      <c r="C1094" s="7" t="s">
        <v>4229</v>
      </c>
      <c r="D1094" s="7" t="s">
        <v>4230</v>
      </c>
      <c r="E1094" s="2" t="s">
        <v>4231</v>
      </c>
    </row>
    <row r="1095" spans="1:5">
      <c r="A1095" s="7" t="s">
        <v>4232</v>
      </c>
      <c r="B1095" s="2" t="s">
        <v>1202</v>
      </c>
      <c r="C1095" s="7" t="s">
        <v>4233</v>
      </c>
      <c r="D1095" s="7" t="s">
        <v>4234</v>
      </c>
      <c r="E1095" s="2" t="s">
        <v>4235</v>
      </c>
    </row>
    <row r="1096" spans="1:5">
      <c r="A1096" s="7" t="s">
        <v>4236</v>
      </c>
      <c r="B1096" s="2" t="s">
        <v>1202</v>
      </c>
      <c r="C1096" s="7" t="s">
        <v>4237</v>
      </c>
      <c r="D1096" s="7" t="s">
        <v>4238</v>
      </c>
      <c r="E1096" s="2" t="s">
        <v>4239</v>
      </c>
    </row>
    <row r="1097" spans="1:5">
      <c r="A1097" s="7" t="s">
        <v>4240</v>
      </c>
      <c r="B1097" s="2" t="s">
        <v>1202</v>
      </c>
      <c r="C1097" s="7" t="s">
        <v>4241</v>
      </c>
      <c r="D1097" s="7" t="s">
        <v>4242</v>
      </c>
      <c r="E1097" s="2" t="s">
        <v>4243</v>
      </c>
    </row>
    <row r="1098" spans="1:5">
      <c r="A1098" s="7" t="s">
        <v>4244</v>
      </c>
      <c r="B1098" s="2" t="s">
        <v>1202</v>
      </c>
      <c r="C1098" s="7" t="s">
        <v>4245</v>
      </c>
      <c r="D1098" s="7" t="s">
        <v>4246</v>
      </c>
      <c r="E1098" s="2" t="s">
        <v>4247</v>
      </c>
    </row>
    <row r="1099" spans="1:5">
      <c r="A1099" s="7" t="s">
        <v>4248</v>
      </c>
      <c r="B1099" s="2" t="s">
        <v>1202</v>
      </c>
      <c r="C1099" s="7" t="s">
        <v>4249</v>
      </c>
      <c r="D1099" s="7" t="s">
        <v>4250</v>
      </c>
      <c r="E1099" s="2" t="s">
        <v>4251</v>
      </c>
    </row>
    <row r="1100" spans="1:5">
      <c r="A1100" s="7" t="s">
        <v>4252</v>
      </c>
      <c r="B1100" s="2" t="s">
        <v>1202</v>
      </c>
      <c r="C1100" s="7" t="s">
        <v>4253</v>
      </c>
      <c r="D1100" s="7" t="s">
        <v>4254</v>
      </c>
      <c r="E1100" s="2" t="s">
        <v>4255</v>
      </c>
    </row>
    <row r="1101" spans="1:5">
      <c r="A1101" s="7" t="s">
        <v>4256</v>
      </c>
      <c r="B1101" s="2" t="s">
        <v>1202</v>
      </c>
      <c r="C1101" s="7" t="s">
        <v>4257</v>
      </c>
      <c r="D1101" s="7" t="s">
        <v>4258</v>
      </c>
      <c r="E1101" s="2" t="s">
        <v>4259</v>
      </c>
    </row>
    <row r="1102" spans="1:5">
      <c r="A1102" s="7" t="s">
        <v>4260</v>
      </c>
      <c r="B1102" s="2" t="s">
        <v>1202</v>
      </c>
      <c r="C1102" s="7" t="s">
        <v>4261</v>
      </c>
      <c r="D1102" s="7" t="s">
        <v>4262</v>
      </c>
      <c r="E1102" s="2" t="s">
        <v>4263</v>
      </c>
    </row>
    <row r="1103" spans="1:5">
      <c r="A1103" s="7" t="s">
        <v>4264</v>
      </c>
      <c r="B1103" s="2" t="s">
        <v>1202</v>
      </c>
      <c r="C1103" s="7" t="s">
        <v>4265</v>
      </c>
      <c r="D1103" s="7" t="s">
        <v>4266</v>
      </c>
      <c r="E1103" s="2" t="s">
        <v>4267</v>
      </c>
    </row>
    <row r="1104" spans="1:5">
      <c r="A1104" s="7" t="s">
        <v>4268</v>
      </c>
      <c r="B1104" s="2" t="s">
        <v>1202</v>
      </c>
      <c r="C1104" s="7" t="s">
        <v>4269</v>
      </c>
      <c r="D1104" s="7" t="s">
        <v>4270</v>
      </c>
      <c r="E1104" s="2" t="s">
        <v>4271</v>
      </c>
    </row>
    <row r="1105" spans="1:5">
      <c r="A1105" s="7" t="s">
        <v>4272</v>
      </c>
      <c r="B1105" s="2" t="s">
        <v>1202</v>
      </c>
      <c r="C1105" s="7" t="s">
        <v>4273</v>
      </c>
      <c r="D1105" s="7" t="s">
        <v>4274</v>
      </c>
      <c r="E1105" s="2" t="s">
        <v>4275</v>
      </c>
    </row>
    <row r="1106" spans="1:5">
      <c r="A1106" s="7" t="s">
        <v>4276</v>
      </c>
      <c r="B1106" s="2" t="s">
        <v>1202</v>
      </c>
      <c r="C1106" s="7" t="s">
        <v>4277</v>
      </c>
      <c r="D1106" s="7" t="s">
        <v>4278</v>
      </c>
      <c r="E1106" s="2" t="s">
        <v>4279</v>
      </c>
    </row>
    <row r="1107" spans="1:5">
      <c r="A1107" s="7" t="s">
        <v>4280</v>
      </c>
      <c r="B1107" s="2" t="s">
        <v>1202</v>
      </c>
      <c r="C1107" s="7" t="s">
        <v>4281</v>
      </c>
      <c r="D1107" s="7" t="s">
        <v>4282</v>
      </c>
      <c r="E1107" s="2" t="s">
        <v>4283</v>
      </c>
    </row>
    <row r="1108" spans="1:5">
      <c r="A1108" s="7" t="s">
        <v>4284</v>
      </c>
      <c r="B1108" s="2" t="s">
        <v>1202</v>
      </c>
      <c r="C1108" s="7" t="s">
        <v>4285</v>
      </c>
      <c r="D1108" s="7" t="s">
        <v>4286</v>
      </c>
      <c r="E1108" s="2" t="s">
        <v>4287</v>
      </c>
    </row>
    <row r="1109" spans="1:5">
      <c r="A1109" s="7" t="s">
        <v>4288</v>
      </c>
      <c r="B1109" s="2" t="s">
        <v>1202</v>
      </c>
      <c r="C1109" s="7" t="s">
        <v>4289</v>
      </c>
      <c r="D1109" s="7" t="s">
        <v>4290</v>
      </c>
      <c r="E1109" s="2" t="s">
        <v>4291</v>
      </c>
    </row>
    <row r="1110" spans="1:5">
      <c r="A1110" s="7" t="s">
        <v>4292</v>
      </c>
      <c r="B1110" s="2" t="s">
        <v>1202</v>
      </c>
      <c r="C1110" s="7" t="s">
        <v>4293</v>
      </c>
      <c r="D1110" s="7" t="s">
        <v>4294</v>
      </c>
      <c r="E1110" s="2" t="s">
        <v>4295</v>
      </c>
    </row>
    <row r="1111" spans="1:5">
      <c r="A1111" s="7" t="s">
        <v>4296</v>
      </c>
      <c r="B1111" s="2" t="s">
        <v>1202</v>
      </c>
      <c r="C1111" s="7" t="s">
        <v>4297</v>
      </c>
      <c r="D1111" s="7" t="s">
        <v>4298</v>
      </c>
      <c r="E1111" s="2" t="s">
        <v>4299</v>
      </c>
    </row>
    <row r="1112" spans="1:5">
      <c r="A1112" s="7" t="s">
        <v>4300</v>
      </c>
      <c r="B1112" s="2" t="s">
        <v>1202</v>
      </c>
      <c r="C1112" s="7" t="s">
        <v>4301</v>
      </c>
      <c r="D1112" s="7" t="s">
        <v>4302</v>
      </c>
      <c r="E1112" s="2" t="s">
        <v>4303</v>
      </c>
    </row>
    <row r="1113" spans="1:5">
      <c r="A1113" s="7" t="s">
        <v>4304</v>
      </c>
      <c r="B1113" s="2" t="s">
        <v>1202</v>
      </c>
      <c r="C1113" s="7" t="s">
        <v>4305</v>
      </c>
      <c r="D1113" s="7" t="s">
        <v>4306</v>
      </c>
      <c r="E1113" s="2" t="s">
        <v>4307</v>
      </c>
    </row>
    <row r="1114" spans="1:5">
      <c r="A1114" s="7" t="s">
        <v>4308</v>
      </c>
      <c r="B1114" s="2" t="s">
        <v>1202</v>
      </c>
      <c r="C1114" s="7" t="s">
        <v>4309</v>
      </c>
      <c r="D1114" s="7" t="s">
        <v>4310</v>
      </c>
      <c r="E1114" s="2" t="s">
        <v>4311</v>
      </c>
    </row>
    <row r="1115" spans="1:5">
      <c r="A1115" s="7" t="s">
        <v>4312</v>
      </c>
      <c r="B1115" s="2" t="s">
        <v>1202</v>
      </c>
      <c r="C1115" s="7" t="s">
        <v>4313</v>
      </c>
      <c r="D1115" s="7" t="s">
        <v>4314</v>
      </c>
      <c r="E1115" s="2" t="s">
        <v>4315</v>
      </c>
    </row>
    <row r="1116" spans="1:5">
      <c r="A1116" s="7" t="s">
        <v>4316</v>
      </c>
      <c r="B1116" s="2" t="s">
        <v>1202</v>
      </c>
      <c r="C1116" s="7" t="s">
        <v>4317</v>
      </c>
      <c r="D1116" s="7" t="s">
        <v>4318</v>
      </c>
      <c r="E1116" s="2" t="s">
        <v>4319</v>
      </c>
    </row>
    <row r="1117" spans="1:5">
      <c r="A1117" s="7" t="s">
        <v>4320</v>
      </c>
      <c r="B1117" s="2" t="s">
        <v>1202</v>
      </c>
      <c r="C1117" s="7" t="s">
        <v>4321</v>
      </c>
      <c r="D1117" s="7" t="s">
        <v>4322</v>
      </c>
      <c r="E1117" s="2" t="s">
        <v>4323</v>
      </c>
    </row>
    <row r="1118" spans="1:5">
      <c r="A1118" s="7" t="s">
        <v>4324</v>
      </c>
      <c r="B1118" s="2" t="s">
        <v>1202</v>
      </c>
      <c r="C1118" s="7" t="s">
        <v>4325</v>
      </c>
      <c r="D1118" s="7" t="s">
        <v>4326</v>
      </c>
      <c r="E1118" s="2" t="s">
        <v>4327</v>
      </c>
    </row>
    <row r="1119" spans="1:5">
      <c r="A1119" s="7" t="s">
        <v>148</v>
      </c>
      <c r="B1119" s="2" t="s">
        <v>1202</v>
      </c>
      <c r="C1119" s="7" t="s">
        <v>149</v>
      </c>
      <c r="D1119" s="7" t="s">
        <v>150</v>
      </c>
      <c r="E1119" s="2" t="s">
        <v>4328</v>
      </c>
    </row>
    <row r="1120" spans="1:5">
      <c r="A1120" s="7" t="s">
        <v>4329</v>
      </c>
      <c r="B1120" s="2" t="s">
        <v>1202</v>
      </c>
      <c r="C1120" s="7" t="s">
        <v>4330</v>
      </c>
      <c r="D1120" s="7" t="s">
        <v>4331</v>
      </c>
      <c r="E1120" s="2" t="s">
        <v>4332</v>
      </c>
    </row>
    <row r="1121" spans="1:5">
      <c r="A1121" s="7" t="s">
        <v>4333</v>
      </c>
      <c r="B1121" s="2" t="s">
        <v>1202</v>
      </c>
      <c r="C1121" s="7" t="s">
        <v>4334</v>
      </c>
      <c r="D1121" s="7" t="s">
        <v>4335</v>
      </c>
      <c r="E1121" s="2" t="s">
        <v>4336</v>
      </c>
    </row>
    <row r="1122" spans="1:5">
      <c r="A1122" s="7" t="s">
        <v>4337</v>
      </c>
      <c r="B1122" s="2" t="s">
        <v>1202</v>
      </c>
      <c r="C1122" s="7" t="s">
        <v>4338</v>
      </c>
      <c r="D1122" s="7" t="s">
        <v>4339</v>
      </c>
      <c r="E1122" s="2" t="s">
        <v>4340</v>
      </c>
    </row>
    <row r="1123" spans="1:5">
      <c r="A1123" s="7" t="s">
        <v>4341</v>
      </c>
      <c r="B1123" s="2" t="s">
        <v>1202</v>
      </c>
      <c r="C1123" s="7" t="s">
        <v>4342</v>
      </c>
      <c r="D1123" s="7" t="s">
        <v>4343</v>
      </c>
      <c r="E1123" s="2" t="s">
        <v>4344</v>
      </c>
    </row>
    <row r="1124" spans="1:5">
      <c r="A1124" s="7" t="s">
        <v>4345</v>
      </c>
      <c r="B1124" s="2" t="s">
        <v>1202</v>
      </c>
      <c r="C1124" s="7" t="s">
        <v>4346</v>
      </c>
      <c r="D1124" s="7" t="s">
        <v>4347</v>
      </c>
      <c r="E1124" s="2" t="s">
        <v>4348</v>
      </c>
    </row>
    <row r="1125" spans="1:5">
      <c r="A1125" s="7" t="s">
        <v>4349</v>
      </c>
      <c r="B1125" s="2" t="s">
        <v>1202</v>
      </c>
      <c r="C1125" s="7" t="s">
        <v>4350</v>
      </c>
      <c r="D1125" s="7" t="s">
        <v>4351</v>
      </c>
      <c r="E1125" s="2" t="s">
        <v>4352</v>
      </c>
    </row>
    <row r="1126" spans="1:5">
      <c r="A1126" s="7" t="s">
        <v>4353</v>
      </c>
      <c r="B1126" s="2" t="s">
        <v>1202</v>
      </c>
      <c r="C1126" s="7" t="s">
        <v>4354</v>
      </c>
      <c r="D1126" s="7" t="s">
        <v>4355</v>
      </c>
      <c r="E1126" s="2" t="s">
        <v>4356</v>
      </c>
    </row>
    <row r="1127" spans="1:5">
      <c r="A1127" s="7" t="s">
        <v>4357</v>
      </c>
      <c r="B1127" s="2" t="s">
        <v>1202</v>
      </c>
      <c r="C1127" s="7" t="s">
        <v>4358</v>
      </c>
      <c r="D1127" s="7" t="s">
        <v>4359</v>
      </c>
      <c r="E1127" s="2" t="s">
        <v>4360</v>
      </c>
    </row>
    <row r="1128" spans="1:5">
      <c r="A1128" s="7" t="s">
        <v>4361</v>
      </c>
      <c r="B1128" s="2" t="s">
        <v>1202</v>
      </c>
      <c r="C1128" s="7" t="s">
        <v>4362</v>
      </c>
      <c r="D1128" s="7" t="s">
        <v>4363</v>
      </c>
      <c r="E1128" s="2" t="s">
        <v>4364</v>
      </c>
    </row>
    <row r="1129" spans="1:5">
      <c r="A1129" s="7" t="s">
        <v>4365</v>
      </c>
      <c r="B1129" s="2" t="s">
        <v>1202</v>
      </c>
      <c r="C1129" s="7" t="s">
        <v>4366</v>
      </c>
      <c r="D1129" s="7" t="s">
        <v>4367</v>
      </c>
      <c r="E1129" s="2" t="s">
        <v>4368</v>
      </c>
    </row>
    <row r="1130" spans="1:5">
      <c r="A1130" s="7" t="s">
        <v>4369</v>
      </c>
      <c r="B1130" s="2" t="s">
        <v>1202</v>
      </c>
      <c r="C1130" s="7" t="s">
        <v>4370</v>
      </c>
      <c r="D1130" s="7" t="s">
        <v>4371</v>
      </c>
      <c r="E1130" s="2" t="s">
        <v>4372</v>
      </c>
    </row>
    <row r="1131" spans="1:5">
      <c r="A1131" s="7" t="s">
        <v>4373</v>
      </c>
      <c r="B1131" s="2" t="s">
        <v>1202</v>
      </c>
      <c r="C1131" s="7" t="s">
        <v>4374</v>
      </c>
      <c r="D1131" s="7" t="s">
        <v>4375</v>
      </c>
      <c r="E1131" s="2" t="s">
        <v>4376</v>
      </c>
    </row>
    <row r="1132" spans="1:5">
      <c r="A1132" s="7" t="s">
        <v>4377</v>
      </c>
      <c r="B1132" s="2" t="s">
        <v>1202</v>
      </c>
      <c r="C1132" s="7" t="s">
        <v>4378</v>
      </c>
      <c r="D1132" s="7" t="s">
        <v>4379</v>
      </c>
      <c r="E1132" s="2" t="s">
        <v>4380</v>
      </c>
    </row>
    <row r="1133" spans="1:5">
      <c r="A1133" s="7" t="s">
        <v>4381</v>
      </c>
      <c r="B1133" s="2" t="s">
        <v>1202</v>
      </c>
      <c r="C1133" s="7" t="s">
        <v>4382</v>
      </c>
      <c r="D1133" s="7" t="s">
        <v>4383</v>
      </c>
      <c r="E1133" s="2" t="s">
        <v>4384</v>
      </c>
    </row>
    <row r="1134" spans="1:5">
      <c r="A1134" s="7" t="s">
        <v>4385</v>
      </c>
      <c r="B1134" s="2" t="s">
        <v>1202</v>
      </c>
      <c r="C1134" s="7" t="s">
        <v>4386</v>
      </c>
      <c r="D1134" s="7" t="s">
        <v>4387</v>
      </c>
      <c r="E1134" s="2" t="s">
        <v>4388</v>
      </c>
    </row>
    <row r="1135" spans="1:5">
      <c r="A1135" s="7" t="s">
        <v>4389</v>
      </c>
      <c r="B1135" s="2" t="s">
        <v>1202</v>
      </c>
      <c r="C1135" s="7" t="s">
        <v>4390</v>
      </c>
      <c r="D1135" s="7" t="s">
        <v>4391</v>
      </c>
      <c r="E1135" s="2" t="s">
        <v>4392</v>
      </c>
    </row>
    <row r="1136" spans="1:5">
      <c r="A1136" s="7" t="s">
        <v>4393</v>
      </c>
      <c r="B1136" s="2" t="s">
        <v>1202</v>
      </c>
      <c r="C1136" s="7" t="s">
        <v>4394</v>
      </c>
      <c r="D1136" s="7" t="s">
        <v>4395</v>
      </c>
      <c r="E1136" s="2" t="s">
        <v>4396</v>
      </c>
    </row>
    <row r="1137" spans="1:5">
      <c r="A1137" s="7" t="s">
        <v>4397</v>
      </c>
      <c r="B1137" s="2" t="s">
        <v>1202</v>
      </c>
      <c r="C1137" s="7" t="s">
        <v>4398</v>
      </c>
      <c r="D1137" s="7" t="s">
        <v>4399</v>
      </c>
      <c r="E1137" s="2" t="s">
        <v>4400</v>
      </c>
    </row>
    <row r="1138" spans="1:5">
      <c r="A1138" s="7" t="s">
        <v>4401</v>
      </c>
      <c r="B1138" s="2" t="s">
        <v>1202</v>
      </c>
      <c r="C1138" s="7" t="s">
        <v>4402</v>
      </c>
      <c r="D1138" s="7" t="s">
        <v>4403</v>
      </c>
      <c r="E1138" s="2" t="s">
        <v>4404</v>
      </c>
    </row>
    <row r="1139" spans="1:5">
      <c r="A1139" s="7" t="s">
        <v>4405</v>
      </c>
      <c r="B1139" s="2" t="s">
        <v>1202</v>
      </c>
      <c r="C1139" s="7" t="s">
        <v>4406</v>
      </c>
      <c r="D1139" s="7" t="s">
        <v>4407</v>
      </c>
      <c r="E1139" s="2" t="s">
        <v>4408</v>
      </c>
    </row>
    <row r="1140" spans="1:5">
      <c r="A1140" s="7" t="s">
        <v>4409</v>
      </c>
      <c r="B1140" s="2" t="s">
        <v>1202</v>
      </c>
      <c r="C1140" s="7" t="s">
        <v>4410</v>
      </c>
      <c r="D1140" s="7" t="s">
        <v>4411</v>
      </c>
      <c r="E1140" s="2" t="s">
        <v>4412</v>
      </c>
    </row>
    <row r="1141" spans="1:5">
      <c r="A1141" s="7" t="s">
        <v>4413</v>
      </c>
      <c r="B1141" s="2" t="s">
        <v>1202</v>
      </c>
      <c r="C1141" s="7" t="s">
        <v>4414</v>
      </c>
      <c r="D1141" s="7" t="s">
        <v>4415</v>
      </c>
      <c r="E1141" s="2" t="s">
        <v>4416</v>
      </c>
    </row>
    <row r="1142" spans="1:5">
      <c r="A1142" s="7" t="s">
        <v>4417</v>
      </c>
      <c r="B1142" s="2" t="s">
        <v>1202</v>
      </c>
      <c r="C1142" s="7" t="s">
        <v>4418</v>
      </c>
      <c r="D1142" s="7" t="s">
        <v>4419</v>
      </c>
      <c r="E1142" s="2" t="s">
        <v>4420</v>
      </c>
    </row>
    <row r="1143" spans="1:5">
      <c r="A1143" s="7" t="s">
        <v>4421</v>
      </c>
      <c r="B1143" s="2" t="s">
        <v>1202</v>
      </c>
      <c r="C1143" s="7" t="s">
        <v>4422</v>
      </c>
      <c r="D1143" s="7" t="s">
        <v>4423</v>
      </c>
      <c r="E1143" s="2" t="s">
        <v>4424</v>
      </c>
    </row>
    <row r="1144" spans="1:5">
      <c r="A1144" s="7" t="s">
        <v>4425</v>
      </c>
      <c r="B1144" s="2" t="s">
        <v>1202</v>
      </c>
      <c r="C1144" s="7" t="s">
        <v>4426</v>
      </c>
      <c r="D1144" s="7" t="s">
        <v>4427</v>
      </c>
      <c r="E1144" s="2" t="s">
        <v>4428</v>
      </c>
    </row>
    <row r="1145" spans="1:5">
      <c r="A1145" s="7" t="s">
        <v>4429</v>
      </c>
      <c r="B1145" s="2" t="s">
        <v>1202</v>
      </c>
      <c r="C1145" s="7" t="s">
        <v>4430</v>
      </c>
      <c r="D1145" s="7" t="s">
        <v>4431</v>
      </c>
      <c r="E1145" s="2" t="s">
        <v>4432</v>
      </c>
    </row>
    <row r="1146" spans="1:5">
      <c r="A1146" s="7" t="s">
        <v>4433</v>
      </c>
      <c r="B1146" s="2" t="s">
        <v>1202</v>
      </c>
      <c r="C1146" s="7" t="s">
        <v>4434</v>
      </c>
      <c r="D1146" s="7" t="s">
        <v>4435</v>
      </c>
      <c r="E1146" s="2" t="s">
        <v>4436</v>
      </c>
    </row>
    <row r="1147" spans="1:5">
      <c r="A1147" s="7" t="s">
        <v>4437</v>
      </c>
      <c r="B1147" s="2" t="s">
        <v>1202</v>
      </c>
      <c r="C1147" s="7" t="s">
        <v>4438</v>
      </c>
      <c r="D1147" s="7" t="s">
        <v>4439</v>
      </c>
      <c r="E1147" s="2" t="s">
        <v>4440</v>
      </c>
    </row>
    <row r="1148" spans="1:5">
      <c r="A1148" s="7" t="s">
        <v>4441</v>
      </c>
      <c r="B1148" s="2" t="s">
        <v>1202</v>
      </c>
      <c r="C1148" s="7" t="s">
        <v>4442</v>
      </c>
      <c r="D1148" s="7" t="s">
        <v>4443</v>
      </c>
      <c r="E1148" s="2" t="s">
        <v>4444</v>
      </c>
    </row>
    <row r="1149" spans="1:5">
      <c r="A1149" s="7" t="s">
        <v>4445</v>
      </c>
      <c r="B1149" s="2" t="s">
        <v>1202</v>
      </c>
      <c r="C1149" s="7" t="s">
        <v>4446</v>
      </c>
      <c r="D1149" s="7" t="s">
        <v>4447</v>
      </c>
      <c r="E1149" s="2" t="s">
        <v>4448</v>
      </c>
    </row>
    <row r="1150" spans="1:5">
      <c r="A1150" s="7" t="s">
        <v>4449</v>
      </c>
      <c r="B1150" s="2" t="s">
        <v>1202</v>
      </c>
      <c r="C1150" s="7" t="s">
        <v>4450</v>
      </c>
      <c r="D1150" s="7" t="s">
        <v>4451</v>
      </c>
      <c r="E1150" s="2" t="s">
        <v>4452</v>
      </c>
    </row>
    <row r="1151" spans="1:5">
      <c r="A1151" s="7" t="s">
        <v>4453</v>
      </c>
      <c r="B1151" s="2" t="s">
        <v>1202</v>
      </c>
      <c r="C1151" s="7" t="s">
        <v>4454</v>
      </c>
      <c r="D1151" s="7" t="s">
        <v>4455</v>
      </c>
      <c r="E1151" s="2" t="s">
        <v>4456</v>
      </c>
    </row>
    <row r="1152" spans="1:5">
      <c r="A1152" s="7" t="s">
        <v>4457</v>
      </c>
      <c r="B1152" s="2" t="s">
        <v>1202</v>
      </c>
      <c r="C1152" s="7" t="s">
        <v>4458</v>
      </c>
      <c r="D1152" s="7" t="s">
        <v>4459</v>
      </c>
      <c r="E1152" s="2" t="s">
        <v>4460</v>
      </c>
    </row>
    <row r="1153" spans="1:5">
      <c r="A1153" s="7" t="s">
        <v>4461</v>
      </c>
      <c r="B1153" s="2" t="s">
        <v>1202</v>
      </c>
      <c r="C1153" s="7" t="s">
        <v>4462</v>
      </c>
      <c r="D1153" s="7" t="s">
        <v>4463</v>
      </c>
      <c r="E1153" s="2" t="s">
        <v>4464</v>
      </c>
    </row>
    <row r="1154" spans="1:5">
      <c r="A1154" s="7" t="s">
        <v>3</v>
      </c>
      <c r="B1154" s="2" t="s">
        <v>1202</v>
      </c>
      <c r="C1154" s="7" t="s">
        <v>4465</v>
      </c>
      <c r="D1154" s="7" t="s">
        <v>4466</v>
      </c>
      <c r="E1154" s="2" t="s">
        <v>4467</v>
      </c>
    </row>
    <row r="1155" spans="1:5">
      <c r="A1155" s="7" t="s">
        <v>4468</v>
      </c>
      <c r="B1155" s="2" t="s">
        <v>1202</v>
      </c>
      <c r="C1155" s="7" t="s">
        <v>4469</v>
      </c>
      <c r="D1155" s="7" t="s">
        <v>4470</v>
      </c>
      <c r="E1155" s="2" t="s">
        <v>4471</v>
      </c>
    </row>
    <row r="1156" spans="1:5">
      <c r="A1156" s="7" t="s">
        <v>4472</v>
      </c>
      <c r="B1156" s="2" t="s">
        <v>1202</v>
      </c>
      <c r="C1156" s="7" t="s">
        <v>4473</v>
      </c>
      <c r="D1156" s="7" t="s">
        <v>4474</v>
      </c>
      <c r="E1156" s="2" t="s">
        <v>4475</v>
      </c>
    </row>
    <row r="1157" spans="1:5">
      <c r="A1157" s="7" t="s">
        <v>4476</v>
      </c>
      <c r="B1157" s="2" t="s">
        <v>1202</v>
      </c>
      <c r="C1157" s="7" t="s">
        <v>4477</v>
      </c>
      <c r="D1157" s="7" t="s">
        <v>4478</v>
      </c>
      <c r="E1157" s="2" t="s">
        <v>4479</v>
      </c>
    </row>
    <row r="1158" spans="1:5">
      <c r="A1158" s="7" t="s">
        <v>4480</v>
      </c>
      <c r="B1158" s="2" t="s">
        <v>1202</v>
      </c>
      <c r="C1158" s="7" t="s">
        <v>4481</v>
      </c>
      <c r="D1158" s="7" t="s">
        <v>4482</v>
      </c>
      <c r="E1158" s="2" t="s">
        <v>4483</v>
      </c>
    </row>
    <row r="1159" spans="1:5">
      <c r="A1159" s="7" t="s">
        <v>4484</v>
      </c>
      <c r="B1159" s="2" t="s">
        <v>1202</v>
      </c>
      <c r="C1159" s="7" t="s">
        <v>4485</v>
      </c>
      <c r="D1159" s="7" t="s">
        <v>4486</v>
      </c>
      <c r="E1159" s="2" t="s">
        <v>4487</v>
      </c>
    </row>
    <row r="1160" spans="1:5">
      <c r="A1160" s="7" t="s">
        <v>4488</v>
      </c>
      <c r="B1160" s="2" t="s">
        <v>1202</v>
      </c>
      <c r="C1160" s="7" t="s">
        <v>4489</v>
      </c>
      <c r="D1160" s="7" t="s">
        <v>4490</v>
      </c>
      <c r="E1160" s="2" t="s">
        <v>4491</v>
      </c>
    </row>
    <row r="1161" spans="1:5">
      <c r="A1161" s="7" t="s">
        <v>4492</v>
      </c>
      <c r="B1161" s="2" t="s">
        <v>1202</v>
      </c>
      <c r="C1161" s="7" t="s">
        <v>4493</v>
      </c>
      <c r="D1161" s="7" t="s">
        <v>4494</v>
      </c>
      <c r="E1161" s="2" t="s">
        <v>4495</v>
      </c>
    </row>
    <row r="1162" spans="1:5">
      <c r="A1162" s="7" t="s">
        <v>4496</v>
      </c>
      <c r="B1162" s="2" t="s">
        <v>1202</v>
      </c>
      <c r="C1162" s="7" t="s">
        <v>4497</v>
      </c>
      <c r="D1162" s="7" t="s">
        <v>4498</v>
      </c>
      <c r="E1162" s="2" t="s">
        <v>4499</v>
      </c>
    </row>
    <row r="1163" spans="1:5">
      <c r="A1163" s="7" t="s">
        <v>4500</v>
      </c>
      <c r="B1163" s="2" t="s">
        <v>1202</v>
      </c>
      <c r="C1163" s="7" t="s">
        <v>4501</v>
      </c>
      <c r="D1163" s="7" t="s">
        <v>4502</v>
      </c>
      <c r="E1163" s="2" t="s">
        <v>4503</v>
      </c>
    </row>
    <row r="1164" spans="1:5">
      <c r="A1164" s="7" t="s">
        <v>4504</v>
      </c>
      <c r="B1164" s="2" t="s">
        <v>1202</v>
      </c>
      <c r="C1164" s="7" t="s">
        <v>4505</v>
      </c>
      <c r="D1164" s="7" t="s">
        <v>4506</v>
      </c>
      <c r="E1164" s="2" t="s">
        <v>4507</v>
      </c>
    </row>
    <row r="1165" spans="1:5">
      <c r="A1165" s="7" t="s">
        <v>4508</v>
      </c>
      <c r="B1165" s="2" t="s">
        <v>1202</v>
      </c>
      <c r="C1165" s="7" t="s">
        <v>4509</v>
      </c>
      <c r="D1165" s="7" t="s">
        <v>4510</v>
      </c>
      <c r="E1165" s="2" t="s">
        <v>4511</v>
      </c>
    </row>
    <row r="1166" spans="1:5">
      <c r="A1166" s="7" t="s">
        <v>4512</v>
      </c>
      <c r="B1166" s="2" t="s">
        <v>1202</v>
      </c>
      <c r="C1166" s="7" t="s">
        <v>4513</v>
      </c>
      <c r="D1166" s="7" t="s">
        <v>4514</v>
      </c>
      <c r="E1166" s="2" t="s">
        <v>4515</v>
      </c>
    </row>
    <row r="1167" spans="1:5">
      <c r="A1167" s="7" t="s">
        <v>4516</v>
      </c>
      <c r="B1167" s="2" t="s">
        <v>1202</v>
      </c>
      <c r="C1167" s="7" t="s">
        <v>4517</v>
      </c>
      <c r="D1167" s="7" t="s">
        <v>4518</v>
      </c>
      <c r="E1167" s="2" t="s">
        <v>4519</v>
      </c>
    </row>
    <row r="1168" spans="1:5">
      <c r="A1168" s="7" t="s">
        <v>4520</v>
      </c>
      <c r="B1168" s="2" t="s">
        <v>1202</v>
      </c>
      <c r="C1168" s="7" t="s">
        <v>4521</v>
      </c>
      <c r="D1168" s="7" t="s">
        <v>4522</v>
      </c>
      <c r="E1168" s="2" t="s">
        <v>4523</v>
      </c>
    </row>
    <row r="1169" spans="1:5">
      <c r="A1169" s="7" t="s">
        <v>4524</v>
      </c>
      <c r="B1169" s="2" t="s">
        <v>1202</v>
      </c>
      <c r="C1169" s="7" t="s">
        <v>4525</v>
      </c>
      <c r="D1169" s="7" t="s">
        <v>4526</v>
      </c>
      <c r="E1169" s="2" t="s">
        <v>4527</v>
      </c>
    </row>
    <row r="1170" spans="1:5">
      <c r="A1170" s="7" t="s">
        <v>4528</v>
      </c>
      <c r="B1170" s="2" t="s">
        <v>1202</v>
      </c>
      <c r="C1170" s="7" t="s">
        <v>4529</v>
      </c>
      <c r="D1170" s="7" t="s">
        <v>4530</v>
      </c>
      <c r="E1170" s="2" t="s">
        <v>4531</v>
      </c>
    </row>
    <row r="1171" spans="1:5">
      <c r="A1171" s="7" t="s">
        <v>4532</v>
      </c>
      <c r="B1171" s="2" t="s">
        <v>1202</v>
      </c>
      <c r="C1171" s="7" t="s">
        <v>4533</v>
      </c>
      <c r="D1171" s="7" t="s">
        <v>4534</v>
      </c>
      <c r="E1171" s="2" t="s">
        <v>4535</v>
      </c>
    </row>
    <row r="1172" spans="1:5">
      <c r="A1172" s="7" t="s">
        <v>4536</v>
      </c>
      <c r="B1172" s="2" t="s">
        <v>1202</v>
      </c>
      <c r="C1172" s="7" t="s">
        <v>4537</v>
      </c>
      <c r="D1172" s="7" t="s">
        <v>4538</v>
      </c>
      <c r="E1172" s="2" t="s">
        <v>4539</v>
      </c>
    </row>
    <row r="1173" spans="1:5">
      <c r="A1173" s="7" t="s">
        <v>4540</v>
      </c>
      <c r="B1173" s="2" t="s">
        <v>1202</v>
      </c>
      <c r="C1173" s="7" t="s">
        <v>4541</v>
      </c>
      <c r="D1173" s="7" t="s">
        <v>4542</v>
      </c>
      <c r="E1173" s="2" t="s">
        <v>4543</v>
      </c>
    </row>
    <row r="1174" spans="1:5">
      <c r="A1174" s="7" t="s">
        <v>4544</v>
      </c>
      <c r="B1174" s="2" t="s">
        <v>1202</v>
      </c>
      <c r="C1174" s="7" t="s">
        <v>4545</v>
      </c>
      <c r="D1174" s="7" t="s">
        <v>4546</v>
      </c>
      <c r="E1174" s="2" t="s">
        <v>4547</v>
      </c>
    </row>
    <row r="1175" spans="1:5">
      <c r="A1175" s="7" t="s">
        <v>4548</v>
      </c>
      <c r="B1175" s="2" t="s">
        <v>1202</v>
      </c>
      <c r="C1175" s="7" t="s">
        <v>4549</v>
      </c>
      <c r="D1175" s="7" t="s">
        <v>4550</v>
      </c>
      <c r="E1175" s="2" t="s">
        <v>4551</v>
      </c>
    </row>
    <row r="1176" spans="1:5">
      <c r="A1176" s="7" t="s">
        <v>4552</v>
      </c>
      <c r="B1176" s="2" t="s">
        <v>1202</v>
      </c>
      <c r="C1176" s="7" t="s">
        <v>4553</v>
      </c>
      <c r="D1176" s="7" t="s">
        <v>4554</v>
      </c>
      <c r="E1176" s="2" t="s">
        <v>4555</v>
      </c>
    </row>
    <row r="1177" spans="1:5">
      <c r="A1177" s="7" t="s">
        <v>4556</v>
      </c>
      <c r="B1177" s="2" t="s">
        <v>1202</v>
      </c>
      <c r="C1177" s="7" t="s">
        <v>4557</v>
      </c>
      <c r="D1177" s="7" t="s">
        <v>4558</v>
      </c>
      <c r="E1177" s="2" t="s">
        <v>4559</v>
      </c>
    </row>
    <row r="1178" spans="1:5">
      <c r="A1178" s="7" t="s">
        <v>4560</v>
      </c>
      <c r="B1178" s="2" t="s">
        <v>1202</v>
      </c>
      <c r="C1178" s="7" t="s">
        <v>4561</v>
      </c>
      <c r="D1178" s="7" t="s">
        <v>4562</v>
      </c>
      <c r="E1178" s="2" t="s">
        <v>4563</v>
      </c>
    </row>
    <row r="1179" spans="1:5">
      <c r="A1179" s="7" t="s">
        <v>4564</v>
      </c>
      <c r="B1179" s="2" t="s">
        <v>1202</v>
      </c>
      <c r="C1179" s="7" t="s">
        <v>4565</v>
      </c>
      <c r="D1179" s="7" t="s">
        <v>4566</v>
      </c>
      <c r="E1179" s="2" t="s">
        <v>4567</v>
      </c>
    </row>
    <row r="1180" spans="1:5">
      <c r="A1180" s="7" t="s">
        <v>4568</v>
      </c>
      <c r="B1180" s="2" t="s">
        <v>1202</v>
      </c>
      <c r="C1180" s="7" t="s">
        <v>4569</v>
      </c>
      <c r="D1180" s="7" t="s">
        <v>4570</v>
      </c>
      <c r="E1180" s="2" t="s">
        <v>4571</v>
      </c>
    </row>
    <row r="1181" spans="1:5">
      <c r="A1181" s="7" t="s">
        <v>4572</v>
      </c>
      <c r="B1181" s="2" t="s">
        <v>1202</v>
      </c>
      <c r="C1181" s="7" t="s">
        <v>4573</v>
      </c>
      <c r="D1181" s="7" t="s">
        <v>4574</v>
      </c>
      <c r="E1181" s="2" t="s">
        <v>4575</v>
      </c>
    </row>
    <row r="1182" spans="1:5">
      <c r="A1182" s="7" t="s">
        <v>4576</v>
      </c>
      <c r="B1182" s="2" t="s">
        <v>1202</v>
      </c>
      <c r="C1182" s="7" t="s">
        <v>4577</v>
      </c>
      <c r="D1182" s="7" t="s">
        <v>4578</v>
      </c>
      <c r="E1182" s="2" t="s">
        <v>4579</v>
      </c>
    </row>
    <row r="1183" spans="1:5">
      <c r="A1183" s="7" t="s">
        <v>4580</v>
      </c>
      <c r="B1183" s="2" t="s">
        <v>1202</v>
      </c>
      <c r="C1183" s="7" t="s">
        <v>4581</v>
      </c>
      <c r="D1183" s="7" t="s">
        <v>4582</v>
      </c>
      <c r="E1183" s="2" t="s">
        <v>4583</v>
      </c>
    </row>
    <row r="1184" spans="1:5">
      <c r="A1184" s="7" t="s">
        <v>4584</v>
      </c>
      <c r="B1184" s="2" t="s">
        <v>1202</v>
      </c>
      <c r="C1184" s="7" t="s">
        <v>4585</v>
      </c>
      <c r="D1184" s="7" t="s">
        <v>4586</v>
      </c>
      <c r="E1184" s="2" t="s">
        <v>4587</v>
      </c>
    </row>
    <row r="1185" spans="1:5">
      <c r="A1185" s="7" t="s">
        <v>4588</v>
      </c>
      <c r="B1185" s="2" t="s">
        <v>1202</v>
      </c>
      <c r="C1185" s="7" t="s">
        <v>4589</v>
      </c>
      <c r="D1185" s="7" t="s">
        <v>4590</v>
      </c>
      <c r="E1185" s="2" t="s">
        <v>4591</v>
      </c>
    </row>
    <row r="1186" spans="1:5">
      <c r="A1186" s="2" t="s">
        <v>4592</v>
      </c>
      <c r="B1186" s="2" t="s">
        <v>1202</v>
      </c>
      <c r="C1186" s="2" t="s">
        <v>4593</v>
      </c>
      <c r="D1186" s="2" t="s">
        <v>4594</v>
      </c>
    </row>
    <row r="1187" spans="1:5">
      <c r="A1187" s="2" t="s">
        <v>4595</v>
      </c>
      <c r="B1187" s="2" t="s">
        <v>1202</v>
      </c>
      <c r="C1187" s="2" t="s">
        <v>4596</v>
      </c>
      <c r="D1187" s="2" t="s">
        <v>4597</v>
      </c>
    </row>
    <row r="1188" spans="1:5">
      <c r="A1188" s="2" t="s">
        <v>4598</v>
      </c>
      <c r="B1188" s="2" t="s">
        <v>1202</v>
      </c>
      <c r="C1188" s="2" t="s">
        <v>4599</v>
      </c>
      <c r="D1188" s="2" t="s">
        <v>4600</v>
      </c>
    </row>
    <row r="1189" spans="1:5">
      <c r="A1189" s="2" t="s">
        <v>4601</v>
      </c>
      <c r="B1189" s="2" t="s">
        <v>1202</v>
      </c>
      <c r="C1189" s="2" t="s">
        <v>4602</v>
      </c>
      <c r="D1189" s="2" t="s">
        <v>4603</v>
      </c>
    </row>
    <row r="1190" spans="1:5">
      <c r="A1190" s="2" t="s">
        <v>4604</v>
      </c>
      <c r="B1190" s="2" t="s">
        <v>1202</v>
      </c>
      <c r="C1190" s="2" t="s">
        <v>4605</v>
      </c>
      <c r="D1190" s="2" t="s">
        <v>4606</v>
      </c>
    </row>
    <row r="1191" spans="1:5">
      <c r="A1191" s="2" t="s">
        <v>4607</v>
      </c>
      <c r="B1191" s="2" t="s">
        <v>1202</v>
      </c>
      <c r="C1191" s="2" t="s">
        <v>4608</v>
      </c>
      <c r="D1191" s="2" t="s">
        <v>4609</v>
      </c>
    </row>
    <row r="1192" spans="1:5">
      <c r="A1192" s="2" t="s">
        <v>4610</v>
      </c>
      <c r="B1192" s="2" t="s">
        <v>1202</v>
      </c>
      <c r="C1192" s="2" t="s">
        <v>4611</v>
      </c>
      <c r="D1192" s="2" t="s">
        <v>4612</v>
      </c>
    </row>
    <row r="1193" spans="1:5">
      <c r="A1193" s="2" t="s">
        <v>4613</v>
      </c>
      <c r="B1193" s="2" t="s">
        <v>1202</v>
      </c>
      <c r="C1193" s="2" t="s">
        <v>4614</v>
      </c>
      <c r="D1193" s="2" t="s">
        <v>4615</v>
      </c>
    </row>
    <row r="1194" spans="1:5">
      <c r="A1194" s="2" t="s">
        <v>4616</v>
      </c>
      <c r="B1194" s="2" t="s">
        <v>1202</v>
      </c>
      <c r="C1194" s="2" t="s">
        <v>4617</v>
      </c>
      <c r="D1194" s="2" t="s">
        <v>4618</v>
      </c>
    </row>
    <row r="1195" spans="1:5">
      <c r="A1195" s="2" t="s">
        <v>4619</v>
      </c>
      <c r="B1195" s="2" t="s">
        <v>1202</v>
      </c>
      <c r="C1195" s="2" t="s">
        <v>4620</v>
      </c>
      <c r="D1195" s="2" t="s">
        <v>4621</v>
      </c>
    </row>
    <row r="1196" spans="1:5">
      <c r="A1196" s="2" t="s">
        <v>4622</v>
      </c>
      <c r="B1196" s="2" t="s">
        <v>1202</v>
      </c>
      <c r="C1196" s="2" t="s">
        <v>4623</v>
      </c>
      <c r="D1196" s="2" t="s">
        <v>4624</v>
      </c>
    </row>
    <row r="1197" spans="1:5">
      <c r="A1197" s="2" t="s">
        <v>4625</v>
      </c>
      <c r="B1197" s="2" t="s">
        <v>1202</v>
      </c>
      <c r="C1197" s="2" t="s">
        <v>4626</v>
      </c>
      <c r="D1197" s="2" t="s">
        <v>4627</v>
      </c>
    </row>
    <row r="1198" spans="1:5">
      <c r="A1198" s="2" t="s">
        <v>4628</v>
      </c>
      <c r="B1198" s="2" t="s">
        <v>1202</v>
      </c>
      <c r="C1198" s="2" t="s">
        <v>4629</v>
      </c>
      <c r="D1198" s="2" t="s">
        <v>4630</v>
      </c>
    </row>
    <row r="1199" spans="1:5">
      <c r="A1199" s="2" t="s">
        <v>4631</v>
      </c>
      <c r="B1199" s="2" t="s">
        <v>1202</v>
      </c>
      <c r="C1199" s="2" t="s">
        <v>4632</v>
      </c>
      <c r="D1199" s="2" t="s">
        <v>4633</v>
      </c>
    </row>
    <row r="1200" spans="1:5">
      <c r="A1200" s="2" t="s">
        <v>4634</v>
      </c>
      <c r="B1200" s="2" t="s">
        <v>1202</v>
      </c>
      <c r="C1200" s="2" t="s">
        <v>4635</v>
      </c>
      <c r="D1200" s="2" t="s">
        <v>4636</v>
      </c>
    </row>
    <row r="1201" spans="1:5">
      <c r="A1201" s="2" t="s">
        <v>4637</v>
      </c>
      <c r="B1201" s="2" t="s">
        <v>1202</v>
      </c>
      <c r="C1201" s="2" t="s">
        <v>4638</v>
      </c>
      <c r="D1201" s="2" t="s">
        <v>4639</v>
      </c>
    </row>
    <row r="1202" spans="1:5">
      <c r="A1202" s="2" t="s">
        <v>4640</v>
      </c>
      <c r="B1202" s="2" t="s">
        <v>1202</v>
      </c>
      <c r="C1202" s="2" t="s">
        <v>4641</v>
      </c>
      <c r="D1202" s="2" t="s">
        <v>4642</v>
      </c>
    </row>
    <row r="1203" spans="1:5">
      <c r="A1203" s="2" t="s">
        <v>4643</v>
      </c>
      <c r="B1203" s="2" t="s">
        <v>1202</v>
      </c>
      <c r="C1203" s="2" t="s">
        <v>4644</v>
      </c>
      <c r="D1203" s="2" t="s">
        <v>4645</v>
      </c>
    </row>
    <row r="1204" spans="1:5">
      <c r="A1204" s="2" t="s">
        <v>4646</v>
      </c>
      <c r="B1204" s="2" t="s">
        <v>1202</v>
      </c>
      <c r="C1204" s="2" t="s">
        <v>4647</v>
      </c>
      <c r="D1204" s="2" t="s">
        <v>4648</v>
      </c>
    </row>
    <row r="1205" spans="1:5">
      <c r="A1205" s="2" t="s">
        <v>4649</v>
      </c>
      <c r="B1205" s="2" t="s">
        <v>1202</v>
      </c>
      <c r="C1205" s="2" t="s">
        <v>4650</v>
      </c>
      <c r="D1205" s="2" t="s">
        <v>4651</v>
      </c>
    </row>
    <row r="1206" spans="1:5">
      <c r="A1206" s="2" t="s">
        <v>4652</v>
      </c>
      <c r="B1206" s="2" t="s">
        <v>1202</v>
      </c>
      <c r="C1206" s="2" t="s">
        <v>4653</v>
      </c>
      <c r="D1206" s="2" t="s">
        <v>4654</v>
      </c>
    </row>
    <row r="1207" spans="1:5">
      <c r="A1207" s="2" t="s">
        <v>4655</v>
      </c>
      <c r="B1207" s="2" t="s">
        <v>1202</v>
      </c>
      <c r="C1207" s="2" t="s">
        <v>4656</v>
      </c>
      <c r="D1207" s="2" t="s">
        <v>4657</v>
      </c>
    </row>
    <row r="1208" spans="1:5">
      <c r="A1208" s="2" t="s">
        <v>4658</v>
      </c>
      <c r="B1208" s="2" t="s">
        <v>1202</v>
      </c>
      <c r="C1208" s="2" t="s">
        <v>4659</v>
      </c>
      <c r="D1208" s="2" t="s">
        <v>4660</v>
      </c>
    </row>
    <row r="1209" spans="1:5">
      <c r="A1209" s="2" t="s">
        <v>4661</v>
      </c>
      <c r="B1209" s="2" t="s">
        <v>1202</v>
      </c>
      <c r="C1209" s="2" t="s">
        <v>4662</v>
      </c>
      <c r="D1209" s="2" t="s">
        <v>4663</v>
      </c>
    </row>
    <row r="1210" spans="1:5">
      <c r="A1210" s="2" t="s">
        <v>4664</v>
      </c>
      <c r="B1210" s="2" t="s">
        <v>1202</v>
      </c>
      <c r="C1210" s="2" t="s">
        <v>4665</v>
      </c>
      <c r="D1210" s="2" t="s">
        <v>4666</v>
      </c>
    </row>
    <row r="1211" spans="1:5">
      <c r="A1211" s="2" t="s">
        <v>4667</v>
      </c>
      <c r="B1211" s="2" t="s">
        <v>1202</v>
      </c>
      <c r="C1211" s="2" t="s">
        <v>4668</v>
      </c>
      <c r="D1211" s="2" t="s">
        <v>4669</v>
      </c>
      <c r="E1211" s="2" t="s">
        <v>4670</v>
      </c>
    </row>
    <row r="1212" spans="1:5">
      <c r="A1212" s="2" t="s">
        <v>4671</v>
      </c>
      <c r="B1212" s="2" t="s">
        <v>1202</v>
      </c>
      <c r="C1212" s="2" t="s">
        <v>4672</v>
      </c>
      <c r="D1212" s="2" t="s">
        <v>4673</v>
      </c>
      <c r="E1212" s="8" t="s">
        <v>4674</v>
      </c>
    </row>
    <row r="1213" spans="1:5">
      <c r="A1213" s="2" t="s">
        <v>4675</v>
      </c>
      <c r="B1213" s="2" t="s">
        <v>1202</v>
      </c>
      <c r="C1213" s="2" t="s">
        <v>4676</v>
      </c>
      <c r="D1213" s="2" t="s">
        <v>4677</v>
      </c>
      <c r="E1213" s="8" t="s">
        <v>4678</v>
      </c>
    </row>
    <row r="1214" spans="1:5">
      <c r="A1214" s="2" t="s">
        <v>4679</v>
      </c>
      <c r="B1214" s="2" t="s">
        <v>1202</v>
      </c>
      <c r="C1214" s="2" t="s">
        <v>4680</v>
      </c>
      <c r="D1214" s="2" t="s">
        <v>4681</v>
      </c>
      <c r="E1214" s="8" t="s">
        <v>4682</v>
      </c>
    </row>
    <row r="1215" spans="1:5">
      <c r="A1215" s="2" t="s">
        <v>4683</v>
      </c>
      <c r="B1215" s="2" t="s">
        <v>1202</v>
      </c>
      <c r="C1215" s="2" t="s">
        <v>4684</v>
      </c>
      <c r="D1215" s="2" t="s">
        <v>4685</v>
      </c>
      <c r="E1215" s="8" t="s">
        <v>4686</v>
      </c>
    </row>
    <row r="1216" spans="1:5">
      <c r="A1216" s="2" t="s">
        <v>4687</v>
      </c>
      <c r="B1216" s="2" t="s">
        <v>1202</v>
      </c>
      <c r="C1216" s="2" t="s">
        <v>4688</v>
      </c>
      <c r="D1216" s="2" t="s">
        <v>4689</v>
      </c>
      <c r="E1216" s="8" t="s">
        <v>4690</v>
      </c>
    </row>
    <row r="1217" spans="1:5">
      <c r="A1217" s="2" t="s">
        <v>4691</v>
      </c>
      <c r="B1217" s="2" t="s">
        <v>1202</v>
      </c>
      <c r="C1217" s="2" t="s">
        <v>4692</v>
      </c>
      <c r="D1217" s="2" t="s">
        <v>4681</v>
      </c>
      <c r="E1217" s="8" t="s">
        <v>4693</v>
      </c>
    </row>
    <row r="1218" spans="1:5">
      <c r="A1218" s="9" t="s">
        <v>4694</v>
      </c>
      <c r="B1218" s="2" t="s">
        <v>1202</v>
      </c>
      <c r="C1218" s="2" t="s">
        <v>4695</v>
      </c>
      <c r="D1218" s="8" t="s">
        <v>4696</v>
      </c>
      <c r="E1218" s="8" t="s">
        <v>4697</v>
      </c>
    </row>
    <row r="1219" spans="1:5">
      <c r="A1219" s="2" t="s">
        <v>4698</v>
      </c>
      <c r="B1219" s="2" t="s">
        <v>1202</v>
      </c>
      <c r="C1219" s="2" t="s">
        <v>4699</v>
      </c>
      <c r="D1219" s="2" t="s">
        <v>4700</v>
      </c>
      <c r="E1219" s="8" t="s">
        <v>4701</v>
      </c>
    </row>
    <row r="1220" spans="1:5">
      <c r="A1220" s="9" t="s">
        <v>4702</v>
      </c>
      <c r="B1220" s="2" t="s">
        <v>1202</v>
      </c>
      <c r="C1220" s="2" t="s">
        <v>4703</v>
      </c>
      <c r="D1220" s="2" t="s">
        <v>4704</v>
      </c>
      <c r="E1220" s="8" t="s">
        <v>4705</v>
      </c>
    </row>
    <row r="1221" spans="1:5">
      <c r="A1221" s="9" t="s">
        <v>4706</v>
      </c>
      <c r="B1221" s="2" t="s">
        <v>1202</v>
      </c>
      <c r="C1221" s="2" t="s">
        <v>4707</v>
      </c>
      <c r="D1221" s="2" t="s">
        <v>4696</v>
      </c>
      <c r="E1221" s="8" t="s">
        <v>4708</v>
      </c>
    </row>
    <row r="1222" spans="1:5">
      <c r="A1222" s="2" t="s">
        <v>4709</v>
      </c>
      <c r="B1222" s="2" t="s">
        <v>1202</v>
      </c>
      <c r="C1222" s="2" t="s">
        <v>4710</v>
      </c>
      <c r="D1222" s="2" t="s">
        <v>4711</v>
      </c>
      <c r="E1222" s="8" t="s">
        <v>4712</v>
      </c>
    </row>
    <row r="1223" spans="1:5">
      <c r="A1223" s="2" t="s">
        <v>1822</v>
      </c>
      <c r="B1223" s="2" t="s">
        <v>1202</v>
      </c>
      <c r="C1223" s="2" t="s">
        <v>1823</v>
      </c>
      <c r="D1223" s="2" t="s">
        <v>1824</v>
      </c>
      <c r="E1223" s="2" t="s">
        <v>4713</v>
      </c>
    </row>
    <row r="1224" spans="1:5">
      <c r="A1224" s="2" t="s">
        <v>4714</v>
      </c>
      <c r="B1224" s="2" t="s">
        <v>1202</v>
      </c>
      <c r="C1224" s="2" t="s">
        <v>4715</v>
      </c>
      <c r="D1224" s="2" t="s">
        <v>4716</v>
      </c>
      <c r="E1224" s="8" t="s">
        <v>4717</v>
      </c>
    </row>
    <row r="1225" spans="1:5">
      <c r="A1225" s="2" t="s">
        <v>4718</v>
      </c>
      <c r="B1225" s="2" t="s">
        <v>1202</v>
      </c>
      <c r="C1225" s="8" t="s">
        <v>4719</v>
      </c>
      <c r="D1225" s="2" t="s">
        <v>4720</v>
      </c>
      <c r="E1225" s="8" t="s">
        <v>4721</v>
      </c>
    </row>
    <row r="1226" spans="1:5">
      <c r="A1226" s="2" t="s">
        <v>4722</v>
      </c>
      <c r="B1226" s="2" t="s">
        <v>1202</v>
      </c>
      <c r="C1226" s="2" t="s">
        <v>4723</v>
      </c>
      <c r="D1226" s="2" t="s">
        <v>4724</v>
      </c>
      <c r="E1226" s="8" t="s">
        <v>4725</v>
      </c>
    </row>
    <row r="1227" spans="1:5">
      <c r="A1227" s="2" t="s">
        <v>4726</v>
      </c>
      <c r="B1227" s="2" t="s">
        <v>1202</v>
      </c>
      <c r="C1227" s="2" t="s">
        <v>4727</v>
      </c>
      <c r="D1227" s="2" t="s">
        <v>4728</v>
      </c>
      <c r="E1227" s="8" t="s">
        <v>4729</v>
      </c>
    </row>
    <row r="1228" spans="1:5">
      <c r="A1228" s="2" t="s">
        <v>4730</v>
      </c>
      <c r="B1228" s="2" t="s">
        <v>1202</v>
      </c>
      <c r="C1228" s="2" t="s">
        <v>4731</v>
      </c>
      <c r="D1228" s="2" t="s">
        <v>4732</v>
      </c>
      <c r="E1228" s="8" t="s">
        <v>4733</v>
      </c>
    </row>
    <row r="1229" spans="1:5">
      <c r="A1229" s="2" t="s">
        <v>4734</v>
      </c>
      <c r="B1229" s="2" t="s">
        <v>1202</v>
      </c>
      <c r="C1229" s="2" t="s">
        <v>4735</v>
      </c>
      <c r="D1229" s="2" t="s">
        <v>4736</v>
      </c>
      <c r="E1229" s="8" t="s">
        <v>4737</v>
      </c>
    </row>
    <row r="1230" spans="1:5">
      <c r="A1230" s="2" t="s">
        <v>4738</v>
      </c>
      <c r="B1230" s="2" t="s">
        <v>1202</v>
      </c>
      <c r="C1230" s="2" t="s">
        <v>4739</v>
      </c>
      <c r="D1230" s="2" t="s">
        <v>4740</v>
      </c>
    </row>
    <row r="1231" spans="1:5">
      <c r="A1231" s="2" t="s">
        <v>4741</v>
      </c>
      <c r="B1231" s="2" t="s">
        <v>1202</v>
      </c>
      <c r="C1231" s="2" t="s">
        <v>4742</v>
      </c>
      <c r="D1231" s="2" t="s">
        <v>4743</v>
      </c>
    </row>
    <row r="1232" spans="1:5">
      <c r="A1232" s="2" t="s">
        <v>4744</v>
      </c>
      <c r="B1232" s="2" t="s">
        <v>1202</v>
      </c>
      <c r="C1232" s="2" t="s">
        <v>4745</v>
      </c>
      <c r="D1232" s="2" t="s">
        <v>4746</v>
      </c>
    </row>
    <row r="1233" spans="1:5">
      <c r="A1233" s="2" t="s">
        <v>4747</v>
      </c>
      <c r="B1233" s="2" t="s">
        <v>1202</v>
      </c>
      <c r="C1233" s="2" t="s">
        <v>4748</v>
      </c>
      <c r="D1233" s="2" t="s">
        <v>4749</v>
      </c>
      <c r="E1233" s="2" t="s">
        <v>4750</v>
      </c>
    </row>
    <row r="1234" spans="1:5">
      <c r="A1234" s="2" t="s">
        <v>4751</v>
      </c>
      <c r="B1234" s="2" t="s">
        <v>1202</v>
      </c>
      <c r="C1234" s="2" t="s">
        <v>4752</v>
      </c>
      <c r="D1234" s="2" t="s">
        <v>4753</v>
      </c>
      <c r="E1234" s="8" t="s">
        <v>4754</v>
      </c>
    </row>
    <row r="1235" spans="1:5">
      <c r="A1235" s="2" t="s">
        <v>4755</v>
      </c>
      <c r="B1235" s="2" t="s">
        <v>1202</v>
      </c>
      <c r="C1235" s="2" t="s">
        <v>4756</v>
      </c>
      <c r="D1235" s="2" t="s">
        <v>4757</v>
      </c>
      <c r="E1235" s="8" t="s">
        <v>4758</v>
      </c>
    </row>
    <row r="1236" spans="1:5">
      <c r="A1236" s="2" t="s">
        <v>1762</v>
      </c>
      <c r="B1236" s="2" t="s">
        <v>1202</v>
      </c>
      <c r="C1236" s="2" t="s">
        <v>1763</v>
      </c>
      <c r="D1236" s="2" t="s">
        <v>1676</v>
      </c>
      <c r="E1236" s="8"/>
    </row>
    <row r="1237" spans="1:5">
      <c r="A1237" s="2" t="s">
        <v>1674</v>
      </c>
      <c r="B1237" s="2" t="s">
        <v>1202</v>
      </c>
      <c r="C1237" s="2" t="s">
        <v>1675</v>
      </c>
      <c r="D1237" s="2" t="s">
        <v>1676</v>
      </c>
    </row>
    <row r="1238" spans="1:5">
      <c r="A1238" s="2" t="s">
        <v>4759</v>
      </c>
      <c r="B1238" s="2" t="s">
        <v>1202</v>
      </c>
      <c r="C1238" s="2" t="s">
        <v>4760</v>
      </c>
      <c r="D1238" s="2" t="s">
        <v>4761</v>
      </c>
      <c r="E1238" s="8"/>
    </row>
    <row r="1239" spans="1:5">
      <c r="A1239" s="2" t="s">
        <v>4762</v>
      </c>
      <c r="B1239" s="2" t="s">
        <v>1202</v>
      </c>
      <c r="C1239" s="2" t="s">
        <v>4763</v>
      </c>
      <c r="D1239" s="2" t="s">
        <v>4764</v>
      </c>
      <c r="E1239" s="8"/>
    </row>
    <row r="1240" spans="1:5">
      <c r="A1240" s="2" t="s">
        <v>4765</v>
      </c>
      <c r="B1240" s="2" t="s">
        <v>1202</v>
      </c>
      <c r="C1240" s="2" t="s">
        <v>4766</v>
      </c>
      <c r="D1240" s="2" t="s">
        <v>4767</v>
      </c>
      <c r="E1240" s="8"/>
    </row>
    <row r="1241" spans="1:5">
      <c r="A1241" s="2" t="s">
        <v>4768</v>
      </c>
      <c r="B1241" s="2" t="s">
        <v>1202</v>
      </c>
      <c r="C1241" s="2" t="s">
        <v>4769</v>
      </c>
      <c r="D1241" s="2" t="s">
        <v>4770</v>
      </c>
      <c r="E1241" s="8"/>
    </row>
    <row r="1242" spans="1:5" ht="13.8" thickBot="1">
      <c r="A1242" s="9" t="s">
        <v>4771</v>
      </c>
      <c r="B1242" s="2" t="s">
        <v>1202</v>
      </c>
      <c r="C1242" s="2" t="s">
        <v>4772</v>
      </c>
      <c r="D1242" s="2" t="s">
        <v>4773</v>
      </c>
    </row>
    <row r="1243" spans="1:5" ht="13.8" thickBot="1">
      <c r="A1243" s="2" t="s">
        <v>4774</v>
      </c>
      <c r="B1243" s="2" t="s">
        <v>1202</v>
      </c>
      <c r="C1243" s="10" t="s">
        <v>4775</v>
      </c>
      <c r="D1243" s="2" t="s">
        <v>4776</v>
      </c>
    </row>
    <row r="1244" spans="1:5" ht="13.8" thickBot="1">
      <c r="A1244" s="2" t="s">
        <v>4777</v>
      </c>
      <c r="B1244" s="2" t="s">
        <v>1202</v>
      </c>
      <c r="C1244" s="10" t="s">
        <v>4778</v>
      </c>
      <c r="D1244" s="2" t="s">
        <v>4779</v>
      </c>
    </row>
    <row r="1245" spans="1:5" ht="13.8" thickBot="1">
      <c r="A1245" s="2" t="s">
        <v>4780</v>
      </c>
      <c r="B1245" s="2" t="s">
        <v>1202</v>
      </c>
      <c r="C1245" s="10" t="s">
        <v>4781</v>
      </c>
      <c r="D1245" s="2" t="s">
        <v>4782</v>
      </c>
    </row>
    <row r="1246" spans="1:5" ht="13.8" thickBot="1">
      <c r="A1246" s="2" t="s">
        <v>4783</v>
      </c>
      <c r="B1246" s="2" t="s">
        <v>1202</v>
      </c>
      <c r="C1246" s="10" t="s">
        <v>4784</v>
      </c>
      <c r="D1246" s="2" t="s">
        <v>4785</v>
      </c>
    </row>
    <row r="1247" spans="1:5" ht="13.8" thickBot="1">
      <c r="A1247" s="2" t="s">
        <v>4786</v>
      </c>
      <c r="B1247" s="2" t="s">
        <v>1202</v>
      </c>
      <c r="C1247" s="10" t="s">
        <v>4787</v>
      </c>
      <c r="D1247" s="2" t="s">
        <v>4788</v>
      </c>
    </row>
    <row r="1248" spans="1:5" ht="13.8" thickBot="1">
      <c r="A1248" s="2" t="s">
        <v>4789</v>
      </c>
      <c r="B1248" s="2" t="s">
        <v>1202</v>
      </c>
      <c r="C1248" s="10" t="s">
        <v>4790</v>
      </c>
      <c r="D1248" s="2" t="s">
        <v>4791</v>
      </c>
    </row>
    <row r="1249" spans="1:4" ht="13.8" thickBot="1">
      <c r="A1249" s="2" t="s">
        <v>4792</v>
      </c>
      <c r="B1249" s="2" t="s">
        <v>1202</v>
      </c>
      <c r="C1249" s="10" t="s">
        <v>4793</v>
      </c>
      <c r="D1249" s="2" t="s">
        <v>4794</v>
      </c>
    </row>
    <row r="1250" spans="1:4" ht="13.8" thickBot="1">
      <c r="A1250" s="2" t="s">
        <v>4795</v>
      </c>
      <c r="B1250" s="2" t="s">
        <v>1202</v>
      </c>
      <c r="C1250" s="10" t="s">
        <v>4796</v>
      </c>
      <c r="D1250" s="2" t="s">
        <v>4797</v>
      </c>
    </row>
    <row r="1251" spans="1:4" ht="13.8" thickBot="1">
      <c r="A1251" s="2" t="s">
        <v>4798</v>
      </c>
      <c r="B1251" s="2" t="s">
        <v>1202</v>
      </c>
      <c r="C1251" s="10" t="s">
        <v>4799</v>
      </c>
      <c r="D1251" s="2" t="s">
        <v>4800</v>
      </c>
    </row>
    <row r="1252" spans="1:4" ht="13.8" thickBot="1">
      <c r="A1252" s="2" t="s">
        <v>4801</v>
      </c>
      <c r="B1252" s="2" t="s">
        <v>1202</v>
      </c>
      <c r="C1252" s="10" t="s">
        <v>4802</v>
      </c>
      <c r="D1252" s="2" t="s">
        <v>4803</v>
      </c>
    </row>
    <row r="1253" spans="1:4" ht="13.8" thickBot="1">
      <c r="A1253" s="2" t="s">
        <v>4804</v>
      </c>
      <c r="B1253" s="2" t="s">
        <v>1202</v>
      </c>
      <c r="C1253" s="10" t="s">
        <v>4805</v>
      </c>
      <c r="D1253" s="2" t="s">
        <v>4806</v>
      </c>
    </row>
    <row r="1254" spans="1:4" ht="13.8" thickBot="1">
      <c r="A1254" s="2" t="s">
        <v>4807</v>
      </c>
      <c r="B1254" s="2" t="s">
        <v>1202</v>
      </c>
      <c r="C1254" s="10" t="s">
        <v>4808</v>
      </c>
      <c r="D1254" s="2" t="s">
        <v>4809</v>
      </c>
    </row>
    <row r="1255" spans="1:4" ht="13.8" thickBot="1">
      <c r="A1255" s="2" t="s">
        <v>4810</v>
      </c>
      <c r="B1255" s="2" t="s">
        <v>1202</v>
      </c>
      <c r="C1255" s="10" t="s">
        <v>4811</v>
      </c>
      <c r="D1255" s="2" t="s">
        <v>4812</v>
      </c>
    </row>
    <row r="1256" spans="1:4" ht="13.8" thickBot="1">
      <c r="A1256" s="2" t="s">
        <v>4813</v>
      </c>
      <c r="B1256" s="2" t="s">
        <v>1202</v>
      </c>
      <c r="C1256" s="10" t="s">
        <v>4814</v>
      </c>
      <c r="D1256" s="2" t="s">
        <v>4815</v>
      </c>
    </row>
    <row r="1257" spans="1:4" ht="13.8" thickBot="1">
      <c r="A1257" s="2" t="s">
        <v>4816</v>
      </c>
      <c r="B1257" s="2" t="s">
        <v>1202</v>
      </c>
      <c r="C1257" s="10" t="s">
        <v>4817</v>
      </c>
      <c r="D1257" s="2" t="s">
        <v>4818</v>
      </c>
    </row>
    <row r="1258" spans="1:4" ht="13.8" thickBot="1">
      <c r="A1258" s="2" t="s">
        <v>4819</v>
      </c>
      <c r="B1258" s="2" t="s">
        <v>1202</v>
      </c>
      <c r="C1258" s="10" t="s">
        <v>4820</v>
      </c>
      <c r="D1258" s="2" t="s">
        <v>4821</v>
      </c>
    </row>
    <row r="1259" spans="1:4" ht="13.8" thickBot="1">
      <c r="A1259" s="2" t="s">
        <v>4822</v>
      </c>
      <c r="B1259" s="2" t="s">
        <v>1202</v>
      </c>
      <c r="C1259" s="10" t="s">
        <v>4823</v>
      </c>
      <c r="D1259" s="2" t="s">
        <v>4824</v>
      </c>
    </row>
    <row r="1260" spans="1:4" ht="13.8" thickBot="1">
      <c r="A1260" s="2" t="s">
        <v>4825</v>
      </c>
      <c r="B1260" s="2" t="s">
        <v>1202</v>
      </c>
      <c r="C1260" s="10" t="s">
        <v>4826</v>
      </c>
      <c r="D1260" s="2" t="s">
        <v>4827</v>
      </c>
    </row>
    <row r="1261" spans="1:4" ht="13.8" thickBot="1">
      <c r="A1261" s="2" t="s">
        <v>4828</v>
      </c>
      <c r="B1261" s="2" t="s">
        <v>1202</v>
      </c>
      <c r="C1261" s="10" t="s">
        <v>4829</v>
      </c>
      <c r="D1261" s="2" t="s">
        <v>4830</v>
      </c>
    </row>
    <row r="1262" spans="1:4" ht="13.8" thickBot="1">
      <c r="A1262" s="2" t="s">
        <v>4831</v>
      </c>
      <c r="B1262" s="2" t="s">
        <v>1202</v>
      </c>
      <c r="C1262" s="10" t="s">
        <v>4832</v>
      </c>
      <c r="D1262" s="2" t="s">
        <v>4833</v>
      </c>
    </row>
    <row r="1263" spans="1:4" ht="13.8" thickBot="1">
      <c r="A1263" s="2" t="s">
        <v>4834</v>
      </c>
      <c r="B1263" s="2" t="s">
        <v>1202</v>
      </c>
      <c r="C1263" s="10" t="s">
        <v>4835</v>
      </c>
      <c r="D1263" s="2" t="s">
        <v>4836</v>
      </c>
    </row>
    <row r="1264" spans="1:4" ht="13.8" thickBot="1">
      <c r="A1264" s="2" t="s">
        <v>4837</v>
      </c>
      <c r="B1264" s="2" t="s">
        <v>1202</v>
      </c>
      <c r="C1264" s="10" t="s">
        <v>4838</v>
      </c>
      <c r="D1264" s="2" t="s">
        <v>4839</v>
      </c>
    </row>
    <row r="1265" spans="1:4" ht="13.8" thickBot="1">
      <c r="A1265" s="2" t="s">
        <v>4840</v>
      </c>
      <c r="B1265" s="2" t="s">
        <v>1202</v>
      </c>
      <c r="C1265" s="10" t="s">
        <v>4841</v>
      </c>
      <c r="D1265" s="2" t="s">
        <v>4842</v>
      </c>
    </row>
    <row r="1266" spans="1:4" ht="13.8" thickBot="1">
      <c r="A1266" s="2" t="s">
        <v>4843</v>
      </c>
      <c r="B1266" s="2" t="s">
        <v>1202</v>
      </c>
      <c r="C1266" s="10" t="s">
        <v>4844</v>
      </c>
      <c r="D1266" s="2" t="s">
        <v>4845</v>
      </c>
    </row>
    <row r="1267" spans="1:4" ht="13.8" thickBot="1">
      <c r="A1267" s="2" t="s">
        <v>4846</v>
      </c>
      <c r="B1267" s="2" t="s">
        <v>1202</v>
      </c>
      <c r="C1267" s="10" t="s">
        <v>4847</v>
      </c>
      <c r="D1267" s="2" t="s">
        <v>4848</v>
      </c>
    </row>
    <row r="1268" spans="1:4" ht="13.8" thickBot="1">
      <c r="A1268" s="2" t="s">
        <v>4849</v>
      </c>
      <c r="B1268" s="2" t="s">
        <v>1202</v>
      </c>
      <c r="C1268" s="10" t="s">
        <v>4850</v>
      </c>
      <c r="D1268" s="2" t="s">
        <v>4851</v>
      </c>
    </row>
    <row r="1269" spans="1:4" ht="13.8" thickBot="1">
      <c r="A1269" s="2" t="s">
        <v>4852</v>
      </c>
      <c r="B1269" s="2" t="s">
        <v>1202</v>
      </c>
      <c r="C1269" s="10" t="s">
        <v>4853</v>
      </c>
      <c r="D1269" s="2" t="s">
        <v>4854</v>
      </c>
    </row>
    <row r="1270" spans="1:4" ht="13.8" thickBot="1">
      <c r="A1270" s="2" t="s">
        <v>4855</v>
      </c>
      <c r="B1270" s="2" t="s">
        <v>1202</v>
      </c>
      <c r="C1270" s="10" t="s">
        <v>4856</v>
      </c>
      <c r="D1270" s="2" t="s">
        <v>4857</v>
      </c>
    </row>
    <row r="1271" spans="1:4" ht="13.8" thickBot="1">
      <c r="A1271" s="2" t="s">
        <v>4858</v>
      </c>
      <c r="B1271" s="2" t="s">
        <v>1202</v>
      </c>
      <c r="C1271" s="10" t="s">
        <v>4859</v>
      </c>
      <c r="D1271" s="2" t="s">
        <v>4860</v>
      </c>
    </row>
    <row r="1272" spans="1:4" ht="13.8" thickBot="1">
      <c r="A1272" s="2" t="s">
        <v>4861</v>
      </c>
      <c r="B1272" s="2" t="s">
        <v>1202</v>
      </c>
      <c r="C1272" s="10" t="s">
        <v>4862</v>
      </c>
      <c r="D1272" s="2" t="s">
        <v>4863</v>
      </c>
    </row>
    <row r="1273" spans="1:4" ht="13.8" thickBot="1">
      <c r="A1273" s="2" t="s">
        <v>4864</v>
      </c>
      <c r="B1273" s="2" t="s">
        <v>1202</v>
      </c>
      <c r="C1273" s="10" t="s">
        <v>4865</v>
      </c>
      <c r="D1273" s="2" t="s">
        <v>4866</v>
      </c>
    </row>
    <row r="1274" spans="1:4" ht="13.8" thickBot="1">
      <c r="A1274" s="2" t="s">
        <v>4867</v>
      </c>
      <c r="B1274" s="2" t="s">
        <v>1202</v>
      </c>
      <c r="C1274" s="10" t="s">
        <v>4868</v>
      </c>
      <c r="D1274" s="2" t="s">
        <v>4869</v>
      </c>
    </row>
    <row r="1275" spans="1:4" ht="13.8" thickBot="1">
      <c r="A1275" s="2" t="s">
        <v>4870</v>
      </c>
      <c r="B1275" s="2" t="s">
        <v>1202</v>
      </c>
      <c r="C1275" s="10" t="s">
        <v>4871</v>
      </c>
      <c r="D1275" s="2" t="s">
        <v>4872</v>
      </c>
    </row>
    <row r="1276" spans="1:4" ht="13.8" thickBot="1">
      <c r="A1276" s="2" t="s">
        <v>4873</v>
      </c>
      <c r="B1276" s="2" t="s">
        <v>1202</v>
      </c>
      <c r="C1276" s="10" t="s">
        <v>4874</v>
      </c>
      <c r="D1276" s="2" t="s">
        <v>4875</v>
      </c>
    </row>
    <row r="1277" spans="1:4" ht="13.8" thickBot="1">
      <c r="A1277" s="2" t="s">
        <v>4876</v>
      </c>
      <c r="B1277" s="2" t="s">
        <v>1202</v>
      </c>
      <c r="C1277" s="10" t="s">
        <v>4877</v>
      </c>
      <c r="D1277" s="2" t="s">
        <v>4878</v>
      </c>
    </row>
    <row r="1278" spans="1:4" ht="13.8" thickBot="1">
      <c r="A1278" s="2" t="s">
        <v>4879</v>
      </c>
      <c r="B1278" s="2" t="s">
        <v>1202</v>
      </c>
      <c r="C1278" s="10" t="s">
        <v>4880</v>
      </c>
      <c r="D1278" s="2" t="s">
        <v>4881</v>
      </c>
    </row>
    <row r="1279" spans="1:4" ht="13.8" thickBot="1">
      <c r="A1279" s="2" t="s">
        <v>4882</v>
      </c>
      <c r="B1279" s="2" t="s">
        <v>1202</v>
      </c>
      <c r="C1279" s="10" t="s">
        <v>4883</v>
      </c>
      <c r="D1279" s="2" t="s">
        <v>4884</v>
      </c>
    </row>
    <row r="1280" spans="1:4" ht="13.8" thickBot="1">
      <c r="A1280" s="2" t="s">
        <v>4885</v>
      </c>
      <c r="B1280" s="2" t="s">
        <v>1202</v>
      </c>
      <c r="C1280" s="10" t="s">
        <v>4886</v>
      </c>
      <c r="D1280" s="2" t="s">
        <v>4887</v>
      </c>
    </row>
    <row r="1281" spans="1:4" ht="13.8" thickBot="1">
      <c r="A1281" s="2" t="s">
        <v>4888</v>
      </c>
      <c r="B1281" s="2" t="s">
        <v>1202</v>
      </c>
      <c r="C1281" s="10" t="s">
        <v>4889</v>
      </c>
      <c r="D1281" s="2" t="s">
        <v>4890</v>
      </c>
    </row>
    <row r="1282" spans="1:4" ht="13.8" thickBot="1">
      <c r="A1282" s="2" t="s">
        <v>4891</v>
      </c>
      <c r="B1282" s="2" t="s">
        <v>1202</v>
      </c>
      <c r="C1282" s="10" t="s">
        <v>4892</v>
      </c>
      <c r="D1282" s="2" t="s">
        <v>4893</v>
      </c>
    </row>
    <row r="1283" spans="1:4" ht="13.8" thickBot="1">
      <c r="A1283" s="2" t="s">
        <v>4894</v>
      </c>
      <c r="B1283" s="2" t="s">
        <v>1202</v>
      </c>
      <c r="C1283" s="10" t="s">
        <v>4895</v>
      </c>
      <c r="D1283" s="2" t="s">
        <v>4896</v>
      </c>
    </row>
    <row r="1284" spans="1:4" ht="13.8" thickBot="1">
      <c r="A1284" s="2" t="s">
        <v>4897</v>
      </c>
      <c r="B1284" s="2" t="s">
        <v>1202</v>
      </c>
      <c r="C1284" s="10" t="s">
        <v>4898</v>
      </c>
      <c r="D1284" s="2" t="s">
        <v>4899</v>
      </c>
    </row>
    <row r="1285" spans="1:4" ht="13.8" thickBot="1">
      <c r="A1285" s="2" t="s">
        <v>4900</v>
      </c>
      <c r="B1285" s="2" t="s">
        <v>1202</v>
      </c>
      <c r="C1285" s="10" t="s">
        <v>4901</v>
      </c>
      <c r="D1285" s="2" t="s">
        <v>4902</v>
      </c>
    </row>
    <row r="1286" spans="1:4" ht="13.8" thickBot="1">
      <c r="A1286" s="2" t="s">
        <v>4903</v>
      </c>
      <c r="B1286" s="2" t="s">
        <v>1202</v>
      </c>
      <c r="C1286" s="10" t="s">
        <v>4904</v>
      </c>
      <c r="D1286" s="2" t="s">
        <v>4905</v>
      </c>
    </row>
    <row r="1287" spans="1:4" ht="13.8" thickBot="1">
      <c r="A1287" s="2" t="s">
        <v>4906</v>
      </c>
      <c r="B1287" s="2" t="s">
        <v>1202</v>
      </c>
      <c r="C1287" s="10" t="s">
        <v>4907</v>
      </c>
      <c r="D1287" s="2" t="s">
        <v>4908</v>
      </c>
    </row>
    <row r="1288" spans="1:4" ht="13.8" thickBot="1">
      <c r="A1288" s="2" t="s">
        <v>4909</v>
      </c>
      <c r="B1288" s="2" t="s">
        <v>1202</v>
      </c>
      <c r="C1288" s="10" t="s">
        <v>4910</v>
      </c>
      <c r="D1288" s="2" t="s">
        <v>4911</v>
      </c>
    </row>
    <row r="1289" spans="1:4" ht="13.8" thickBot="1">
      <c r="A1289" s="2" t="s">
        <v>4912</v>
      </c>
      <c r="B1289" s="2" t="s">
        <v>1202</v>
      </c>
      <c r="C1289" s="10" t="s">
        <v>4913</v>
      </c>
      <c r="D1289" s="2" t="s">
        <v>4914</v>
      </c>
    </row>
    <row r="1290" spans="1:4" ht="13.8" thickBot="1">
      <c r="A1290" s="2" t="s">
        <v>4915</v>
      </c>
      <c r="B1290" s="2" t="s">
        <v>1202</v>
      </c>
      <c r="C1290" s="10" t="s">
        <v>4916</v>
      </c>
      <c r="D1290" s="2" t="s">
        <v>4917</v>
      </c>
    </row>
    <row r="1291" spans="1:4" ht="13.8" thickBot="1">
      <c r="A1291" s="2" t="s">
        <v>4918</v>
      </c>
      <c r="B1291" s="2" t="s">
        <v>1202</v>
      </c>
      <c r="C1291" s="10" t="s">
        <v>4919</v>
      </c>
      <c r="D1291" s="2" t="s">
        <v>4920</v>
      </c>
    </row>
    <row r="1292" spans="1:4" ht="13.8" thickBot="1">
      <c r="A1292" s="2" t="s">
        <v>4921</v>
      </c>
      <c r="B1292" s="2" t="s">
        <v>1202</v>
      </c>
      <c r="C1292" s="10" t="s">
        <v>4922</v>
      </c>
      <c r="D1292" s="2" t="s">
        <v>4923</v>
      </c>
    </row>
    <row r="1293" spans="1:4" ht="13.8" thickBot="1">
      <c r="A1293" s="2" t="s">
        <v>4924</v>
      </c>
      <c r="B1293" s="2" t="s">
        <v>1202</v>
      </c>
      <c r="C1293" s="10" t="s">
        <v>4925</v>
      </c>
      <c r="D1293" s="2" t="s">
        <v>4926</v>
      </c>
    </row>
    <row r="1294" spans="1:4" ht="13.8" thickBot="1">
      <c r="A1294" s="2" t="s">
        <v>4927</v>
      </c>
      <c r="B1294" s="2" t="s">
        <v>1202</v>
      </c>
      <c r="C1294" s="10" t="s">
        <v>4928</v>
      </c>
      <c r="D1294" s="2" t="s">
        <v>4929</v>
      </c>
    </row>
    <row r="1295" spans="1:4" ht="13.8" thickBot="1">
      <c r="A1295" s="2" t="s">
        <v>4930</v>
      </c>
      <c r="B1295" s="2" t="s">
        <v>1202</v>
      </c>
      <c r="C1295" s="10" t="s">
        <v>4931</v>
      </c>
      <c r="D1295" s="2" t="s">
        <v>4932</v>
      </c>
    </row>
    <row r="1296" spans="1:4" ht="13.8" thickBot="1">
      <c r="A1296" s="2" t="s">
        <v>4933</v>
      </c>
      <c r="B1296" s="2" t="s">
        <v>1202</v>
      </c>
      <c r="C1296" s="10" t="s">
        <v>4934</v>
      </c>
      <c r="D1296" s="2" t="s">
        <v>4935</v>
      </c>
    </row>
    <row r="1297" spans="1:4" ht="13.8" thickBot="1">
      <c r="A1297" s="2" t="s">
        <v>4936</v>
      </c>
      <c r="B1297" s="2" t="s">
        <v>1202</v>
      </c>
      <c r="C1297" s="10" t="s">
        <v>4937</v>
      </c>
      <c r="D1297" s="2" t="s">
        <v>4938</v>
      </c>
    </row>
    <row r="1298" spans="1:4" ht="13.8" thickBot="1">
      <c r="A1298" s="2" t="s">
        <v>4939</v>
      </c>
      <c r="B1298" s="2" t="s">
        <v>1202</v>
      </c>
      <c r="C1298" s="10" t="s">
        <v>4940</v>
      </c>
      <c r="D1298" s="2" t="s">
        <v>4941</v>
      </c>
    </row>
    <row r="1299" spans="1:4" ht="13.8" thickBot="1">
      <c r="A1299" s="2" t="s">
        <v>4942</v>
      </c>
      <c r="B1299" s="2" t="s">
        <v>1202</v>
      </c>
      <c r="C1299" s="10" t="s">
        <v>4943</v>
      </c>
      <c r="D1299" s="2" t="s">
        <v>4944</v>
      </c>
    </row>
    <row r="1300" spans="1:4" ht="13.8" thickBot="1">
      <c r="A1300" s="2" t="s">
        <v>4945</v>
      </c>
      <c r="B1300" s="2" t="s">
        <v>1202</v>
      </c>
      <c r="C1300" s="10" t="s">
        <v>4946</v>
      </c>
      <c r="D1300" s="2" t="s">
        <v>4947</v>
      </c>
    </row>
    <row r="1301" spans="1:4" ht="13.8" thickBot="1">
      <c r="A1301" s="2" t="s">
        <v>4948</v>
      </c>
      <c r="B1301" s="2" t="s">
        <v>1202</v>
      </c>
      <c r="C1301" s="10" t="s">
        <v>4949</v>
      </c>
      <c r="D1301" s="2" t="s">
        <v>4950</v>
      </c>
    </row>
    <row r="1302" spans="1:4" ht="13.8" thickBot="1">
      <c r="A1302" s="2" t="s">
        <v>4951</v>
      </c>
      <c r="B1302" s="2" t="s">
        <v>1202</v>
      </c>
      <c r="C1302" s="10" t="s">
        <v>4952</v>
      </c>
      <c r="D1302" s="2" t="s">
        <v>4953</v>
      </c>
    </row>
    <row r="1303" spans="1:4" ht="13.8" thickBot="1">
      <c r="A1303" s="2" t="s">
        <v>4954</v>
      </c>
      <c r="B1303" s="2" t="s">
        <v>1202</v>
      </c>
      <c r="C1303" s="10" t="s">
        <v>4955</v>
      </c>
      <c r="D1303" s="2" t="s">
        <v>4956</v>
      </c>
    </row>
    <row r="1304" spans="1:4" ht="13.8" thickBot="1">
      <c r="A1304" s="2" t="s">
        <v>4957</v>
      </c>
      <c r="B1304" s="2" t="s">
        <v>1202</v>
      </c>
      <c r="C1304" s="10" t="s">
        <v>4958</v>
      </c>
      <c r="D1304" s="2" t="s">
        <v>4959</v>
      </c>
    </row>
    <row r="1305" spans="1:4" ht="13.8" thickBot="1">
      <c r="A1305" s="2" t="s">
        <v>4960</v>
      </c>
      <c r="B1305" s="2" t="s">
        <v>1202</v>
      </c>
      <c r="C1305" s="10" t="s">
        <v>4961</v>
      </c>
      <c r="D1305" s="2" t="s">
        <v>4962</v>
      </c>
    </row>
    <row r="1306" spans="1:4" ht="13.8" thickBot="1">
      <c r="A1306" s="2" t="s">
        <v>4963</v>
      </c>
      <c r="B1306" s="2" t="s">
        <v>1202</v>
      </c>
      <c r="C1306" s="10" t="s">
        <v>4964</v>
      </c>
      <c r="D1306" s="2" t="s">
        <v>4965</v>
      </c>
    </row>
    <row r="1307" spans="1:4" ht="13.8" thickBot="1">
      <c r="A1307" s="2" t="s">
        <v>4966</v>
      </c>
      <c r="B1307" s="2" t="s">
        <v>1202</v>
      </c>
      <c r="C1307" s="10" t="s">
        <v>4967</v>
      </c>
      <c r="D1307" s="2" t="s">
        <v>4968</v>
      </c>
    </row>
    <row r="1308" spans="1:4" ht="13.8" thickBot="1">
      <c r="A1308" s="2" t="s">
        <v>4969</v>
      </c>
      <c r="B1308" s="2" t="s">
        <v>1202</v>
      </c>
      <c r="C1308" s="10" t="s">
        <v>4970</v>
      </c>
      <c r="D1308" s="2" t="s">
        <v>4971</v>
      </c>
    </row>
    <row r="1309" spans="1:4" ht="13.8" thickBot="1">
      <c r="A1309" s="2" t="s">
        <v>4972</v>
      </c>
      <c r="B1309" s="2" t="s">
        <v>1202</v>
      </c>
      <c r="C1309" s="10" t="s">
        <v>4973</v>
      </c>
      <c r="D1309" s="2" t="s">
        <v>4974</v>
      </c>
    </row>
    <row r="1310" spans="1:4" ht="13.8" thickBot="1">
      <c r="A1310" s="2" t="s">
        <v>4975</v>
      </c>
      <c r="B1310" s="2" t="s">
        <v>1202</v>
      </c>
      <c r="C1310" s="10" t="s">
        <v>4976</v>
      </c>
      <c r="D1310" s="2" t="s">
        <v>4977</v>
      </c>
    </row>
    <row r="1311" spans="1:4" ht="13.8" thickBot="1">
      <c r="A1311" s="2" t="s">
        <v>4978</v>
      </c>
      <c r="B1311" s="2" t="s">
        <v>1202</v>
      </c>
      <c r="C1311" s="10" t="s">
        <v>4979</v>
      </c>
      <c r="D1311" s="2" t="s">
        <v>4980</v>
      </c>
    </row>
    <row r="1312" spans="1:4" ht="13.8" thickBot="1">
      <c r="A1312" s="2" t="s">
        <v>4981</v>
      </c>
      <c r="B1312" s="2" t="s">
        <v>1202</v>
      </c>
      <c r="C1312" s="10" t="s">
        <v>4982</v>
      </c>
      <c r="D1312" s="2" t="s">
        <v>4983</v>
      </c>
    </row>
    <row r="1313" spans="1:4" ht="13.8" thickBot="1">
      <c r="A1313" s="2" t="s">
        <v>4984</v>
      </c>
      <c r="B1313" s="2" t="s">
        <v>1202</v>
      </c>
      <c r="C1313" s="10" t="s">
        <v>4985</v>
      </c>
      <c r="D1313" s="2" t="s">
        <v>4986</v>
      </c>
    </row>
    <row r="1314" spans="1:4" ht="13.8" thickBot="1">
      <c r="A1314" s="2" t="s">
        <v>4987</v>
      </c>
      <c r="B1314" s="2" t="s">
        <v>1202</v>
      </c>
      <c r="C1314" s="10" t="s">
        <v>4988</v>
      </c>
      <c r="D1314" s="2" t="s">
        <v>4989</v>
      </c>
    </row>
    <row r="1315" spans="1:4" ht="13.8" thickBot="1">
      <c r="A1315" s="2" t="s">
        <v>4990</v>
      </c>
      <c r="B1315" s="2" t="s">
        <v>1202</v>
      </c>
      <c r="C1315" s="10" t="s">
        <v>4991</v>
      </c>
      <c r="D1315" s="2" t="s">
        <v>4992</v>
      </c>
    </row>
    <row r="1316" spans="1:4" ht="13.8" thickBot="1">
      <c r="A1316" s="2" t="s">
        <v>4993</v>
      </c>
      <c r="B1316" s="2" t="s">
        <v>1202</v>
      </c>
      <c r="C1316" s="10" t="s">
        <v>4994</v>
      </c>
      <c r="D1316" s="2" t="s">
        <v>4995</v>
      </c>
    </row>
    <row r="1317" spans="1:4" ht="13.8" thickBot="1">
      <c r="A1317" s="2" t="s">
        <v>4996</v>
      </c>
      <c r="B1317" s="2" t="s">
        <v>1202</v>
      </c>
      <c r="C1317" s="10" t="s">
        <v>4997</v>
      </c>
      <c r="D1317" s="2" t="s">
        <v>4998</v>
      </c>
    </row>
    <row r="1318" spans="1:4" ht="13.8" thickBot="1">
      <c r="A1318" s="2" t="s">
        <v>4999</v>
      </c>
      <c r="B1318" s="2" t="s">
        <v>1202</v>
      </c>
      <c r="C1318" s="10" t="s">
        <v>5000</v>
      </c>
      <c r="D1318" s="2" t="s">
        <v>5001</v>
      </c>
    </row>
    <row r="1319" spans="1:4" ht="13.8" thickBot="1">
      <c r="A1319" s="2" t="s">
        <v>5002</v>
      </c>
      <c r="B1319" s="2" t="s">
        <v>1202</v>
      </c>
      <c r="C1319" s="10" t="s">
        <v>5003</v>
      </c>
      <c r="D1319" s="2" t="s">
        <v>5004</v>
      </c>
    </row>
    <row r="1320" spans="1:4" ht="13.8" thickBot="1">
      <c r="A1320" s="2" t="s">
        <v>5005</v>
      </c>
      <c r="B1320" s="2" t="s">
        <v>1202</v>
      </c>
      <c r="C1320" s="10" t="s">
        <v>5006</v>
      </c>
      <c r="D1320" s="2" t="s">
        <v>5007</v>
      </c>
    </row>
    <row r="1321" spans="1:4" ht="13.8" thickBot="1">
      <c r="A1321" s="2" t="s">
        <v>5008</v>
      </c>
      <c r="B1321" s="2" t="s">
        <v>1202</v>
      </c>
      <c r="C1321" s="10" t="s">
        <v>5009</v>
      </c>
      <c r="D1321" s="2" t="s">
        <v>5010</v>
      </c>
    </row>
    <row r="1322" spans="1:4" ht="13.8" thickBot="1">
      <c r="A1322" s="2" t="s">
        <v>5011</v>
      </c>
      <c r="B1322" s="2" t="s">
        <v>1202</v>
      </c>
      <c r="C1322" s="10" t="s">
        <v>5012</v>
      </c>
      <c r="D1322" s="2" t="s">
        <v>5013</v>
      </c>
    </row>
    <row r="1323" spans="1:4" ht="13.8" thickBot="1">
      <c r="A1323" s="2" t="s">
        <v>5014</v>
      </c>
      <c r="B1323" s="2" t="s">
        <v>1202</v>
      </c>
      <c r="C1323" s="10" t="s">
        <v>5015</v>
      </c>
      <c r="D1323" s="2" t="s">
        <v>5016</v>
      </c>
    </row>
    <row r="1324" spans="1:4" ht="13.8" thickBot="1">
      <c r="A1324" s="2" t="s">
        <v>5017</v>
      </c>
      <c r="B1324" s="2" t="s">
        <v>1202</v>
      </c>
      <c r="C1324" s="10" t="s">
        <v>5018</v>
      </c>
      <c r="D1324" s="2" t="s">
        <v>5019</v>
      </c>
    </row>
    <row r="1325" spans="1:4" ht="13.8" thickBot="1">
      <c r="A1325" s="2" t="s">
        <v>5020</v>
      </c>
      <c r="B1325" s="2" t="s">
        <v>1202</v>
      </c>
      <c r="C1325" s="10" t="s">
        <v>5021</v>
      </c>
      <c r="D1325" s="2" t="s">
        <v>5022</v>
      </c>
    </row>
    <row r="1326" spans="1:4" ht="13.8" thickBot="1">
      <c r="A1326" s="2" t="s">
        <v>5023</v>
      </c>
      <c r="B1326" s="2" t="s">
        <v>1202</v>
      </c>
      <c r="C1326" s="10" t="s">
        <v>5024</v>
      </c>
      <c r="D1326" s="2" t="s">
        <v>5025</v>
      </c>
    </row>
    <row r="1327" spans="1:4" ht="13.8" thickBot="1">
      <c r="A1327" s="2" t="s">
        <v>5026</v>
      </c>
      <c r="B1327" s="2" t="s">
        <v>1202</v>
      </c>
      <c r="C1327" s="10" t="s">
        <v>5027</v>
      </c>
      <c r="D1327" s="2" t="s">
        <v>5028</v>
      </c>
    </row>
    <row r="1328" spans="1:4" ht="13.8" thickBot="1">
      <c r="A1328" s="2" t="s">
        <v>5029</v>
      </c>
      <c r="B1328" s="2" t="s">
        <v>1202</v>
      </c>
      <c r="C1328" s="10" t="s">
        <v>5030</v>
      </c>
      <c r="D1328" s="2" t="s">
        <v>5031</v>
      </c>
    </row>
    <row r="1329" spans="1:4" ht="13.8" thickBot="1">
      <c r="A1329" s="2" t="s">
        <v>5032</v>
      </c>
      <c r="B1329" s="2" t="s">
        <v>1202</v>
      </c>
      <c r="C1329" s="10" t="s">
        <v>5033</v>
      </c>
      <c r="D1329" s="2" t="s">
        <v>5034</v>
      </c>
    </row>
    <row r="1330" spans="1:4" ht="13.8" thickBot="1">
      <c r="A1330" s="2" t="s">
        <v>5035</v>
      </c>
      <c r="B1330" s="2" t="s">
        <v>1202</v>
      </c>
      <c r="C1330" s="10" t="s">
        <v>5036</v>
      </c>
      <c r="D1330" s="2" t="s">
        <v>5037</v>
      </c>
    </row>
    <row r="1331" spans="1:4" ht="13.8" thickBot="1">
      <c r="A1331" s="2" t="s">
        <v>5038</v>
      </c>
      <c r="B1331" s="2" t="s">
        <v>1202</v>
      </c>
      <c r="C1331" s="10" t="s">
        <v>5039</v>
      </c>
      <c r="D1331" s="2" t="s">
        <v>5040</v>
      </c>
    </row>
    <row r="1332" spans="1:4" ht="13.8" thickBot="1">
      <c r="A1332" s="2" t="s">
        <v>5041</v>
      </c>
      <c r="B1332" s="2" t="s">
        <v>1202</v>
      </c>
      <c r="C1332" s="10" t="s">
        <v>5042</v>
      </c>
      <c r="D1332" s="2" t="s">
        <v>5043</v>
      </c>
    </row>
    <row r="1333" spans="1:4" ht="13.8" thickBot="1">
      <c r="A1333" s="2" t="s">
        <v>5044</v>
      </c>
      <c r="B1333" s="2" t="s">
        <v>1202</v>
      </c>
      <c r="C1333" s="10" t="s">
        <v>5045</v>
      </c>
      <c r="D1333" s="2" t="s">
        <v>5046</v>
      </c>
    </row>
    <row r="1334" spans="1:4" ht="13.8" thickBot="1">
      <c r="A1334" s="2" t="s">
        <v>5047</v>
      </c>
      <c r="B1334" s="2" t="s">
        <v>1202</v>
      </c>
      <c r="C1334" s="10" t="s">
        <v>5048</v>
      </c>
      <c r="D1334" s="2" t="s">
        <v>5049</v>
      </c>
    </row>
    <row r="1335" spans="1:4" ht="13.8" thickBot="1">
      <c r="A1335" s="2" t="s">
        <v>5050</v>
      </c>
      <c r="B1335" s="2" t="s">
        <v>1202</v>
      </c>
      <c r="C1335" s="10" t="s">
        <v>5051</v>
      </c>
      <c r="D1335" s="2" t="s">
        <v>5052</v>
      </c>
    </row>
    <row r="1336" spans="1:4" ht="13.8" thickBot="1">
      <c r="A1336" s="2" t="s">
        <v>5053</v>
      </c>
      <c r="B1336" s="2" t="s">
        <v>1202</v>
      </c>
      <c r="C1336" s="10" t="s">
        <v>5054</v>
      </c>
      <c r="D1336" s="2" t="s">
        <v>5055</v>
      </c>
    </row>
    <row r="1337" spans="1:4" ht="13.8" thickBot="1">
      <c r="A1337" s="2" t="s">
        <v>5056</v>
      </c>
      <c r="B1337" s="2" t="s">
        <v>1202</v>
      </c>
      <c r="C1337" s="10" t="s">
        <v>5057</v>
      </c>
      <c r="D1337" s="2" t="s">
        <v>5058</v>
      </c>
    </row>
    <row r="1338" spans="1:4" ht="13.8" thickBot="1">
      <c r="A1338" s="2" t="s">
        <v>5059</v>
      </c>
      <c r="B1338" s="2" t="s">
        <v>1202</v>
      </c>
      <c r="C1338" s="10" t="s">
        <v>5060</v>
      </c>
      <c r="D1338" s="2" t="s">
        <v>5061</v>
      </c>
    </row>
    <row r="1339" spans="1:4" ht="13.8" thickBot="1">
      <c r="A1339" s="2" t="s">
        <v>5062</v>
      </c>
      <c r="B1339" s="2" t="s">
        <v>1202</v>
      </c>
      <c r="C1339" s="10" t="s">
        <v>5063</v>
      </c>
      <c r="D1339" s="2" t="s">
        <v>5064</v>
      </c>
    </row>
    <row r="1340" spans="1:4" ht="13.8" thickBot="1">
      <c r="A1340" s="2" t="s">
        <v>5065</v>
      </c>
      <c r="B1340" s="2" t="s">
        <v>1202</v>
      </c>
      <c r="C1340" s="10" t="s">
        <v>5066</v>
      </c>
      <c r="D1340" s="2" t="s">
        <v>5067</v>
      </c>
    </row>
    <row r="1341" spans="1:4" ht="13.8" thickBot="1">
      <c r="A1341" s="2" t="s">
        <v>5068</v>
      </c>
      <c r="B1341" s="2" t="s">
        <v>1202</v>
      </c>
      <c r="C1341" s="10" t="s">
        <v>5069</v>
      </c>
      <c r="D1341" s="2" t="s">
        <v>5070</v>
      </c>
    </row>
    <row r="1342" spans="1:4" ht="13.8" thickBot="1">
      <c r="A1342" s="2" t="s">
        <v>5071</v>
      </c>
      <c r="B1342" s="2" t="s">
        <v>1202</v>
      </c>
      <c r="C1342" s="10" t="s">
        <v>5072</v>
      </c>
      <c r="D1342" s="2" t="s">
        <v>5073</v>
      </c>
    </row>
    <row r="1343" spans="1:4" ht="13.8" thickBot="1">
      <c r="A1343" s="2" t="s">
        <v>5074</v>
      </c>
      <c r="B1343" s="2" t="s">
        <v>1202</v>
      </c>
      <c r="C1343" s="10" t="s">
        <v>5075</v>
      </c>
      <c r="D1343" s="2" t="s">
        <v>5076</v>
      </c>
    </row>
    <row r="1344" spans="1:4" ht="13.8" thickBot="1">
      <c r="A1344" s="2" t="s">
        <v>5077</v>
      </c>
      <c r="B1344" s="2" t="s">
        <v>1202</v>
      </c>
      <c r="C1344" s="10" t="s">
        <v>5078</v>
      </c>
      <c r="D1344" s="2" t="s">
        <v>5079</v>
      </c>
    </row>
    <row r="1345" spans="1:4" ht="13.8" thickBot="1">
      <c r="A1345" s="2" t="s">
        <v>5080</v>
      </c>
      <c r="B1345" s="2" t="s">
        <v>1202</v>
      </c>
      <c r="C1345" s="10" t="s">
        <v>5081</v>
      </c>
      <c r="D1345" s="2" t="s">
        <v>5082</v>
      </c>
    </row>
    <row r="1346" spans="1:4" ht="13.8" thickBot="1">
      <c r="A1346" s="2" t="s">
        <v>5083</v>
      </c>
      <c r="B1346" s="2" t="s">
        <v>1202</v>
      </c>
      <c r="C1346" s="10" t="s">
        <v>5084</v>
      </c>
      <c r="D1346" s="2" t="s">
        <v>5085</v>
      </c>
    </row>
    <row r="1347" spans="1:4" ht="13.8" thickBot="1">
      <c r="A1347" s="2" t="s">
        <v>5086</v>
      </c>
      <c r="B1347" s="2" t="s">
        <v>1202</v>
      </c>
      <c r="C1347" s="10" t="s">
        <v>5087</v>
      </c>
      <c r="D1347" s="2" t="s">
        <v>5088</v>
      </c>
    </row>
    <row r="1348" spans="1:4" ht="13.8" thickBot="1">
      <c r="A1348" s="2" t="s">
        <v>5089</v>
      </c>
      <c r="B1348" s="2" t="s">
        <v>1202</v>
      </c>
      <c r="C1348" s="10" t="s">
        <v>5090</v>
      </c>
      <c r="D1348" s="2" t="s">
        <v>5091</v>
      </c>
    </row>
    <row r="1349" spans="1:4" ht="13.8" thickBot="1">
      <c r="A1349" s="2" t="s">
        <v>5092</v>
      </c>
      <c r="B1349" s="2" t="s">
        <v>1202</v>
      </c>
      <c r="C1349" s="10" t="s">
        <v>5093</v>
      </c>
      <c r="D1349" s="2" t="s">
        <v>5094</v>
      </c>
    </row>
    <row r="1350" spans="1:4" ht="13.8" thickBot="1">
      <c r="A1350" s="2" t="s">
        <v>5095</v>
      </c>
      <c r="B1350" s="2" t="s">
        <v>1202</v>
      </c>
      <c r="C1350" s="10" t="s">
        <v>5096</v>
      </c>
      <c r="D1350" s="2" t="s">
        <v>5097</v>
      </c>
    </row>
    <row r="1351" spans="1:4" ht="13.8" thickBot="1">
      <c r="A1351" s="2" t="s">
        <v>5098</v>
      </c>
      <c r="B1351" s="2" t="s">
        <v>1202</v>
      </c>
      <c r="C1351" s="10" t="s">
        <v>5099</v>
      </c>
      <c r="D1351" s="2" t="s">
        <v>5100</v>
      </c>
    </row>
    <row r="1352" spans="1:4" ht="13.8" thickBot="1">
      <c r="A1352" s="2" t="s">
        <v>5101</v>
      </c>
      <c r="B1352" s="2" t="s">
        <v>1202</v>
      </c>
      <c r="C1352" s="10" t="s">
        <v>5102</v>
      </c>
      <c r="D1352" s="2" t="s">
        <v>5103</v>
      </c>
    </row>
    <row r="1353" spans="1:4" ht="13.8" thickBot="1">
      <c r="A1353" s="2" t="s">
        <v>5104</v>
      </c>
      <c r="B1353" s="2" t="s">
        <v>1202</v>
      </c>
      <c r="C1353" s="10" t="s">
        <v>5105</v>
      </c>
      <c r="D1353" s="2" t="s">
        <v>5106</v>
      </c>
    </row>
    <row r="1354" spans="1:4" ht="13.8" thickBot="1">
      <c r="A1354" s="2" t="s">
        <v>5107</v>
      </c>
      <c r="B1354" s="2" t="s">
        <v>1202</v>
      </c>
      <c r="C1354" s="10" t="s">
        <v>5108</v>
      </c>
      <c r="D1354" s="2" t="s">
        <v>5109</v>
      </c>
    </row>
    <row r="1355" spans="1:4" ht="13.8" thickBot="1">
      <c r="A1355" s="2" t="s">
        <v>5110</v>
      </c>
      <c r="B1355" s="2" t="s">
        <v>1202</v>
      </c>
      <c r="C1355" s="10" t="s">
        <v>5111</v>
      </c>
      <c r="D1355" s="2" t="s">
        <v>5112</v>
      </c>
    </row>
    <row r="1356" spans="1:4" ht="13.8" thickBot="1">
      <c r="A1356" s="2" t="s">
        <v>5113</v>
      </c>
      <c r="B1356" s="2" t="s">
        <v>1202</v>
      </c>
      <c r="C1356" s="10" t="s">
        <v>5114</v>
      </c>
      <c r="D1356" s="2" t="s">
        <v>5115</v>
      </c>
    </row>
    <row r="1357" spans="1:4" ht="13.8" thickBot="1">
      <c r="A1357" s="2" t="s">
        <v>5116</v>
      </c>
      <c r="B1357" s="2" t="s">
        <v>1202</v>
      </c>
      <c r="C1357" s="10" t="s">
        <v>5117</v>
      </c>
      <c r="D1357" s="2" t="s">
        <v>5118</v>
      </c>
    </row>
    <row r="1358" spans="1:4" ht="13.8" thickBot="1">
      <c r="A1358" s="2" t="s">
        <v>5119</v>
      </c>
      <c r="B1358" s="2" t="s">
        <v>1202</v>
      </c>
      <c r="C1358" s="10" t="s">
        <v>5120</v>
      </c>
      <c r="D1358" s="2" t="s">
        <v>5121</v>
      </c>
    </row>
    <row r="1359" spans="1:4" ht="13.8" thickBot="1">
      <c r="A1359" s="2" t="s">
        <v>5122</v>
      </c>
      <c r="B1359" s="2" t="s">
        <v>1202</v>
      </c>
      <c r="C1359" s="10" t="s">
        <v>5123</v>
      </c>
      <c r="D1359" s="2" t="s">
        <v>5124</v>
      </c>
    </row>
    <row r="1360" spans="1:4" ht="13.8" thickBot="1">
      <c r="A1360" s="2" t="s">
        <v>5125</v>
      </c>
      <c r="B1360" s="2" t="s">
        <v>1202</v>
      </c>
      <c r="C1360" s="10" t="s">
        <v>5126</v>
      </c>
      <c r="D1360" s="2" t="s">
        <v>5127</v>
      </c>
    </row>
    <row r="1361" spans="1:4" ht="13.8" thickBot="1">
      <c r="A1361" s="2" t="s">
        <v>5128</v>
      </c>
      <c r="B1361" s="2" t="s">
        <v>1202</v>
      </c>
      <c r="C1361" s="10" t="s">
        <v>5129</v>
      </c>
      <c r="D1361" s="2" t="s">
        <v>5130</v>
      </c>
    </row>
    <row r="1362" spans="1:4" ht="13.8" thickBot="1">
      <c r="A1362" s="2" t="s">
        <v>5131</v>
      </c>
      <c r="B1362" s="2" t="s">
        <v>1202</v>
      </c>
      <c r="C1362" s="10" t="s">
        <v>5132</v>
      </c>
      <c r="D1362" s="2" t="s">
        <v>5133</v>
      </c>
    </row>
    <row r="1363" spans="1:4" ht="13.8" thickBot="1">
      <c r="A1363" s="2" t="s">
        <v>5134</v>
      </c>
      <c r="B1363" s="2" t="s">
        <v>1202</v>
      </c>
      <c r="C1363" s="10" t="s">
        <v>5135</v>
      </c>
      <c r="D1363" s="2" t="s">
        <v>5136</v>
      </c>
    </row>
    <row r="1364" spans="1:4">
      <c r="A1364" s="2" t="s">
        <v>5137</v>
      </c>
      <c r="B1364" s="2" t="s">
        <v>1202</v>
      </c>
      <c r="C1364" s="2" t="s">
        <v>5138</v>
      </c>
      <c r="D1364" s="2" t="s">
        <v>5139</v>
      </c>
    </row>
    <row r="1365" spans="1:4">
      <c r="A1365" s="9" t="s">
        <v>5140</v>
      </c>
      <c r="B1365" s="2" t="s">
        <v>1202</v>
      </c>
      <c r="C1365" s="2" t="s">
        <v>5141</v>
      </c>
      <c r="D1365" s="2" t="s">
        <v>5142</v>
      </c>
    </row>
    <row r="1366" spans="1:4">
      <c r="A1366" s="9" t="s">
        <v>5143</v>
      </c>
      <c r="B1366" s="2" t="s">
        <v>1202</v>
      </c>
      <c r="C1366" s="2" t="s">
        <v>5144</v>
      </c>
      <c r="D1366" s="2" t="s">
        <v>5145</v>
      </c>
    </row>
    <row r="1367" spans="1:4">
      <c r="A1367" s="9" t="s">
        <v>5146</v>
      </c>
      <c r="B1367" s="2" t="s">
        <v>1202</v>
      </c>
      <c r="C1367" s="2" t="s">
        <v>5147</v>
      </c>
      <c r="D1367" s="2" t="s">
        <v>5148</v>
      </c>
    </row>
    <row r="1368" spans="1:4">
      <c r="A1368" s="9" t="s">
        <v>5149</v>
      </c>
      <c r="B1368" s="2" t="s">
        <v>1202</v>
      </c>
      <c r="C1368" s="2" t="s">
        <v>5150</v>
      </c>
      <c r="D1368" s="2" t="s">
        <v>5151</v>
      </c>
    </row>
    <row r="1369" spans="1:4">
      <c r="A1369" s="9" t="s">
        <v>5152</v>
      </c>
      <c r="B1369" s="2" t="s">
        <v>1202</v>
      </c>
      <c r="C1369" s="2" t="s">
        <v>5153</v>
      </c>
      <c r="D1369" s="2" t="s">
        <v>5154</v>
      </c>
    </row>
    <row r="1370" spans="1:4">
      <c r="A1370" s="9" t="s">
        <v>5155</v>
      </c>
      <c r="B1370" s="2" t="s">
        <v>1202</v>
      </c>
      <c r="C1370" s="2" t="s">
        <v>5156</v>
      </c>
      <c r="D1370" s="2" t="s">
        <v>5157</v>
      </c>
    </row>
    <row r="1371" spans="1:4">
      <c r="A1371" s="9" t="s">
        <v>5158</v>
      </c>
      <c r="B1371" s="2" t="s">
        <v>1202</v>
      </c>
      <c r="C1371" s="2" t="s">
        <v>5159</v>
      </c>
      <c r="D1371" s="2" t="s">
        <v>5160</v>
      </c>
    </row>
    <row r="1372" spans="1:4">
      <c r="A1372" s="9" t="s">
        <v>5161</v>
      </c>
      <c r="B1372" s="2" t="s">
        <v>1202</v>
      </c>
      <c r="C1372" s="2" t="s">
        <v>5162</v>
      </c>
      <c r="D1372" s="2" t="s">
        <v>5163</v>
      </c>
    </row>
    <row r="1373" spans="1:4">
      <c r="A1373" s="9" t="s">
        <v>5164</v>
      </c>
      <c r="B1373" s="2" t="s">
        <v>1202</v>
      </c>
      <c r="C1373" s="2" t="s">
        <v>5165</v>
      </c>
      <c r="D1373" s="2" t="s">
        <v>5166</v>
      </c>
    </row>
    <row r="1374" spans="1:4">
      <c r="A1374" s="9" t="s">
        <v>5167</v>
      </c>
      <c r="B1374" s="2" t="s">
        <v>1202</v>
      </c>
      <c r="C1374" s="2" t="s">
        <v>5168</v>
      </c>
      <c r="D1374" s="2" t="s">
        <v>5169</v>
      </c>
    </row>
    <row r="1375" spans="1:4">
      <c r="A1375" s="9" t="s">
        <v>2556</v>
      </c>
      <c r="B1375" s="2" t="s">
        <v>1202</v>
      </c>
      <c r="C1375" s="2" t="s">
        <v>2557</v>
      </c>
      <c r="D1375" s="2" t="s">
        <v>2558</v>
      </c>
    </row>
    <row r="1376" spans="1:4">
      <c r="A1376" s="9" t="s">
        <v>5170</v>
      </c>
      <c r="B1376" s="2" t="s">
        <v>1202</v>
      </c>
      <c r="C1376" s="2" t="s">
        <v>5171</v>
      </c>
      <c r="D1376" s="2" t="s">
        <v>5172</v>
      </c>
    </row>
    <row r="1377" spans="1:4">
      <c r="A1377" s="9" t="s">
        <v>5173</v>
      </c>
      <c r="B1377" s="2" t="s">
        <v>1202</v>
      </c>
      <c r="C1377" s="2" t="s">
        <v>5174</v>
      </c>
      <c r="D1377" s="2" t="s">
        <v>5175</v>
      </c>
    </row>
    <row r="1378" spans="1:4">
      <c r="A1378" s="9" t="s">
        <v>5176</v>
      </c>
      <c r="B1378" s="2" t="s">
        <v>1202</v>
      </c>
      <c r="C1378" s="2" t="s">
        <v>5177</v>
      </c>
      <c r="D1378" s="2" t="s">
        <v>5178</v>
      </c>
    </row>
    <row r="1379" spans="1:4">
      <c r="A1379" s="9" t="s">
        <v>5179</v>
      </c>
      <c r="B1379" s="2" t="s">
        <v>1202</v>
      </c>
      <c r="C1379" s="2" t="s">
        <v>5180</v>
      </c>
      <c r="D1379" s="2" t="s">
        <v>5181</v>
      </c>
    </row>
    <row r="1380" spans="1:4">
      <c r="A1380" s="9" t="s">
        <v>5182</v>
      </c>
      <c r="B1380" s="2" t="s">
        <v>1202</v>
      </c>
      <c r="C1380" s="2" t="s">
        <v>5183</v>
      </c>
      <c r="D1380" s="2" t="s">
        <v>5184</v>
      </c>
    </row>
    <row r="1381" spans="1:4">
      <c r="A1381" s="2" t="s">
        <v>5185</v>
      </c>
      <c r="B1381" s="2" t="s">
        <v>1202</v>
      </c>
      <c r="C1381" s="2" t="s">
        <v>5186</v>
      </c>
      <c r="D1381" s="2" t="s">
        <v>5187</v>
      </c>
    </row>
    <row r="1382" spans="1:4">
      <c r="A1382" s="9" t="s">
        <v>5188</v>
      </c>
      <c r="B1382" s="2" t="s">
        <v>1202</v>
      </c>
      <c r="C1382" s="2" t="s">
        <v>5189</v>
      </c>
      <c r="D1382" s="2" t="s">
        <v>5190</v>
      </c>
    </row>
    <row r="1383" spans="1:4">
      <c r="A1383" s="2" t="s">
        <v>5191</v>
      </c>
      <c r="B1383" s="2" t="s">
        <v>1202</v>
      </c>
      <c r="C1383" s="2" t="s">
        <v>5192</v>
      </c>
      <c r="D1383" s="2" t="s">
        <v>5193</v>
      </c>
    </row>
    <row r="1384" spans="1:4">
      <c r="A1384" s="9" t="s">
        <v>5194</v>
      </c>
      <c r="B1384" s="2" t="s">
        <v>1202</v>
      </c>
      <c r="C1384" s="2" t="s">
        <v>5195</v>
      </c>
      <c r="D1384" s="2" t="s">
        <v>5196</v>
      </c>
    </row>
    <row r="1385" spans="1:4">
      <c r="A1385" s="2" t="s">
        <v>5197</v>
      </c>
      <c r="B1385" s="2" t="s">
        <v>1202</v>
      </c>
      <c r="C1385" s="2" t="s">
        <v>5198</v>
      </c>
      <c r="D1385" s="2" t="s">
        <v>5199</v>
      </c>
    </row>
    <row r="1386" spans="1:4">
      <c r="A1386" s="2" t="s">
        <v>5200</v>
      </c>
      <c r="B1386" s="2" t="s">
        <v>1202</v>
      </c>
      <c r="C1386" s="2" t="s">
        <v>5201</v>
      </c>
      <c r="D1386" s="2" t="s">
        <v>5202</v>
      </c>
    </row>
    <row r="1387" spans="1:4">
      <c r="A1387" s="9" t="s">
        <v>5203</v>
      </c>
      <c r="B1387" s="2" t="s">
        <v>1202</v>
      </c>
      <c r="C1387" s="2" t="s">
        <v>5204</v>
      </c>
      <c r="D1387" s="2" t="s">
        <v>5205</v>
      </c>
    </row>
    <row r="1388" spans="1:4">
      <c r="A1388" s="9" t="s">
        <v>5206</v>
      </c>
      <c r="B1388" s="2" t="s">
        <v>1202</v>
      </c>
      <c r="C1388" s="2" t="s">
        <v>5207</v>
      </c>
      <c r="D1388" s="2" t="s">
        <v>5208</v>
      </c>
    </row>
    <row r="1389" spans="1:4">
      <c r="A1389" s="9" t="s">
        <v>5209</v>
      </c>
      <c r="B1389" s="2" t="s">
        <v>1202</v>
      </c>
      <c r="C1389" s="2" t="s">
        <v>5210</v>
      </c>
      <c r="D1389" s="2" t="s">
        <v>5211</v>
      </c>
    </row>
    <row r="1390" spans="1:4">
      <c r="A1390" s="2" t="s">
        <v>5212</v>
      </c>
      <c r="B1390" s="2" t="s">
        <v>1202</v>
      </c>
      <c r="C1390" s="2" t="s">
        <v>5213</v>
      </c>
      <c r="D1390" s="2" t="s">
        <v>5214</v>
      </c>
    </row>
    <row r="1391" spans="1:4">
      <c r="A1391" s="9" t="s">
        <v>5215</v>
      </c>
      <c r="B1391" s="2" t="s">
        <v>1202</v>
      </c>
      <c r="C1391" s="2" t="s">
        <v>5216</v>
      </c>
      <c r="D1391" s="2" t="s">
        <v>5217</v>
      </c>
    </row>
    <row r="1392" spans="1:4">
      <c r="A1392" s="9" t="s">
        <v>5218</v>
      </c>
      <c r="B1392" s="2" t="s">
        <v>1202</v>
      </c>
      <c r="C1392" s="2" t="s">
        <v>5219</v>
      </c>
      <c r="D1392" s="2" t="s">
        <v>5220</v>
      </c>
    </row>
    <row r="1393" spans="1:4">
      <c r="A1393" s="9" t="s">
        <v>5221</v>
      </c>
      <c r="B1393" s="2" t="s">
        <v>1202</v>
      </c>
      <c r="C1393" s="2" t="s">
        <v>5222</v>
      </c>
      <c r="D1393" s="2" t="s">
        <v>5223</v>
      </c>
    </row>
    <row r="1394" spans="1:4">
      <c r="A1394" s="9" t="s">
        <v>5224</v>
      </c>
      <c r="B1394" s="2" t="s">
        <v>1202</v>
      </c>
      <c r="C1394" s="2" t="s">
        <v>5225</v>
      </c>
      <c r="D1394" s="2" t="s">
        <v>5226</v>
      </c>
    </row>
    <row r="1395" spans="1:4">
      <c r="A1395" s="2" t="s">
        <v>5227</v>
      </c>
      <c r="B1395" s="2" t="s">
        <v>1202</v>
      </c>
      <c r="C1395" s="2" t="s">
        <v>5228</v>
      </c>
      <c r="D1395" s="2" t="s">
        <v>5229</v>
      </c>
    </row>
    <row r="1396" spans="1:4">
      <c r="A1396" s="9" t="s">
        <v>5230</v>
      </c>
      <c r="B1396" s="2" t="s">
        <v>1202</v>
      </c>
      <c r="C1396" s="2" t="s">
        <v>5231</v>
      </c>
      <c r="D1396" s="2" t="s">
        <v>5232</v>
      </c>
    </row>
    <row r="1397" spans="1:4">
      <c r="A1397" s="9" t="s">
        <v>5233</v>
      </c>
      <c r="B1397" s="2" t="s">
        <v>1202</v>
      </c>
      <c r="C1397" s="2" t="s">
        <v>5234</v>
      </c>
      <c r="D1397" s="2" t="s">
        <v>5235</v>
      </c>
    </row>
    <row r="1398" spans="1:4">
      <c r="A1398" s="2" t="s">
        <v>5236</v>
      </c>
      <c r="B1398" s="2" t="s">
        <v>1202</v>
      </c>
      <c r="C1398" s="2" t="s">
        <v>5237</v>
      </c>
      <c r="D1398" s="2" t="s">
        <v>5238</v>
      </c>
    </row>
    <row r="1399" spans="1:4">
      <c r="A1399" s="9" t="s">
        <v>5239</v>
      </c>
      <c r="B1399" s="2" t="s">
        <v>1202</v>
      </c>
      <c r="C1399" s="2" t="s">
        <v>5240</v>
      </c>
      <c r="D1399" s="2" t="s">
        <v>5241</v>
      </c>
    </row>
    <row r="1400" spans="1:4">
      <c r="A1400" s="9" t="s">
        <v>5242</v>
      </c>
      <c r="B1400" s="2" t="s">
        <v>1202</v>
      </c>
      <c r="C1400" s="2" t="s">
        <v>5243</v>
      </c>
      <c r="D1400" s="2" t="s">
        <v>5244</v>
      </c>
    </row>
    <row r="1401" spans="1:4">
      <c r="A1401" s="9" t="s">
        <v>5245</v>
      </c>
      <c r="B1401" s="2" t="s">
        <v>1202</v>
      </c>
      <c r="C1401" s="2" t="s">
        <v>5246</v>
      </c>
      <c r="D1401" s="2" t="s">
        <v>5247</v>
      </c>
    </row>
    <row r="1402" spans="1:4">
      <c r="A1402" s="9" t="s">
        <v>5248</v>
      </c>
      <c r="B1402" s="2" t="s">
        <v>1202</v>
      </c>
      <c r="C1402" s="2" t="s">
        <v>5249</v>
      </c>
      <c r="D1402" s="2" t="s">
        <v>5250</v>
      </c>
    </row>
    <row r="1403" spans="1:4">
      <c r="A1403" s="9" t="s">
        <v>5251</v>
      </c>
      <c r="B1403" s="2" t="s">
        <v>1202</v>
      </c>
      <c r="C1403" s="2" t="s">
        <v>5252</v>
      </c>
      <c r="D1403" s="2" t="s">
        <v>5253</v>
      </c>
    </row>
    <row r="1404" spans="1:4">
      <c r="A1404" s="9" t="s">
        <v>5254</v>
      </c>
      <c r="B1404" s="2" t="s">
        <v>1202</v>
      </c>
      <c r="C1404" s="2" t="s">
        <v>5255</v>
      </c>
      <c r="D1404" s="2" t="s">
        <v>5256</v>
      </c>
    </row>
    <row r="1405" spans="1:4">
      <c r="A1405" s="9" t="s">
        <v>5257</v>
      </c>
      <c r="B1405" s="2" t="s">
        <v>1202</v>
      </c>
      <c r="C1405" s="2" t="s">
        <v>5258</v>
      </c>
      <c r="D1405" s="2" t="s">
        <v>5259</v>
      </c>
    </row>
    <row r="1406" spans="1:4">
      <c r="A1406" s="2" t="s">
        <v>5260</v>
      </c>
      <c r="B1406" s="2" t="s">
        <v>1202</v>
      </c>
      <c r="C1406" s="2" t="s">
        <v>5261</v>
      </c>
      <c r="D1406" s="2" t="s">
        <v>5262</v>
      </c>
    </row>
    <row r="1407" spans="1:4">
      <c r="A1407" s="9" t="s">
        <v>5263</v>
      </c>
      <c r="B1407" s="2" t="s">
        <v>1202</v>
      </c>
      <c r="C1407" s="2" t="s">
        <v>5264</v>
      </c>
      <c r="D1407" s="2" t="s">
        <v>5265</v>
      </c>
    </row>
    <row r="1408" spans="1:4">
      <c r="A1408" s="9" t="s">
        <v>5266</v>
      </c>
      <c r="B1408" s="2" t="s">
        <v>1202</v>
      </c>
      <c r="C1408" s="2" t="s">
        <v>5267</v>
      </c>
      <c r="D1408" s="2" t="s">
        <v>5268</v>
      </c>
    </row>
    <row r="1409" spans="1:4">
      <c r="A1409" s="9" t="s">
        <v>5269</v>
      </c>
      <c r="B1409" s="2" t="s">
        <v>1202</v>
      </c>
      <c r="C1409" s="2" t="s">
        <v>5270</v>
      </c>
      <c r="D1409" s="2" t="s">
        <v>5271</v>
      </c>
    </row>
    <row r="1410" spans="1:4">
      <c r="A1410" s="9" t="s">
        <v>5272</v>
      </c>
      <c r="B1410" s="2" t="s">
        <v>1202</v>
      </c>
      <c r="C1410" s="2" t="s">
        <v>5273</v>
      </c>
      <c r="D1410" s="2" t="s">
        <v>5274</v>
      </c>
    </row>
    <row r="1411" spans="1:4">
      <c r="A1411" s="2" t="s">
        <v>5275</v>
      </c>
      <c r="B1411" s="2" t="s">
        <v>1202</v>
      </c>
      <c r="C1411" s="2" t="s">
        <v>5276</v>
      </c>
      <c r="D1411" s="2" t="s">
        <v>5277</v>
      </c>
    </row>
    <row r="1412" spans="1:4">
      <c r="A1412" s="2" t="s">
        <v>5278</v>
      </c>
      <c r="B1412" s="2" t="s">
        <v>1202</v>
      </c>
      <c r="C1412" s="2" t="s">
        <v>5279</v>
      </c>
      <c r="D1412" s="2" t="s">
        <v>5280</v>
      </c>
    </row>
    <row r="1413" spans="1:4">
      <c r="A1413" s="9" t="s">
        <v>5281</v>
      </c>
      <c r="B1413" s="2" t="s">
        <v>1202</v>
      </c>
      <c r="C1413" s="2" t="s">
        <v>4</v>
      </c>
      <c r="D1413" s="2" t="s">
        <v>5</v>
      </c>
    </row>
    <row r="1414" spans="1:4">
      <c r="A1414" s="2" t="s">
        <v>5289</v>
      </c>
      <c r="B1414" s="2" t="s">
        <v>1202</v>
      </c>
      <c r="C1414" s="2" t="s">
        <v>5308</v>
      </c>
      <c r="D1414" s="2" t="s">
        <v>5295</v>
      </c>
    </row>
    <row r="1415" spans="1:4">
      <c r="A1415" s="2" t="s">
        <v>5290</v>
      </c>
      <c r="B1415" s="2" t="s">
        <v>1202</v>
      </c>
      <c r="C1415" s="2" t="s">
        <v>5306</v>
      </c>
      <c r="D1415" s="2" t="s">
        <v>5296</v>
      </c>
    </row>
    <row r="1416" spans="1:4">
      <c r="A1416" s="2" t="s">
        <v>5291</v>
      </c>
      <c r="B1416" s="2" t="s">
        <v>1202</v>
      </c>
      <c r="C1416" s="2" t="s">
        <v>5310</v>
      </c>
      <c r="D1416" s="2" t="s">
        <v>5297</v>
      </c>
    </row>
    <row r="1417" spans="1:4">
      <c r="A1417" s="2" t="s">
        <v>5292</v>
      </c>
      <c r="B1417" s="2" t="s">
        <v>1202</v>
      </c>
      <c r="C1417" s="2" t="s">
        <v>5312</v>
      </c>
      <c r="D1417" s="2" t="s">
        <v>5298</v>
      </c>
    </row>
    <row r="1418" spans="1:4">
      <c r="A1418" s="2" t="s">
        <v>5284</v>
      </c>
      <c r="B1418" s="2" t="s">
        <v>1202</v>
      </c>
      <c r="C1418" s="2" t="s">
        <v>5309</v>
      </c>
      <c r="D1418" s="2" t="s">
        <v>5299</v>
      </c>
    </row>
    <row r="1419" spans="1:4">
      <c r="A1419" s="9" t="s">
        <v>5282</v>
      </c>
      <c r="B1419" s="2" t="s">
        <v>1202</v>
      </c>
      <c r="C1419" s="2" t="s">
        <v>5307</v>
      </c>
      <c r="D1419" s="2" t="s">
        <v>5300</v>
      </c>
    </row>
    <row r="1420" spans="1:4">
      <c r="A1420" s="2" t="s">
        <v>5293</v>
      </c>
      <c r="B1420" s="2" t="s">
        <v>1202</v>
      </c>
      <c r="C1420" s="2" t="s">
        <v>5305</v>
      </c>
      <c r="D1420" s="2" t="s">
        <v>5301</v>
      </c>
    </row>
    <row r="1421" spans="1:4">
      <c r="A1421" s="2" t="s">
        <v>5283</v>
      </c>
      <c r="B1421" s="2" t="s">
        <v>1202</v>
      </c>
      <c r="C1421" s="2" t="s">
        <v>5311</v>
      </c>
      <c r="D1421" s="2" t="s">
        <v>5302</v>
      </c>
    </row>
    <row r="1422" spans="1:4">
      <c r="A1422" s="2" t="s">
        <v>5294</v>
      </c>
      <c r="B1422" s="2" t="s">
        <v>1202</v>
      </c>
      <c r="C1422" s="2" t="s">
        <v>5304</v>
      </c>
      <c r="D1422" s="2" t="s">
        <v>5303</v>
      </c>
    </row>
    <row r="1423" spans="1:4">
      <c r="A1423" s="2" t="s">
        <v>5285</v>
      </c>
      <c r="B1423" s="2" t="s">
        <v>1202</v>
      </c>
      <c r="C1423" s="2" t="s">
        <v>2996</v>
      </c>
      <c r="D1423" s="2" t="s">
        <v>5313</v>
      </c>
    </row>
    <row r="1424" spans="1:4">
      <c r="A1424" s="2" t="s">
        <v>5286</v>
      </c>
      <c r="B1424" s="2" t="s">
        <v>1202</v>
      </c>
      <c r="C1424" s="2" t="s">
        <v>5314</v>
      </c>
      <c r="D1424" s="2" t="s">
        <v>5315</v>
      </c>
    </row>
    <row r="1425" spans="1:5">
      <c r="A1425" s="2" t="s">
        <v>5287</v>
      </c>
      <c r="B1425" s="2" t="s">
        <v>1202</v>
      </c>
      <c r="C1425" s="2" t="s">
        <v>5318</v>
      </c>
      <c r="D1425" s="2" t="s">
        <v>5316</v>
      </c>
    </row>
    <row r="1426" spans="1:5">
      <c r="A1426" s="2" t="s">
        <v>5288</v>
      </c>
      <c r="B1426" s="2" t="s">
        <v>1202</v>
      </c>
      <c r="C1426" s="2" t="s">
        <v>5319</v>
      </c>
      <c r="D1426" s="2" t="s">
        <v>5317</v>
      </c>
    </row>
    <row r="1428" spans="1:5" ht="13.8">
      <c r="B1428"/>
      <c r="C1428"/>
    </row>
    <row r="1429" spans="1:5" ht="13.8">
      <c r="B1429"/>
      <c r="C1429"/>
    </row>
    <row r="1431" spans="1:5" ht="13.8">
      <c r="C1431" s="12"/>
    </row>
    <row r="1432" spans="1:5" ht="13.8">
      <c r="B1432"/>
      <c r="C1432" s="12"/>
    </row>
    <row r="1433" spans="1:5" ht="13.8">
      <c r="C1433"/>
    </row>
    <row r="1434" spans="1:5" ht="13.8">
      <c r="C1434"/>
    </row>
    <row r="1435" spans="1:5" ht="13.8">
      <c r="C1435"/>
      <c r="E1435"/>
    </row>
    <row r="1436" spans="1:5" ht="13.8">
      <c r="C1436"/>
    </row>
    <row r="1437" spans="1:5" ht="13.8">
      <c r="C1437"/>
    </row>
    <row r="1438" spans="1:5" ht="13.8">
      <c r="C1438"/>
    </row>
    <row r="1439" spans="1:5" ht="13.8">
      <c r="C1439"/>
    </row>
    <row r="1440" spans="1:5" ht="13.8">
      <c r="C1440"/>
    </row>
    <row r="1441" spans="3:3" ht="13.8">
      <c r="C1441"/>
    </row>
    <row r="1442" spans="3:3" ht="13.8">
      <c r="C1442" s="12"/>
    </row>
  </sheetData>
  <autoFilter ref="A1:A2932" xr:uid="{22DEBAAD-BA37-4386-99F6-6C39A9617036}"/>
  <phoneticPr fontId="10" type="noConversion"/>
  <conditionalFormatting sqref="C4:C301">
    <cfRule type="duplicateValues" dxfId="6" priority="1"/>
  </conditionalFormatting>
  <conditionalFormatting sqref="A331:A1215">
    <cfRule type="duplicateValues" dxfId="5" priority="2"/>
  </conditionalFormatting>
  <hyperlinks>
    <hyperlink ref="E1216" r:id="rId1" xr:uid="{00B1869F-DFCB-4546-BFF8-61D409F242EF}"/>
    <hyperlink ref="E1215" r:id="rId2" xr:uid="{1EBDE9D6-B6C2-4A34-A3DC-0FCBD3D6E4F9}"/>
    <hyperlink ref="E1214" r:id="rId3" xr:uid="{AA2FB045-9EE3-4023-AC89-5C0FF02DAC6C}"/>
    <hyperlink ref="E1213" r:id="rId4" xr:uid="{0FF46E54-459D-45EC-9220-47F3DD88057C}"/>
    <hyperlink ref="E1221" r:id="rId5" xr:uid="{B59BDCF7-4DE1-4BC2-8740-84510881E96A}"/>
    <hyperlink ref="E1220" r:id="rId6" xr:uid="{949F2C3F-AEEE-49B0-AE00-B54BCFF07425}"/>
    <hyperlink ref="E1219" r:id="rId7" xr:uid="{3CB6B340-C63F-4574-AD3B-1AF4D5BD013F}"/>
    <hyperlink ref="E1218" r:id="rId8" xr:uid="{2089C006-A9CF-4F76-8112-DB034FA246D7}"/>
    <hyperlink ref="E1222" r:id="rId9" xr:uid="{189ECC54-6A33-4C0D-B135-1126C242EB1B}"/>
    <hyperlink ref="E1225" r:id="rId10" xr:uid="{0962E7BA-98BA-4D3A-83C5-468EC14FC53B}"/>
    <hyperlink ref="E1224" r:id="rId11" xr:uid="{7D023FE8-DF37-4BBF-8D57-B1899B58561E}"/>
    <hyperlink ref="E1226" r:id="rId12" xr:uid="{CF9C8C94-3890-432F-9CBB-4588C24AC498}"/>
    <hyperlink ref="E1227" r:id="rId13" xr:uid="{75EEC84E-D76A-4A19-8359-9FA355E94E32}"/>
    <hyperlink ref="E1228" r:id="rId14" xr:uid="{6CEF0826-4C1D-450C-B922-889DB37043AA}"/>
    <hyperlink ref="E1229" r:id="rId15" xr:uid="{F79C6463-BDDD-4D0C-A957-8200E1F656E0}"/>
    <hyperlink ref="E1235" r:id="rId16" xr:uid="{6CCDB582-D214-4D69-863F-0BF9E7A2C41E}"/>
    <hyperlink ref="E1234" r:id="rId17" xr:uid="{2E1AD51A-4159-4FC2-9402-6DDF934FDED7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BEE5C-A8B5-444F-992D-15ED2CC52877}">
  <sheetPr codeName="Sayfa6">
    <tabColor rgb="FFFFFF00"/>
  </sheetPr>
  <dimension ref="A1:V5389"/>
  <sheetViews>
    <sheetView zoomScale="70" zoomScaleNormal="70" workbookViewId="0">
      <selection activeCell="D2" sqref="D2"/>
    </sheetView>
  </sheetViews>
  <sheetFormatPr defaultRowHeight="13.2"/>
  <cols>
    <col min="1" max="1" width="17.5" style="2" bestFit="1" customWidth="1"/>
    <col min="2" max="2" width="44.5" style="2" bestFit="1" customWidth="1"/>
    <col min="3" max="3" width="35.69921875" style="2" bestFit="1" customWidth="1"/>
    <col min="4" max="4" width="120.3984375" style="2" bestFit="1" customWidth="1"/>
    <col min="5" max="16384" width="8.796875" style="2"/>
  </cols>
  <sheetData>
    <row r="1" spans="1:22" ht="79.95" customHeight="1">
      <c r="A1" s="2" t="str">
        <f>EDİT!A1</f>
        <v>H1W6VRVJMEH-050</v>
      </c>
      <c r="B1" s="2" t="str">
        <f>UPPER(IFERROR(EDİT!C1,""))</f>
        <v>SAMBRO KAHVERENGİ DERİ APLİK</v>
      </c>
      <c r="C1" s="2" t="str">
        <f>IFERROR(EDİT!B1,"")</f>
        <v>sambro-kahverengi-deri-aplik</v>
      </c>
      <c r="D1" s="2" t="str">
        <f>IFERROR(CONCATENATE("Z:\HEKA\000_HEKATasarımlar\009_Üretim Tasarımları\QR KOD BARKOD\QRCODES\",C1,".png"),"")</f>
        <v>Z:\HEKA\000_HEKATasarımlar\009_Üretim Tasarımları\QR KOD BARKOD\QRCODES\sambro-kahverengi-deri-aplik.png</v>
      </c>
      <c r="M1" s="14" t="s">
        <v>5321</v>
      </c>
      <c r="N1" s="14"/>
      <c r="O1" s="14"/>
      <c r="P1" s="14"/>
      <c r="Q1" s="14"/>
      <c r="R1" s="14"/>
      <c r="S1" s="14"/>
      <c r="T1" s="14"/>
      <c r="U1" s="14"/>
      <c r="V1" s="14"/>
    </row>
    <row r="2" spans="1:22" ht="79.95" customHeight="1">
      <c r="A2" s="2" t="e">
        <f>EDİT!#REF!</f>
        <v>#REF!</v>
      </c>
      <c r="B2" s="2" t="str">
        <f>UPPER(IFERROR(EDİT!#REF!,""))</f>
        <v/>
      </c>
      <c r="C2" s="2" t="str">
        <f>IFERROR(EDİT!#REF!,"")</f>
        <v/>
      </c>
      <c r="D2" s="2" t="str">
        <f>IFERROR(CONCATENATE("Z:\HEKA\000_HEKATasarımlar\009_Üretim Tasarımları\QR KOD BARKOD\QRCODES\",C2,".png"),"")</f>
        <v>Z:\HEKA\000_HEKATasarımlar\009_Üretim Tasarımları\QR KOD BARKOD\QRCODES\.png</v>
      </c>
      <c r="M2" s="15" t="s">
        <v>5320</v>
      </c>
      <c r="N2" s="15"/>
      <c r="O2" s="15"/>
      <c r="P2" s="15"/>
      <c r="Q2" s="15"/>
      <c r="R2" s="15"/>
      <c r="S2" s="15"/>
      <c r="T2" s="15"/>
      <c r="U2" s="15"/>
      <c r="V2" s="15"/>
    </row>
    <row r="3" spans="1:22" ht="79.95" customHeight="1">
      <c r="A3" s="2" t="e">
        <f>EDİT!#REF!</f>
        <v>#REF!</v>
      </c>
      <c r="B3" s="2" t="str">
        <f>UPPER(IFERROR(EDİT!#REF!,""))</f>
        <v/>
      </c>
      <c r="C3" s="2" t="str">
        <f>IFERROR(EDİT!#REF!,"")</f>
        <v/>
      </c>
      <c r="D3" s="2" t="str">
        <f t="shared" ref="D3:D65" si="0">IFERROR(CONCATENATE("Z:\HEKA\000_HEKATasarımlar\009_Üretim Tasarımları\QR KOD BARKOD\QRCODES\",C3,".png"),"")</f>
        <v>Z:\HEKA\000_HEKATasarımlar\009_Üretim Tasarımları\QR KOD BARKOD\QRCODES\.png</v>
      </c>
      <c r="M3" s="15"/>
      <c r="N3" s="15"/>
      <c r="O3" s="15"/>
      <c r="P3" s="15"/>
      <c r="Q3" s="15"/>
      <c r="R3" s="15"/>
      <c r="S3" s="15"/>
      <c r="T3" s="15"/>
      <c r="U3" s="15"/>
      <c r="V3" s="15"/>
    </row>
    <row r="4" spans="1:22" ht="79.95" customHeight="1">
      <c r="A4" s="2" t="e">
        <f>EDİT!#REF!</f>
        <v>#REF!</v>
      </c>
      <c r="B4" s="2" t="str">
        <f>UPPER(IFERROR(EDİT!#REF!,""))</f>
        <v/>
      </c>
      <c r="C4" s="2" t="str">
        <f>IFERROR(EDİT!#REF!,"")</f>
        <v/>
      </c>
      <c r="D4" s="2" t="str">
        <f t="shared" si="0"/>
        <v>Z:\HEKA\000_HEKATasarımlar\009_Üretim Tasarımları\QR KOD BARKOD\QRCODES\.png</v>
      </c>
      <c r="M4" s="15"/>
      <c r="N4" s="15"/>
      <c r="O4" s="15"/>
      <c r="P4" s="15"/>
      <c r="Q4" s="15"/>
      <c r="R4" s="15"/>
      <c r="S4" s="15"/>
      <c r="T4" s="15"/>
      <c r="U4" s="15"/>
      <c r="V4" s="15"/>
    </row>
    <row r="5" spans="1:22" ht="79.95" customHeight="1">
      <c r="A5" s="2" t="e">
        <f>EDİT!#REF!</f>
        <v>#REF!</v>
      </c>
      <c r="B5" s="2" t="str">
        <f>UPPER(IFERROR(EDİT!#REF!,""))</f>
        <v/>
      </c>
      <c r="C5" s="2" t="str">
        <f>IFERROR(EDİT!#REF!,"")</f>
        <v/>
      </c>
      <c r="D5" s="2" t="str">
        <f t="shared" si="0"/>
        <v>Z:\HEKA\000_HEKATasarımlar\009_Üretim Tasarımları\QR KOD BARKOD\QRCODES\.png</v>
      </c>
    </row>
    <row r="6" spans="1:22" ht="79.95" customHeight="1">
      <c r="A6" s="2" t="e">
        <f>EDİT!#REF!</f>
        <v>#REF!</v>
      </c>
      <c r="B6" s="2" t="str">
        <f>UPPER(IFERROR(EDİT!#REF!,""))</f>
        <v/>
      </c>
      <c r="C6" s="2" t="str">
        <f>IFERROR(EDİT!#REF!,"")</f>
        <v/>
      </c>
      <c r="D6" s="2" t="str">
        <f t="shared" si="0"/>
        <v>Z:\HEKA\000_HEKATasarımlar\009_Üretim Tasarımları\QR KOD BARKOD\QRCODES\.png</v>
      </c>
    </row>
    <row r="7" spans="1:22" ht="79.95" customHeight="1">
      <c r="A7" s="2" t="e">
        <f>EDİT!#REF!</f>
        <v>#REF!</v>
      </c>
      <c r="B7" s="2" t="str">
        <f>UPPER(IFERROR(EDİT!#REF!,""))</f>
        <v/>
      </c>
      <c r="C7" s="2" t="str">
        <f>IFERROR(EDİT!#REF!,"")</f>
        <v/>
      </c>
      <c r="D7" s="2" t="str">
        <f t="shared" si="0"/>
        <v>Z:\HEKA\000_HEKATasarımlar\009_Üretim Tasarımları\QR KOD BARKOD\QRCODES\.png</v>
      </c>
    </row>
    <row r="8" spans="1:22" ht="79.95" customHeight="1">
      <c r="A8" s="2" t="e">
        <f>EDİT!#REF!</f>
        <v>#REF!</v>
      </c>
      <c r="B8" s="2" t="str">
        <f>UPPER(IFERROR(EDİT!#REF!,""))</f>
        <v/>
      </c>
      <c r="C8" s="2" t="str">
        <f>IFERROR(EDİT!#REF!,"")</f>
        <v/>
      </c>
      <c r="D8" s="2" t="str">
        <f t="shared" si="0"/>
        <v>Z:\HEKA\000_HEKATasarımlar\009_Üretim Tasarımları\QR KOD BARKOD\QRCODES\.png</v>
      </c>
    </row>
    <row r="9" spans="1:22" ht="79.95" customHeight="1">
      <c r="A9" s="2" t="e">
        <f>EDİT!#REF!</f>
        <v>#REF!</v>
      </c>
      <c r="B9" s="2" t="str">
        <f>UPPER(IFERROR(EDİT!#REF!,""))</f>
        <v/>
      </c>
      <c r="C9" s="2" t="str">
        <f>IFERROR(EDİT!#REF!,"")</f>
        <v/>
      </c>
      <c r="D9" s="2" t="str">
        <f t="shared" si="0"/>
        <v>Z:\HEKA\000_HEKATasarımlar\009_Üretim Tasarımları\QR KOD BARKOD\QRCODES\.png</v>
      </c>
    </row>
    <row r="10" spans="1:22" ht="79.95" customHeight="1">
      <c r="A10" s="2" t="e">
        <f>EDİT!#REF!</f>
        <v>#REF!</v>
      </c>
      <c r="B10" s="2" t="str">
        <f>UPPER(IFERROR(EDİT!#REF!,""))</f>
        <v/>
      </c>
      <c r="C10" s="2" t="str">
        <f>IFERROR(EDİT!#REF!,"")</f>
        <v/>
      </c>
      <c r="D10" s="2" t="str">
        <f t="shared" si="0"/>
        <v>Z:\HEKA\000_HEKATasarımlar\009_Üretim Tasarımları\QR KOD BARKOD\QRCODES\.png</v>
      </c>
    </row>
    <row r="11" spans="1:22" ht="79.95" customHeight="1">
      <c r="A11" s="2" t="e">
        <f>EDİT!#REF!</f>
        <v>#REF!</v>
      </c>
      <c r="B11" s="2" t="str">
        <f>UPPER(IFERROR(EDİT!#REF!,""))</f>
        <v/>
      </c>
      <c r="C11" s="2" t="str">
        <f>IFERROR(EDİT!#REF!,"")</f>
        <v/>
      </c>
      <c r="D11" s="2" t="str">
        <f t="shared" si="0"/>
        <v>Z:\HEKA\000_HEKATasarımlar\009_Üretim Tasarımları\QR KOD BARKOD\QRCODES\.png</v>
      </c>
    </row>
    <row r="12" spans="1:22" ht="79.95" customHeight="1">
      <c r="A12" s="2" t="e">
        <f>EDİT!#REF!</f>
        <v>#REF!</v>
      </c>
      <c r="B12" s="2" t="str">
        <f>UPPER(IFERROR(EDİT!#REF!,""))</f>
        <v/>
      </c>
      <c r="C12" s="2" t="str">
        <f>IFERROR(EDİT!#REF!,"")</f>
        <v/>
      </c>
      <c r="D12" s="2" t="str">
        <f t="shared" si="0"/>
        <v>Z:\HEKA\000_HEKATasarımlar\009_Üretim Tasarımları\QR KOD BARKOD\QRCODES\.png</v>
      </c>
    </row>
    <row r="13" spans="1:22" ht="79.95" customHeight="1">
      <c r="A13" s="2" t="e">
        <f>EDİT!#REF!</f>
        <v>#REF!</v>
      </c>
      <c r="B13" s="2" t="str">
        <f>UPPER(IFERROR(EDİT!#REF!,""))</f>
        <v/>
      </c>
      <c r="C13" s="2" t="str">
        <f>IFERROR(EDİT!#REF!,"")</f>
        <v/>
      </c>
      <c r="D13" s="2" t="str">
        <f t="shared" si="0"/>
        <v>Z:\HEKA\000_HEKATasarımlar\009_Üretim Tasarımları\QR KOD BARKOD\QRCODES\.png</v>
      </c>
    </row>
    <row r="14" spans="1:22" ht="79.95" customHeight="1">
      <c r="A14" s="2" t="e">
        <f>EDİT!#REF!</f>
        <v>#REF!</v>
      </c>
      <c r="B14" s="2" t="str">
        <f>UPPER(IFERROR(EDİT!#REF!,""))</f>
        <v/>
      </c>
      <c r="C14" s="2" t="str">
        <f>IFERROR(EDİT!#REF!,"")</f>
        <v/>
      </c>
      <c r="D14" s="2" t="str">
        <f t="shared" si="0"/>
        <v>Z:\HEKA\000_HEKATasarımlar\009_Üretim Tasarımları\QR KOD BARKOD\QRCODES\.png</v>
      </c>
    </row>
    <row r="15" spans="1:22" ht="79.95" customHeight="1">
      <c r="A15" s="2" t="e">
        <f>EDİT!#REF!</f>
        <v>#REF!</v>
      </c>
      <c r="B15" s="2" t="str">
        <f>UPPER(IFERROR(EDİT!#REF!,""))</f>
        <v/>
      </c>
      <c r="C15" s="2" t="str">
        <f>IFERROR(EDİT!#REF!,"")</f>
        <v/>
      </c>
      <c r="D15" s="2" t="str">
        <f t="shared" si="0"/>
        <v>Z:\HEKA\000_HEKATasarımlar\009_Üretim Tasarımları\QR KOD BARKOD\QRCODES\.png</v>
      </c>
    </row>
    <row r="16" spans="1:22" ht="79.95" customHeight="1">
      <c r="A16" s="2" t="e">
        <f>EDİT!#REF!</f>
        <v>#REF!</v>
      </c>
      <c r="B16" s="2" t="str">
        <f>UPPER(IFERROR(EDİT!#REF!,""))</f>
        <v/>
      </c>
      <c r="C16" s="2" t="str">
        <f>IFERROR(EDİT!#REF!,"")</f>
        <v/>
      </c>
      <c r="D16" s="2" t="str">
        <f t="shared" si="0"/>
        <v>Z:\HEKA\000_HEKATasarımlar\009_Üretim Tasarımları\QR KOD BARKOD\QRCODES\.png</v>
      </c>
    </row>
    <row r="17" spans="1:4" ht="79.95" customHeight="1">
      <c r="A17" s="2" t="e">
        <f>EDİT!#REF!</f>
        <v>#REF!</v>
      </c>
      <c r="B17" s="2" t="str">
        <f>UPPER(IFERROR(EDİT!#REF!,""))</f>
        <v/>
      </c>
      <c r="C17" s="2" t="str">
        <f>IFERROR(EDİT!#REF!,"")</f>
        <v/>
      </c>
      <c r="D17" s="2" t="str">
        <f t="shared" si="0"/>
        <v>Z:\HEKA\000_HEKATasarımlar\009_Üretim Tasarımları\QR KOD BARKOD\QRCODES\.png</v>
      </c>
    </row>
    <row r="18" spans="1:4" ht="79.95" customHeight="1">
      <c r="A18" s="2" t="e">
        <f>EDİT!#REF!</f>
        <v>#REF!</v>
      </c>
      <c r="B18" s="2" t="str">
        <f>UPPER(IFERROR(EDİT!#REF!,""))</f>
        <v/>
      </c>
      <c r="C18" s="2" t="str">
        <f>IFERROR(EDİT!#REF!,"")</f>
        <v/>
      </c>
      <c r="D18" s="2" t="str">
        <f t="shared" si="0"/>
        <v>Z:\HEKA\000_HEKATasarımlar\009_Üretim Tasarımları\QR KOD BARKOD\QRCODES\.png</v>
      </c>
    </row>
    <row r="19" spans="1:4" ht="79.95" customHeight="1">
      <c r="A19" s="2" t="e">
        <f>EDİT!#REF!</f>
        <v>#REF!</v>
      </c>
      <c r="B19" s="2" t="str">
        <f>UPPER(IFERROR(EDİT!#REF!,""))</f>
        <v/>
      </c>
      <c r="C19" s="2" t="str">
        <f>IFERROR(EDİT!#REF!,"")</f>
        <v/>
      </c>
      <c r="D19" s="2" t="str">
        <f t="shared" si="0"/>
        <v>Z:\HEKA\000_HEKATasarımlar\009_Üretim Tasarımları\QR KOD BARKOD\QRCODES\.png</v>
      </c>
    </row>
    <row r="20" spans="1:4" ht="79.95" customHeight="1">
      <c r="A20" s="2" t="e">
        <f>EDİT!#REF!</f>
        <v>#REF!</v>
      </c>
      <c r="B20" s="2" t="str">
        <f>UPPER(IFERROR(EDİT!#REF!,""))</f>
        <v/>
      </c>
      <c r="C20" s="2" t="str">
        <f>IFERROR(EDİT!#REF!,"")</f>
        <v/>
      </c>
      <c r="D20" s="2" t="str">
        <f t="shared" si="0"/>
        <v>Z:\HEKA\000_HEKATasarımlar\009_Üretim Tasarımları\QR KOD BARKOD\QRCODES\.png</v>
      </c>
    </row>
    <row r="21" spans="1:4" ht="79.95" customHeight="1">
      <c r="A21" s="2" t="e">
        <f>EDİT!#REF!</f>
        <v>#REF!</v>
      </c>
      <c r="B21" s="2" t="str">
        <f>UPPER(IFERROR(EDİT!#REF!,""))</f>
        <v/>
      </c>
      <c r="C21" s="2" t="str">
        <f>IFERROR(EDİT!#REF!,"")</f>
        <v/>
      </c>
      <c r="D21" s="2" t="str">
        <f t="shared" si="0"/>
        <v>Z:\HEKA\000_HEKATasarımlar\009_Üretim Tasarımları\QR KOD BARKOD\QRCODES\.png</v>
      </c>
    </row>
    <row r="22" spans="1:4" ht="79.95" customHeight="1">
      <c r="A22" s="2" t="e">
        <f>EDİT!#REF!</f>
        <v>#REF!</v>
      </c>
      <c r="B22" s="2" t="str">
        <f>UPPER(IFERROR(EDİT!#REF!,""))</f>
        <v/>
      </c>
      <c r="C22" s="2" t="str">
        <f>IFERROR(EDİT!#REF!,"")</f>
        <v/>
      </c>
      <c r="D22" s="2" t="str">
        <f t="shared" si="0"/>
        <v>Z:\HEKA\000_HEKATasarımlar\009_Üretim Tasarımları\QR KOD BARKOD\QRCODES\.png</v>
      </c>
    </row>
    <row r="23" spans="1:4" ht="79.95" customHeight="1">
      <c r="A23" s="2" t="e">
        <f>EDİT!#REF!</f>
        <v>#REF!</v>
      </c>
      <c r="B23" s="2" t="str">
        <f>UPPER(IFERROR(EDİT!#REF!,""))</f>
        <v/>
      </c>
      <c r="C23" s="2" t="str">
        <f>IFERROR(EDİT!#REF!,"")</f>
        <v/>
      </c>
      <c r="D23" s="2" t="str">
        <f t="shared" si="0"/>
        <v>Z:\HEKA\000_HEKATasarımlar\009_Üretim Tasarımları\QR KOD BARKOD\QRCODES\.png</v>
      </c>
    </row>
    <row r="24" spans="1:4" ht="79.95" customHeight="1">
      <c r="A24" s="2" t="e">
        <f>EDİT!#REF!</f>
        <v>#REF!</v>
      </c>
      <c r="B24" s="2" t="str">
        <f>UPPER(IFERROR(EDİT!#REF!,""))</f>
        <v/>
      </c>
      <c r="C24" s="2" t="str">
        <f>IFERROR(EDİT!#REF!,"")</f>
        <v/>
      </c>
      <c r="D24" s="2" t="str">
        <f t="shared" si="0"/>
        <v>Z:\HEKA\000_HEKATasarımlar\009_Üretim Tasarımları\QR KOD BARKOD\QRCODES\.png</v>
      </c>
    </row>
    <row r="25" spans="1:4" ht="79.95" customHeight="1">
      <c r="A25" s="2" t="e">
        <f>EDİT!#REF!</f>
        <v>#REF!</v>
      </c>
      <c r="B25" s="2" t="str">
        <f>UPPER(IFERROR(EDİT!#REF!,""))</f>
        <v/>
      </c>
      <c r="C25" s="2" t="str">
        <f>IFERROR(EDİT!#REF!,"")</f>
        <v/>
      </c>
      <c r="D25" s="2" t="str">
        <f t="shared" si="0"/>
        <v>Z:\HEKA\000_HEKATasarımlar\009_Üretim Tasarımları\QR KOD BARKOD\QRCODES\.png</v>
      </c>
    </row>
    <row r="26" spans="1:4" ht="79.95" customHeight="1">
      <c r="A26" s="2" t="e">
        <f>EDİT!#REF!</f>
        <v>#REF!</v>
      </c>
      <c r="B26" s="2" t="str">
        <f>UPPER(IFERROR(EDİT!#REF!,""))</f>
        <v/>
      </c>
      <c r="C26" s="2" t="str">
        <f>IFERROR(EDİT!#REF!,"")</f>
        <v/>
      </c>
      <c r="D26" s="2" t="str">
        <f t="shared" si="0"/>
        <v>Z:\HEKA\000_HEKATasarımlar\009_Üretim Tasarımları\QR KOD BARKOD\QRCODES\.png</v>
      </c>
    </row>
    <row r="27" spans="1:4" ht="79.95" customHeight="1">
      <c r="A27" s="2" t="e">
        <f>EDİT!#REF!</f>
        <v>#REF!</v>
      </c>
      <c r="B27" s="2" t="str">
        <f>UPPER(IFERROR(EDİT!#REF!,""))</f>
        <v/>
      </c>
      <c r="C27" s="2" t="str">
        <f>IFERROR(EDİT!#REF!,"")</f>
        <v/>
      </c>
      <c r="D27" s="2" t="str">
        <f t="shared" si="0"/>
        <v>Z:\HEKA\000_HEKATasarımlar\009_Üretim Tasarımları\QR KOD BARKOD\QRCODES\.png</v>
      </c>
    </row>
    <row r="28" spans="1:4" ht="79.95" customHeight="1">
      <c r="A28" s="2" t="e">
        <f>EDİT!#REF!</f>
        <v>#REF!</v>
      </c>
      <c r="B28" s="2" t="str">
        <f>UPPER(IFERROR(EDİT!#REF!,""))</f>
        <v/>
      </c>
      <c r="C28" s="2" t="str">
        <f>IFERROR(EDİT!#REF!,"")</f>
        <v/>
      </c>
      <c r="D28" s="2" t="str">
        <f t="shared" si="0"/>
        <v>Z:\HEKA\000_HEKATasarımlar\009_Üretim Tasarımları\QR KOD BARKOD\QRCODES\.png</v>
      </c>
    </row>
    <row r="29" spans="1:4" ht="79.95" customHeight="1">
      <c r="A29" s="2" t="e">
        <f>EDİT!#REF!</f>
        <v>#REF!</v>
      </c>
      <c r="B29" s="2" t="str">
        <f>UPPER(IFERROR(EDİT!#REF!,""))</f>
        <v/>
      </c>
      <c r="C29" s="2" t="str">
        <f>IFERROR(EDİT!#REF!,"")</f>
        <v/>
      </c>
      <c r="D29" s="2" t="str">
        <f t="shared" si="0"/>
        <v>Z:\HEKA\000_HEKATasarımlar\009_Üretim Tasarımları\QR KOD BARKOD\QRCODES\.png</v>
      </c>
    </row>
    <row r="30" spans="1:4" ht="79.95" customHeight="1">
      <c r="A30" s="2" t="e">
        <f>EDİT!#REF!</f>
        <v>#REF!</v>
      </c>
      <c r="B30" s="2" t="str">
        <f>UPPER(IFERROR(EDİT!#REF!,""))</f>
        <v/>
      </c>
      <c r="C30" s="2" t="str">
        <f>IFERROR(EDİT!#REF!,"")</f>
        <v/>
      </c>
      <c r="D30" s="2" t="str">
        <f t="shared" si="0"/>
        <v>Z:\HEKA\000_HEKATasarımlar\009_Üretim Tasarımları\QR KOD BARKOD\QRCODES\.png</v>
      </c>
    </row>
    <row r="31" spans="1:4" ht="79.95" customHeight="1">
      <c r="A31" s="2" t="e">
        <f>EDİT!#REF!</f>
        <v>#REF!</v>
      </c>
      <c r="B31" s="2" t="str">
        <f>UPPER(IFERROR(EDİT!#REF!,""))</f>
        <v/>
      </c>
      <c r="C31" s="2" t="str">
        <f>IFERROR(EDİT!#REF!,"")</f>
        <v/>
      </c>
      <c r="D31" s="2" t="str">
        <f t="shared" si="0"/>
        <v>Z:\HEKA\000_HEKATasarımlar\009_Üretim Tasarımları\QR KOD BARKOD\QRCODES\.png</v>
      </c>
    </row>
    <row r="32" spans="1:4" ht="79.95" customHeight="1">
      <c r="A32" s="2" t="e">
        <f>EDİT!#REF!</f>
        <v>#REF!</v>
      </c>
      <c r="B32" s="2" t="str">
        <f>UPPER(IFERROR(EDİT!#REF!,""))</f>
        <v/>
      </c>
      <c r="C32" s="2" t="str">
        <f>IFERROR(EDİT!#REF!,"")</f>
        <v/>
      </c>
      <c r="D32" s="2" t="str">
        <f t="shared" si="0"/>
        <v>Z:\HEKA\000_HEKATasarımlar\009_Üretim Tasarımları\QR KOD BARKOD\QRCODES\.png</v>
      </c>
    </row>
    <row r="33" spans="1:4" ht="79.95" customHeight="1">
      <c r="A33" s="2" t="e">
        <f>EDİT!#REF!</f>
        <v>#REF!</v>
      </c>
      <c r="B33" s="2" t="str">
        <f>UPPER(IFERROR(EDİT!#REF!,""))</f>
        <v/>
      </c>
      <c r="C33" s="2" t="str">
        <f>IFERROR(EDİT!#REF!,"")</f>
        <v/>
      </c>
      <c r="D33" s="2" t="str">
        <f t="shared" si="0"/>
        <v>Z:\HEKA\000_HEKATasarımlar\009_Üretim Tasarımları\QR KOD BARKOD\QRCODES\.png</v>
      </c>
    </row>
    <row r="34" spans="1:4" ht="79.95" customHeight="1">
      <c r="A34" s="2" t="e">
        <f>EDİT!#REF!</f>
        <v>#REF!</v>
      </c>
      <c r="B34" s="2" t="str">
        <f>UPPER(IFERROR(EDİT!#REF!,""))</f>
        <v/>
      </c>
      <c r="C34" s="2" t="str">
        <f>IFERROR(EDİT!#REF!,"")</f>
        <v/>
      </c>
      <c r="D34" s="2" t="str">
        <f t="shared" si="0"/>
        <v>Z:\HEKA\000_HEKATasarımlar\009_Üretim Tasarımları\QR KOD BARKOD\QRCODES\.png</v>
      </c>
    </row>
    <row r="35" spans="1:4" ht="79.95" customHeight="1">
      <c r="A35" s="2" t="e">
        <f>EDİT!#REF!</f>
        <v>#REF!</v>
      </c>
      <c r="B35" s="2" t="str">
        <f>UPPER(IFERROR(EDİT!#REF!,""))</f>
        <v/>
      </c>
      <c r="C35" s="2" t="str">
        <f>IFERROR(EDİT!#REF!,"")</f>
        <v/>
      </c>
      <c r="D35" s="2" t="str">
        <f t="shared" si="0"/>
        <v>Z:\HEKA\000_HEKATasarımlar\009_Üretim Tasarımları\QR KOD BARKOD\QRCODES\.png</v>
      </c>
    </row>
    <row r="36" spans="1:4" ht="79.95" customHeight="1">
      <c r="A36" s="2" t="e">
        <f>EDİT!#REF!</f>
        <v>#REF!</v>
      </c>
      <c r="B36" s="2" t="str">
        <f>UPPER(IFERROR(EDİT!#REF!,""))</f>
        <v/>
      </c>
      <c r="C36" s="2" t="str">
        <f>IFERROR(EDİT!#REF!,"")</f>
        <v/>
      </c>
      <c r="D36" s="2" t="str">
        <f t="shared" si="0"/>
        <v>Z:\HEKA\000_HEKATasarımlar\009_Üretim Tasarımları\QR KOD BARKOD\QRCODES\.png</v>
      </c>
    </row>
    <row r="37" spans="1:4" ht="79.95" customHeight="1">
      <c r="A37" s="2" t="e">
        <f>EDİT!#REF!</f>
        <v>#REF!</v>
      </c>
      <c r="B37" s="2" t="str">
        <f>UPPER(IFERROR(EDİT!#REF!,""))</f>
        <v/>
      </c>
      <c r="C37" s="2" t="str">
        <f>IFERROR(EDİT!#REF!,"")</f>
        <v/>
      </c>
      <c r="D37" s="2" t="str">
        <f t="shared" si="0"/>
        <v>Z:\HEKA\000_HEKATasarımlar\009_Üretim Tasarımları\QR KOD BARKOD\QRCODES\.png</v>
      </c>
    </row>
    <row r="38" spans="1:4" ht="79.95" customHeight="1">
      <c r="A38" s="2" t="e">
        <f>EDİT!#REF!</f>
        <v>#REF!</v>
      </c>
      <c r="B38" s="2" t="str">
        <f>UPPER(IFERROR(EDİT!#REF!,""))</f>
        <v/>
      </c>
      <c r="C38" s="2" t="str">
        <f>IFERROR(EDİT!#REF!,"")</f>
        <v/>
      </c>
      <c r="D38" s="2" t="str">
        <f t="shared" si="0"/>
        <v>Z:\HEKA\000_HEKATasarımlar\009_Üretim Tasarımları\QR KOD BARKOD\QRCODES\.png</v>
      </c>
    </row>
    <row r="39" spans="1:4" ht="79.95" customHeight="1">
      <c r="A39" s="2" t="e">
        <f>EDİT!#REF!</f>
        <v>#REF!</v>
      </c>
      <c r="B39" s="2" t="str">
        <f>UPPER(IFERROR(EDİT!#REF!,""))</f>
        <v/>
      </c>
      <c r="C39" s="2" t="str">
        <f>IFERROR(EDİT!#REF!,"")</f>
        <v/>
      </c>
      <c r="D39" s="2" t="str">
        <f t="shared" si="0"/>
        <v>Z:\HEKA\000_HEKATasarımlar\009_Üretim Tasarımları\QR KOD BARKOD\QRCODES\.png</v>
      </c>
    </row>
    <row r="40" spans="1:4" ht="79.95" customHeight="1">
      <c r="A40" s="2" t="e">
        <f>EDİT!#REF!</f>
        <v>#REF!</v>
      </c>
      <c r="B40" s="2" t="str">
        <f>UPPER(IFERROR(EDİT!#REF!,""))</f>
        <v/>
      </c>
      <c r="C40" s="2" t="str">
        <f>IFERROR(EDİT!#REF!,"")</f>
        <v/>
      </c>
      <c r="D40" s="2" t="str">
        <f t="shared" si="0"/>
        <v>Z:\HEKA\000_HEKATasarımlar\009_Üretim Tasarımları\QR KOD BARKOD\QRCODES\.png</v>
      </c>
    </row>
    <row r="41" spans="1:4" ht="79.95" customHeight="1">
      <c r="A41" s="2" t="e">
        <f>EDİT!#REF!</f>
        <v>#REF!</v>
      </c>
      <c r="B41" s="2" t="str">
        <f>UPPER(IFERROR(EDİT!#REF!,""))</f>
        <v/>
      </c>
      <c r="C41" s="2" t="str">
        <f>IFERROR(EDİT!#REF!,"")</f>
        <v/>
      </c>
      <c r="D41" s="2" t="str">
        <f t="shared" si="0"/>
        <v>Z:\HEKA\000_HEKATasarımlar\009_Üretim Tasarımları\QR KOD BARKOD\QRCODES\.png</v>
      </c>
    </row>
    <row r="42" spans="1:4" ht="79.95" customHeight="1">
      <c r="A42" s="2" t="e">
        <f>EDİT!#REF!</f>
        <v>#REF!</v>
      </c>
      <c r="B42" s="2" t="str">
        <f>UPPER(IFERROR(EDİT!#REF!,""))</f>
        <v/>
      </c>
      <c r="C42" s="2" t="str">
        <f>IFERROR(EDİT!#REF!,"")</f>
        <v/>
      </c>
      <c r="D42" s="2" t="str">
        <f t="shared" si="0"/>
        <v>Z:\HEKA\000_HEKATasarımlar\009_Üretim Tasarımları\QR KOD BARKOD\QRCODES\.png</v>
      </c>
    </row>
    <row r="43" spans="1:4" ht="79.95" customHeight="1">
      <c r="A43" s="2" t="e">
        <f>EDİT!#REF!</f>
        <v>#REF!</v>
      </c>
      <c r="B43" s="2" t="str">
        <f>UPPER(IFERROR(EDİT!#REF!,""))</f>
        <v/>
      </c>
      <c r="C43" s="2" t="str">
        <f>IFERROR(EDİT!#REF!,"")</f>
        <v/>
      </c>
      <c r="D43" s="2" t="str">
        <f t="shared" si="0"/>
        <v>Z:\HEKA\000_HEKATasarımlar\009_Üretim Tasarımları\QR KOD BARKOD\QRCODES\.png</v>
      </c>
    </row>
    <row r="44" spans="1:4" ht="79.95" customHeight="1">
      <c r="A44" s="2" t="e">
        <f>EDİT!#REF!</f>
        <v>#REF!</v>
      </c>
      <c r="B44" s="2" t="str">
        <f>UPPER(IFERROR(EDİT!#REF!,""))</f>
        <v/>
      </c>
      <c r="C44" s="2" t="str">
        <f>IFERROR(EDİT!#REF!,"")</f>
        <v/>
      </c>
      <c r="D44" s="2" t="str">
        <f t="shared" si="0"/>
        <v>Z:\HEKA\000_HEKATasarımlar\009_Üretim Tasarımları\QR KOD BARKOD\QRCODES\.png</v>
      </c>
    </row>
    <row r="45" spans="1:4" ht="79.95" customHeight="1">
      <c r="A45" s="2" t="e">
        <f>EDİT!#REF!</f>
        <v>#REF!</v>
      </c>
      <c r="B45" s="2" t="str">
        <f>UPPER(IFERROR(EDİT!#REF!,""))</f>
        <v/>
      </c>
      <c r="C45" s="2" t="str">
        <f>IFERROR(EDİT!#REF!,"")</f>
        <v/>
      </c>
      <c r="D45" s="2" t="str">
        <f t="shared" si="0"/>
        <v>Z:\HEKA\000_HEKATasarımlar\009_Üretim Tasarımları\QR KOD BARKOD\QRCODES\.png</v>
      </c>
    </row>
    <row r="46" spans="1:4" ht="79.95" customHeight="1">
      <c r="A46" s="2" t="e">
        <f>EDİT!#REF!</f>
        <v>#REF!</v>
      </c>
      <c r="B46" s="2" t="str">
        <f>UPPER(IFERROR(EDİT!#REF!,""))</f>
        <v/>
      </c>
      <c r="C46" s="2" t="str">
        <f>IFERROR(EDİT!#REF!,"")</f>
        <v/>
      </c>
      <c r="D46" s="2" t="str">
        <f t="shared" si="0"/>
        <v>Z:\HEKA\000_HEKATasarımlar\009_Üretim Tasarımları\QR KOD BARKOD\QRCODES\.png</v>
      </c>
    </row>
    <row r="47" spans="1:4" ht="79.95" customHeight="1">
      <c r="A47" s="2" t="e">
        <f>EDİT!#REF!</f>
        <v>#REF!</v>
      </c>
      <c r="B47" s="2" t="str">
        <f>UPPER(IFERROR(EDİT!#REF!,""))</f>
        <v/>
      </c>
      <c r="C47" s="2" t="str">
        <f>IFERROR(EDİT!#REF!,"")</f>
        <v/>
      </c>
      <c r="D47" s="2" t="str">
        <f t="shared" si="0"/>
        <v>Z:\HEKA\000_HEKATasarımlar\009_Üretim Tasarımları\QR KOD BARKOD\QRCODES\.png</v>
      </c>
    </row>
    <row r="48" spans="1:4" ht="79.95" customHeight="1">
      <c r="A48" s="2" t="e">
        <f>EDİT!#REF!</f>
        <v>#REF!</v>
      </c>
      <c r="B48" s="2" t="str">
        <f>UPPER(IFERROR(EDİT!#REF!,""))</f>
        <v/>
      </c>
      <c r="C48" s="2" t="str">
        <f>IFERROR(EDİT!#REF!,"")</f>
        <v/>
      </c>
      <c r="D48" s="2" t="str">
        <f t="shared" si="0"/>
        <v>Z:\HEKA\000_HEKATasarımlar\009_Üretim Tasarımları\QR KOD BARKOD\QRCODES\.png</v>
      </c>
    </row>
    <row r="49" spans="1:4" ht="79.95" customHeight="1">
      <c r="A49" s="2" t="e">
        <f>EDİT!#REF!</f>
        <v>#REF!</v>
      </c>
      <c r="B49" s="2" t="str">
        <f>UPPER(IFERROR(EDİT!#REF!,""))</f>
        <v/>
      </c>
      <c r="C49" s="2" t="str">
        <f>IFERROR(EDİT!#REF!,"")</f>
        <v/>
      </c>
      <c r="D49" s="2" t="str">
        <f t="shared" si="0"/>
        <v>Z:\HEKA\000_HEKATasarımlar\009_Üretim Tasarımları\QR KOD BARKOD\QRCODES\.png</v>
      </c>
    </row>
    <row r="50" spans="1:4" ht="79.95" customHeight="1">
      <c r="A50" s="2" t="e">
        <f>EDİT!#REF!</f>
        <v>#REF!</v>
      </c>
      <c r="B50" s="2" t="str">
        <f>UPPER(IFERROR(EDİT!#REF!,""))</f>
        <v/>
      </c>
      <c r="C50" s="2" t="str">
        <f>IFERROR(EDİT!#REF!,"")</f>
        <v/>
      </c>
      <c r="D50" s="2" t="str">
        <f t="shared" si="0"/>
        <v>Z:\HEKA\000_HEKATasarımlar\009_Üretim Tasarımları\QR KOD BARKOD\QRCODES\.png</v>
      </c>
    </row>
    <row r="51" spans="1:4" ht="79.95" customHeight="1">
      <c r="A51" s="2" t="e">
        <f>EDİT!#REF!</f>
        <v>#REF!</v>
      </c>
      <c r="B51" s="2" t="str">
        <f>UPPER(IFERROR(EDİT!#REF!,""))</f>
        <v/>
      </c>
      <c r="C51" s="2" t="str">
        <f>IFERROR(EDİT!#REF!,"")</f>
        <v/>
      </c>
      <c r="D51" s="2" t="str">
        <f t="shared" si="0"/>
        <v>Z:\HEKA\000_HEKATasarımlar\009_Üretim Tasarımları\QR KOD BARKOD\QRCODES\.png</v>
      </c>
    </row>
    <row r="52" spans="1:4" ht="79.95" customHeight="1">
      <c r="A52" s="2" t="e">
        <f>EDİT!#REF!</f>
        <v>#REF!</v>
      </c>
      <c r="B52" s="2" t="str">
        <f>UPPER(IFERROR(EDİT!#REF!,""))</f>
        <v/>
      </c>
      <c r="C52" s="2" t="str">
        <f>IFERROR(EDİT!#REF!,"")</f>
        <v/>
      </c>
      <c r="D52" s="2" t="str">
        <f t="shared" si="0"/>
        <v>Z:\HEKA\000_HEKATasarımlar\009_Üretim Tasarımları\QR KOD BARKOD\QRCODES\.png</v>
      </c>
    </row>
    <row r="53" spans="1:4" ht="79.95" customHeight="1">
      <c r="A53" s="2" t="e">
        <f>EDİT!#REF!</f>
        <v>#REF!</v>
      </c>
      <c r="B53" s="2" t="str">
        <f>UPPER(IFERROR(EDİT!#REF!,""))</f>
        <v/>
      </c>
      <c r="C53" s="2" t="str">
        <f>IFERROR(EDİT!#REF!,"")</f>
        <v/>
      </c>
      <c r="D53" s="2" t="str">
        <f t="shared" si="0"/>
        <v>Z:\HEKA\000_HEKATasarımlar\009_Üretim Tasarımları\QR KOD BARKOD\QRCODES\.png</v>
      </c>
    </row>
    <row r="54" spans="1:4" ht="79.95" customHeight="1">
      <c r="A54" s="2" t="e">
        <f>EDİT!#REF!</f>
        <v>#REF!</v>
      </c>
      <c r="B54" s="2" t="str">
        <f>UPPER(IFERROR(EDİT!#REF!,""))</f>
        <v/>
      </c>
      <c r="C54" s="2" t="str">
        <f>IFERROR(EDİT!#REF!,"")</f>
        <v/>
      </c>
      <c r="D54" s="2" t="str">
        <f t="shared" si="0"/>
        <v>Z:\HEKA\000_HEKATasarımlar\009_Üretim Tasarımları\QR KOD BARKOD\QRCODES\.png</v>
      </c>
    </row>
    <row r="55" spans="1:4" ht="79.95" customHeight="1">
      <c r="A55" s="2" t="e">
        <f>EDİT!#REF!</f>
        <v>#REF!</v>
      </c>
      <c r="B55" s="2" t="str">
        <f>UPPER(IFERROR(EDİT!#REF!,""))</f>
        <v/>
      </c>
      <c r="C55" s="2" t="str">
        <f>IFERROR(EDİT!#REF!,"")</f>
        <v/>
      </c>
      <c r="D55" s="2" t="str">
        <f t="shared" si="0"/>
        <v>Z:\HEKA\000_HEKATasarımlar\009_Üretim Tasarımları\QR KOD BARKOD\QRCODES\.png</v>
      </c>
    </row>
    <row r="56" spans="1:4" ht="79.95" customHeight="1">
      <c r="A56" s="2" t="e">
        <f>EDİT!#REF!</f>
        <v>#REF!</v>
      </c>
      <c r="B56" s="2" t="str">
        <f>UPPER(IFERROR(EDİT!#REF!,""))</f>
        <v/>
      </c>
      <c r="C56" s="2" t="str">
        <f>IFERROR(EDİT!#REF!,"")</f>
        <v/>
      </c>
      <c r="D56" s="2" t="str">
        <f t="shared" si="0"/>
        <v>Z:\HEKA\000_HEKATasarımlar\009_Üretim Tasarımları\QR KOD BARKOD\QRCODES\.png</v>
      </c>
    </row>
    <row r="57" spans="1:4" ht="79.95" customHeight="1">
      <c r="A57" s="2" t="e">
        <f>EDİT!#REF!</f>
        <v>#REF!</v>
      </c>
      <c r="B57" s="2" t="str">
        <f>UPPER(IFERROR(EDİT!#REF!,""))</f>
        <v/>
      </c>
      <c r="C57" s="2" t="str">
        <f>IFERROR(EDİT!#REF!,"")</f>
        <v/>
      </c>
      <c r="D57" s="2" t="str">
        <f t="shared" si="0"/>
        <v>Z:\HEKA\000_HEKATasarımlar\009_Üretim Tasarımları\QR KOD BARKOD\QRCODES\.png</v>
      </c>
    </row>
    <row r="58" spans="1:4" ht="79.95" customHeight="1">
      <c r="A58" s="2" t="e">
        <f>EDİT!#REF!</f>
        <v>#REF!</v>
      </c>
      <c r="B58" s="2" t="str">
        <f>UPPER(IFERROR(EDİT!#REF!,""))</f>
        <v/>
      </c>
      <c r="C58" s="2" t="str">
        <f>IFERROR(EDİT!#REF!,"")</f>
        <v/>
      </c>
      <c r="D58" s="2" t="str">
        <f t="shared" si="0"/>
        <v>Z:\HEKA\000_HEKATasarımlar\009_Üretim Tasarımları\QR KOD BARKOD\QRCODES\.png</v>
      </c>
    </row>
    <row r="59" spans="1:4" ht="79.95" customHeight="1">
      <c r="A59" s="2" t="e">
        <f>EDİT!#REF!</f>
        <v>#REF!</v>
      </c>
      <c r="B59" s="2" t="str">
        <f>UPPER(IFERROR(EDİT!#REF!,""))</f>
        <v/>
      </c>
      <c r="C59" s="2" t="str">
        <f>IFERROR(EDİT!#REF!,"")</f>
        <v/>
      </c>
      <c r="D59" s="2" t="str">
        <f t="shared" si="0"/>
        <v>Z:\HEKA\000_HEKATasarımlar\009_Üretim Tasarımları\QR KOD BARKOD\QRCODES\.png</v>
      </c>
    </row>
    <row r="60" spans="1:4" ht="79.95" customHeight="1">
      <c r="A60" s="2" t="e">
        <f>EDİT!#REF!</f>
        <v>#REF!</v>
      </c>
      <c r="B60" s="2" t="str">
        <f>UPPER(IFERROR(EDİT!#REF!,""))</f>
        <v/>
      </c>
      <c r="C60" s="2" t="str">
        <f>IFERROR(EDİT!#REF!,"")</f>
        <v/>
      </c>
      <c r="D60" s="2" t="str">
        <f t="shared" si="0"/>
        <v>Z:\HEKA\000_HEKATasarımlar\009_Üretim Tasarımları\QR KOD BARKOD\QRCODES\.png</v>
      </c>
    </row>
    <row r="61" spans="1:4" ht="79.95" customHeight="1">
      <c r="A61" s="2" t="e">
        <f>EDİT!#REF!</f>
        <v>#REF!</v>
      </c>
      <c r="B61" s="2" t="str">
        <f>UPPER(IFERROR(EDİT!#REF!,""))</f>
        <v/>
      </c>
      <c r="C61" s="2" t="str">
        <f>IFERROR(EDİT!#REF!,"")</f>
        <v/>
      </c>
      <c r="D61" s="2" t="str">
        <f t="shared" si="0"/>
        <v>Z:\HEKA\000_HEKATasarımlar\009_Üretim Tasarımları\QR KOD BARKOD\QRCODES\.png</v>
      </c>
    </row>
    <row r="62" spans="1:4" ht="79.95" customHeight="1">
      <c r="A62" s="2" t="e">
        <f>EDİT!#REF!</f>
        <v>#REF!</v>
      </c>
      <c r="B62" s="2" t="str">
        <f>UPPER(IFERROR(EDİT!#REF!,""))</f>
        <v/>
      </c>
      <c r="C62" s="2" t="str">
        <f>IFERROR(EDİT!#REF!,"")</f>
        <v/>
      </c>
      <c r="D62" s="2" t="str">
        <f t="shared" si="0"/>
        <v>Z:\HEKA\000_HEKATasarımlar\009_Üretim Tasarımları\QR KOD BARKOD\QRCODES\.png</v>
      </c>
    </row>
    <row r="63" spans="1:4" ht="79.95" customHeight="1">
      <c r="A63" s="2" t="e">
        <f>EDİT!#REF!</f>
        <v>#REF!</v>
      </c>
      <c r="B63" s="2" t="str">
        <f>UPPER(IFERROR(EDİT!#REF!,""))</f>
        <v/>
      </c>
      <c r="C63" s="2" t="str">
        <f>IFERROR(EDİT!#REF!,"")</f>
        <v/>
      </c>
      <c r="D63" s="2" t="str">
        <f t="shared" si="0"/>
        <v>Z:\HEKA\000_HEKATasarımlar\009_Üretim Tasarımları\QR KOD BARKOD\QRCODES\.png</v>
      </c>
    </row>
    <row r="64" spans="1:4" ht="79.95" customHeight="1">
      <c r="A64" s="2" t="e">
        <f>EDİT!#REF!</f>
        <v>#REF!</v>
      </c>
      <c r="B64" s="2" t="str">
        <f>UPPER(IFERROR(EDİT!#REF!,""))</f>
        <v/>
      </c>
      <c r="C64" s="2" t="str">
        <f>IFERROR(EDİT!#REF!,"")</f>
        <v/>
      </c>
      <c r="D64" s="2" t="str">
        <f t="shared" si="0"/>
        <v>Z:\HEKA\000_HEKATasarımlar\009_Üretim Tasarımları\QR KOD BARKOD\QRCODES\.png</v>
      </c>
    </row>
    <row r="65" spans="1:4" ht="79.95" customHeight="1">
      <c r="A65" s="2" t="e">
        <f>EDİT!#REF!</f>
        <v>#REF!</v>
      </c>
      <c r="B65" s="2" t="str">
        <f>UPPER(IFERROR(EDİT!#REF!,""))</f>
        <v/>
      </c>
      <c r="C65" s="2" t="str">
        <f>IFERROR(EDİT!#REF!,"")</f>
        <v/>
      </c>
      <c r="D65" s="2" t="str">
        <f t="shared" si="0"/>
        <v>Z:\HEKA\000_HEKATasarımlar\009_Üretim Tasarımları\QR KOD BARKOD\QRCODES\.png</v>
      </c>
    </row>
    <row r="66" spans="1:4" ht="79.95" customHeight="1">
      <c r="A66" s="2" t="e">
        <f>EDİT!#REF!</f>
        <v>#REF!</v>
      </c>
      <c r="B66" s="2" t="str">
        <f>UPPER(IFERROR(EDİT!#REF!,""))</f>
        <v/>
      </c>
      <c r="C66" s="2" t="str">
        <f>IFERROR(EDİT!#REF!,"")</f>
        <v/>
      </c>
      <c r="D66" s="2" t="str">
        <f t="shared" ref="D66:D129" si="1">IFERROR(CONCATENATE("Z:\HEKA\000_HEKATasarımlar\009_Üretim Tasarımları\QR KOD BARKOD\QRCODES\",C66,".png"),"")</f>
        <v>Z:\HEKA\000_HEKATasarımlar\009_Üretim Tasarımları\QR KOD BARKOD\QRCODES\.png</v>
      </c>
    </row>
    <row r="67" spans="1:4" ht="79.95" customHeight="1">
      <c r="A67" s="2" t="e">
        <f>EDİT!#REF!</f>
        <v>#REF!</v>
      </c>
      <c r="B67" s="2" t="str">
        <f>UPPER(IFERROR(EDİT!#REF!,""))</f>
        <v/>
      </c>
      <c r="C67" s="2" t="str">
        <f>IFERROR(EDİT!#REF!,"")</f>
        <v/>
      </c>
      <c r="D67" s="2" t="str">
        <f t="shared" si="1"/>
        <v>Z:\HEKA\000_HEKATasarımlar\009_Üretim Tasarımları\QR KOD BARKOD\QRCODES\.png</v>
      </c>
    </row>
    <row r="68" spans="1:4" ht="79.95" customHeight="1">
      <c r="A68" s="2" t="e">
        <f>EDİT!#REF!</f>
        <v>#REF!</v>
      </c>
      <c r="B68" s="2" t="str">
        <f>UPPER(IFERROR(EDİT!#REF!,""))</f>
        <v/>
      </c>
      <c r="C68" s="2" t="str">
        <f>IFERROR(EDİT!#REF!,"")</f>
        <v/>
      </c>
      <c r="D68" s="2" t="str">
        <f t="shared" si="1"/>
        <v>Z:\HEKA\000_HEKATasarımlar\009_Üretim Tasarımları\QR KOD BARKOD\QRCODES\.png</v>
      </c>
    </row>
    <row r="69" spans="1:4" ht="79.95" customHeight="1">
      <c r="A69" s="2" t="e">
        <f>EDİT!#REF!</f>
        <v>#REF!</v>
      </c>
      <c r="B69" s="2" t="str">
        <f>UPPER(IFERROR(EDİT!#REF!,""))</f>
        <v/>
      </c>
      <c r="C69" s="2" t="str">
        <f>IFERROR(EDİT!#REF!,"")</f>
        <v/>
      </c>
      <c r="D69" s="2" t="str">
        <f t="shared" si="1"/>
        <v>Z:\HEKA\000_HEKATasarımlar\009_Üretim Tasarımları\QR KOD BARKOD\QRCODES\.png</v>
      </c>
    </row>
    <row r="70" spans="1:4" ht="79.95" customHeight="1">
      <c r="A70" s="2" t="e">
        <f>EDİT!#REF!</f>
        <v>#REF!</v>
      </c>
      <c r="B70" s="2" t="str">
        <f>UPPER(IFERROR(EDİT!#REF!,""))</f>
        <v/>
      </c>
      <c r="C70" s="2" t="str">
        <f>IFERROR(EDİT!#REF!,"")</f>
        <v/>
      </c>
      <c r="D70" s="2" t="str">
        <f t="shared" si="1"/>
        <v>Z:\HEKA\000_HEKATasarımlar\009_Üretim Tasarımları\QR KOD BARKOD\QRCODES\.png</v>
      </c>
    </row>
    <row r="71" spans="1:4" ht="79.95" customHeight="1">
      <c r="A71" s="2" t="e">
        <f>EDİT!#REF!</f>
        <v>#REF!</v>
      </c>
      <c r="B71" s="2" t="str">
        <f>UPPER(IFERROR(EDİT!#REF!,""))</f>
        <v/>
      </c>
      <c r="C71" s="2" t="str">
        <f>IFERROR(EDİT!#REF!,"")</f>
        <v/>
      </c>
      <c r="D71" s="2" t="str">
        <f t="shared" si="1"/>
        <v>Z:\HEKA\000_HEKATasarımlar\009_Üretim Tasarımları\QR KOD BARKOD\QRCODES\.png</v>
      </c>
    </row>
    <row r="72" spans="1:4" ht="79.95" customHeight="1">
      <c r="A72" s="2" t="e">
        <f>EDİT!#REF!</f>
        <v>#REF!</v>
      </c>
      <c r="B72" s="2" t="str">
        <f>UPPER(IFERROR(EDİT!#REF!,""))</f>
        <v/>
      </c>
      <c r="C72" s="2" t="str">
        <f>IFERROR(EDİT!#REF!,"")</f>
        <v/>
      </c>
      <c r="D72" s="2" t="str">
        <f t="shared" si="1"/>
        <v>Z:\HEKA\000_HEKATasarımlar\009_Üretim Tasarımları\QR KOD BARKOD\QRCODES\.png</v>
      </c>
    </row>
    <row r="73" spans="1:4" ht="79.95" customHeight="1">
      <c r="A73" s="2" t="e">
        <f>EDİT!#REF!</f>
        <v>#REF!</v>
      </c>
      <c r="B73" s="2" t="str">
        <f>UPPER(IFERROR(EDİT!#REF!,""))</f>
        <v/>
      </c>
      <c r="C73" s="2" t="str">
        <f>IFERROR(EDİT!#REF!,"")</f>
        <v/>
      </c>
      <c r="D73" s="2" t="str">
        <f t="shared" si="1"/>
        <v>Z:\HEKA\000_HEKATasarımlar\009_Üretim Tasarımları\QR KOD BARKOD\QRCODES\.png</v>
      </c>
    </row>
    <row r="74" spans="1:4" ht="79.95" customHeight="1">
      <c r="A74" s="2" t="e">
        <f>EDİT!#REF!</f>
        <v>#REF!</v>
      </c>
      <c r="B74" s="2" t="str">
        <f>UPPER(IFERROR(EDİT!#REF!,""))</f>
        <v/>
      </c>
      <c r="C74" s="2" t="str">
        <f>IFERROR(EDİT!#REF!,"")</f>
        <v/>
      </c>
      <c r="D74" s="2" t="str">
        <f t="shared" si="1"/>
        <v>Z:\HEKA\000_HEKATasarımlar\009_Üretim Tasarımları\QR KOD BARKOD\QRCODES\.png</v>
      </c>
    </row>
    <row r="75" spans="1:4" ht="79.95" customHeight="1">
      <c r="A75" s="2" t="e">
        <f>EDİT!#REF!</f>
        <v>#REF!</v>
      </c>
      <c r="B75" s="2" t="str">
        <f>UPPER(IFERROR(EDİT!#REF!,""))</f>
        <v/>
      </c>
      <c r="C75" s="2" t="str">
        <f>IFERROR(EDİT!#REF!,"")</f>
        <v/>
      </c>
      <c r="D75" s="2" t="str">
        <f t="shared" si="1"/>
        <v>Z:\HEKA\000_HEKATasarımlar\009_Üretim Tasarımları\QR KOD BARKOD\QRCODES\.png</v>
      </c>
    </row>
    <row r="76" spans="1:4" ht="79.95" customHeight="1">
      <c r="A76" s="2" t="e">
        <f>EDİT!#REF!</f>
        <v>#REF!</v>
      </c>
      <c r="B76" s="2" t="str">
        <f>UPPER(IFERROR(EDİT!#REF!,""))</f>
        <v/>
      </c>
      <c r="C76" s="2" t="str">
        <f>IFERROR(EDİT!#REF!,"")</f>
        <v/>
      </c>
      <c r="D76" s="2" t="str">
        <f t="shared" si="1"/>
        <v>Z:\HEKA\000_HEKATasarımlar\009_Üretim Tasarımları\QR KOD BARKOD\QRCODES\.png</v>
      </c>
    </row>
    <row r="77" spans="1:4" ht="79.95" customHeight="1">
      <c r="A77" s="2" t="e">
        <f>EDİT!#REF!</f>
        <v>#REF!</v>
      </c>
      <c r="B77" s="2" t="str">
        <f>UPPER(IFERROR(EDİT!#REF!,""))</f>
        <v/>
      </c>
      <c r="C77" s="2" t="str">
        <f>IFERROR(EDİT!#REF!,"")</f>
        <v/>
      </c>
      <c r="D77" s="2" t="str">
        <f t="shared" si="1"/>
        <v>Z:\HEKA\000_HEKATasarımlar\009_Üretim Tasarımları\QR KOD BARKOD\QRCODES\.png</v>
      </c>
    </row>
    <row r="78" spans="1:4" ht="79.95" customHeight="1">
      <c r="A78" s="2" t="e">
        <f>EDİT!#REF!</f>
        <v>#REF!</v>
      </c>
      <c r="B78" s="2" t="str">
        <f>UPPER(IFERROR(EDİT!#REF!,""))</f>
        <v/>
      </c>
      <c r="C78" s="2" t="str">
        <f>IFERROR(EDİT!#REF!,"")</f>
        <v/>
      </c>
      <c r="D78" s="2" t="str">
        <f t="shared" si="1"/>
        <v>Z:\HEKA\000_HEKATasarımlar\009_Üretim Tasarımları\QR KOD BARKOD\QRCODES\.png</v>
      </c>
    </row>
    <row r="79" spans="1:4" ht="79.95" customHeight="1">
      <c r="A79" s="2" t="e">
        <f>EDİT!#REF!</f>
        <v>#REF!</v>
      </c>
      <c r="B79" s="2" t="str">
        <f>UPPER(IFERROR(EDİT!#REF!,""))</f>
        <v/>
      </c>
      <c r="C79" s="2" t="str">
        <f>IFERROR(EDİT!#REF!,"")</f>
        <v/>
      </c>
      <c r="D79" s="2" t="str">
        <f t="shared" si="1"/>
        <v>Z:\HEKA\000_HEKATasarımlar\009_Üretim Tasarımları\QR KOD BARKOD\QRCODES\.png</v>
      </c>
    </row>
    <row r="80" spans="1:4" ht="79.95" customHeight="1">
      <c r="A80" s="2" t="e">
        <f>EDİT!#REF!</f>
        <v>#REF!</v>
      </c>
      <c r="B80" s="2" t="str">
        <f>UPPER(IFERROR(EDİT!#REF!,""))</f>
        <v/>
      </c>
      <c r="C80" s="2" t="str">
        <f>IFERROR(EDİT!#REF!,"")</f>
        <v/>
      </c>
      <c r="D80" s="2" t="str">
        <f t="shared" si="1"/>
        <v>Z:\HEKA\000_HEKATasarımlar\009_Üretim Tasarımları\QR KOD BARKOD\QRCODES\.png</v>
      </c>
    </row>
    <row r="81" spans="1:4" ht="79.95" customHeight="1">
      <c r="A81" s="2" t="e">
        <f>EDİT!#REF!</f>
        <v>#REF!</v>
      </c>
      <c r="B81" s="2" t="str">
        <f>UPPER(IFERROR(EDİT!#REF!,""))</f>
        <v/>
      </c>
      <c r="C81" s="2" t="str">
        <f>IFERROR(EDİT!#REF!,"")</f>
        <v/>
      </c>
      <c r="D81" s="2" t="str">
        <f t="shared" si="1"/>
        <v>Z:\HEKA\000_HEKATasarımlar\009_Üretim Tasarımları\QR KOD BARKOD\QRCODES\.png</v>
      </c>
    </row>
    <row r="82" spans="1:4" ht="79.95" customHeight="1">
      <c r="A82" s="2" t="e">
        <f>EDİT!#REF!</f>
        <v>#REF!</v>
      </c>
      <c r="B82" s="2" t="str">
        <f>UPPER(IFERROR(EDİT!#REF!,""))</f>
        <v/>
      </c>
      <c r="C82" s="2" t="str">
        <f>IFERROR(EDİT!#REF!,"")</f>
        <v/>
      </c>
      <c r="D82" s="2" t="str">
        <f t="shared" si="1"/>
        <v>Z:\HEKA\000_HEKATasarımlar\009_Üretim Tasarımları\QR KOD BARKOD\QRCODES\.png</v>
      </c>
    </row>
    <row r="83" spans="1:4" ht="79.95" customHeight="1">
      <c r="A83" s="2" t="e">
        <f>EDİT!#REF!</f>
        <v>#REF!</v>
      </c>
      <c r="B83" s="2" t="str">
        <f>UPPER(IFERROR(EDİT!#REF!,""))</f>
        <v/>
      </c>
      <c r="C83" s="2" t="str">
        <f>IFERROR(EDİT!#REF!,"")</f>
        <v/>
      </c>
      <c r="D83" s="2" t="str">
        <f t="shared" si="1"/>
        <v>Z:\HEKA\000_HEKATasarımlar\009_Üretim Tasarımları\QR KOD BARKOD\QRCODES\.png</v>
      </c>
    </row>
    <row r="84" spans="1:4" ht="79.95" customHeight="1">
      <c r="A84" s="2" t="e">
        <f>EDİT!#REF!</f>
        <v>#REF!</v>
      </c>
      <c r="B84" s="2" t="str">
        <f>UPPER(IFERROR(EDİT!#REF!,""))</f>
        <v/>
      </c>
      <c r="C84" s="2" t="str">
        <f>IFERROR(EDİT!#REF!,"")</f>
        <v/>
      </c>
      <c r="D84" s="2" t="str">
        <f t="shared" si="1"/>
        <v>Z:\HEKA\000_HEKATasarımlar\009_Üretim Tasarımları\QR KOD BARKOD\QRCODES\.png</v>
      </c>
    </row>
    <row r="85" spans="1:4" ht="79.95" customHeight="1">
      <c r="A85" s="2" t="e">
        <f>EDİT!#REF!</f>
        <v>#REF!</v>
      </c>
      <c r="B85" s="2" t="str">
        <f>UPPER(IFERROR(EDİT!#REF!,""))</f>
        <v/>
      </c>
      <c r="C85" s="2" t="str">
        <f>IFERROR(EDİT!#REF!,"")</f>
        <v/>
      </c>
      <c r="D85" s="2" t="str">
        <f t="shared" si="1"/>
        <v>Z:\HEKA\000_HEKATasarımlar\009_Üretim Tasarımları\QR KOD BARKOD\QRCODES\.png</v>
      </c>
    </row>
    <row r="86" spans="1:4" ht="79.95" customHeight="1">
      <c r="A86" s="2" t="e">
        <f>EDİT!#REF!</f>
        <v>#REF!</v>
      </c>
      <c r="B86" s="2" t="str">
        <f>UPPER(IFERROR(EDİT!#REF!,""))</f>
        <v/>
      </c>
      <c r="C86" s="2" t="str">
        <f>IFERROR(EDİT!#REF!,"")</f>
        <v/>
      </c>
      <c r="D86" s="2" t="str">
        <f t="shared" si="1"/>
        <v>Z:\HEKA\000_HEKATasarımlar\009_Üretim Tasarımları\QR KOD BARKOD\QRCODES\.png</v>
      </c>
    </row>
    <row r="87" spans="1:4" ht="79.95" customHeight="1">
      <c r="A87" s="2" t="e">
        <f>EDİT!#REF!</f>
        <v>#REF!</v>
      </c>
      <c r="B87" s="2" t="str">
        <f>UPPER(IFERROR(EDİT!#REF!,""))</f>
        <v/>
      </c>
      <c r="C87" s="2" t="str">
        <f>IFERROR(EDİT!#REF!,"")</f>
        <v/>
      </c>
      <c r="D87" s="2" t="str">
        <f t="shared" si="1"/>
        <v>Z:\HEKA\000_HEKATasarımlar\009_Üretim Tasarımları\QR KOD BARKOD\QRCODES\.png</v>
      </c>
    </row>
    <row r="88" spans="1:4" ht="79.95" customHeight="1">
      <c r="A88" s="2" t="e">
        <f>EDİT!#REF!</f>
        <v>#REF!</v>
      </c>
      <c r="B88" s="2" t="str">
        <f>UPPER(IFERROR(EDİT!#REF!,""))</f>
        <v/>
      </c>
      <c r="C88" s="2" t="str">
        <f>IFERROR(EDİT!#REF!,"")</f>
        <v/>
      </c>
      <c r="D88" s="2" t="str">
        <f t="shared" si="1"/>
        <v>Z:\HEKA\000_HEKATasarımlar\009_Üretim Tasarımları\QR KOD BARKOD\QRCODES\.png</v>
      </c>
    </row>
    <row r="89" spans="1:4" ht="79.95" customHeight="1">
      <c r="A89" s="2" t="e">
        <f>EDİT!#REF!</f>
        <v>#REF!</v>
      </c>
      <c r="B89" s="2" t="str">
        <f>UPPER(IFERROR(EDİT!#REF!,""))</f>
        <v/>
      </c>
      <c r="C89" s="2" t="str">
        <f>IFERROR(EDİT!#REF!,"")</f>
        <v/>
      </c>
      <c r="D89" s="2" t="str">
        <f t="shared" si="1"/>
        <v>Z:\HEKA\000_HEKATasarımlar\009_Üretim Tasarımları\QR KOD BARKOD\QRCODES\.png</v>
      </c>
    </row>
    <row r="90" spans="1:4" ht="79.95" customHeight="1">
      <c r="A90" s="2" t="e">
        <f>EDİT!#REF!</f>
        <v>#REF!</v>
      </c>
      <c r="B90" s="2" t="str">
        <f>UPPER(IFERROR(EDİT!#REF!,""))</f>
        <v/>
      </c>
      <c r="C90" s="2" t="str">
        <f>IFERROR(EDİT!#REF!,"")</f>
        <v/>
      </c>
      <c r="D90" s="2" t="str">
        <f t="shared" si="1"/>
        <v>Z:\HEKA\000_HEKATasarımlar\009_Üretim Tasarımları\QR KOD BARKOD\QRCODES\.png</v>
      </c>
    </row>
    <row r="91" spans="1:4" ht="79.95" customHeight="1">
      <c r="A91" s="2" t="e">
        <f>EDİT!#REF!</f>
        <v>#REF!</v>
      </c>
      <c r="B91" s="2" t="str">
        <f>UPPER(IFERROR(EDİT!#REF!,""))</f>
        <v/>
      </c>
      <c r="C91" s="2" t="str">
        <f>IFERROR(EDİT!#REF!,"")</f>
        <v/>
      </c>
      <c r="D91" s="2" t="str">
        <f t="shared" si="1"/>
        <v>Z:\HEKA\000_HEKATasarımlar\009_Üretim Tasarımları\QR KOD BARKOD\QRCODES\.png</v>
      </c>
    </row>
    <row r="92" spans="1:4" ht="79.95" customHeight="1">
      <c r="A92" s="2" t="e">
        <f>EDİT!#REF!</f>
        <v>#REF!</v>
      </c>
      <c r="B92" s="2" t="str">
        <f>UPPER(IFERROR(EDİT!#REF!,""))</f>
        <v/>
      </c>
      <c r="C92" s="2" t="str">
        <f>IFERROR(EDİT!#REF!,"")</f>
        <v/>
      </c>
      <c r="D92" s="2" t="str">
        <f t="shared" si="1"/>
        <v>Z:\HEKA\000_HEKATasarımlar\009_Üretim Tasarımları\QR KOD BARKOD\QRCODES\.png</v>
      </c>
    </row>
    <row r="93" spans="1:4" ht="79.95" customHeight="1">
      <c r="A93" s="2" t="e">
        <f>EDİT!#REF!</f>
        <v>#REF!</v>
      </c>
      <c r="B93" s="2" t="str">
        <f>UPPER(IFERROR(EDİT!#REF!,""))</f>
        <v/>
      </c>
      <c r="C93" s="2" t="str">
        <f>IFERROR(EDİT!#REF!,"")</f>
        <v/>
      </c>
      <c r="D93" s="2" t="str">
        <f t="shared" si="1"/>
        <v>Z:\HEKA\000_HEKATasarımlar\009_Üretim Tasarımları\QR KOD BARKOD\QRCODES\.png</v>
      </c>
    </row>
    <row r="94" spans="1:4" ht="79.95" customHeight="1">
      <c r="A94" s="2" t="e">
        <f>EDİT!#REF!</f>
        <v>#REF!</v>
      </c>
      <c r="B94" s="2" t="str">
        <f>UPPER(IFERROR(EDİT!#REF!,""))</f>
        <v/>
      </c>
      <c r="C94" s="2" t="str">
        <f>IFERROR(EDİT!#REF!,"")</f>
        <v/>
      </c>
      <c r="D94" s="2" t="str">
        <f t="shared" si="1"/>
        <v>Z:\HEKA\000_HEKATasarımlar\009_Üretim Tasarımları\QR KOD BARKOD\QRCODES\.png</v>
      </c>
    </row>
    <row r="95" spans="1:4" ht="79.95" customHeight="1">
      <c r="A95" s="2" t="e">
        <f>EDİT!#REF!</f>
        <v>#REF!</v>
      </c>
      <c r="B95" s="2" t="str">
        <f>UPPER(IFERROR(EDİT!#REF!,""))</f>
        <v/>
      </c>
      <c r="C95" s="2" t="str">
        <f>IFERROR(EDİT!#REF!,"")</f>
        <v/>
      </c>
      <c r="D95" s="2" t="str">
        <f t="shared" si="1"/>
        <v>Z:\HEKA\000_HEKATasarımlar\009_Üretim Tasarımları\QR KOD BARKOD\QRCODES\.png</v>
      </c>
    </row>
    <row r="96" spans="1:4" ht="79.95" customHeight="1">
      <c r="A96" s="2" t="e">
        <f>EDİT!#REF!</f>
        <v>#REF!</v>
      </c>
      <c r="B96" s="2" t="str">
        <f>UPPER(IFERROR(EDİT!#REF!,""))</f>
        <v/>
      </c>
      <c r="C96" s="2" t="str">
        <f>IFERROR(EDİT!#REF!,"")</f>
        <v/>
      </c>
      <c r="D96" s="2" t="str">
        <f t="shared" si="1"/>
        <v>Z:\HEKA\000_HEKATasarımlar\009_Üretim Tasarımları\QR KOD BARKOD\QRCODES\.png</v>
      </c>
    </row>
    <row r="97" spans="1:4" ht="79.95" customHeight="1">
      <c r="A97" s="2" t="e">
        <f>EDİT!#REF!</f>
        <v>#REF!</v>
      </c>
      <c r="B97" s="2" t="str">
        <f>UPPER(IFERROR(EDİT!#REF!,""))</f>
        <v/>
      </c>
      <c r="C97" s="2" t="str">
        <f>IFERROR(EDİT!#REF!,"")</f>
        <v/>
      </c>
      <c r="D97" s="2" t="str">
        <f t="shared" si="1"/>
        <v>Z:\HEKA\000_HEKATasarımlar\009_Üretim Tasarımları\QR KOD BARKOD\QRCODES\.png</v>
      </c>
    </row>
    <row r="98" spans="1:4" ht="79.95" customHeight="1">
      <c r="A98" s="2" t="e">
        <f>EDİT!#REF!</f>
        <v>#REF!</v>
      </c>
      <c r="B98" s="2" t="str">
        <f>UPPER(IFERROR(EDİT!#REF!,""))</f>
        <v/>
      </c>
      <c r="C98" s="2" t="str">
        <f>IFERROR(EDİT!#REF!,"")</f>
        <v/>
      </c>
      <c r="D98" s="2" t="str">
        <f t="shared" si="1"/>
        <v>Z:\HEKA\000_HEKATasarımlar\009_Üretim Tasarımları\QR KOD BARKOD\QRCODES\.png</v>
      </c>
    </row>
    <row r="99" spans="1:4" ht="79.95" customHeight="1">
      <c r="A99" s="2" t="e">
        <f>EDİT!#REF!</f>
        <v>#REF!</v>
      </c>
      <c r="B99" s="2" t="str">
        <f>UPPER(IFERROR(EDİT!#REF!,""))</f>
        <v/>
      </c>
      <c r="C99" s="2" t="str">
        <f>IFERROR(EDİT!#REF!,"")</f>
        <v/>
      </c>
      <c r="D99" s="2" t="str">
        <f t="shared" si="1"/>
        <v>Z:\HEKA\000_HEKATasarımlar\009_Üretim Tasarımları\QR KOD BARKOD\QRCODES\.png</v>
      </c>
    </row>
    <row r="100" spans="1:4" ht="79.95" customHeight="1">
      <c r="A100" s="2" t="e">
        <f>EDİT!#REF!</f>
        <v>#REF!</v>
      </c>
      <c r="B100" s="2" t="str">
        <f>UPPER(IFERROR(EDİT!#REF!,""))</f>
        <v/>
      </c>
      <c r="C100" s="2" t="str">
        <f>IFERROR(EDİT!#REF!,"")</f>
        <v/>
      </c>
      <c r="D100" s="2" t="str">
        <f t="shared" si="1"/>
        <v>Z:\HEKA\000_HEKATasarımlar\009_Üretim Tasarımları\QR KOD BARKOD\QRCODES\.png</v>
      </c>
    </row>
    <row r="101" spans="1:4" ht="79.95" customHeight="1">
      <c r="A101" s="2" t="e">
        <f>EDİT!#REF!</f>
        <v>#REF!</v>
      </c>
      <c r="B101" s="2" t="str">
        <f>UPPER(IFERROR(EDİT!#REF!,""))</f>
        <v/>
      </c>
      <c r="C101" s="2" t="str">
        <f>IFERROR(EDİT!#REF!,"")</f>
        <v/>
      </c>
      <c r="D101" s="2" t="str">
        <f t="shared" si="1"/>
        <v>Z:\HEKA\000_HEKATasarımlar\009_Üretim Tasarımları\QR KOD BARKOD\QRCODES\.png</v>
      </c>
    </row>
    <row r="102" spans="1:4" ht="79.95" customHeight="1">
      <c r="A102" s="2" t="e">
        <f>EDİT!#REF!</f>
        <v>#REF!</v>
      </c>
      <c r="B102" s="2" t="str">
        <f>UPPER(IFERROR(EDİT!#REF!,""))</f>
        <v/>
      </c>
      <c r="C102" s="2" t="str">
        <f>IFERROR(EDİT!#REF!,"")</f>
        <v/>
      </c>
      <c r="D102" s="2" t="str">
        <f t="shared" si="1"/>
        <v>Z:\HEKA\000_HEKATasarımlar\009_Üretim Tasarımları\QR KOD BARKOD\QRCODES\.png</v>
      </c>
    </row>
    <row r="103" spans="1:4" ht="79.95" customHeight="1">
      <c r="A103" s="2" t="e">
        <f>EDİT!#REF!</f>
        <v>#REF!</v>
      </c>
      <c r="B103" s="2" t="str">
        <f>UPPER(IFERROR(EDİT!#REF!,""))</f>
        <v/>
      </c>
      <c r="C103" s="2" t="str">
        <f>IFERROR(EDİT!#REF!,"")</f>
        <v/>
      </c>
      <c r="D103" s="2" t="str">
        <f t="shared" si="1"/>
        <v>Z:\HEKA\000_HEKATasarımlar\009_Üretim Tasarımları\QR KOD BARKOD\QRCODES\.png</v>
      </c>
    </row>
    <row r="104" spans="1:4" ht="79.95" customHeight="1">
      <c r="A104" s="2" t="e">
        <f>EDİT!#REF!</f>
        <v>#REF!</v>
      </c>
      <c r="B104" s="2" t="str">
        <f>UPPER(IFERROR(EDİT!#REF!,""))</f>
        <v/>
      </c>
      <c r="C104" s="2" t="str">
        <f>IFERROR(EDİT!#REF!,"")</f>
        <v/>
      </c>
      <c r="D104" s="2" t="str">
        <f t="shared" si="1"/>
        <v>Z:\HEKA\000_HEKATasarımlar\009_Üretim Tasarımları\QR KOD BARKOD\QRCODES\.png</v>
      </c>
    </row>
    <row r="105" spans="1:4" ht="79.95" customHeight="1">
      <c r="A105" s="2" t="e">
        <f>EDİT!#REF!</f>
        <v>#REF!</v>
      </c>
      <c r="B105" s="2" t="str">
        <f>UPPER(IFERROR(EDİT!#REF!,""))</f>
        <v/>
      </c>
      <c r="C105" s="2" t="str">
        <f>IFERROR(EDİT!#REF!,"")</f>
        <v/>
      </c>
      <c r="D105" s="2" t="str">
        <f t="shared" si="1"/>
        <v>Z:\HEKA\000_HEKATasarımlar\009_Üretim Tasarımları\QR KOD BARKOD\QRCODES\.png</v>
      </c>
    </row>
    <row r="106" spans="1:4" ht="79.95" customHeight="1">
      <c r="A106" s="2" t="e">
        <f>EDİT!#REF!</f>
        <v>#REF!</v>
      </c>
      <c r="B106" s="2" t="str">
        <f>UPPER(IFERROR(EDİT!#REF!,""))</f>
        <v/>
      </c>
      <c r="C106" s="2" t="str">
        <f>IFERROR(EDİT!#REF!,"")</f>
        <v/>
      </c>
      <c r="D106" s="2" t="str">
        <f t="shared" si="1"/>
        <v>Z:\HEKA\000_HEKATasarımlar\009_Üretim Tasarımları\QR KOD BARKOD\QRCODES\.png</v>
      </c>
    </row>
    <row r="107" spans="1:4" ht="79.95" customHeight="1">
      <c r="A107" s="2" t="e">
        <f>EDİT!#REF!</f>
        <v>#REF!</v>
      </c>
      <c r="B107" s="2" t="str">
        <f>UPPER(IFERROR(EDİT!#REF!,""))</f>
        <v/>
      </c>
      <c r="C107" s="2" t="str">
        <f>IFERROR(EDİT!#REF!,"")</f>
        <v/>
      </c>
      <c r="D107" s="2" t="str">
        <f t="shared" si="1"/>
        <v>Z:\HEKA\000_HEKATasarımlar\009_Üretim Tasarımları\QR KOD BARKOD\QRCODES\.png</v>
      </c>
    </row>
    <row r="108" spans="1:4" ht="79.95" customHeight="1">
      <c r="A108" s="2" t="e">
        <f>EDİT!#REF!</f>
        <v>#REF!</v>
      </c>
      <c r="B108" s="2" t="str">
        <f>UPPER(IFERROR(EDİT!#REF!,""))</f>
        <v/>
      </c>
      <c r="C108" s="2" t="str">
        <f>IFERROR(EDİT!#REF!,"")</f>
        <v/>
      </c>
      <c r="D108" s="2" t="str">
        <f t="shared" si="1"/>
        <v>Z:\HEKA\000_HEKATasarımlar\009_Üretim Tasarımları\QR KOD BARKOD\QRCODES\.png</v>
      </c>
    </row>
    <row r="109" spans="1:4" ht="79.95" customHeight="1">
      <c r="A109" s="2" t="e">
        <f>EDİT!#REF!</f>
        <v>#REF!</v>
      </c>
      <c r="B109" s="2" t="str">
        <f>UPPER(IFERROR(EDİT!#REF!,""))</f>
        <v/>
      </c>
      <c r="C109" s="2" t="str">
        <f>IFERROR(EDİT!#REF!,"")</f>
        <v/>
      </c>
      <c r="D109" s="2" t="str">
        <f t="shared" si="1"/>
        <v>Z:\HEKA\000_HEKATasarımlar\009_Üretim Tasarımları\QR KOD BARKOD\QRCODES\.png</v>
      </c>
    </row>
    <row r="110" spans="1:4" ht="79.95" customHeight="1">
      <c r="A110" s="2" t="e">
        <f>EDİT!#REF!</f>
        <v>#REF!</v>
      </c>
      <c r="B110" s="2" t="str">
        <f>UPPER(IFERROR(EDİT!#REF!,""))</f>
        <v/>
      </c>
      <c r="C110" s="2" t="str">
        <f>IFERROR(EDİT!#REF!,"")</f>
        <v/>
      </c>
      <c r="D110" s="2" t="str">
        <f t="shared" si="1"/>
        <v>Z:\HEKA\000_HEKATasarımlar\009_Üretim Tasarımları\QR KOD BARKOD\QRCODES\.png</v>
      </c>
    </row>
    <row r="111" spans="1:4" ht="79.95" customHeight="1">
      <c r="A111" s="2" t="e">
        <f>EDİT!#REF!</f>
        <v>#REF!</v>
      </c>
      <c r="B111" s="2" t="str">
        <f>UPPER(IFERROR(EDİT!#REF!,""))</f>
        <v/>
      </c>
      <c r="C111" s="2" t="str">
        <f>IFERROR(EDİT!#REF!,"")</f>
        <v/>
      </c>
      <c r="D111" s="2" t="str">
        <f t="shared" si="1"/>
        <v>Z:\HEKA\000_HEKATasarımlar\009_Üretim Tasarımları\QR KOD BARKOD\QRCODES\.png</v>
      </c>
    </row>
    <row r="112" spans="1:4" ht="79.95" customHeight="1">
      <c r="A112" s="2" t="e">
        <f>EDİT!#REF!</f>
        <v>#REF!</v>
      </c>
      <c r="B112" s="2" t="str">
        <f>UPPER(IFERROR(EDİT!#REF!,""))</f>
        <v/>
      </c>
      <c r="C112" s="2" t="str">
        <f>IFERROR(EDİT!#REF!,"")</f>
        <v/>
      </c>
      <c r="D112" s="2" t="str">
        <f t="shared" si="1"/>
        <v>Z:\HEKA\000_HEKATasarımlar\009_Üretim Tasarımları\QR KOD BARKOD\QRCODES\.png</v>
      </c>
    </row>
    <row r="113" spans="1:4" ht="79.95" customHeight="1">
      <c r="A113" s="2" t="e">
        <f>EDİT!#REF!</f>
        <v>#REF!</v>
      </c>
      <c r="B113" s="2" t="str">
        <f>UPPER(IFERROR(EDİT!#REF!,""))</f>
        <v/>
      </c>
      <c r="C113" s="2" t="str">
        <f>IFERROR(EDİT!#REF!,"")</f>
        <v/>
      </c>
      <c r="D113" s="2" t="str">
        <f t="shared" si="1"/>
        <v>Z:\HEKA\000_HEKATasarımlar\009_Üretim Tasarımları\QR KOD BARKOD\QRCODES\.png</v>
      </c>
    </row>
    <row r="114" spans="1:4" ht="79.95" customHeight="1">
      <c r="A114" s="2" t="e">
        <f>EDİT!#REF!</f>
        <v>#REF!</v>
      </c>
      <c r="B114" s="2" t="str">
        <f>UPPER(IFERROR(EDİT!#REF!,""))</f>
        <v/>
      </c>
      <c r="C114" s="2" t="str">
        <f>IFERROR(EDİT!#REF!,"")</f>
        <v/>
      </c>
      <c r="D114" s="2" t="str">
        <f t="shared" si="1"/>
        <v>Z:\HEKA\000_HEKATasarımlar\009_Üretim Tasarımları\QR KOD BARKOD\QRCODES\.png</v>
      </c>
    </row>
    <row r="115" spans="1:4" ht="79.95" customHeight="1">
      <c r="A115" s="2" t="e">
        <f>EDİT!#REF!</f>
        <v>#REF!</v>
      </c>
      <c r="B115" s="2" t="str">
        <f>UPPER(IFERROR(EDİT!#REF!,""))</f>
        <v/>
      </c>
      <c r="C115" s="2" t="str">
        <f>IFERROR(EDİT!#REF!,"")</f>
        <v/>
      </c>
      <c r="D115" s="2" t="str">
        <f t="shared" si="1"/>
        <v>Z:\HEKA\000_HEKATasarımlar\009_Üretim Tasarımları\QR KOD BARKOD\QRCODES\.png</v>
      </c>
    </row>
    <row r="116" spans="1:4" ht="79.95" customHeight="1">
      <c r="A116" s="2" t="e">
        <f>EDİT!#REF!</f>
        <v>#REF!</v>
      </c>
      <c r="B116" s="2" t="str">
        <f>UPPER(IFERROR(EDİT!#REF!,""))</f>
        <v/>
      </c>
      <c r="C116" s="2" t="str">
        <f>IFERROR(EDİT!#REF!,"")</f>
        <v/>
      </c>
      <c r="D116" s="2" t="str">
        <f t="shared" si="1"/>
        <v>Z:\HEKA\000_HEKATasarımlar\009_Üretim Tasarımları\QR KOD BARKOD\QRCODES\.png</v>
      </c>
    </row>
    <row r="117" spans="1:4" ht="79.95" customHeight="1">
      <c r="A117" s="2" t="e">
        <f>EDİT!#REF!</f>
        <v>#REF!</v>
      </c>
      <c r="B117" s="2" t="str">
        <f>UPPER(IFERROR(EDİT!#REF!,""))</f>
        <v/>
      </c>
      <c r="C117" s="2" t="str">
        <f>IFERROR(EDİT!#REF!,"")</f>
        <v/>
      </c>
      <c r="D117" s="2" t="str">
        <f t="shared" si="1"/>
        <v>Z:\HEKA\000_HEKATasarımlar\009_Üretim Tasarımları\QR KOD BARKOD\QRCODES\.png</v>
      </c>
    </row>
    <row r="118" spans="1:4" ht="79.95" customHeight="1">
      <c r="A118" s="2" t="e">
        <f>EDİT!#REF!</f>
        <v>#REF!</v>
      </c>
      <c r="B118" s="2" t="str">
        <f>UPPER(IFERROR(EDİT!#REF!,""))</f>
        <v/>
      </c>
      <c r="C118" s="2" t="str">
        <f>IFERROR(EDİT!#REF!,"")</f>
        <v/>
      </c>
      <c r="D118" s="2" t="str">
        <f t="shared" si="1"/>
        <v>Z:\HEKA\000_HEKATasarımlar\009_Üretim Tasarımları\QR KOD BARKOD\QRCODES\.png</v>
      </c>
    </row>
    <row r="119" spans="1:4" ht="79.95" customHeight="1">
      <c r="A119" s="2" t="e">
        <f>EDİT!#REF!</f>
        <v>#REF!</v>
      </c>
      <c r="B119" s="2" t="str">
        <f>UPPER(IFERROR(EDİT!#REF!,""))</f>
        <v/>
      </c>
      <c r="C119" s="2" t="str">
        <f>IFERROR(EDİT!#REF!,"")</f>
        <v/>
      </c>
      <c r="D119" s="2" t="str">
        <f t="shared" si="1"/>
        <v>Z:\HEKA\000_HEKATasarımlar\009_Üretim Tasarımları\QR KOD BARKOD\QRCODES\.png</v>
      </c>
    </row>
    <row r="120" spans="1:4" ht="79.95" customHeight="1">
      <c r="A120" s="2" t="e">
        <f>EDİT!#REF!</f>
        <v>#REF!</v>
      </c>
      <c r="B120" s="2" t="str">
        <f>UPPER(IFERROR(EDİT!#REF!,""))</f>
        <v/>
      </c>
      <c r="C120" s="2" t="str">
        <f>IFERROR(EDİT!#REF!,"")</f>
        <v/>
      </c>
      <c r="D120" s="2" t="str">
        <f t="shared" si="1"/>
        <v>Z:\HEKA\000_HEKATasarımlar\009_Üretim Tasarımları\QR KOD BARKOD\QRCODES\.png</v>
      </c>
    </row>
    <row r="121" spans="1:4" ht="79.95" customHeight="1">
      <c r="A121" s="2" t="e">
        <f>EDİT!#REF!</f>
        <v>#REF!</v>
      </c>
      <c r="B121" s="2" t="str">
        <f>UPPER(IFERROR(EDİT!#REF!,""))</f>
        <v/>
      </c>
      <c r="C121" s="2" t="str">
        <f>IFERROR(EDİT!#REF!,"")</f>
        <v/>
      </c>
      <c r="D121" s="2" t="str">
        <f t="shared" si="1"/>
        <v>Z:\HEKA\000_HEKATasarımlar\009_Üretim Tasarımları\QR KOD BARKOD\QRCODES\.png</v>
      </c>
    </row>
    <row r="122" spans="1:4" ht="79.95" customHeight="1">
      <c r="A122" s="2" t="e">
        <f>EDİT!#REF!</f>
        <v>#REF!</v>
      </c>
      <c r="B122" s="2" t="str">
        <f>UPPER(IFERROR(EDİT!#REF!,""))</f>
        <v/>
      </c>
      <c r="C122" s="2" t="str">
        <f>IFERROR(EDİT!#REF!,"")</f>
        <v/>
      </c>
      <c r="D122" s="2" t="str">
        <f t="shared" si="1"/>
        <v>Z:\HEKA\000_HEKATasarımlar\009_Üretim Tasarımları\QR KOD BARKOD\QRCODES\.png</v>
      </c>
    </row>
    <row r="123" spans="1:4" ht="79.95" customHeight="1">
      <c r="A123" s="2" t="e">
        <f>EDİT!#REF!</f>
        <v>#REF!</v>
      </c>
      <c r="B123" s="2" t="str">
        <f>UPPER(IFERROR(EDİT!#REF!,""))</f>
        <v/>
      </c>
      <c r="C123" s="2" t="str">
        <f>IFERROR(EDİT!#REF!,"")</f>
        <v/>
      </c>
      <c r="D123" s="2" t="str">
        <f t="shared" si="1"/>
        <v>Z:\HEKA\000_HEKATasarımlar\009_Üretim Tasarımları\QR KOD BARKOD\QRCODES\.png</v>
      </c>
    </row>
    <row r="124" spans="1:4" ht="79.95" customHeight="1">
      <c r="A124" s="2" t="e">
        <f>EDİT!#REF!</f>
        <v>#REF!</v>
      </c>
      <c r="B124" s="2" t="str">
        <f>UPPER(IFERROR(EDİT!#REF!,""))</f>
        <v/>
      </c>
      <c r="C124" s="2" t="str">
        <f>IFERROR(EDİT!#REF!,"")</f>
        <v/>
      </c>
      <c r="D124" s="2" t="str">
        <f t="shared" si="1"/>
        <v>Z:\HEKA\000_HEKATasarımlar\009_Üretim Tasarımları\QR KOD BARKOD\QRCODES\.png</v>
      </c>
    </row>
    <row r="125" spans="1:4" ht="79.95" customHeight="1">
      <c r="A125" s="2" t="e">
        <f>EDİT!#REF!</f>
        <v>#REF!</v>
      </c>
      <c r="B125" s="2" t="str">
        <f>UPPER(IFERROR(EDİT!#REF!,""))</f>
        <v/>
      </c>
      <c r="C125" s="2" t="str">
        <f>IFERROR(EDİT!#REF!,"")</f>
        <v/>
      </c>
      <c r="D125" s="2" t="str">
        <f t="shared" si="1"/>
        <v>Z:\HEKA\000_HEKATasarımlar\009_Üretim Tasarımları\QR KOD BARKOD\QRCODES\.png</v>
      </c>
    </row>
    <row r="126" spans="1:4" ht="79.95" customHeight="1">
      <c r="A126" s="2" t="e">
        <f>EDİT!#REF!</f>
        <v>#REF!</v>
      </c>
      <c r="B126" s="2" t="str">
        <f>UPPER(IFERROR(EDİT!#REF!,""))</f>
        <v/>
      </c>
      <c r="C126" s="2" t="str">
        <f>IFERROR(EDİT!#REF!,"")</f>
        <v/>
      </c>
      <c r="D126" s="2" t="str">
        <f t="shared" si="1"/>
        <v>Z:\HEKA\000_HEKATasarımlar\009_Üretim Tasarımları\QR KOD BARKOD\QRCODES\.png</v>
      </c>
    </row>
    <row r="127" spans="1:4" ht="79.95" customHeight="1">
      <c r="A127" s="2" t="e">
        <f>EDİT!#REF!</f>
        <v>#REF!</v>
      </c>
      <c r="B127" s="2" t="str">
        <f>UPPER(IFERROR(EDİT!#REF!,""))</f>
        <v/>
      </c>
      <c r="C127" s="2" t="str">
        <f>IFERROR(EDİT!#REF!,"")</f>
        <v/>
      </c>
      <c r="D127" s="2" t="str">
        <f t="shared" si="1"/>
        <v>Z:\HEKA\000_HEKATasarımlar\009_Üretim Tasarımları\QR KOD BARKOD\QRCODES\.png</v>
      </c>
    </row>
    <row r="128" spans="1:4" ht="79.95" customHeight="1">
      <c r="A128" s="2" t="e">
        <f>EDİT!#REF!</f>
        <v>#REF!</v>
      </c>
      <c r="B128" s="2" t="str">
        <f>UPPER(IFERROR(EDİT!#REF!,""))</f>
        <v/>
      </c>
      <c r="C128" s="2" t="str">
        <f>IFERROR(EDİT!#REF!,"")</f>
        <v/>
      </c>
      <c r="D128" s="2" t="str">
        <f t="shared" si="1"/>
        <v>Z:\HEKA\000_HEKATasarımlar\009_Üretim Tasarımları\QR KOD BARKOD\QRCODES\.png</v>
      </c>
    </row>
    <row r="129" spans="1:4" ht="79.95" customHeight="1">
      <c r="A129" s="2" t="e">
        <f>EDİT!#REF!</f>
        <v>#REF!</v>
      </c>
      <c r="B129" s="2" t="str">
        <f>UPPER(IFERROR(EDİT!#REF!,""))</f>
        <v/>
      </c>
      <c r="C129" s="2" t="str">
        <f>IFERROR(EDİT!#REF!,"")</f>
        <v/>
      </c>
      <c r="D129" s="2" t="str">
        <f t="shared" si="1"/>
        <v>Z:\HEKA\000_HEKATasarımlar\009_Üretim Tasarımları\QR KOD BARKOD\QRCODES\.png</v>
      </c>
    </row>
    <row r="130" spans="1:4" ht="79.95" customHeight="1">
      <c r="A130" s="2" t="e">
        <f>EDİT!#REF!</f>
        <v>#REF!</v>
      </c>
      <c r="B130" s="2" t="str">
        <f>UPPER(IFERROR(EDİT!#REF!,""))</f>
        <v/>
      </c>
      <c r="C130" s="2" t="str">
        <f>IFERROR(EDİT!#REF!,"")</f>
        <v/>
      </c>
      <c r="D130" s="2" t="str">
        <f t="shared" ref="D130:D136" si="2">IFERROR(CONCATENATE("Z:\HEKA\000_HEKATasarımlar\009_Üretim Tasarımları\QR KOD BARKOD\QRCODES\",C130,".png"),"")</f>
        <v>Z:\HEKA\000_HEKATasarımlar\009_Üretim Tasarımları\QR KOD BARKOD\QRCODES\.png</v>
      </c>
    </row>
    <row r="131" spans="1:4" ht="79.95" customHeight="1">
      <c r="A131" s="2" t="e">
        <f>EDİT!#REF!</f>
        <v>#REF!</v>
      </c>
      <c r="B131" s="2" t="str">
        <f>UPPER(IFERROR(EDİT!#REF!,""))</f>
        <v/>
      </c>
      <c r="C131" s="2" t="str">
        <f>IFERROR(EDİT!#REF!,"")</f>
        <v/>
      </c>
      <c r="D131" s="2" t="str">
        <f t="shared" si="2"/>
        <v>Z:\HEKA\000_HEKATasarımlar\009_Üretim Tasarımları\QR KOD BARKOD\QRCODES\.png</v>
      </c>
    </row>
    <row r="132" spans="1:4" ht="79.95" customHeight="1">
      <c r="A132" s="2" t="e">
        <f>EDİT!#REF!</f>
        <v>#REF!</v>
      </c>
      <c r="B132" s="2" t="str">
        <f>UPPER(IFERROR(EDİT!#REF!,""))</f>
        <v/>
      </c>
      <c r="C132" s="2" t="str">
        <f>IFERROR(EDİT!#REF!,"")</f>
        <v/>
      </c>
      <c r="D132" s="2" t="str">
        <f t="shared" si="2"/>
        <v>Z:\HEKA\000_HEKATasarımlar\009_Üretim Tasarımları\QR KOD BARKOD\QRCODES\.png</v>
      </c>
    </row>
    <row r="133" spans="1:4" ht="79.95" customHeight="1">
      <c r="A133" s="2" t="e">
        <f>EDİT!#REF!</f>
        <v>#REF!</v>
      </c>
      <c r="B133" s="2" t="str">
        <f>UPPER(IFERROR(EDİT!#REF!,""))</f>
        <v/>
      </c>
      <c r="C133" s="2" t="str">
        <f>IFERROR(EDİT!#REF!,"")</f>
        <v/>
      </c>
      <c r="D133" s="2" t="str">
        <f t="shared" si="2"/>
        <v>Z:\HEKA\000_HEKATasarımlar\009_Üretim Tasarımları\QR KOD BARKOD\QRCODES\.png</v>
      </c>
    </row>
    <row r="134" spans="1:4" ht="79.95" customHeight="1">
      <c r="A134" s="2" t="e">
        <f>EDİT!#REF!</f>
        <v>#REF!</v>
      </c>
      <c r="B134" s="2" t="str">
        <f>UPPER(IFERROR(EDİT!#REF!,""))</f>
        <v/>
      </c>
      <c r="C134" s="2" t="str">
        <f>IFERROR(EDİT!#REF!,"")</f>
        <v/>
      </c>
      <c r="D134" s="2" t="str">
        <f t="shared" si="2"/>
        <v>Z:\HEKA\000_HEKATasarımlar\009_Üretim Tasarımları\QR KOD BARKOD\QRCODES\.png</v>
      </c>
    </row>
    <row r="135" spans="1:4" ht="79.95" customHeight="1">
      <c r="A135" s="2" t="e">
        <f>EDİT!#REF!</f>
        <v>#REF!</v>
      </c>
      <c r="B135" s="2" t="str">
        <f>UPPER(IFERROR(EDİT!#REF!,""))</f>
        <v/>
      </c>
      <c r="C135" s="2" t="str">
        <f>IFERROR(EDİT!#REF!,"")</f>
        <v/>
      </c>
      <c r="D135" s="2" t="str">
        <f t="shared" si="2"/>
        <v>Z:\HEKA\000_HEKATasarımlar\009_Üretim Tasarımları\QR KOD BARKOD\QRCODES\.png</v>
      </c>
    </row>
    <row r="136" spans="1:4" ht="79.95" customHeight="1">
      <c r="A136" s="2" t="e">
        <f>EDİT!#REF!</f>
        <v>#REF!</v>
      </c>
      <c r="B136" s="2" t="str">
        <f>UPPER(IFERROR(EDİT!#REF!,""))</f>
        <v/>
      </c>
      <c r="C136" s="2" t="str">
        <f>IFERROR(EDİT!#REF!,"")</f>
        <v/>
      </c>
      <c r="D136" s="2" t="str">
        <f t="shared" si="2"/>
        <v>Z:\HEKA\000_HEKATasarımlar\009_Üretim Tasarımları\QR KOD BARKOD\QRCODES\.png</v>
      </c>
    </row>
    <row r="137" spans="1:4" ht="79.95" customHeight="1"/>
    <row r="138" spans="1:4" ht="79.95" customHeight="1"/>
    <row r="139" spans="1:4" ht="79.95" customHeight="1"/>
    <row r="140" spans="1:4" ht="79.95" customHeight="1"/>
    <row r="141" spans="1:4" ht="79.95" customHeight="1"/>
    <row r="142" spans="1:4" ht="79.95" customHeight="1"/>
    <row r="143" spans="1:4" ht="79.95" customHeight="1"/>
    <row r="144" spans="1:4" ht="79.95" customHeight="1"/>
    <row r="145" ht="79.95" customHeight="1"/>
    <row r="146" ht="79.95" customHeight="1"/>
    <row r="147" ht="79.95" customHeight="1"/>
    <row r="148" ht="79.95" customHeight="1"/>
    <row r="149" ht="79.95" customHeight="1"/>
    <row r="150" ht="79.95" customHeight="1"/>
    <row r="151" ht="79.95" customHeight="1"/>
    <row r="152" ht="79.95" customHeight="1"/>
    <row r="153" ht="79.95" customHeight="1"/>
    <row r="154" ht="79.95" customHeight="1"/>
    <row r="155" ht="79.95" customHeight="1"/>
    <row r="156" ht="79.95" customHeight="1"/>
    <row r="157" ht="79.95" customHeight="1"/>
    <row r="158" ht="79.95" customHeight="1"/>
    <row r="159" ht="79.95" customHeight="1"/>
    <row r="160" ht="79.95" customHeight="1"/>
    <row r="161" ht="79.95" customHeight="1"/>
    <row r="162" ht="79.95" customHeight="1"/>
    <row r="163" ht="79.95" customHeight="1"/>
    <row r="164" ht="79.95" customHeight="1"/>
    <row r="165" ht="79.95" customHeight="1"/>
    <row r="166" ht="79.95" customHeight="1"/>
    <row r="167" ht="79.95" customHeight="1"/>
    <row r="168" ht="79.95" customHeight="1"/>
    <row r="169" ht="79.95" customHeight="1"/>
    <row r="170" ht="79.95" customHeight="1"/>
    <row r="171" ht="79.95" customHeight="1"/>
    <row r="172" ht="79.95" customHeight="1"/>
    <row r="173" ht="79.95" customHeight="1"/>
    <row r="174" ht="79.95" customHeight="1"/>
    <row r="175" ht="79.95" customHeight="1"/>
    <row r="176" ht="79.95" customHeight="1"/>
    <row r="177" ht="79.95" customHeight="1"/>
    <row r="178" ht="79.95" customHeight="1"/>
    <row r="179" ht="79.95" customHeight="1"/>
    <row r="180" ht="79.95" customHeight="1"/>
    <row r="181" ht="79.95" customHeight="1"/>
    <row r="182" ht="79.95" customHeight="1"/>
    <row r="183" ht="79.95" customHeight="1"/>
    <row r="184" ht="79.95" customHeight="1"/>
    <row r="185" ht="79.95" customHeight="1"/>
    <row r="186" ht="79.95" customHeight="1"/>
    <row r="187" ht="79.95" customHeight="1"/>
    <row r="188" ht="79.95" customHeight="1"/>
    <row r="189" ht="79.95" customHeight="1"/>
    <row r="190" ht="79.95" customHeight="1"/>
    <row r="191" ht="79.95" customHeight="1"/>
    <row r="192" ht="79.95" customHeight="1"/>
    <row r="193" ht="79.95" customHeight="1"/>
    <row r="194" ht="79.95" customHeight="1"/>
    <row r="195" ht="79.95" customHeight="1"/>
    <row r="196" ht="79.95" customHeight="1"/>
    <row r="197" ht="79.95" customHeight="1"/>
    <row r="198" ht="79.95" customHeight="1"/>
    <row r="199" ht="79.95" customHeight="1"/>
    <row r="200" ht="79.95" customHeight="1"/>
    <row r="201" ht="79.95" customHeight="1"/>
    <row r="202" ht="79.95" customHeight="1"/>
    <row r="203" ht="79.95" customHeight="1"/>
    <row r="204" ht="79.95" customHeight="1"/>
    <row r="205" ht="79.95" customHeight="1"/>
    <row r="206" ht="79.95" customHeight="1"/>
    <row r="207" ht="79.95" customHeight="1"/>
    <row r="208" ht="79.95" customHeight="1"/>
    <row r="209" ht="79.95" customHeight="1"/>
    <row r="210" ht="79.95" customHeight="1"/>
    <row r="211" ht="79.95" customHeight="1"/>
    <row r="212" ht="79.95" customHeight="1"/>
    <row r="213" ht="79.95" customHeight="1"/>
    <row r="214" ht="79.95" customHeight="1"/>
    <row r="215" ht="79.95" customHeight="1"/>
    <row r="216" ht="79.95" customHeight="1"/>
    <row r="217" ht="79.95" customHeight="1"/>
    <row r="218" ht="79.95" customHeight="1"/>
    <row r="219" ht="79.95" customHeight="1"/>
    <row r="220" ht="79.95" customHeight="1"/>
    <row r="221" ht="79.95" customHeight="1"/>
    <row r="222" ht="79.95" customHeight="1"/>
    <row r="223" ht="79.95" customHeight="1"/>
    <row r="224" ht="79.95" customHeight="1"/>
    <row r="225" ht="79.95" customHeight="1"/>
    <row r="226" ht="79.95" customHeight="1"/>
    <row r="227" ht="79.95" customHeight="1"/>
    <row r="228" ht="79.95" customHeight="1"/>
    <row r="229" ht="79.95" customHeight="1"/>
    <row r="230" ht="79.95" customHeight="1"/>
    <row r="231" ht="79.95" customHeight="1"/>
    <row r="232" ht="79.95" customHeight="1"/>
    <row r="233" ht="79.95" customHeight="1"/>
    <row r="234" ht="79.95" customHeight="1"/>
    <row r="235" ht="79.95" customHeight="1"/>
    <row r="236" ht="79.95" customHeight="1"/>
    <row r="237" ht="79.95" customHeight="1"/>
    <row r="238" ht="79.95" customHeight="1"/>
    <row r="239" ht="79.95" customHeight="1"/>
    <row r="240" ht="79.95" customHeight="1"/>
    <row r="241" ht="79.95" customHeight="1"/>
    <row r="242" ht="79.95" customHeight="1"/>
    <row r="243" ht="79.95" customHeight="1"/>
    <row r="244" ht="79.95" customHeight="1"/>
    <row r="245" ht="79.95" customHeight="1"/>
    <row r="246" ht="79.95" customHeight="1"/>
    <row r="247" ht="79.95" customHeight="1"/>
    <row r="248" ht="79.95" customHeight="1"/>
    <row r="249" ht="79.95" customHeight="1"/>
    <row r="250" ht="79.95" customHeight="1"/>
    <row r="251" ht="79.95" customHeight="1"/>
    <row r="252" ht="79.95" customHeight="1"/>
    <row r="253" ht="79.95" customHeight="1"/>
    <row r="254" ht="79.95" customHeight="1"/>
    <row r="255" ht="79.95" customHeight="1"/>
    <row r="256" ht="79.95" customHeight="1"/>
    <row r="257" ht="79.95" customHeight="1"/>
    <row r="258" ht="79.95" customHeight="1"/>
    <row r="259" ht="79.95" customHeight="1"/>
    <row r="260" ht="79.95" customHeight="1"/>
    <row r="261" ht="79.95" customHeight="1"/>
    <row r="262" ht="79.95" customHeight="1"/>
    <row r="263" ht="79.95" customHeight="1"/>
    <row r="264" ht="79.95" customHeight="1"/>
    <row r="265" ht="79.95" customHeight="1"/>
    <row r="266" ht="79.95" customHeight="1"/>
    <row r="267" ht="79.95" customHeight="1"/>
    <row r="268" ht="79.95" customHeight="1"/>
    <row r="269" ht="79.95" customHeight="1"/>
    <row r="270" ht="79.95" customHeight="1"/>
    <row r="271" ht="79.95" customHeight="1"/>
    <row r="272" ht="79.95" customHeight="1"/>
    <row r="273" ht="79.95" customHeight="1"/>
    <row r="274" ht="79.95" customHeight="1"/>
    <row r="275" ht="79.95" customHeight="1"/>
    <row r="276" ht="79.95" customHeight="1"/>
    <row r="277" ht="79.95" customHeight="1"/>
    <row r="278" ht="79.95" customHeight="1"/>
    <row r="279" ht="79.95" customHeight="1"/>
    <row r="280" ht="79.95" customHeight="1"/>
    <row r="281" ht="79.95" customHeight="1"/>
    <row r="282" ht="79.95" customHeight="1"/>
    <row r="283" ht="79.95" customHeight="1"/>
    <row r="284" ht="79.95" customHeight="1"/>
    <row r="285" ht="79.95" customHeight="1"/>
    <row r="286" ht="79.95" customHeight="1"/>
    <row r="287" ht="79.95" customHeight="1"/>
    <row r="288" ht="79.95" customHeight="1"/>
    <row r="289" ht="79.95" customHeight="1"/>
    <row r="290" ht="79.95" customHeight="1"/>
    <row r="291" ht="79.95" customHeight="1"/>
    <row r="292" ht="79.95" customHeight="1"/>
    <row r="293" ht="79.95" customHeight="1"/>
    <row r="294" ht="79.95" customHeight="1"/>
    <row r="295" ht="79.95" customHeight="1"/>
    <row r="296" ht="79.95" customHeight="1"/>
    <row r="297" ht="79.95" customHeight="1"/>
    <row r="298" ht="79.95" customHeight="1"/>
    <row r="299" ht="79.95" customHeight="1"/>
    <row r="300" ht="79.95" customHeight="1"/>
    <row r="301" ht="79.95" customHeight="1"/>
    <row r="302" ht="79.95" customHeight="1"/>
    <row r="303" ht="79.95" customHeight="1"/>
    <row r="304" ht="79.95" customHeight="1"/>
    <row r="305" ht="79.95" customHeight="1"/>
    <row r="306" ht="79.95" customHeight="1"/>
    <row r="307" ht="79.95" customHeight="1"/>
    <row r="308" ht="79.95" customHeight="1"/>
    <row r="309" ht="79.95" customHeight="1"/>
    <row r="310" ht="79.95" customHeight="1"/>
    <row r="311" ht="79.95" customHeight="1"/>
    <row r="312" ht="79.95" customHeight="1"/>
    <row r="313" ht="79.95" customHeight="1"/>
    <row r="314" ht="79.95" customHeight="1"/>
    <row r="315" ht="79.95" customHeight="1"/>
    <row r="316" ht="79.95" customHeight="1"/>
    <row r="317" ht="79.95" customHeight="1"/>
    <row r="318" ht="79.95" customHeight="1"/>
    <row r="319" ht="79.95" customHeight="1"/>
    <row r="320" ht="79.95" customHeight="1"/>
    <row r="321" ht="79.95" customHeight="1"/>
    <row r="322" ht="79.95" customHeight="1"/>
    <row r="323" ht="79.95" customHeight="1"/>
    <row r="324" ht="79.95" customHeight="1"/>
    <row r="325" ht="79.95" customHeight="1"/>
    <row r="326" ht="79.95" customHeight="1"/>
    <row r="327" ht="79.95" customHeight="1"/>
    <row r="328" ht="79.95" customHeight="1"/>
    <row r="329" ht="79.95" customHeight="1"/>
    <row r="330" ht="79.95" customHeight="1"/>
    <row r="331" ht="79.95" customHeight="1"/>
    <row r="332" ht="79.95" customHeight="1"/>
    <row r="333" ht="79.95" customHeight="1"/>
    <row r="334" ht="79.95" customHeight="1"/>
    <row r="335" ht="79.95" customHeight="1"/>
    <row r="336" ht="79.95" customHeight="1"/>
    <row r="337" ht="79.95" customHeight="1"/>
    <row r="338" ht="79.95" customHeight="1"/>
    <row r="339" ht="79.95" customHeight="1"/>
    <row r="340" ht="79.95" customHeight="1"/>
    <row r="341" ht="79.95" customHeight="1"/>
    <row r="342" ht="79.95" customHeight="1"/>
    <row r="343" ht="79.95" customHeight="1"/>
    <row r="344" ht="79.95" customHeight="1"/>
    <row r="345" ht="79.95" customHeight="1"/>
    <row r="346" ht="79.95" customHeight="1"/>
    <row r="347" ht="79.95" customHeight="1"/>
    <row r="348" ht="79.95" customHeight="1"/>
    <row r="349" ht="79.95" customHeight="1"/>
    <row r="350" ht="79.95" customHeight="1"/>
    <row r="351" ht="79.95" customHeight="1"/>
    <row r="352" ht="79.95" customHeight="1"/>
    <row r="353" ht="79.95" customHeight="1"/>
    <row r="354" ht="79.95" customHeight="1"/>
    <row r="355" ht="79.95" customHeight="1"/>
    <row r="356" ht="79.95" customHeight="1"/>
    <row r="357" ht="79.95" customHeight="1"/>
    <row r="358" ht="79.95" customHeight="1"/>
    <row r="359" ht="79.95" customHeight="1"/>
    <row r="360" ht="79.95" customHeight="1"/>
    <row r="361" ht="79.95" customHeight="1"/>
    <row r="362" ht="79.95" customHeight="1"/>
    <row r="363" ht="79.95" customHeight="1"/>
    <row r="364" ht="79.95" customHeight="1"/>
    <row r="365" ht="79.95" customHeight="1"/>
    <row r="366" ht="79.95" customHeight="1"/>
    <row r="367" ht="79.95" customHeight="1"/>
    <row r="368" ht="79.95" customHeight="1"/>
    <row r="369" ht="79.95" customHeight="1"/>
    <row r="370" ht="79.95" customHeight="1"/>
    <row r="371" ht="79.95" customHeight="1"/>
    <row r="372" ht="79.95" customHeight="1"/>
    <row r="373" ht="79.95" customHeight="1"/>
    <row r="374" ht="79.95" customHeight="1"/>
    <row r="375" ht="79.95" customHeight="1"/>
    <row r="376" ht="79.95" customHeight="1"/>
    <row r="377" ht="79.95" customHeight="1"/>
    <row r="378" ht="79.95" customHeight="1"/>
    <row r="379" ht="79.95" customHeight="1"/>
    <row r="380" ht="79.95" customHeight="1"/>
    <row r="381" ht="79.95" customHeight="1"/>
    <row r="382" ht="79.95" customHeight="1"/>
    <row r="383" ht="79.95" customHeight="1"/>
    <row r="384" ht="79.95" customHeight="1"/>
    <row r="385" ht="79.95" customHeight="1"/>
    <row r="386" ht="79.95" customHeight="1"/>
    <row r="387" ht="79.95" customHeight="1"/>
    <row r="388" ht="79.95" customHeight="1"/>
    <row r="389" ht="79.95" customHeight="1"/>
    <row r="390" ht="79.95" customHeight="1"/>
    <row r="391" ht="79.95" customHeight="1"/>
    <row r="392" ht="79.95" customHeight="1"/>
    <row r="393" ht="79.95" customHeight="1"/>
    <row r="394" ht="79.95" customHeight="1"/>
    <row r="395" ht="79.95" customHeight="1"/>
    <row r="396" ht="79.95" customHeight="1"/>
    <row r="397" ht="79.95" customHeight="1"/>
    <row r="398" ht="79.95" customHeight="1"/>
    <row r="399" ht="79.95" customHeight="1"/>
    <row r="400" ht="79.95" customHeight="1"/>
    <row r="401" ht="79.95" customHeight="1"/>
    <row r="402" ht="79.95" customHeight="1"/>
    <row r="403" ht="79.95" customHeight="1"/>
    <row r="404" ht="79.95" customHeight="1"/>
    <row r="405" ht="79.95" customHeight="1"/>
    <row r="406" ht="79.95" customHeight="1"/>
    <row r="407" ht="79.95" customHeight="1"/>
    <row r="408" ht="79.95" customHeight="1"/>
    <row r="409" ht="79.95" customHeight="1"/>
    <row r="410" ht="79.95" customHeight="1"/>
    <row r="411" ht="79.95" customHeight="1"/>
    <row r="412" ht="79.95" customHeight="1"/>
    <row r="413" ht="79.95" customHeight="1"/>
    <row r="414" ht="79.95" customHeight="1"/>
    <row r="415" ht="79.95" customHeight="1"/>
    <row r="416" ht="79.95" customHeight="1"/>
    <row r="417" ht="79.95" customHeight="1"/>
    <row r="418" ht="79.95" customHeight="1"/>
    <row r="419" ht="79.95" customHeight="1"/>
    <row r="420" ht="79.95" customHeight="1"/>
    <row r="421" ht="79.95" customHeight="1"/>
    <row r="422" ht="79.95" customHeight="1"/>
    <row r="423" ht="79.95" customHeight="1"/>
    <row r="424" ht="79.95" customHeight="1"/>
    <row r="425" ht="79.95" customHeight="1"/>
    <row r="426" ht="79.95" customHeight="1"/>
    <row r="427" ht="79.95" customHeight="1"/>
    <row r="428" ht="79.95" customHeight="1"/>
    <row r="429" ht="79.95" customHeight="1"/>
    <row r="430" ht="79.95" customHeight="1"/>
    <row r="431" ht="79.95" customHeight="1"/>
    <row r="432" ht="79.95" customHeight="1"/>
    <row r="433" ht="79.95" customHeight="1"/>
    <row r="434" ht="79.95" customHeight="1"/>
    <row r="435" ht="79.95" customHeight="1"/>
    <row r="436" ht="79.95" customHeight="1"/>
    <row r="437" ht="79.95" customHeight="1"/>
    <row r="438" ht="79.95" customHeight="1"/>
    <row r="439" ht="79.95" customHeight="1"/>
    <row r="440" ht="79.95" customHeight="1"/>
    <row r="441" ht="79.95" customHeight="1"/>
    <row r="442" ht="79.95" customHeight="1"/>
    <row r="443" ht="79.95" customHeight="1"/>
    <row r="444" ht="79.95" customHeight="1"/>
    <row r="445" ht="79.95" customHeight="1"/>
    <row r="446" ht="79.95" customHeight="1"/>
    <row r="447" ht="79.95" customHeight="1"/>
    <row r="448" ht="79.95" customHeight="1"/>
    <row r="449" ht="79.95" customHeight="1"/>
    <row r="450" ht="79.95" customHeight="1"/>
    <row r="451" ht="79.95" customHeight="1"/>
    <row r="452" ht="79.95" customHeight="1"/>
    <row r="453" ht="79.95" customHeight="1"/>
    <row r="454" ht="79.95" customHeight="1"/>
    <row r="455" ht="79.95" customHeight="1"/>
    <row r="456" ht="79.95" customHeight="1"/>
    <row r="457" ht="79.95" customHeight="1"/>
    <row r="458" ht="79.95" customHeight="1"/>
    <row r="459" ht="79.95" customHeight="1"/>
    <row r="460" ht="79.95" customHeight="1"/>
    <row r="461" ht="79.95" customHeight="1"/>
    <row r="462" ht="79.95" customHeight="1"/>
    <row r="463" ht="79.95" customHeight="1"/>
    <row r="464" ht="79.95" customHeight="1"/>
    <row r="465" ht="79.95" customHeight="1"/>
    <row r="466" ht="79.95" customHeight="1"/>
    <row r="467" ht="79.95" customHeight="1"/>
    <row r="468" ht="79.95" customHeight="1"/>
    <row r="469" ht="79.95" customHeight="1"/>
    <row r="470" ht="79.95" customHeight="1"/>
    <row r="471" ht="79.95" customHeight="1"/>
    <row r="472" ht="79.95" customHeight="1"/>
    <row r="473" ht="79.95" customHeight="1"/>
    <row r="474" ht="79.95" customHeight="1"/>
    <row r="475" ht="79.95" customHeight="1"/>
    <row r="476" ht="79.95" customHeight="1"/>
    <row r="477" ht="79.95" customHeight="1"/>
    <row r="478" ht="79.95" customHeight="1"/>
    <row r="479" ht="79.95" customHeight="1"/>
    <row r="480" ht="79.95" customHeight="1"/>
    <row r="481" ht="79.95" customHeight="1"/>
    <row r="482" ht="79.95" customHeight="1"/>
    <row r="483" ht="79.95" customHeight="1"/>
    <row r="484" ht="79.95" customHeight="1"/>
    <row r="485" ht="79.95" customHeight="1"/>
    <row r="486" ht="79.95" customHeight="1"/>
    <row r="487" ht="79.95" customHeight="1"/>
    <row r="488" ht="79.95" customHeight="1"/>
    <row r="489" ht="79.95" customHeight="1"/>
    <row r="490" ht="79.95" customHeight="1"/>
    <row r="491" ht="79.95" customHeight="1"/>
    <row r="492" ht="79.95" customHeight="1"/>
    <row r="493" ht="79.95" customHeight="1"/>
    <row r="494" ht="79.95" customHeight="1"/>
    <row r="495" ht="79.95" customHeight="1"/>
    <row r="496" ht="79.95" customHeight="1"/>
    <row r="497" ht="79.95" customHeight="1"/>
    <row r="498" ht="79.95" customHeight="1"/>
    <row r="499" ht="79.95" customHeight="1"/>
    <row r="500" ht="79.95" customHeight="1"/>
    <row r="501" ht="79.95" customHeight="1"/>
    <row r="502" ht="79.95" customHeight="1"/>
    <row r="503" ht="79.95" customHeight="1"/>
    <row r="504" ht="79.95" customHeight="1"/>
    <row r="505" ht="79.95" customHeight="1"/>
    <row r="506" ht="79.95" customHeight="1"/>
    <row r="507" ht="79.95" customHeight="1"/>
    <row r="508" ht="79.95" customHeight="1"/>
    <row r="509" ht="79.95" customHeight="1"/>
    <row r="510" ht="79.95" customHeight="1"/>
    <row r="511" ht="79.95" customHeight="1"/>
    <row r="512" ht="79.95" customHeight="1"/>
    <row r="513" ht="79.95" customHeight="1"/>
    <row r="514" ht="79.95" customHeight="1"/>
    <row r="515" ht="79.95" customHeight="1"/>
    <row r="516" ht="79.95" customHeight="1"/>
    <row r="517" ht="79.95" customHeight="1"/>
    <row r="518" ht="79.95" customHeight="1"/>
    <row r="519" ht="79.95" customHeight="1"/>
    <row r="520" ht="79.95" customHeight="1"/>
    <row r="521" ht="79.95" customHeight="1"/>
    <row r="522" ht="79.95" customHeight="1"/>
    <row r="523" ht="79.95" customHeight="1"/>
    <row r="524" ht="79.95" customHeight="1"/>
    <row r="525" ht="79.95" customHeight="1"/>
    <row r="526" ht="79.95" customHeight="1"/>
    <row r="527" ht="79.95" customHeight="1"/>
    <row r="528" ht="79.95" customHeight="1"/>
    <row r="529" ht="79.95" customHeight="1"/>
    <row r="530" ht="79.95" customHeight="1"/>
    <row r="531" ht="79.95" customHeight="1"/>
    <row r="532" ht="79.95" customHeight="1"/>
    <row r="533" ht="79.95" customHeight="1"/>
    <row r="534" ht="79.95" customHeight="1"/>
    <row r="535" ht="79.95" customHeight="1"/>
    <row r="536" ht="79.95" customHeight="1"/>
    <row r="537" ht="79.95" customHeight="1"/>
    <row r="538" ht="79.95" customHeight="1"/>
    <row r="539" ht="79.95" customHeight="1"/>
    <row r="540" ht="79.95" customHeight="1"/>
    <row r="541" ht="79.95" customHeight="1"/>
    <row r="542" ht="79.95" customHeight="1"/>
    <row r="543" ht="79.95" customHeight="1"/>
    <row r="544" ht="79.95" customHeight="1"/>
    <row r="545" ht="79.95" customHeight="1"/>
    <row r="546" ht="79.95" customHeight="1"/>
    <row r="547" ht="79.95" customHeight="1"/>
    <row r="548" ht="79.95" customHeight="1"/>
    <row r="549" ht="79.95" customHeight="1"/>
    <row r="550" ht="79.95" customHeight="1"/>
    <row r="551" ht="79.95" customHeight="1"/>
    <row r="552" ht="79.95" customHeight="1"/>
    <row r="553" ht="79.95" customHeight="1"/>
    <row r="554" ht="79.95" customHeight="1"/>
    <row r="555" ht="79.95" customHeight="1"/>
    <row r="556" ht="79.95" customHeight="1"/>
    <row r="557" ht="79.95" customHeight="1"/>
    <row r="558" ht="79.95" customHeight="1"/>
    <row r="559" ht="79.95" customHeight="1"/>
    <row r="560" ht="79.95" customHeight="1"/>
    <row r="561" ht="79.95" customHeight="1"/>
    <row r="562" ht="79.95" customHeight="1"/>
    <row r="563" ht="79.95" customHeight="1"/>
    <row r="564" ht="79.95" customHeight="1"/>
    <row r="565" ht="79.95" customHeight="1"/>
    <row r="566" ht="79.95" customHeight="1"/>
    <row r="567" ht="79.95" customHeight="1"/>
    <row r="568" ht="79.95" customHeight="1"/>
    <row r="569" ht="79.95" customHeight="1"/>
    <row r="570" ht="79.95" customHeight="1"/>
    <row r="571" ht="79.95" customHeight="1"/>
    <row r="572" ht="79.95" customHeight="1"/>
    <row r="573" ht="79.95" customHeight="1"/>
    <row r="574" ht="79.95" customHeight="1"/>
    <row r="575" ht="79.95" customHeight="1"/>
    <row r="576" ht="79.95" customHeight="1"/>
    <row r="577" ht="79.95" customHeight="1"/>
    <row r="578" ht="79.95" customHeight="1"/>
    <row r="579" ht="79.95" customHeight="1"/>
    <row r="580" ht="79.95" customHeight="1"/>
    <row r="581" ht="79.95" customHeight="1"/>
    <row r="582" ht="79.95" customHeight="1"/>
    <row r="583" ht="79.95" customHeight="1"/>
    <row r="584" ht="79.95" customHeight="1"/>
    <row r="585" ht="79.95" customHeight="1"/>
    <row r="586" ht="79.95" customHeight="1"/>
    <row r="587" ht="79.95" customHeight="1"/>
    <row r="588" ht="79.95" customHeight="1"/>
    <row r="589" ht="79.95" customHeight="1"/>
    <row r="590" ht="79.95" customHeight="1"/>
    <row r="591" ht="79.95" customHeight="1"/>
    <row r="592" ht="79.95" customHeight="1"/>
    <row r="593" ht="79.95" customHeight="1"/>
    <row r="594" ht="79.95" customHeight="1"/>
    <row r="595" ht="79.95" customHeight="1"/>
    <row r="596" ht="79.95" customHeight="1"/>
    <row r="597" ht="79.95" customHeight="1"/>
    <row r="598" ht="79.95" customHeight="1"/>
    <row r="599" ht="79.95" customHeight="1"/>
    <row r="600" ht="79.95" customHeight="1"/>
    <row r="601" ht="79.95" customHeight="1"/>
    <row r="602" ht="79.95" customHeight="1"/>
    <row r="603" ht="79.95" customHeight="1"/>
    <row r="604" ht="79.95" customHeight="1"/>
    <row r="605" ht="79.95" customHeight="1"/>
    <row r="606" ht="79.95" customHeight="1"/>
    <row r="607" ht="79.95" customHeight="1"/>
    <row r="608" ht="79.95" customHeight="1"/>
    <row r="609" ht="79.95" customHeight="1"/>
    <row r="610" ht="79.95" customHeight="1"/>
    <row r="611" ht="79.95" customHeight="1"/>
    <row r="612" ht="79.95" customHeight="1"/>
    <row r="613" ht="79.95" customHeight="1"/>
    <row r="614" ht="79.95" customHeight="1"/>
    <row r="615" ht="79.95" customHeight="1"/>
    <row r="616" ht="79.95" customHeight="1"/>
    <row r="617" ht="79.95" customHeight="1"/>
    <row r="618" ht="79.95" customHeight="1"/>
    <row r="619" ht="79.95" customHeight="1"/>
    <row r="620" ht="79.95" customHeight="1"/>
    <row r="621" ht="79.95" customHeight="1"/>
    <row r="622" ht="79.95" customHeight="1"/>
    <row r="623" ht="79.95" customHeight="1"/>
    <row r="624" ht="79.95" customHeight="1"/>
    <row r="625" ht="79.95" customHeight="1"/>
    <row r="626" ht="79.95" customHeight="1"/>
    <row r="627" ht="79.95" customHeight="1"/>
    <row r="628" ht="79.95" customHeight="1"/>
    <row r="629" ht="79.95" customHeight="1"/>
    <row r="630" ht="79.95" customHeight="1"/>
    <row r="631" ht="79.95" customHeight="1"/>
    <row r="632" ht="79.95" customHeight="1"/>
    <row r="633" ht="79.95" customHeight="1"/>
    <row r="634" ht="79.95" customHeight="1"/>
    <row r="635" ht="79.95" customHeight="1"/>
    <row r="636" ht="79.95" customHeight="1"/>
    <row r="637" ht="79.95" customHeight="1"/>
    <row r="638" ht="79.95" customHeight="1"/>
    <row r="639" ht="79.95" customHeight="1"/>
    <row r="640" ht="79.95" customHeight="1"/>
    <row r="641" ht="79.95" customHeight="1"/>
    <row r="642" ht="79.95" customHeight="1"/>
    <row r="643" ht="79.95" customHeight="1"/>
    <row r="644" ht="79.95" customHeight="1"/>
    <row r="645" ht="79.95" customHeight="1"/>
    <row r="646" ht="79.95" customHeight="1"/>
    <row r="647" ht="79.95" customHeight="1"/>
    <row r="648" ht="79.95" customHeight="1"/>
    <row r="649" ht="79.95" customHeight="1"/>
    <row r="650" ht="79.95" customHeight="1"/>
    <row r="651" ht="79.95" customHeight="1"/>
    <row r="652" ht="79.95" customHeight="1"/>
    <row r="653" ht="79.95" customHeight="1"/>
    <row r="654" ht="79.95" customHeight="1"/>
    <row r="655" ht="79.95" customHeight="1"/>
    <row r="656" ht="79.95" customHeight="1"/>
    <row r="657" ht="79.95" customHeight="1"/>
    <row r="658" ht="79.95" customHeight="1"/>
    <row r="659" ht="79.95" customHeight="1"/>
    <row r="660" ht="79.95" customHeight="1"/>
    <row r="661" ht="79.95" customHeight="1"/>
    <row r="662" ht="79.95" customHeight="1"/>
    <row r="663" ht="79.95" customHeight="1"/>
    <row r="664" ht="79.95" customHeight="1"/>
    <row r="665" ht="79.95" customHeight="1"/>
    <row r="666" ht="79.95" customHeight="1"/>
    <row r="667" ht="79.95" customHeight="1"/>
    <row r="668" ht="79.95" customHeight="1"/>
    <row r="669" ht="79.95" customHeight="1"/>
    <row r="670" ht="79.95" customHeight="1"/>
    <row r="671" ht="79.95" customHeight="1"/>
    <row r="672" ht="79.95" customHeight="1"/>
    <row r="673" ht="79.95" customHeight="1"/>
    <row r="674" ht="79.95" customHeight="1"/>
    <row r="675" ht="79.95" customHeight="1"/>
    <row r="676" ht="79.95" customHeight="1"/>
    <row r="677" ht="79.95" customHeight="1"/>
    <row r="678" ht="79.95" customHeight="1"/>
    <row r="679" ht="79.95" customHeight="1"/>
    <row r="680" ht="79.95" customHeight="1"/>
    <row r="681" ht="79.95" customHeight="1"/>
    <row r="682" ht="79.95" customHeight="1"/>
    <row r="683" ht="79.95" customHeight="1"/>
    <row r="684" ht="79.95" customHeight="1"/>
    <row r="685" ht="79.95" customHeight="1"/>
    <row r="686" ht="79.95" customHeight="1"/>
    <row r="687" ht="79.95" customHeight="1"/>
    <row r="688" ht="79.95" customHeight="1"/>
    <row r="689" ht="79.95" customHeight="1"/>
    <row r="690" ht="79.95" customHeight="1"/>
    <row r="691" ht="79.95" customHeight="1"/>
    <row r="692" ht="79.95" customHeight="1"/>
    <row r="693" ht="79.95" customHeight="1"/>
    <row r="694" ht="79.95" customHeight="1"/>
    <row r="695" ht="79.95" customHeight="1"/>
    <row r="696" ht="79.95" customHeight="1"/>
    <row r="697" ht="79.95" customHeight="1"/>
    <row r="698" ht="79.95" customHeight="1"/>
    <row r="699" ht="79.95" customHeight="1"/>
    <row r="700" ht="79.95" customHeight="1"/>
    <row r="701" ht="79.95" customHeight="1"/>
    <row r="702" ht="79.95" customHeight="1"/>
    <row r="703" ht="79.95" customHeight="1"/>
    <row r="704" ht="79.95" customHeight="1"/>
    <row r="705" ht="79.95" customHeight="1"/>
    <row r="706" ht="79.95" customHeight="1"/>
    <row r="707" ht="79.95" customHeight="1"/>
    <row r="708" ht="79.95" customHeight="1"/>
    <row r="709" ht="79.95" customHeight="1"/>
    <row r="710" ht="79.95" customHeight="1"/>
    <row r="711" ht="79.95" customHeight="1"/>
    <row r="712" ht="79.95" customHeight="1"/>
    <row r="713" ht="79.95" customHeight="1"/>
    <row r="714" ht="79.95" customHeight="1"/>
    <row r="715" ht="79.95" customHeight="1"/>
    <row r="716" ht="79.95" customHeight="1"/>
    <row r="717" ht="79.95" customHeight="1"/>
    <row r="718" ht="79.95" customHeight="1"/>
    <row r="719" ht="79.95" customHeight="1"/>
    <row r="720" ht="79.95" customHeight="1"/>
    <row r="721" ht="79.95" customHeight="1"/>
    <row r="722" ht="79.95" customHeight="1"/>
    <row r="723" ht="79.95" customHeight="1"/>
    <row r="724" ht="79.95" customHeight="1"/>
    <row r="725" ht="79.95" customHeight="1"/>
    <row r="726" ht="79.95" customHeight="1"/>
    <row r="727" ht="79.95" customHeight="1"/>
    <row r="728" ht="79.95" customHeight="1"/>
    <row r="729" ht="79.95" customHeight="1"/>
    <row r="730" ht="79.95" customHeight="1"/>
    <row r="731" ht="79.95" customHeight="1"/>
    <row r="732" ht="79.95" customHeight="1"/>
    <row r="733" ht="79.95" customHeight="1"/>
    <row r="734" ht="79.95" customHeight="1"/>
    <row r="735" ht="79.95" customHeight="1"/>
    <row r="736" ht="79.95" customHeight="1"/>
    <row r="737" ht="79.95" customHeight="1"/>
    <row r="738" ht="79.95" customHeight="1"/>
    <row r="739" ht="79.95" customHeight="1"/>
    <row r="740" ht="79.95" customHeight="1"/>
    <row r="741" ht="79.95" customHeight="1"/>
    <row r="742" ht="79.95" customHeight="1"/>
    <row r="743" ht="79.95" customHeight="1"/>
    <row r="744" ht="79.95" customHeight="1"/>
    <row r="745" ht="79.95" customHeight="1"/>
    <row r="746" ht="79.95" customHeight="1"/>
    <row r="747" ht="79.95" customHeight="1"/>
    <row r="748" ht="79.95" customHeight="1"/>
    <row r="749" ht="79.95" customHeight="1"/>
    <row r="750" ht="79.95" customHeight="1"/>
    <row r="751" ht="79.95" customHeight="1"/>
    <row r="752" ht="79.95" customHeight="1"/>
    <row r="753" ht="79.95" customHeight="1"/>
    <row r="754" ht="79.95" customHeight="1"/>
    <row r="755" ht="79.95" customHeight="1"/>
    <row r="756" ht="79.95" customHeight="1"/>
    <row r="757" ht="79.95" customHeight="1"/>
    <row r="758" ht="79.95" customHeight="1"/>
    <row r="759" ht="79.95" customHeight="1"/>
    <row r="760" ht="79.95" customHeight="1"/>
    <row r="761" ht="79.95" customHeight="1"/>
    <row r="762" ht="79.95" customHeight="1"/>
    <row r="763" ht="79.95" customHeight="1"/>
    <row r="764" ht="79.95" customHeight="1"/>
    <row r="765" ht="79.95" customHeight="1"/>
    <row r="766" ht="79.95" customHeight="1"/>
    <row r="767" ht="79.95" customHeight="1"/>
    <row r="768" ht="79.95" customHeight="1"/>
    <row r="769" ht="79.95" customHeight="1"/>
    <row r="770" ht="79.95" customHeight="1"/>
    <row r="771" ht="79.95" customHeight="1"/>
    <row r="772" ht="79.95" customHeight="1"/>
    <row r="773" ht="79.95" customHeight="1"/>
    <row r="774" ht="79.95" customHeight="1"/>
    <row r="775" ht="79.95" customHeight="1"/>
    <row r="776" ht="79.95" customHeight="1"/>
    <row r="777" ht="79.95" customHeight="1"/>
    <row r="778" ht="79.95" customHeight="1"/>
    <row r="779" ht="79.95" customHeight="1"/>
    <row r="780" ht="79.95" customHeight="1"/>
    <row r="781" ht="79.95" customHeight="1"/>
    <row r="782" ht="79.95" customHeight="1"/>
    <row r="783" ht="79.95" customHeight="1"/>
    <row r="784" ht="79.95" customHeight="1"/>
    <row r="785" ht="79.95" customHeight="1"/>
    <row r="786" ht="79.95" customHeight="1"/>
    <row r="787" ht="79.95" customHeight="1"/>
    <row r="788" ht="79.95" customHeight="1"/>
    <row r="789" ht="79.95" customHeight="1"/>
    <row r="790" ht="79.95" customHeight="1"/>
    <row r="791" ht="79.95" customHeight="1"/>
    <row r="792" ht="79.95" customHeight="1"/>
    <row r="793" ht="79.95" customHeight="1"/>
    <row r="794" ht="79.95" customHeight="1"/>
    <row r="795" ht="79.95" customHeight="1"/>
    <row r="796" ht="79.95" customHeight="1"/>
    <row r="797" ht="79.95" customHeight="1"/>
    <row r="798" ht="79.95" customHeight="1"/>
    <row r="799" ht="79.95" customHeight="1"/>
    <row r="800" ht="79.95" customHeight="1"/>
    <row r="801" ht="79.95" customHeight="1"/>
    <row r="802" ht="79.95" customHeight="1"/>
    <row r="803" ht="79.95" customHeight="1"/>
    <row r="804" ht="79.95" customHeight="1"/>
    <row r="805" ht="79.95" customHeight="1"/>
    <row r="806" ht="79.95" customHeight="1"/>
    <row r="807" ht="79.95" customHeight="1"/>
    <row r="808" ht="79.95" customHeight="1"/>
    <row r="809" ht="79.95" customHeight="1"/>
    <row r="810" ht="79.95" customHeight="1"/>
    <row r="811" ht="79.95" customHeight="1"/>
    <row r="812" ht="79.95" customHeight="1"/>
    <row r="813" ht="79.95" customHeight="1"/>
    <row r="814" ht="79.95" customHeight="1"/>
    <row r="815" ht="79.95" customHeight="1"/>
    <row r="816" ht="79.95" customHeight="1"/>
    <row r="817" ht="79.95" customHeight="1"/>
    <row r="818" ht="79.95" customHeight="1"/>
    <row r="819" ht="79.95" customHeight="1"/>
    <row r="820" ht="79.95" customHeight="1"/>
    <row r="821" ht="79.95" customHeight="1"/>
    <row r="822" ht="79.95" customHeight="1"/>
    <row r="823" ht="79.95" customHeight="1"/>
    <row r="824" ht="79.95" customHeight="1"/>
    <row r="825" ht="79.95" customHeight="1"/>
    <row r="826" ht="79.95" customHeight="1"/>
    <row r="827" ht="79.95" customHeight="1"/>
    <row r="828" ht="79.95" customHeight="1"/>
    <row r="829" ht="79.95" customHeight="1"/>
    <row r="830" ht="79.95" customHeight="1"/>
    <row r="831" ht="79.95" customHeight="1"/>
    <row r="832" ht="79.95" customHeight="1"/>
    <row r="833" ht="79.95" customHeight="1"/>
    <row r="834" ht="79.95" customHeight="1"/>
    <row r="835" ht="79.95" customHeight="1"/>
    <row r="836" ht="79.95" customHeight="1"/>
    <row r="837" ht="79.95" customHeight="1"/>
    <row r="838" ht="79.95" customHeight="1"/>
    <row r="839" ht="79.95" customHeight="1"/>
    <row r="840" ht="79.95" customHeight="1"/>
    <row r="841" ht="79.95" customHeight="1"/>
    <row r="842" ht="79.95" customHeight="1"/>
    <row r="843" ht="79.95" customHeight="1"/>
    <row r="844" ht="79.95" customHeight="1"/>
    <row r="845" ht="79.95" customHeight="1"/>
    <row r="846" ht="79.95" customHeight="1"/>
    <row r="847" ht="79.95" customHeight="1"/>
    <row r="848" ht="79.95" customHeight="1"/>
    <row r="849" ht="79.95" customHeight="1"/>
    <row r="850" ht="79.95" customHeight="1"/>
    <row r="851" ht="79.95" customHeight="1"/>
    <row r="852" ht="79.95" customHeight="1"/>
    <row r="853" ht="79.95" customHeight="1"/>
    <row r="854" ht="79.95" customHeight="1"/>
    <row r="855" ht="79.95" customHeight="1"/>
    <row r="856" ht="79.95" customHeight="1"/>
    <row r="857" ht="79.95" customHeight="1"/>
    <row r="858" ht="79.95" customHeight="1"/>
    <row r="859" ht="79.95" customHeight="1"/>
    <row r="860" ht="79.95" customHeight="1"/>
    <row r="861" ht="79.95" customHeight="1"/>
    <row r="862" ht="79.95" customHeight="1"/>
    <row r="863" ht="79.95" customHeight="1"/>
    <row r="864" ht="79.95" customHeight="1"/>
    <row r="865" ht="79.95" customHeight="1"/>
    <row r="866" ht="79.95" customHeight="1"/>
    <row r="867" ht="79.95" customHeight="1"/>
    <row r="868" ht="79.95" customHeight="1"/>
    <row r="869" ht="79.95" customHeight="1"/>
    <row r="870" ht="79.95" customHeight="1"/>
    <row r="871" ht="79.95" customHeight="1"/>
    <row r="872" ht="79.95" customHeight="1"/>
    <row r="873" ht="79.95" customHeight="1"/>
    <row r="874" ht="79.95" customHeight="1"/>
    <row r="875" ht="79.95" customHeight="1"/>
    <row r="876" ht="79.95" customHeight="1"/>
    <row r="877" ht="79.95" customHeight="1"/>
    <row r="878" ht="79.95" customHeight="1"/>
    <row r="879" ht="79.95" customHeight="1"/>
    <row r="880" ht="79.95" customHeight="1"/>
    <row r="881" ht="79.95" customHeight="1"/>
    <row r="882" ht="79.95" customHeight="1"/>
    <row r="883" ht="79.95" customHeight="1"/>
    <row r="884" ht="79.95" customHeight="1"/>
    <row r="885" ht="79.95" customHeight="1"/>
    <row r="886" ht="79.95" customHeight="1"/>
    <row r="887" ht="79.95" customHeight="1"/>
    <row r="888" ht="79.95" customHeight="1"/>
    <row r="889" ht="79.95" customHeight="1"/>
    <row r="890" ht="79.95" customHeight="1"/>
    <row r="891" ht="79.95" customHeight="1"/>
    <row r="892" ht="79.95" customHeight="1"/>
    <row r="893" ht="79.95" customHeight="1"/>
    <row r="894" ht="79.95" customHeight="1"/>
    <row r="895" ht="79.95" customHeight="1"/>
    <row r="896" ht="79.95" customHeight="1"/>
    <row r="897" ht="79.95" customHeight="1"/>
    <row r="898" ht="79.95" customHeight="1"/>
    <row r="899" ht="79.95" customHeight="1"/>
    <row r="900" ht="79.95" customHeight="1"/>
    <row r="901" ht="79.95" customHeight="1"/>
    <row r="902" ht="79.95" customHeight="1"/>
    <row r="903" ht="79.95" customHeight="1"/>
    <row r="904" ht="79.95" customHeight="1"/>
    <row r="905" ht="79.95" customHeight="1"/>
    <row r="906" ht="79.95" customHeight="1"/>
    <row r="907" ht="79.95" customHeight="1"/>
    <row r="908" ht="79.95" customHeight="1"/>
    <row r="909" ht="79.95" customHeight="1"/>
    <row r="910" ht="79.95" customHeight="1"/>
    <row r="911" ht="79.95" customHeight="1"/>
    <row r="912" ht="79.95" customHeight="1"/>
    <row r="913" ht="79.95" customHeight="1"/>
    <row r="914" ht="79.95" customHeight="1"/>
    <row r="915" ht="79.95" customHeight="1"/>
    <row r="916" ht="79.95" customHeight="1"/>
    <row r="917" ht="79.95" customHeight="1"/>
    <row r="918" ht="79.95" customHeight="1"/>
    <row r="919" ht="79.95" customHeight="1"/>
    <row r="920" ht="79.95" customHeight="1"/>
    <row r="921" ht="79.95" customHeight="1"/>
    <row r="922" ht="79.95" customHeight="1"/>
    <row r="923" ht="79.95" customHeight="1"/>
    <row r="924" ht="79.95" customHeight="1"/>
    <row r="925" ht="79.95" customHeight="1"/>
    <row r="926" ht="79.95" customHeight="1"/>
    <row r="927" ht="79.95" customHeight="1"/>
    <row r="928" ht="79.95" customHeight="1"/>
    <row r="929" ht="79.95" customHeight="1"/>
    <row r="930" ht="79.95" customHeight="1"/>
    <row r="931" ht="79.95" customHeight="1"/>
    <row r="932" ht="79.95" customHeight="1"/>
    <row r="933" ht="79.95" customHeight="1"/>
    <row r="934" ht="79.95" customHeight="1"/>
    <row r="935" ht="79.95" customHeight="1"/>
    <row r="936" ht="79.95" customHeight="1"/>
    <row r="937" ht="79.95" customHeight="1"/>
    <row r="938" ht="79.95" customHeight="1"/>
    <row r="939" ht="79.95" customHeight="1"/>
    <row r="940" ht="79.95" customHeight="1"/>
    <row r="941" ht="79.95" customHeight="1"/>
    <row r="942" ht="79.95" customHeight="1"/>
    <row r="943" ht="79.95" customHeight="1"/>
    <row r="944" ht="79.95" customHeight="1"/>
    <row r="945" ht="79.95" customHeight="1"/>
    <row r="946" ht="79.95" customHeight="1"/>
    <row r="947" ht="79.95" customHeight="1"/>
    <row r="948" ht="79.95" customHeight="1"/>
    <row r="949" ht="79.95" customHeight="1"/>
    <row r="950" ht="79.95" customHeight="1"/>
    <row r="951" ht="79.95" customHeight="1"/>
    <row r="952" ht="79.95" customHeight="1"/>
    <row r="953" ht="79.95" customHeight="1"/>
    <row r="954" ht="79.95" customHeight="1"/>
    <row r="955" ht="79.95" customHeight="1"/>
    <row r="956" ht="79.95" customHeight="1"/>
    <row r="957" ht="79.95" customHeight="1"/>
    <row r="958" ht="79.95" customHeight="1"/>
    <row r="959" ht="79.95" customHeight="1"/>
    <row r="960" ht="79.95" customHeight="1"/>
    <row r="961" ht="79.95" customHeight="1"/>
    <row r="962" ht="79.95" customHeight="1"/>
    <row r="963" ht="79.95" customHeight="1"/>
    <row r="964" ht="79.95" customHeight="1"/>
    <row r="965" ht="79.95" customHeight="1"/>
    <row r="966" ht="79.95" customHeight="1"/>
    <row r="967" ht="79.95" customHeight="1"/>
    <row r="968" ht="79.95" customHeight="1"/>
    <row r="969" ht="79.95" customHeight="1"/>
    <row r="970" ht="79.95" customHeight="1"/>
    <row r="971" ht="79.95" customHeight="1"/>
    <row r="972" ht="79.95" customHeight="1"/>
    <row r="973" ht="79.95" customHeight="1"/>
    <row r="974" ht="79.95" customHeight="1"/>
    <row r="975" ht="79.95" customHeight="1"/>
    <row r="976" ht="79.95" customHeight="1"/>
    <row r="977" ht="79.95" customHeight="1"/>
    <row r="978" ht="79.95" customHeight="1"/>
    <row r="979" ht="79.95" customHeight="1"/>
    <row r="980" ht="79.95" customHeight="1"/>
    <row r="981" ht="79.95" customHeight="1"/>
    <row r="982" ht="79.95" customHeight="1"/>
    <row r="983" ht="79.95" customHeight="1"/>
    <row r="984" ht="79.95" customHeight="1"/>
    <row r="985" ht="79.95" customHeight="1"/>
    <row r="986" ht="79.95" customHeight="1"/>
    <row r="987" ht="79.95" customHeight="1"/>
    <row r="988" ht="79.95" customHeight="1"/>
    <row r="989" ht="79.95" customHeight="1"/>
    <row r="990" ht="79.95" customHeight="1"/>
    <row r="991" ht="79.95" customHeight="1"/>
    <row r="992" ht="79.95" customHeight="1"/>
    <row r="993" ht="79.95" customHeight="1"/>
    <row r="994" ht="79.95" customHeight="1"/>
    <row r="995" ht="79.95" customHeight="1"/>
    <row r="996" ht="70.2" customHeight="1"/>
    <row r="997" ht="70.2" customHeight="1"/>
    <row r="998" ht="70.2" customHeight="1"/>
    <row r="999" ht="70.2" customHeight="1"/>
    <row r="1000" ht="70.2" customHeight="1"/>
    <row r="1001" ht="70.2" customHeight="1"/>
    <row r="1002" ht="70.2" customHeight="1"/>
    <row r="1003" ht="70.2" customHeight="1"/>
    <row r="1004" ht="70.2" customHeight="1"/>
    <row r="1005" ht="70.2" customHeight="1"/>
    <row r="1006" ht="70.2" customHeight="1"/>
    <row r="1007" ht="70.2" customHeight="1"/>
    <row r="1008" ht="70.2" customHeight="1"/>
    <row r="1009" ht="70.2" customHeight="1"/>
    <row r="1010" ht="70.2" customHeight="1"/>
    <row r="1011" ht="70.2" customHeight="1"/>
    <row r="1012" ht="70.2" customHeight="1"/>
    <row r="1013" ht="70.2" customHeight="1"/>
    <row r="1014" ht="70.2" customHeight="1"/>
    <row r="1015" ht="70.2" customHeight="1"/>
    <row r="1016" ht="70.2" customHeight="1"/>
    <row r="1017" ht="70.2" customHeight="1"/>
    <row r="1018" ht="70.2" customHeight="1"/>
    <row r="1019" ht="70.2" customHeight="1"/>
    <row r="1020" ht="70.2" customHeight="1"/>
    <row r="1021" ht="70.2" customHeight="1"/>
    <row r="1022" ht="70.2" customHeight="1"/>
    <row r="1023" ht="70.2" customHeight="1"/>
    <row r="1024" ht="70.2" customHeight="1"/>
    <row r="1025" ht="70.2" customHeight="1"/>
    <row r="1026" ht="70.2" customHeight="1"/>
    <row r="1027" ht="70.2" customHeight="1"/>
    <row r="1028" ht="70.2" customHeight="1"/>
    <row r="1029" ht="70.2" customHeight="1"/>
    <row r="1030" ht="70.2" customHeight="1"/>
    <row r="1031" ht="70.2" customHeight="1"/>
    <row r="1032" ht="70.2" customHeight="1"/>
    <row r="1033" ht="70.2" customHeight="1"/>
    <row r="1034" ht="70.2" customHeight="1"/>
    <row r="1035" ht="70.2" customHeight="1"/>
    <row r="1036" ht="70.2" customHeight="1"/>
    <row r="1037" ht="70.2" customHeight="1"/>
    <row r="1038" ht="70.2" customHeight="1"/>
    <row r="1039" ht="70.2" customHeight="1"/>
    <row r="1040" ht="70.2" customHeight="1"/>
    <row r="1041" ht="70.2" customHeight="1"/>
    <row r="1042" ht="70.2" customHeight="1"/>
    <row r="1043" ht="70.2" customHeight="1"/>
    <row r="1044" ht="70.2" customHeight="1"/>
    <row r="1045" ht="70.2" customHeight="1"/>
    <row r="1046" ht="70.2" customHeight="1"/>
    <row r="1047" ht="70.2" customHeight="1"/>
    <row r="1048" ht="70.2" customHeight="1"/>
    <row r="1049" ht="70.2" customHeight="1"/>
    <row r="1050" ht="70.2" customHeight="1"/>
    <row r="1051" ht="70.2" customHeight="1"/>
    <row r="1052" ht="70.2" customHeight="1"/>
    <row r="1053" ht="70.2" customHeight="1"/>
    <row r="1054" ht="70.2" customHeight="1"/>
    <row r="1055" ht="70.2" customHeight="1"/>
    <row r="1056" ht="70.2" customHeight="1"/>
    <row r="1057" ht="70.2" customHeight="1"/>
    <row r="1058" ht="70.2" customHeight="1"/>
    <row r="1059" ht="70.2" customHeight="1"/>
    <row r="1060" ht="70.2" customHeight="1"/>
    <row r="1061" ht="70.2" customHeight="1"/>
    <row r="1062" ht="70.2" customHeight="1"/>
    <row r="1063" ht="70.2" customHeight="1"/>
    <row r="1064" ht="70.2" customHeight="1"/>
    <row r="1065" ht="70.2" customHeight="1"/>
    <row r="1066" ht="70.2" customHeight="1"/>
    <row r="1067" ht="70.2" customHeight="1"/>
    <row r="1068" ht="70.2" customHeight="1"/>
    <row r="1069" ht="70.2" customHeight="1"/>
    <row r="1070" ht="70.2" customHeight="1"/>
    <row r="1071" ht="70.2" customHeight="1"/>
    <row r="1072" ht="70.2" customHeight="1"/>
    <row r="1073" ht="70.2" customHeight="1"/>
    <row r="1074" ht="70.2" customHeight="1"/>
    <row r="1075" ht="70.2" customHeight="1"/>
    <row r="1076" ht="70.2" customHeight="1"/>
    <row r="1077" ht="70.2" customHeight="1"/>
    <row r="1078" ht="70.2" customHeight="1"/>
    <row r="1079" ht="70.2" customHeight="1"/>
    <row r="1080" ht="70.2" customHeight="1"/>
    <row r="1081" ht="70.2" customHeight="1"/>
    <row r="1082" ht="70.2" customHeight="1"/>
    <row r="1083" ht="70.2" customHeight="1"/>
    <row r="1084" ht="70.2" customHeight="1"/>
    <row r="1085" ht="70.2" customHeight="1"/>
    <row r="1086" ht="70.2" customHeight="1"/>
    <row r="1087" ht="70.2" customHeight="1"/>
    <row r="1088" ht="70.2" customHeight="1"/>
    <row r="1089" ht="70.2" customHeight="1"/>
    <row r="1090" ht="70.2" customHeight="1"/>
    <row r="1091" ht="70.2" customHeight="1"/>
    <row r="1092" ht="70.2" customHeight="1"/>
    <row r="1093" ht="70.2" customHeight="1"/>
    <row r="1094" ht="70.2" customHeight="1"/>
    <row r="1095" ht="70.2" customHeight="1"/>
    <row r="1096" ht="70.2" customHeight="1"/>
    <row r="1097" ht="70.2" customHeight="1"/>
    <row r="1098" ht="70.2" customHeight="1"/>
    <row r="1099" ht="70.2" customHeight="1"/>
    <row r="1100" ht="70.2" customHeight="1"/>
    <row r="1101" ht="70.2" customHeight="1"/>
    <row r="1102" ht="70.2" customHeight="1"/>
    <row r="1103" ht="70.2" customHeight="1"/>
    <row r="1104" ht="70.2" customHeight="1"/>
    <row r="1105" ht="70.2" customHeight="1"/>
    <row r="1106" ht="70.2" customHeight="1"/>
    <row r="1107" ht="70.2" customHeight="1"/>
    <row r="1108" ht="70.2" customHeight="1"/>
    <row r="1109" ht="70.2" customHeight="1"/>
    <row r="1110" ht="70.2" customHeight="1"/>
    <row r="1111" ht="70.2" customHeight="1"/>
    <row r="1112" ht="70.2" customHeight="1"/>
    <row r="1113" ht="70.2" customHeight="1"/>
    <row r="1114" ht="70.2" customHeight="1"/>
    <row r="1115" ht="70.2" customHeight="1"/>
    <row r="1116" ht="70.2" customHeight="1"/>
    <row r="1117" ht="70.2" customHeight="1"/>
    <row r="1118" ht="70.2" customHeight="1"/>
    <row r="1119" ht="70.2" customHeight="1"/>
    <row r="1120" ht="70.2" customHeight="1"/>
    <row r="1121" ht="70.2" customHeight="1"/>
    <row r="1122" ht="70.2" customHeight="1"/>
    <row r="1123" ht="70.2" customHeight="1"/>
    <row r="1124" ht="70.2" customHeight="1"/>
    <row r="1125" ht="70.2" customHeight="1"/>
    <row r="1126" ht="70.2" customHeight="1"/>
    <row r="1127" ht="70.2" customHeight="1"/>
    <row r="1128" ht="70.2" customHeight="1"/>
    <row r="1129" ht="70.2" customHeight="1"/>
    <row r="1130" ht="70.2" customHeight="1"/>
    <row r="1131" ht="70.2" customHeight="1"/>
    <row r="1132" ht="70.2" customHeight="1"/>
    <row r="1133" ht="70.2" customHeight="1"/>
    <row r="1134" ht="70.2" customHeight="1"/>
    <row r="1135" ht="70.2" customHeight="1"/>
    <row r="1136" ht="70.2" customHeight="1"/>
    <row r="1137" ht="70.2" customHeight="1"/>
    <row r="1138" ht="70.2" customHeight="1"/>
    <row r="1139" ht="70.2" customHeight="1"/>
    <row r="1140" ht="70.2" customHeight="1"/>
    <row r="1141" ht="70.2" customHeight="1"/>
    <row r="1142" ht="70.2" customHeight="1"/>
    <row r="1143" ht="70.2" customHeight="1"/>
    <row r="1144" ht="70.2" customHeight="1"/>
    <row r="1145" ht="70.2" customHeight="1"/>
    <row r="1146" ht="70.2" customHeight="1"/>
    <row r="1147" ht="70.2" customHeight="1"/>
    <row r="1148" ht="70.2" customHeight="1"/>
    <row r="1149" ht="70.2" customHeight="1"/>
    <row r="1150" ht="70.2" customHeight="1"/>
    <row r="1151" ht="70.2" customHeight="1"/>
    <row r="1152" ht="70.2" customHeight="1"/>
    <row r="1153" ht="70.2" customHeight="1"/>
    <row r="1154" ht="70.2" customHeight="1"/>
    <row r="1155" ht="70.2" customHeight="1"/>
    <row r="1156" ht="70.2" customHeight="1"/>
    <row r="1157" ht="70.2" customHeight="1"/>
    <row r="1158" ht="70.2" customHeight="1"/>
    <row r="1159" ht="70.2" customHeight="1"/>
    <row r="1160" ht="70.2" customHeight="1"/>
    <row r="1161" ht="70.2" customHeight="1"/>
    <row r="1162" ht="70.2" customHeight="1"/>
    <row r="1163" ht="70.2" customHeight="1"/>
    <row r="1164" ht="70.2" customHeight="1"/>
    <row r="1165" ht="70.2" customHeight="1"/>
    <row r="1166" ht="70.2" customHeight="1"/>
    <row r="1167" ht="70.2" customHeight="1"/>
    <row r="1168" ht="70.2" customHeight="1"/>
    <row r="1169" ht="70.2" customHeight="1"/>
    <row r="1170" ht="70.2" customHeight="1"/>
    <row r="1171" ht="70.2" customHeight="1"/>
    <row r="1172" ht="70.2" customHeight="1"/>
    <row r="1173" ht="70.2" customHeight="1"/>
    <row r="1174" ht="70.2" customHeight="1"/>
    <row r="1175" ht="70.2" customHeight="1"/>
    <row r="1176" ht="70.2" customHeight="1"/>
    <row r="1177" ht="70.2" customHeight="1"/>
    <row r="1178" ht="70.2" customHeight="1"/>
    <row r="1179" ht="70.2" customHeight="1"/>
    <row r="1180" ht="70.2" customHeight="1"/>
    <row r="1181" ht="70.2" customHeight="1"/>
    <row r="1182" ht="70.2" customHeight="1"/>
    <row r="1183" ht="70.2" customHeight="1"/>
    <row r="1184" ht="70.2" customHeight="1"/>
    <row r="1185" ht="70.2" customHeight="1"/>
    <row r="1186" ht="70.2" customHeight="1"/>
    <row r="1187" ht="70.2" customHeight="1"/>
    <row r="1188" ht="70.2" customHeight="1"/>
    <row r="1189" ht="70.2" customHeight="1"/>
    <row r="1190" ht="70.2" customHeight="1"/>
    <row r="1191" ht="70.2" customHeight="1"/>
    <row r="1192" ht="70.2" customHeight="1"/>
    <row r="1193" ht="70.2" customHeight="1"/>
    <row r="1194" ht="70.2" customHeight="1"/>
    <row r="1195" ht="70.2" customHeight="1"/>
    <row r="1196" ht="70.2" customHeight="1"/>
    <row r="1197" ht="70.2" customHeight="1"/>
    <row r="1198" ht="70.2" customHeight="1"/>
    <row r="1199" ht="70.2" customHeight="1"/>
    <row r="1200" ht="70.2" customHeight="1"/>
    <row r="1201" ht="70.2" customHeight="1"/>
    <row r="1202" ht="70.2" customHeight="1"/>
    <row r="1203" ht="70.2" customHeight="1"/>
    <row r="1204" ht="70.2" customHeight="1"/>
    <row r="1205" ht="70.2" customHeight="1"/>
    <row r="1206" ht="70.2" customHeight="1"/>
    <row r="1207" ht="70.2" customHeight="1"/>
    <row r="1208" ht="70.2" customHeight="1"/>
    <row r="1209" ht="70.2" customHeight="1"/>
    <row r="1210" ht="70.2" customHeight="1"/>
    <row r="1211" ht="70.2" customHeight="1"/>
    <row r="1212" ht="70.2" customHeight="1"/>
    <row r="1213" ht="70.2" customHeight="1"/>
    <row r="1214" ht="70.2" customHeight="1"/>
    <row r="1215" ht="70.2" customHeight="1"/>
    <row r="1216" ht="70.2" customHeight="1"/>
    <row r="1217" ht="70.2" customHeight="1"/>
    <row r="1218" ht="70.2" customHeight="1"/>
    <row r="1219" ht="70.2" customHeight="1"/>
    <row r="1220" ht="70.2" customHeight="1"/>
    <row r="1221" ht="70.2" customHeight="1"/>
    <row r="1222" ht="70.2" customHeight="1"/>
    <row r="1223" ht="70.2" customHeight="1"/>
    <row r="1224" ht="70.2" customHeight="1"/>
    <row r="1225" ht="70.2" customHeight="1"/>
    <row r="1226" ht="70.2" customHeight="1"/>
    <row r="1227" ht="70.2" customHeight="1"/>
    <row r="1228" ht="70.2" customHeight="1"/>
    <row r="1229" ht="70.2" customHeight="1"/>
    <row r="1230" ht="70.2" customHeight="1"/>
    <row r="1231" ht="70.2" customHeight="1"/>
    <row r="1232" ht="70.2" customHeight="1"/>
    <row r="1233" ht="70.2" customHeight="1"/>
    <row r="1234" ht="70.2" customHeight="1"/>
    <row r="1235" ht="70.2" customHeight="1"/>
    <row r="1236" ht="70.2" customHeight="1"/>
    <row r="1237" ht="70.2" customHeight="1"/>
    <row r="1238" ht="70.2" customHeight="1"/>
    <row r="1239" ht="70.2" customHeight="1"/>
    <row r="1240" ht="70.2" customHeight="1"/>
    <row r="1241" ht="70.2" customHeight="1"/>
    <row r="1242" ht="70.2" customHeight="1"/>
    <row r="1243" ht="70.2" customHeight="1"/>
    <row r="1244" ht="70.2" customHeight="1"/>
    <row r="1245" ht="70.2" customHeight="1"/>
    <row r="1246" ht="70.2" customHeight="1"/>
    <row r="1247" ht="70.2" customHeight="1"/>
    <row r="1248" ht="70.2" customHeight="1"/>
    <row r="1249" ht="70.2" customHeight="1"/>
    <row r="1250" ht="70.2" customHeight="1"/>
    <row r="1251" ht="70.2" customHeight="1"/>
    <row r="1252" ht="70.2" customHeight="1"/>
    <row r="1253" ht="70.2" customHeight="1"/>
    <row r="1254" ht="70.2" customHeight="1"/>
    <row r="1255" ht="70.2" customHeight="1"/>
    <row r="1256" ht="70.2" customHeight="1"/>
    <row r="1257" ht="70.2" customHeight="1"/>
    <row r="1258" ht="70.2" customHeight="1"/>
    <row r="1259" ht="70.2" customHeight="1"/>
    <row r="1260" ht="70.2" customHeight="1"/>
    <row r="1261" ht="70.2" customHeight="1"/>
    <row r="1262" ht="70.2" customHeight="1"/>
    <row r="1263" ht="70.2" customHeight="1"/>
    <row r="1264" ht="70.2" customHeight="1"/>
    <row r="1265" ht="70.2" customHeight="1"/>
    <row r="1266" ht="70.2" customHeight="1"/>
    <row r="1267" ht="70.2" customHeight="1"/>
    <row r="1268" ht="70.2" customHeight="1"/>
    <row r="1269" ht="70.2" customHeight="1"/>
    <row r="1270" ht="70.2" customHeight="1"/>
    <row r="1271" ht="70.2" customHeight="1"/>
    <row r="1272" ht="70.2" customHeight="1"/>
    <row r="1273" ht="70.2" customHeight="1"/>
    <row r="1274" ht="70.2" customHeight="1"/>
    <row r="1275" ht="70.2" customHeight="1"/>
    <row r="1276" ht="70.2" customHeight="1"/>
    <row r="1277" ht="70.2" customHeight="1"/>
    <row r="1278" ht="70.2" customHeight="1"/>
    <row r="1279" ht="70.2" customHeight="1"/>
    <row r="1280" ht="70.2" customHeight="1"/>
    <row r="1281" ht="70.2" customHeight="1"/>
    <row r="1282" ht="70.2" customHeight="1"/>
    <row r="1283" ht="70.2" customHeight="1"/>
    <row r="1284" ht="70.2" customHeight="1"/>
    <row r="1285" ht="70.2" customHeight="1"/>
    <row r="1286" ht="70.2" customHeight="1"/>
    <row r="1287" ht="70.2" customHeight="1"/>
    <row r="1288" ht="70.2" customHeight="1"/>
    <row r="1289" ht="70.2" customHeight="1"/>
    <row r="1290" ht="70.2" customHeight="1"/>
    <row r="1291" ht="70.2" customHeight="1"/>
    <row r="1292" ht="70.2" customHeight="1"/>
    <row r="1293" ht="70.2" customHeight="1"/>
    <row r="1294" ht="70.2" customHeight="1"/>
    <row r="1295" ht="70.2" customHeight="1"/>
    <row r="1296" ht="70.2" customHeight="1"/>
    <row r="1297" ht="70.2" customHeight="1"/>
    <row r="1298" ht="70.2" customHeight="1"/>
    <row r="1299" ht="70.2" customHeight="1"/>
    <row r="1300" ht="70.2" customHeight="1"/>
    <row r="1301" ht="70.2" customHeight="1"/>
    <row r="1302" ht="70.2" customHeight="1"/>
    <row r="1303" ht="70.2" customHeight="1"/>
    <row r="1304" ht="70.2" customHeight="1"/>
    <row r="1305" ht="70.2" customHeight="1"/>
    <row r="1306" ht="70.2" customHeight="1"/>
    <row r="1307" ht="70.2" customHeight="1"/>
    <row r="1308" ht="70.2" customHeight="1"/>
    <row r="1309" ht="70.2" customHeight="1"/>
    <row r="1310" ht="70.2" customHeight="1"/>
    <row r="1311" ht="70.2" customHeight="1"/>
    <row r="1312" ht="70.2" customHeight="1"/>
    <row r="1313" ht="70.2" customHeight="1"/>
    <row r="1314" ht="70.2" customHeight="1"/>
    <row r="1315" ht="70.2" customHeight="1"/>
    <row r="1316" ht="70.2" customHeight="1"/>
    <row r="1317" ht="70.2" customHeight="1"/>
    <row r="1318" ht="70.2" customHeight="1"/>
    <row r="1319" ht="70.2" customHeight="1"/>
    <row r="1320" ht="70.2" customHeight="1"/>
    <row r="1321" ht="70.2" customHeight="1"/>
    <row r="1322" ht="70.2" customHeight="1"/>
    <row r="1323" ht="70.2" customHeight="1"/>
    <row r="1324" ht="70.2" customHeight="1"/>
    <row r="1325" ht="70.2" customHeight="1"/>
    <row r="1326" ht="70.2" customHeight="1"/>
    <row r="1327" ht="70.2" customHeight="1"/>
    <row r="1328" ht="70.2" customHeight="1"/>
    <row r="1329" ht="70.2" customHeight="1"/>
    <row r="1330" ht="70.2" customHeight="1"/>
    <row r="1331" ht="70.2" customHeight="1"/>
    <row r="1332" ht="70.2" customHeight="1"/>
    <row r="1333" ht="70.2" customHeight="1"/>
    <row r="1334" ht="70.2" customHeight="1"/>
    <row r="1335" ht="70.2" customHeight="1"/>
    <row r="1336" ht="70.2" customHeight="1"/>
    <row r="1337" ht="70.2" customHeight="1"/>
    <row r="1338" ht="70.2" customHeight="1"/>
    <row r="1339" ht="70.2" customHeight="1"/>
    <row r="1340" ht="70.2" customHeight="1"/>
    <row r="1341" ht="70.2" customHeight="1"/>
    <row r="1342" ht="70.2" customHeight="1"/>
    <row r="1343" ht="70.2" customHeight="1"/>
    <row r="1344" ht="70.2" customHeight="1"/>
    <row r="1345" ht="70.2" customHeight="1"/>
    <row r="1346" ht="70.2" customHeight="1"/>
    <row r="1347" ht="70.2" customHeight="1"/>
    <row r="1348" ht="70.2" customHeight="1"/>
    <row r="1349" ht="70.2" customHeight="1"/>
    <row r="1350" ht="70.2" customHeight="1"/>
    <row r="1351" ht="70.2" customHeight="1"/>
    <row r="1352" ht="70.2" customHeight="1"/>
    <row r="1353" ht="70.2" customHeight="1"/>
    <row r="1354" ht="70.2" customHeight="1"/>
    <row r="1355" ht="70.2" customHeight="1"/>
    <row r="1356" ht="70.2" customHeight="1"/>
    <row r="1357" ht="70.2" customHeight="1"/>
    <row r="1358" ht="70.2" customHeight="1"/>
    <row r="1359" ht="70.2" customHeight="1"/>
    <row r="1360" ht="70.2" customHeight="1"/>
    <row r="1361" ht="70.2" customHeight="1"/>
    <row r="1362" ht="70.2" customHeight="1"/>
    <row r="1363" ht="70.2" customHeight="1"/>
    <row r="1364" ht="70.2" customHeight="1"/>
    <row r="1365" ht="70.2" customHeight="1"/>
    <row r="1366" ht="70.2" customHeight="1"/>
    <row r="1367" ht="70.2" customHeight="1"/>
    <row r="1368" ht="70.2" customHeight="1"/>
    <row r="1369" ht="70.2" customHeight="1"/>
    <row r="1370" ht="70.2" customHeight="1"/>
    <row r="1371" ht="70.2" customHeight="1"/>
    <row r="1372" ht="70.2" customHeight="1"/>
    <row r="1373" ht="70.2" customHeight="1"/>
    <row r="1374" ht="70.2" customHeight="1"/>
    <row r="1375" ht="70.2" customHeight="1"/>
    <row r="1376" ht="70.2" customHeight="1"/>
    <row r="1377" ht="70.2" customHeight="1"/>
    <row r="1378" ht="70.2" customHeight="1"/>
    <row r="1379" ht="70.2" customHeight="1"/>
    <row r="1380" ht="70.2" customHeight="1"/>
    <row r="1381" ht="70.2" customHeight="1"/>
    <row r="1382" ht="70.2" customHeight="1"/>
    <row r="1383" ht="70.2" customHeight="1"/>
    <row r="1384" ht="70.2" customHeight="1"/>
    <row r="1385" ht="70.2" customHeight="1"/>
    <row r="1386" ht="70.2" customHeight="1"/>
    <row r="1387" ht="70.2" customHeight="1"/>
    <row r="1388" ht="70.2" customHeight="1"/>
    <row r="1389" ht="70.2" customHeight="1"/>
    <row r="1390" ht="70.2" customHeight="1"/>
    <row r="1391" ht="70.2" customHeight="1"/>
    <row r="1392" ht="70.2" customHeight="1"/>
    <row r="1393" ht="70.2" customHeight="1"/>
    <row r="1394" ht="70.2" customHeight="1"/>
    <row r="1395" ht="70.2" customHeight="1"/>
    <row r="1396" ht="70.2" customHeight="1"/>
    <row r="1397" ht="70.2" customHeight="1"/>
    <row r="1398" ht="70.2" customHeight="1"/>
    <row r="1399" ht="70.2" customHeight="1"/>
    <row r="1400" ht="70.2" customHeight="1"/>
    <row r="1401" ht="70.2" customHeight="1"/>
    <row r="1402" ht="70.2" customHeight="1"/>
    <row r="1403" ht="70.2" customHeight="1"/>
    <row r="1404" ht="70.2" customHeight="1"/>
    <row r="1405" ht="70.2" customHeight="1"/>
    <row r="1406" ht="70.2" customHeight="1"/>
    <row r="1407" ht="70.2" customHeight="1"/>
    <row r="1408" ht="70.2" customHeight="1"/>
    <row r="1409" ht="70.2" customHeight="1"/>
    <row r="1410" ht="70.2" customHeight="1"/>
    <row r="1411" ht="70.2" customHeight="1"/>
    <row r="1412" ht="70.2" customHeight="1"/>
    <row r="1413" ht="70.2" customHeight="1"/>
    <row r="1414" ht="70.2" customHeight="1"/>
    <row r="1415" ht="70.2" customHeight="1"/>
    <row r="1416" ht="70.2" customHeight="1"/>
    <row r="1417" ht="70.2" customHeight="1"/>
    <row r="1418" ht="70.2" customHeight="1"/>
    <row r="1419" ht="70.2" customHeight="1"/>
    <row r="1420" ht="70.2" customHeight="1"/>
    <row r="1421" ht="70.2" customHeight="1"/>
    <row r="1422" ht="70.2" customHeight="1"/>
    <row r="1423" ht="70.2" customHeight="1"/>
    <row r="1424" ht="70.2" customHeight="1"/>
    <row r="1425" ht="70.2" customHeight="1"/>
    <row r="1426" ht="70.2" customHeight="1"/>
    <row r="1427" ht="70.2" customHeight="1"/>
    <row r="1428" ht="70.2" customHeight="1"/>
    <row r="1429" ht="70.2" customHeight="1"/>
    <row r="1430" ht="70.2" customHeight="1"/>
    <row r="1431" ht="70.2" customHeight="1"/>
    <row r="1432" ht="70.2" customHeight="1"/>
    <row r="1433" ht="70.2" customHeight="1"/>
    <row r="1434" ht="70.2" customHeight="1"/>
    <row r="1435" ht="70.2" customHeight="1"/>
    <row r="1436" ht="70.2" customHeight="1"/>
    <row r="1437" ht="70.2" customHeight="1"/>
    <row r="1438" ht="70.2" customHeight="1"/>
    <row r="1439" ht="70.2" customHeight="1"/>
    <row r="1440" ht="70.2" customHeight="1"/>
    <row r="1441" ht="70.2" customHeight="1"/>
    <row r="1442" ht="70.2" customHeight="1"/>
    <row r="1443" ht="70.2" customHeight="1"/>
    <row r="1444" ht="70.2" customHeight="1"/>
    <row r="1445" ht="70.2" customHeight="1"/>
    <row r="1446" ht="70.2" customHeight="1"/>
    <row r="1447" ht="70.2" customHeight="1"/>
    <row r="1448" ht="70.2" customHeight="1"/>
    <row r="1449" ht="70.2" customHeight="1"/>
    <row r="1450" ht="70.2" customHeight="1"/>
    <row r="1451" ht="70.2" customHeight="1"/>
    <row r="1452" ht="70.2" customHeight="1"/>
    <row r="1453" ht="70.2" customHeight="1"/>
    <row r="1454" ht="70.2" customHeight="1"/>
    <row r="1455" ht="70.2" customHeight="1"/>
    <row r="1456" ht="70.2" customHeight="1"/>
    <row r="1457" ht="70.2" customHeight="1"/>
    <row r="1458" ht="70.2" customHeight="1"/>
    <row r="1459" ht="70.2" customHeight="1"/>
    <row r="1460" ht="70.2" customHeight="1"/>
    <row r="1461" ht="70.2" customHeight="1"/>
    <row r="1462" ht="70.2" customHeight="1"/>
    <row r="1463" ht="70.2" customHeight="1"/>
    <row r="1464" ht="70.2" customHeight="1"/>
    <row r="1465" ht="70.2" customHeight="1"/>
    <row r="1466" ht="70.2" customHeight="1"/>
    <row r="1467" ht="70.2" customHeight="1"/>
    <row r="1468" ht="70.2" customHeight="1"/>
    <row r="1469" ht="70.2" customHeight="1"/>
    <row r="1470" ht="70.2" customHeight="1"/>
    <row r="1471" ht="70.2" customHeight="1"/>
    <row r="1472" ht="70.2" customHeight="1"/>
    <row r="1473" ht="70.2" customHeight="1"/>
    <row r="1474" ht="70.2" customHeight="1"/>
    <row r="1475" ht="70.2" customHeight="1"/>
    <row r="1476" ht="70.2" customHeight="1"/>
    <row r="1477" ht="70.2" customHeight="1"/>
    <row r="1478" ht="70.2" customHeight="1"/>
    <row r="1479" ht="70.2" customHeight="1"/>
    <row r="1480" ht="70.2" customHeight="1"/>
    <row r="1481" ht="70.2" customHeight="1"/>
    <row r="1482" ht="70.2" customHeight="1"/>
    <row r="1483" ht="70.2" customHeight="1"/>
    <row r="1484" ht="70.2" customHeight="1"/>
    <row r="1485" ht="70.2" customHeight="1"/>
    <row r="1486" ht="70.2" customHeight="1"/>
    <row r="1487" ht="70.2" customHeight="1"/>
    <row r="1488" ht="70.2" customHeight="1"/>
    <row r="1489" ht="70.2" customHeight="1"/>
    <row r="1490" ht="70.2" customHeight="1"/>
    <row r="1491" ht="70.2" customHeight="1"/>
    <row r="1492" ht="70.2" customHeight="1"/>
    <row r="1493" ht="70.2" customHeight="1"/>
    <row r="1494" ht="70.2" customHeight="1"/>
    <row r="1495" ht="70.2" customHeight="1"/>
    <row r="1496" ht="70.2" customHeight="1"/>
    <row r="1497" ht="70.2" customHeight="1"/>
    <row r="1498" ht="70.2" customHeight="1"/>
    <row r="1499" ht="70.2" customHeight="1"/>
    <row r="1500" ht="70.2" customHeight="1"/>
    <row r="1501" ht="70.2" customHeight="1"/>
    <row r="1502" ht="70.2" customHeight="1"/>
    <row r="1503" ht="70.2" customHeight="1"/>
    <row r="1504" ht="70.2" customHeight="1"/>
    <row r="1505" ht="70.2" customHeight="1"/>
    <row r="1506" ht="70.2" customHeight="1"/>
    <row r="1507" ht="70.2" customHeight="1"/>
    <row r="1508" ht="70.2" customHeight="1"/>
    <row r="1509" ht="70.2" customHeight="1"/>
    <row r="1510" ht="70.2" customHeight="1"/>
    <row r="1511" ht="70.2" customHeight="1"/>
    <row r="1512" ht="70.2" customHeight="1"/>
    <row r="1513" ht="70.2" customHeight="1"/>
    <row r="1514" ht="70.2" customHeight="1"/>
    <row r="1515" ht="70.2" customHeight="1"/>
    <row r="1516" ht="70.2" customHeight="1"/>
    <row r="1517" ht="70.2" customHeight="1"/>
    <row r="1518" ht="70.2" customHeight="1"/>
    <row r="1519" ht="70.2" customHeight="1"/>
    <row r="1520" ht="70.2" customHeight="1"/>
    <row r="1521" ht="70.2" customHeight="1"/>
    <row r="1522" ht="70.2" customHeight="1"/>
    <row r="1523" ht="70.2" customHeight="1"/>
    <row r="1524" ht="70.2" customHeight="1"/>
    <row r="1525" ht="70.2" customHeight="1"/>
    <row r="1526" ht="70.2" customHeight="1"/>
    <row r="1527" ht="70.2" customHeight="1"/>
    <row r="1528" ht="70.2" customHeight="1"/>
    <row r="1529" ht="70.2" customHeight="1"/>
    <row r="1530" ht="70.2" customHeight="1"/>
    <row r="1531" ht="70.2" customHeight="1"/>
    <row r="1532" ht="70.2" customHeight="1"/>
    <row r="1533" ht="70.2" customHeight="1"/>
    <row r="1534" ht="70.2" customHeight="1"/>
    <row r="1535" ht="70.2" customHeight="1"/>
    <row r="1536" ht="70.2" customHeight="1"/>
    <row r="1537" ht="70.2" customHeight="1"/>
    <row r="1538" ht="70.2" customHeight="1"/>
    <row r="1539" ht="70.2" customHeight="1"/>
    <row r="1540" ht="70.2" customHeight="1"/>
    <row r="1541" ht="70.2" customHeight="1"/>
    <row r="1542" ht="70.2" customHeight="1"/>
    <row r="1543" ht="70.2" customHeight="1"/>
    <row r="1544" ht="70.2" customHeight="1"/>
    <row r="1545" ht="70.2" customHeight="1"/>
    <row r="1546" ht="70.2" customHeight="1"/>
    <row r="1547" ht="70.2" customHeight="1"/>
    <row r="1548" ht="70.2" customHeight="1"/>
    <row r="1549" ht="70.2" customHeight="1"/>
    <row r="1550" ht="70.2" customHeight="1"/>
    <row r="1551" ht="70.2" customHeight="1"/>
    <row r="1552" ht="70.2" customHeight="1"/>
    <row r="1553" ht="70.2" customHeight="1"/>
    <row r="1554" ht="70.2" customHeight="1"/>
    <row r="1555" ht="70.2" customHeight="1"/>
    <row r="1556" ht="70.2" customHeight="1"/>
    <row r="1557" ht="70.2" customHeight="1"/>
    <row r="1558" ht="70.2" customHeight="1"/>
    <row r="1559" ht="70.2" customHeight="1"/>
    <row r="1560" ht="70.2" customHeight="1"/>
    <row r="1561" ht="70.2" customHeight="1"/>
    <row r="1562" ht="70.2" customHeight="1"/>
    <row r="1563" ht="70.2" customHeight="1"/>
    <row r="1564" ht="70.2" customHeight="1"/>
    <row r="1565" ht="70.2" customHeight="1"/>
    <row r="1566" ht="70.2" customHeight="1"/>
    <row r="1567" ht="70.2" customHeight="1"/>
    <row r="1568" ht="70.2" customHeight="1"/>
    <row r="1569" ht="70.2" customHeight="1"/>
    <row r="1570" ht="70.2" customHeight="1"/>
    <row r="1571" ht="70.2" customHeight="1"/>
    <row r="1572" ht="70.2" customHeight="1"/>
    <row r="1573" ht="70.2" customHeight="1"/>
    <row r="1574" ht="70.2" customHeight="1"/>
    <row r="1575" ht="70.2" customHeight="1"/>
    <row r="1576" ht="70.2" customHeight="1"/>
    <row r="1577" ht="70.2" customHeight="1"/>
    <row r="1578" ht="70.2" customHeight="1"/>
    <row r="1579" ht="70.2" customHeight="1"/>
    <row r="1580" ht="70.2" customHeight="1"/>
    <row r="1581" ht="70.2" customHeight="1"/>
    <row r="1582" ht="70.2" customHeight="1"/>
    <row r="1583" ht="70.2" customHeight="1"/>
    <row r="1584" ht="70.2" customHeight="1"/>
    <row r="1585" ht="70.2" customHeight="1"/>
    <row r="1586" ht="70.2" customHeight="1"/>
    <row r="1587" ht="70.2" customHeight="1"/>
    <row r="1588" ht="70.2" customHeight="1"/>
    <row r="1589" ht="70.2" customHeight="1"/>
    <row r="1590" ht="70.2" customHeight="1"/>
    <row r="1591" ht="70.2" customHeight="1"/>
    <row r="1592" ht="70.2" customHeight="1"/>
    <row r="1593" ht="70.2" customHeight="1"/>
    <row r="1594" ht="70.2" customHeight="1"/>
    <row r="1595" ht="70.2" customHeight="1"/>
    <row r="1596" ht="70.2" customHeight="1"/>
    <row r="1597" ht="70.2" customHeight="1"/>
    <row r="1598" ht="70.2" customHeight="1"/>
    <row r="1599" ht="70.2" customHeight="1"/>
    <row r="1600" ht="70.2" customHeight="1"/>
    <row r="1601" ht="70.2" customHeight="1"/>
    <row r="1602" ht="70.2" customHeight="1"/>
    <row r="1603" ht="70.2" customHeight="1"/>
    <row r="1604" ht="70.2" customHeight="1"/>
    <row r="1605" ht="70.2" customHeight="1"/>
    <row r="1606" ht="70.2" customHeight="1"/>
    <row r="1607" ht="70.2" customHeight="1"/>
    <row r="1608" ht="70.2" customHeight="1"/>
    <row r="1609" ht="70.2" customHeight="1"/>
    <row r="1610" ht="70.2" customHeight="1"/>
    <row r="1611" ht="70.2" customHeight="1"/>
    <row r="1612" ht="70.2" customHeight="1"/>
    <row r="1613" ht="70.2" customHeight="1"/>
    <row r="1614" ht="70.2" customHeight="1"/>
    <row r="1615" ht="70.2" customHeight="1"/>
    <row r="1616" ht="70.2" customHeight="1"/>
    <row r="1617" ht="70.2" customHeight="1"/>
    <row r="1618" ht="70.2" customHeight="1"/>
    <row r="1619" ht="70.2" customHeight="1"/>
    <row r="1620" ht="70.2" customHeight="1"/>
    <row r="1621" ht="70.2" customHeight="1"/>
    <row r="1622" ht="70.2" customHeight="1"/>
    <row r="1623" ht="70.2" customHeight="1"/>
    <row r="1624" ht="70.2" customHeight="1"/>
    <row r="1625" ht="70.2" customHeight="1"/>
    <row r="1626" ht="70.2" customHeight="1"/>
    <row r="1627" ht="70.2" customHeight="1"/>
    <row r="1628" ht="70.2" customHeight="1"/>
    <row r="1629" ht="70.2" customHeight="1"/>
    <row r="1630" ht="70.2" customHeight="1"/>
    <row r="1631" ht="70.2" customHeight="1"/>
    <row r="1632" ht="70.2" customHeight="1"/>
    <row r="1633" ht="70.2" customHeight="1"/>
    <row r="1634" ht="70.2" customHeight="1"/>
    <row r="1635" ht="70.2" customHeight="1"/>
    <row r="1636" ht="70.2" customHeight="1"/>
    <row r="1637" ht="70.2" customHeight="1"/>
    <row r="1638" ht="70.2" customHeight="1"/>
    <row r="1639" ht="70.2" customHeight="1"/>
    <row r="1640" ht="70.2" customHeight="1"/>
    <row r="1641" ht="70.2" customHeight="1"/>
    <row r="1642" ht="70.2" customHeight="1"/>
    <row r="1643" ht="70.2" customHeight="1"/>
    <row r="1644" ht="70.2" customHeight="1"/>
    <row r="1645" ht="70.2" customHeight="1"/>
    <row r="1646" ht="70.2" customHeight="1"/>
    <row r="1647" ht="70.2" customHeight="1"/>
    <row r="1648" ht="70.2" customHeight="1"/>
    <row r="1649" ht="70.2" customHeight="1"/>
    <row r="1650" ht="70.2" customHeight="1"/>
    <row r="1651" ht="70.2" customHeight="1"/>
    <row r="1652" ht="70.2" customHeight="1"/>
    <row r="1653" ht="70.2" customHeight="1"/>
    <row r="1654" ht="70.2" customHeight="1"/>
    <row r="1655" ht="70.2" customHeight="1"/>
    <row r="1656" ht="70.2" customHeight="1"/>
    <row r="1657" ht="70.2" customHeight="1"/>
    <row r="1658" ht="70.2" customHeight="1"/>
    <row r="1659" ht="70.2" customHeight="1"/>
    <row r="1660" ht="70.2" customHeight="1"/>
    <row r="1661" ht="70.2" customHeight="1"/>
    <row r="1662" ht="70.2" customHeight="1"/>
    <row r="1663" ht="70.2" customHeight="1"/>
    <row r="1664" ht="70.2" customHeight="1"/>
    <row r="1665" ht="70.2" customHeight="1"/>
    <row r="1666" ht="70.2" customHeight="1"/>
    <row r="1667" ht="70.2" customHeight="1"/>
    <row r="1668" ht="70.2" customHeight="1"/>
    <row r="1669" ht="70.2" customHeight="1"/>
    <row r="1670" ht="70.2" customHeight="1"/>
    <row r="1671" ht="70.2" customHeight="1"/>
    <row r="1672" ht="70.2" customHeight="1"/>
    <row r="1673" ht="70.2" customHeight="1"/>
    <row r="1674" ht="70.2" customHeight="1"/>
    <row r="1675" ht="70.2" customHeight="1"/>
    <row r="1676" ht="70.2" customHeight="1"/>
    <row r="1677" ht="70.2" customHeight="1"/>
    <row r="1678" ht="70.2" customHeight="1"/>
    <row r="1679" ht="70.2" customHeight="1"/>
    <row r="1680" ht="70.2" customHeight="1"/>
    <row r="1681" ht="70.2" customHeight="1"/>
    <row r="1682" ht="70.2" customHeight="1"/>
    <row r="1683" ht="70.2" customHeight="1"/>
    <row r="1684" ht="70.2" customHeight="1"/>
    <row r="1685" ht="70.2" customHeight="1"/>
    <row r="1686" ht="70.2" customHeight="1"/>
    <row r="1687" ht="70.2" customHeight="1"/>
    <row r="1688" ht="70.2" customHeight="1"/>
    <row r="1689" ht="70.2" customHeight="1"/>
    <row r="1690" ht="70.2" customHeight="1"/>
    <row r="1691" ht="70.2" customHeight="1"/>
    <row r="1692" ht="70.2" customHeight="1"/>
    <row r="1693" ht="70.2" customHeight="1"/>
    <row r="1694" ht="70.2" customHeight="1"/>
    <row r="1695" ht="70.2" customHeight="1"/>
    <row r="1696" ht="70.2" customHeight="1"/>
    <row r="1697" ht="70.2" customHeight="1"/>
    <row r="1698" ht="70.2" customHeight="1"/>
    <row r="1699" ht="70.2" customHeight="1"/>
    <row r="1700" ht="70.2" customHeight="1"/>
    <row r="1701" ht="70.2" customHeight="1"/>
    <row r="1702" ht="70.2" customHeight="1"/>
    <row r="1703" ht="70.2" customHeight="1"/>
    <row r="1704" ht="70.2" customHeight="1"/>
    <row r="1705" ht="70.2" customHeight="1"/>
    <row r="1706" ht="70.2" customHeight="1"/>
    <row r="1707" ht="70.2" customHeight="1"/>
    <row r="1708" ht="70.2" customHeight="1"/>
    <row r="1709" ht="70.2" customHeight="1"/>
    <row r="1710" ht="70.2" customHeight="1"/>
    <row r="1711" ht="70.2" customHeight="1"/>
    <row r="1712" ht="70.2" customHeight="1"/>
    <row r="1713" ht="70.2" customHeight="1"/>
    <row r="1714" ht="70.2" customHeight="1"/>
    <row r="1715" ht="70.2" customHeight="1"/>
    <row r="1716" ht="70.2" customHeight="1"/>
    <row r="1717" ht="70.2" customHeight="1"/>
    <row r="1718" ht="70.2" customHeight="1"/>
    <row r="1719" ht="70.2" customHeight="1"/>
    <row r="1720" ht="70.2" customHeight="1"/>
    <row r="1721" ht="70.2" customHeight="1"/>
    <row r="1722" ht="70.2" customHeight="1"/>
    <row r="1723" ht="70.2" customHeight="1"/>
    <row r="1724" ht="70.2" customHeight="1"/>
    <row r="1725" ht="70.2" customHeight="1"/>
    <row r="1726" ht="70.2" customHeight="1"/>
    <row r="1727" ht="70.2" customHeight="1"/>
    <row r="1728" ht="70.2" customHeight="1"/>
    <row r="1729" ht="70.2" customHeight="1"/>
    <row r="1730" ht="70.2" customHeight="1"/>
    <row r="1731" ht="70.2" customHeight="1"/>
    <row r="1732" ht="70.2" customHeight="1"/>
    <row r="1733" ht="70.2" customHeight="1"/>
    <row r="1734" ht="70.2" customHeight="1"/>
    <row r="1735" ht="70.2" customHeight="1"/>
    <row r="1736" ht="70.2" customHeight="1"/>
    <row r="1737" ht="70.2" customHeight="1"/>
    <row r="1738" ht="70.2" customHeight="1"/>
    <row r="1739" ht="70.2" customHeight="1"/>
    <row r="1740" ht="70.2" customHeight="1"/>
    <row r="1741" ht="70.2" customHeight="1"/>
    <row r="1742" ht="70.2" customHeight="1"/>
    <row r="1743" ht="70.2" customHeight="1"/>
    <row r="1744" ht="70.2" customHeight="1"/>
    <row r="1745" ht="70.2" customHeight="1"/>
    <row r="1746" ht="70.2" customHeight="1"/>
    <row r="1747" ht="70.2" customHeight="1"/>
    <row r="1748" ht="70.2" customHeight="1"/>
    <row r="1749" ht="70.2" customHeight="1"/>
    <row r="1750" ht="70.2" customHeight="1"/>
    <row r="1751" ht="70.2" customHeight="1"/>
    <row r="1752" ht="70.2" customHeight="1"/>
    <row r="1753" ht="70.2" customHeight="1"/>
    <row r="1754" ht="70.2" customHeight="1"/>
    <row r="1755" ht="70.2" customHeight="1"/>
    <row r="1756" ht="70.2" customHeight="1"/>
    <row r="1757" ht="70.2" customHeight="1"/>
    <row r="1758" ht="70.2" customHeight="1"/>
    <row r="1759" ht="70.2" customHeight="1"/>
    <row r="1760" ht="70.2" customHeight="1"/>
    <row r="1761" ht="70.2" customHeight="1"/>
    <row r="1762" ht="70.2" customHeight="1"/>
    <row r="1763" ht="70.2" customHeight="1"/>
    <row r="1764" ht="70.2" customHeight="1"/>
    <row r="1765" ht="70.2" customHeight="1"/>
    <row r="1766" ht="70.2" customHeight="1"/>
    <row r="1767" ht="70.2" customHeight="1"/>
    <row r="1768" ht="70.2" customHeight="1"/>
    <row r="1769" ht="70.2" customHeight="1"/>
    <row r="1770" ht="70.2" customHeight="1"/>
    <row r="1771" ht="70.2" customHeight="1"/>
    <row r="1772" ht="70.2" customHeight="1"/>
    <row r="1773" ht="70.2" customHeight="1"/>
    <row r="1774" ht="70.2" customHeight="1"/>
    <row r="1775" ht="70.2" customHeight="1"/>
    <row r="1776" ht="70.2" customHeight="1"/>
    <row r="1777" ht="70.2" customHeight="1"/>
    <row r="1778" ht="70.2" customHeight="1"/>
    <row r="1779" ht="70.2" customHeight="1"/>
    <row r="1780" ht="70.2" customHeight="1"/>
    <row r="1781" ht="70.2" customHeight="1"/>
    <row r="1782" ht="70.2" customHeight="1"/>
    <row r="1783" ht="70.2" customHeight="1"/>
    <row r="1784" ht="70.2" customHeight="1"/>
    <row r="1785" ht="70.2" customHeight="1"/>
    <row r="1786" ht="70.2" customHeight="1"/>
    <row r="1787" ht="70.2" customHeight="1"/>
    <row r="1788" ht="70.2" customHeight="1"/>
    <row r="1789" ht="70.2" customHeight="1"/>
    <row r="1790" ht="70.2" customHeight="1"/>
    <row r="1791" ht="70.2" customHeight="1"/>
    <row r="1792" ht="70.2" customHeight="1"/>
    <row r="1793" ht="70.2" customHeight="1"/>
    <row r="1794" ht="70.2" customHeight="1"/>
    <row r="1795" ht="70.2" customHeight="1"/>
    <row r="1796" ht="70.2" customHeight="1"/>
    <row r="1797" ht="70.2" customHeight="1"/>
    <row r="1798" ht="70.2" customHeight="1"/>
    <row r="1799" ht="70.2" customHeight="1"/>
    <row r="1800" ht="70.2" customHeight="1"/>
    <row r="1801" ht="70.2" customHeight="1"/>
    <row r="1802" ht="70.2" customHeight="1"/>
    <row r="1803" ht="70.2" customHeight="1"/>
    <row r="1804" ht="70.2" customHeight="1"/>
    <row r="1805" ht="70.2" customHeight="1"/>
    <row r="1806" ht="70.2" customHeight="1"/>
    <row r="1807" ht="70.2" customHeight="1"/>
    <row r="1808" ht="70.2" customHeight="1"/>
    <row r="1809" ht="70.2" customHeight="1"/>
    <row r="1810" ht="70.2" customHeight="1"/>
    <row r="1811" ht="70.2" customHeight="1"/>
    <row r="1812" ht="70.2" customHeight="1"/>
    <row r="1813" ht="70.2" customHeight="1"/>
    <row r="1814" ht="70.2" customHeight="1"/>
    <row r="1815" ht="70.2" customHeight="1"/>
    <row r="1816" ht="70.2" customHeight="1"/>
    <row r="1817" ht="70.2" customHeight="1"/>
    <row r="1818" ht="70.2" customHeight="1"/>
    <row r="1819" ht="70.2" customHeight="1"/>
    <row r="1820" ht="70.2" customHeight="1"/>
    <row r="1821" ht="70.2" customHeight="1"/>
    <row r="1822" ht="70.2" customHeight="1"/>
    <row r="1823" ht="70.2" customHeight="1"/>
    <row r="1824" ht="70.2" customHeight="1"/>
    <row r="1825" ht="70.2" customHeight="1"/>
    <row r="1826" ht="70.2" customHeight="1"/>
    <row r="1827" ht="70.2" customHeight="1"/>
    <row r="1828" ht="70.2" customHeight="1"/>
    <row r="1829" ht="70.2" customHeight="1"/>
    <row r="1830" ht="70.2" customHeight="1"/>
    <row r="1831" ht="70.2" customHeight="1"/>
    <row r="1832" ht="70.2" customHeight="1"/>
    <row r="1833" ht="70.2" customHeight="1"/>
    <row r="1834" ht="70.2" customHeight="1"/>
    <row r="1835" ht="70.2" customHeight="1"/>
    <row r="1836" ht="70.2" customHeight="1"/>
    <row r="1837" ht="70.2" customHeight="1"/>
    <row r="1838" ht="70.2" customHeight="1"/>
    <row r="1839" ht="70.2" customHeight="1"/>
    <row r="1840" ht="70.2" customHeight="1"/>
    <row r="1841" ht="70.2" customHeight="1"/>
    <row r="1842" ht="70.2" customHeight="1"/>
    <row r="1843" ht="70.2" customHeight="1"/>
    <row r="1844" ht="70.2" customHeight="1"/>
    <row r="1845" ht="70.2" customHeight="1"/>
    <row r="1846" ht="70.2" customHeight="1"/>
    <row r="1847" ht="70.2" customHeight="1"/>
    <row r="1848" ht="70.2" customHeight="1"/>
    <row r="1849" ht="70.2" customHeight="1"/>
    <row r="1850" ht="70.2" customHeight="1"/>
    <row r="1851" ht="70.2" customHeight="1"/>
    <row r="1852" ht="70.2" customHeight="1"/>
    <row r="1853" ht="70.2" customHeight="1"/>
    <row r="1854" ht="70.2" customHeight="1"/>
    <row r="1855" ht="70.2" customHeight="1"/>
    <row r="1856" ht="70.2" customHeight="1"/>
    <row r="1857" ht="70.2" customHeight="1"/>
    <row r="1858" ht="70.2" customHeight="1"/>
    <row r="1859" ht="70.2" customHeight="1"/>
    <row r="1860" ht="70.2" customHeight="1"/>
    <row r="1861" ht="70.2" customHeight="1"/>
    <row r="1862" ht="70.2" customHeight="1"/>
    <row r="1863" ht="70.2" customHeight="1"/>
    <row r="1864" ht="70.2" customHeight="1"/>
    <row r="1865" ht="70.2" customHeight="1"/>
    <row r="1866" ht="70.2" customHeight="1"/>
    <row r="1867" ht="70.2" customHeight="1"/>
    <row r="1868" ht="70.2" customHeight="1"/>
    <row r="1869" ht="70.2" customHeight="1"/>
    <row r="1870" ht="70.2" customHeight="1"/>
    <row r="1871" ht="70.2" customHeight="1"/>
    <row r="1872" ht="70.2" customHeight="1"/>
    <row r="1873" ht="70.2" customHeight="1"/>
    <row r="1874" ht="70.2" customHeight="1"/>
    <row r="1875" ht="70.2" customHeight="1"/>
    <row r="1876" ht="70.2" customHeight="1"/>
    <row r="1877" ht="70.2" customHeight="1"/>
    <row r="1878" ht="70.2" customHeight="1"/>
    <row r="1879" ht="70.2" customHeight="1"/>
    <row r="1880" ht="70.2" customHeight="1"/>
    <row r="1881" ht="70.2" customHeight="1"/>
    <row r="1882" ht="70.2" customHeight="1"/>
    <row r="1883" ht="70.2" customHeight="1"/>
    <row r="1884" ht="70.2" customHeight="1"/>
    <row r="1885" ht="70.2" customHeight="1"/>
    <row r="1886" ht="70.2" customHeight="1"/>
    <row r="1887" ht="70.2" customHeight="1"/>
    <row r="1888" ht="70.2" customHeight="1"/>
    <row r="1889" ht="70.2" customHeight="1"/>
    <row r="1890" ht="70.2" customHeight="1"/>
    <row r="1891" ht="70.2" customHeight="1"/>
    <row r="1892" ht="70.2" customHeight="1"/>
    <row r="1893" ht="70.2" customHeight="1"/>
    <row r="1894" ht="70.2" customHeight="1"/>
    <row r="1895" ht="70.2" customHeight="1"/>
    <row r="1896" ht="70.2" customHeight="1"/>
    <row r="1897" ht="70.2" customHeight="1"/>
    <row r="1898" ht="70.2" customHeight="1"/>
    <row r="1899" ht="70.2" customHeight="1"/>
    <row r="1900" ht="70.2" customHeight="1"/>
    <row r="1901" ht="70.2" customHeight="1"/>
    <row r="1902" ht="70.2" customHeight="1"/>
    <row r="1903" ht="70.2" customHeight="1"/>
    <row r="1904" ht="70.2" customHeight="1"/>
    <row r="1905" ht="70.2" customHeight="1"/>
    <row r="1906" ht="70.2" customHeight="1"/>
    <row r="1907" ht="70.2" customHeight="1"/>
    <row r="1908" ht="70.2" customHeight="1"/>
    <row r="1909" ht="70.2" customHeight="1"/>
    <row r="1910" ht="70.2" customHeight="1"/>
    <row r="1911" ht="70.2" customHeight="1"/>
    <row r="1912" ht="70.2" customHeight="1"/>
    <row r="1913" ht="70.2" customHeight="1"/>
    <row r="1914" ht="70.2" customHeight="1"/>
    <row r="1915" ht="70.2" customHeight="1"/>
    <row r="1916" ht="70.2" customHeight="1"/>
    <row r="1917" ht="70.2" customHeight="1"/>
    <row r="1918" ht="70.2" customHeight="1"/>
    <row r="1919" ht="70.2" customHeight="1"/>
    <row r="1920" ht="70.2" customHeight="1"/>
    <row r="1921" ht="70.2" customHeight="1"/>
    <row r="1922" ht="70.2" customHeight="1"/>
    <row r="1923" ht="70.2" customHeight="1"/>
    <row r="1924" ht="70.2" customHeight="1"/>
    <row r="1925" ht="70.2" customHeight="1"/>
    <row r="1926" ht="70.2" customHeight="1"/>
    <row r="1927" ht="70.2" customHeight="1"/>
    <row r="1928" ht="70.2" customHeight="1"/>
    <row r="1929" ht="70.2" customHeight="1"/>
    <row r="1930" ht="70.2" customHeight="1"/>
    <row r="1931" ht="70.2" customHeight="1"/>
    <row r="1932" ht="70.2" customHeight="1"/>
    <row r="1933" ht="70.2" customHeight="1"/>
    <row r="1934" ht="70.2" customHeight="1"/>
    <row r="1935" ht="70.2" customHeight="1"/>
    <row r="1936" ht="70.2" customHeight="1"/>
    <row r="1937" ht="70.2" customHeight="1"/>
    <row r="1938" ht="70.2" customHeight="1"/>
    <row r="1939" ht="70.2" customHeight="1"/>
    <row r="1940" ht="70.2" customHeight="1"/>
    <row r="1941" ht="70.2" customHeight="1"/>
    <row r="1942" ht="70.2" customHeight="1"/>
    <row r="1943" ht="70.2" customHeight="1"/>
    <row r="1944" ht="70.2" customHeight="1"/>
    <row r="1945" ht="70.2" customHeight="1"/>
    <row r="1946" ht="70.2" customHeight="1"/>
    <row r="1947" ht="70.2" customHeight="1"/>
    <row r="1948" ht="70.2" customHeight="1"/>
    <row r="1949" ht="70.2" customHeight="1"/>
    <row r="1950" ht="70.2" customHeight="1"/>
    <row r="1951" ht="70.2" customHeight="1"/>
    <row r="1952" ht="70.2" customHeight="1"/>
    <row r="1953" ht="70.2" customHeight="1"/>
    <row r="1954" ht="70.2" customHeight="1"/>
    <row r="1955" ht="70.2" customHeight="1"/>
    <row r="1956" ht="70.2" customHeight="1"/>
    <row r="1957" ht="70.2" customHeight="1"/>
    <row r="1958" ht="70.2" customHeight="1"/>
    <row r="1959" ht="70.2" customHeight="1"/>
    <row r="1960" ht="70.2" customHeight="1"/>
    <row r="1961" ht="70.2" customHeight="1"/>
    <row r="1962" ht="70.2" customHeight="1"/>
    <row r="1963" ht="70.2" customHeight="1"/>
    <row r="1964" ht="70.2" customHeight="1"/>
    <row r="1965" ht="70.2" customHeight="1"/>
    <row r="1966" ht="70.2" customHeight="1"/>
    <row r="1967" ht="70.2" customHeight="1"/>
    <row r="1968" ht="70.2" customHeight="1"/>
    <row r="1969" ht="70.2" customHeight="1"/>
    <row r="1970" ht="70.2" customHeight="1"/>
    <row r="1971" ht="70.2" customHeight="1"/>
    <row r="1972" ht="70.2" customHeight="1"/>
    <row r="1973" ht="70.2" customHeight="1"/>
    <row r="1974" ht="70.2" customHeight="1"/>
    <row r="1975" ht="70.2" customHeight="1"/>
    <row r="1976" ht="70.2" customHeight="1"/>
    <row r="1977" ht="70.2" customHeight="1"/>
    <row r="1978" ht="70.2" customHeight="1"/>
    <row r="1979" ht="70.2" customHeight="1"/>
    <row r="1980" ht="70.2" customHeight="1"/>
    <row r="1981" ht="70.2" customHeight="1"/>
    <row r="1982" ht="70.2" customHeight="1"/>
    <row r="1983" ht="70.2" customHeight="1"/>
    <row r="1984" ht="70.2" customHeight="1"/>
    <row r="1985" ht="70.2" customHeight="1"/>
    <row r="1986" ht="70.2" customHeight="1"/>
    <row r="1987" ht="70.2" customHeight="1"/>
    <row r="1988" ht="70.2" customHeight="1"/>
    <row r="1989" ht="70.2" customHeight="1"/>
    <row r="1990" ht="70.2" customHeight="1"/>
    <row r="1991" ht="70.2" customHeight="1"/>
    <row r="1992" ht="70.2" customHeight="1"/>
    <row r="1993" ht="70.2" customHeight="1"/>
    <row r="1994" ht="70.2" customHeight="1"/>
    <row r="1995" ht="70.2" customHeight="1"/>
    <row r="1996" ht="70.2" customHeight="1"/>
    <row r="1997" ht="70.2" customHeight="1"/>
    <row r="1998" ht="70.2" customHeight="1"/>
    <row r="1999" ht="70.2" customHeight="1"/>
    <row r="2000" ht="70.2" customHeight="1"/>
    <row r="2001" ht="70.2" customHeight="1"/>
    <row r="2002" ht="70.2" customHeight="1"/>
    <row r="2003" ht="70.2" customHeight="1"/>
    <row r="2004" ht="70.2" customHeight="1"/>
    <row r="2005" ht="70.2" customHeight="1"/>
    <row r="2006" ht="70.2" customHeight="1"/>
    <row r="2007" ht="70.2" customHeight="1"/>
    <row r="2008" ht="70.2" customHeight="1"/>
    <row r="2009" ht="70.2" customHeight="1"/>
    <row r="2010" ht="70.2" customHeight="1"/>
    <row r="2011" ht="70.2" customHeight="1"/>
    <row r="2012" ht="70.2" customHeight="1"/>
    <row r="2013" ht="70.2" customHeight="1"/>
    <row r="2014" ht="70.2" customHeight="1"/>
    <row r="2015" ht="70.2" customHeight="1"/>
    <row r="2016" ht="70.2" customHeight="1"/>
    <row r="2017" ht="70.2" customHeight="1"/>
    <row r="2018" ht="70.2" customHeight="1"/>
    <row r="2019" ht="70.2" customHeight="1"/>
    <row r="2020" ht="70.2" customHeight="1"/>
    <row r="2021" ht="70.2" customHeight="1"/>
    <row r="2022" ht="70.2" customHeight="1"/>
    <row r="2023" ht="70.2" customHeight="1"/>
    <row r="2024" ht="70.2" customHeight="1"/>
    <row r="2025" ht="70.2" customHeight="1"/>
    <row r="2026" ht="70.2" customHeight="1"/>
    <row r="2027" ht="70.2" customHeight="1"/>
    <row r="2028" ht="70.2" customHeight="1"/>
    <row r="2029" ht="70.2" customHeight="1"/>
    <row r="2030" ht="70.2" customHeight="1"/>
    <row r="2031" ht="70.2" customHeight="1"/>
    <row r="2032" ht="70.2" customHeight="1"/>
    <row r="2033" ht="70.2" customHeight="1"/>
    <row r="2034" ht="70.2" customHeight="1"/>
    <row r="2035" ht="70.2" customHeight="1"/>
    <row r="2036" ht="70.2" customHeight="1"/>
    <row r="2037" ht="70.2" customHeight="1"/>
    <row r="2038" ht="70.2" customHeight="1"/>
    <row r="2039" ht="70.2" customHeight="1"/>
    <row r="2040" ht="70.2" customHeight="1"/>
    <row r="2041" ht="70.2" customHeight="1"/>
    <row r="2042" ht="70.2" customHeight="1"/>
    <row r="2043" ht="70.2" customHeight="1"/>
    <row r="2044" ht="70.2" customHeight="1"/>
    <row r="2045" ht="70.2" customHeight="1"/>
    <row r="2046" ht="70.2" customHeight="1"/>
    <row r="2047" ht="70.2" customHeight="1"/>
    <row r="2048" ht="70.2" customHeight="1"/>
    <row r="2049" ht="70.2" customHeight="1"/>
    <row r="2050" ht="70.2" customHeight="1"/>
    <row r="2051" ht="70.2" customHeight="1"/>
    <row r="2052" ht="70.2" customHeight="1"/>
    <row r="2053" ht="70.2" customHeight="1"/>
    <row r="2054" ht="70.2" customHeight="1"/>
    <row r="2055" ht="70.2" customHeight="1"/>
    <row r="2056" ht="70.2" customHeight="1"/>
    <row r="2057" ht="70.2" customHeight="1"/>
    <row r="2058" ht="70.2" customHeight="1"/>
    <row r="2059" ht="70.2" customHeight="1"/>
    <row r="2060" ht="70.2" customHeight="1"/>
    <row r="2061" ht="70.2" customHeight="1"/>
    <row r="2062" ht="70.2" customHeight="1"/>
    <row r="2063" ht="70.2" customHeight="1"/>
    <row r="2064" ht="70.2" customHeight="1"/>
    <row r="2065" ht="70.2" customHeight="1"/>
    <row r="2066" ht="70.2" customHeight="1"/>
    <row r="2067" ht="70.2" customHeight="1"/>
    <row r="2068" ht="70.2" customHeight="1"/>
    <row r="2069" ht="70.2" customHeight="1"/>
    <row r="2070" ht="70.2" customHeight="1"/>
    <row r="2071" ht="70.2" customHeight="1"/>
    <row r="2072" ht="70.2" customHeight="1"/>
    <row r="2073" ht="70.2" customHeight="1"/>
    <row r="2074" ht="70.2" customHeight="1"/>
    <row r="2075" ht="70.2" customHeight="1"/>
    <row r="2076" ht="70.2" customHeight="1"/>
    <row r="2077" ht="70.2" customHeight="1"/>
    <row r="2078" ht="70.2" customHeight="1"/>
    <row r="2079" ht="70.2" customHeight="1"/>
    <row r="2080" ht="70.2" customHeight="1"/>
    <row r="2081" ht="70.2" customHeight="1"/>
    <row r="2082" ht="70.2" customHeight="1"/>
    <row r="2083" ht="70.2" customHeight="1"/>
    <row r="2084" ht="70.2" customHeight="1"/>
    <row r="2085" ht="70.2" customHeight="1"/>
    <row r="2086" ht="70.2" customHeight="1"/>
    <row r="2087" ht="70.2" customHeight="1"/>
    <row r="2088" ht="70.2" customHeight="1"/>
    <row r="2089" ht="70.2" customHeight="1"/>
    <row r="2090" ht="70.2" customHeight="1"/>
    <row r="2091" ht="70.2" customHeight="1"/>
    <row r="2092" ht="70.2" customHeight="1"/>
    <row r="2093" ht="70.2" customHeight="1"/>
    <row r="2094" ht="70.2" customHeight="1"/>
    <row r="2095" ht="70.2" customHeight="1"/>
    <row r="2096" ht="70.2" customHeight="1"/>
    <row r="2097" ht="70.2" customHeight="1"/>
    <row r="2098" ht="70.2" customHeight="1"/>
    <row r="2099" ht="70.2" customHeight="1"/>
    <row r="2100" ht="70.2" customHeight="1"/>
    <row r="2101" ht="70.2" customHeight="1"/>
    <row r="2102" ht="70.2" customHeight="1"/>
    <row r="2103" ht="70.2" customHeight="1"/>
    <row r="2104" ht="70.2" customHeight="1"/>
    <row r="2105" ht="70.2" customHeight="1"/>
    <row r="2106" ht="70.2" customHeight="1"/>
    <row r="2107" ht="70.2" customHeight="1"/>
    <row r="2108" ht="70.2" customHeight="1"/>
    <row r="2109" ht="70.2" customHeight="1"/>
    <row r="2110" ht="70.2" customHeight="1"/>
    <row r="2111" ht="70.2" customHeight="1"/>
    <row r="2112" ht="70.2" customHeight="1"/>
    <row r="2113" ht="70.2" customHeight="1"/>
    <row r="2114" ht="70.2" customHeight="1"/>
    <row r="2115" ht="70.2" customHeight="1"/>
    <row r="2116" ht="70.2" customHeight="1"/>
    <row r="2117" ht="70.2" customHeight="1"/>
    <row r="2118" ht="70.2" customHeight="1"/>
    <row r="2119" ht="70.2" customHeight="1"/>
    <row r="2120" ht="70.2" customHeight="1"/>
    <row r="2121" ht="70.2" customHeight="1"/>
    <row r="2122" ht="70.2" customHeight="1"/>
    <row r="2123" ht="70.2" customHeight="1"/>
    <row r="2124" ht="70.2" customHeight="1"/>
    <row r="2125" ht="70.2" customHeight="1"/>
    <row r="2126" ht="70.2" customHeight="1"/>
    <row r="2127" ht="70.2" customHeight="1"/>
    <row r="2128" ht="70.2" customHeight="1"/>
    <row r="2129" ht="70.2" customHeight="1"/>
    <row r="2130" ht="70.2" customHeight="1"/>
    <row r="2131" ht="70.2" customHeight="1"/>
    <row r="2132" ht="70.2" customHeight="1"/>
    <row r="2133" ht="70.2" customHeight="1"/>
    <row r="2134" ht="70.2" customHeight="1"/>
    <row r="2135" ht="70.2" customHeight="1"/>
    <row r="2136" ht="70.2" customHeight="1"/>
    <row r="2137" ht="70.2" customHeight="1"/>
    <row r="2138" ht="70.2" customHeight="1"/>
    <row r="2139" ht="70.2" customHeight="1"/>
    <row r="2140" ht="70.2" customHeight="1"/>
    <row r="2141" ht="70.2" customHeight="1"/>
    <row r="2142" ht="70.2" customHeight="1"/>
    <row r="2143" ht="70.2" customHeight="1"/>
    <row r="2144" ht="70.2" customHeight="1"/>
    <row r="2145" ht="70.2" customHeight="1"/>
    <row r="2146" ht="70.2" customHeight="1"/>
    <row r="2147" ht="70.2" customHeight="1"/>
    <row r="2148" ht="70.2" customHeight="1"/>
    <row r="2149" ht="70.2" customHeight="1"/>
    <row r="2150" ht="70.2" customHeight="1"/>
    <row r="2151" ht="70.2" customHeight="1"/>
    <row r="2152" ht="70.2" customHeight="1"/>
    <row r="2153" ht="70.2" customHeight="1"/>
    <row r="2154" ht="70.2" customHeight="1"/>
    <row r="2155" ht="70.2" customHeight="1"/>
    <row r="2156" ht="70.2" customHeight="1"/>
    <row r="2157" ht="70.2" customHeight="1"/>
    <row r="2158" ht="70.2" customHeight="1"/>
    <row r="2159" ht="70.2" customHeight="1"/>
    <row r="2160" ht="70.2" customHeight="1"/>
    <row r="2161" ht="70.2" customHeight="1"/>
    <row r="2162" ht="70.2" customHeight="1"/>
    <row r="2163" ht="70.2" customHeight="1"/>
    <row r="2164" ht="70.2" customHeight="1"/>
    <row r="2165" ht="70.2" customHeight="1"/>
    <row r="2166" ht="70.2" customHeight="1"/>
    <row r="2167" ht="70.2" customHeight="1"/>
    <row r="2168" ht="70.2" customHeight="1"/>
    <row r="2169" ht="70.2" customHeight="1"/>
    <row r="2170" ht="70.2" customHeight="1"/>
    <row r="2171" ht="70.2" customHeight="1"/>
    <row r="2172" ht="70.2" customHeight="1"/>
    <row r="2173" ht="70.2" customHeight="1"/>
    <row r="2174" ht="70.2" customHeight="1"/>
    <row r="2175" ht="70.2" customHeight="1"/>
    <row r="2176" ht="70.2" customHeight="1"/>
    <row r="2177" ht="70.2" customHeight="1"/>
    <row r="2178" ht="70.2" customHeight="1"/>
    <row r="2179" ht="70.2" customHeight="1"/>
    <row r="2180" ht="70.2" customHeight="1"/>
    <row r="2181" ht="70.2" customHeight="1"/>
    <row r="2182" ht="70.2" customHeight="1"/>
    <row r="2183" ht="70.2" customHeight="1"/>
    <row r="2184" ht="70.2" customHeight="1"/>
    <row r="2185" ht="70.2" customHeight="1"/>
    <row r="2186" ht="70.2" customHeight="1"/>
    <row r="2187" ht="70.2" customHeight="1"/>
    <row r="2188" ht="70.2" customHeight="1"/>
    <row r="2189" ht="70.2" customHeight="1"/>
    <row r="2190" ht="70.2" customHeight="1"/>
    <row r="2191" ht="70.2" customHeight="1"/>
    <row r="2192" ht="70.2" customHeight="1"/>
    <row r="2193" ht="70.2" customHeight="1"/>
    <row r="2194" ht="70.2" customHeight="1"/>
    <row r="2195" ht="70.2" customHeight="1"/>
    <row r="2196" ht="70.2" customHeight="1"/>
    <row r="2197" ht="70.2" customHeight="1"/>
    <row r="2198" ht="70.2" customHeight="1"/>
    <row r="2199" ht="70.2" customHeight="1"/>
    <row r="2200" ht="70.2" customHeight="1"/>
    <row r="2201" ht="70.2" customHeight="1"/>
    <row r="2202" ht="70.2" customHeight="1"/>
    <row r="2203" ht="70.2" customHeight="1"/>
    <row r="2204" ht="70.2" customHeight="1"/>
    <row r="2205" ht="70.2" customHeight="1"/>
    <row r="2206" ht="70.2" customHeight="1"/>
    <row r="2207" ht="70.2" customHeight="1"/>
    <row r="2208" ht="70.2" customHeight="1"/>
    <row r="2209" ht="70.2" customHeight="1"/>
    <row r="2210" ht="70.2" customHeight="1"/>
    <row r="2211" ht="70.2" customHeight="1"/>
    <row r="2212" ht="70.2" customHeight="1"/>
    <row r="2213" ht="70.2" customHeight="1"/>
    <row r="2214" ht="70.2" customHeight="1"/>
    <row r="2215" ht="70.2" customHeight="1"/>
    <row r="2216" ht="70.2" customHeight="1"/>
    <row r="2217" ht="70.2" customHeight="1"/>
    <row r="2218" ht="70.2" customHeight="1"/>
    <row r="2219" ht="70.2" customHeight="1"/>
    <row r="2220" ht="70.2" customHeight="1"/>
    <row r="2221" ht="70.2" customHeight="1"/>
    <row r="2222" ht="70.2" customHeight="1"/>
    <row r="2223" ht="70.2" customHeight="1"/>
    <row r="2224" ht="70.2" customHeight="1"/>
    <row r="2225" ht="70.2" customHeight="1"/>
    <row r="2226" ht="70.2" customHeight="1"/>
    <row r="2227" ht="70.2" customHeight="1"/>
    <row r="2228" ht="70.2" customHeight="1"/>
    <row r="2229" ht="70.2" customHeight="1"/>
    <row r="2230" ht="70.2" customHeight="1"/>
    <row r="2231" ht="70.2" customHeight="1"/>
    <row r="2232" ht="70.2" customHeight="1"/>
    <row r="2233" ht="70.2" customHeight="1"/>
    <row r="2234" ht="70.2" customHeight="1"/>
    <row r="2235" ht="70.2" customHeight="1"/>
    <row r="2236" ht="70.2" customHeight="1"/>
    <row r="2237" ht="70.2" customHeight="1"/>
    <row r="2238" ht="70.2" customHeight="1"/>
    <row r="2239" ht="70.2" customHeight="1"/>
    <row r="2240" ht="70.2" customHeight="1"/>
    <row r="2241" ht="70.2" customHeight="1"/>
    <row r="2242" ht="70.2" customHeight="1"/>
    <row r="2243" ht="70.2" customHeight="1"/>
    <row r="2244" ht="70.2" customHeight="1"/>
    <row r="2245" ht="70.2" customHeight="1"/>
    <row r="2246" ht="70.2" customHeight="1"/>
    <row r="2247" ht="70.2" customHeight="1"/>
    <row r="2248" ht="70.2" customHeight="1"/>
    <row r="2249" ht="70.2" customHeight="1"/>
    <row r="2250" ht="70.2" customHeight="1"/>
    <row r="2251" ht="70.2" customHeight="1"/>
    <row r="2252" ht="70.2" customHeight="1"/>
    <row r="2253" ht="70.2" customHeight="1"/>
    <row r="2254" ht="70.2" customHeight="1"/>
    <row r="2255" ht="70.2" customHeight="1"/>
    <row r="2256" ht="70.2" customHeight="1"/>
    <row r="2257" ht="70.2" customHeight="1"/>
    <row r="2258" ht="70.2" customHeight="1"/>
    <row r="2259" ht="70.2" customHeight="1"/>
    <row r="2260" ht="70.2" customHeight="1"/>
    <row r="2261" ht="70.2" customHeight="1"/>
    <row r="2262" ht="70.2" customHeight="1"/>
    <row r="2263" ht="70.2" customHeight="1"/>
    <row r="2264" ht="70.2" customHeight="1"/>
    <row r="2265" ht="70.2" customHeight="1"/>
    <row r="2266" ht="70.2" customHeight="1"/>
    <row r="2267" ht="70.2" customHeight="1"/>
    <row r="2268" ht="70.2" customHeight="1"/>
    <row r="2269" ht="70.2" customHeight="1"/>
    <row r="2270" ht="70.2" customHeight="1"/>
    <row r="2271" ht="70.2" customHeight="1"/>
    <row r="2272" ht="70.2" customHeight="1"/>
    <row r="2273" ht="70.2" customHeight="1"/>
    <row r="2274" ht="70.2" customHeight="1"/>
    <row r="2275" ht="70.2" customHeight="1"/>
    <row r="2276" ht="70.2" customHeight="1"/>
    <row r="2277" ht="70.2" customHeight="1"/>
    <row r="2278" ht="70.2" customHeight="1"/>
    <row r="2279" ht="70.2" customHeight="1"/>
    <row r="2280" ht="70.2" customHeight="1"/>
    <row r="2281" ht="70.2" customHeight="1"/>
    <row r="2282" ht="70.2" customHeight="1"/>
    <row r="2283" ht="70.2" customHeight="1"/>
    <row r="2284" ht="70.2" customHeight="1"/>
    <row r="2285" ht="70.2" customHeight="1"/>
    <row r="2286" ht="70.2" customHeight="1"/>
    <row r="2287" ht="70.2" customHeight="1"/>
    <row r="2288" ht="70.2" customHeight="1"/>
    <row r="2289" ht="70.2" customHeight="1"/>
    <row r="2290" ht="70.2" customHeight="1"/>
    <row r="2291" ht="70.2" customHeight="1"/>
    <row r="2292" ht="70.2" customHeight="1"/>
    <row r="2293" ht="70.2" customHeight="1"/>
    <row r="2294" ht="70.2" customHeight="1"/>
    <row r="2295" ht="70.2" customHeight="1"/>
    <row r="2296" ht="70.2" customHeight="1"/>
    <row r="2297" ht="70.2" customHeight="1"/>
    <row r="2298" ht="70.2" customHeight="1"/>
    <row r="2299" ht="70.2" customHeight="1"/>
    <row r="2300" ht="70.2" customHeight="1"/>
    <row r="2301" ht="70.2" customHeight="1"/>
    <row r="2302" ht="70.2" customHeight="1"/>
    <row r="2303" ht="70.2" customHeight="1"/>
    <row r="2304" ht="70.2" customHeight="1"/>
    <row r="2305" ht="70.2" customHeight="1"/>
    <row r="2306" ht="70.2" customHeight="1"/>
    <row r="2307" ht="70.2" customHeight="1"/>
    <row r="2308" ht="70.2" customHeight="1"/>
    <row r="2309" ht="70.2" customHeight="1"/>
    <row r="2310" ht="70.2" customHeight="1"/>
    <row r="2311" ht="70.2" customHeight="1"/>
    <row r="2312" ht="70.2" customHeight="1"/>
    <row r="2313" ht="70.2" customHeight="1"/>
    <row r="2314" ht="70.2" customHeight="1"/>
    <row r="2315" ht="70.2" customHeight="1"/>
    <row r="2316" ht="70.2" customHeight="1"/>
    <row r="2317" ht="70.2" customHeight="1"/>
    <row r="2318" ht="70.2" customHeight="1"/>
    <row r="2319" ht="70.2" customHeight="1"/>
    <row r="2320" ht="70.2" customHeight="1"/>
    <row r="2321" ht="70.2" customHeight="1"/>
    <row r="2322" ht="70.2" customHeight="1"/>
    <row r="2323" ht="70.2" customHeight="1"/>
    <row r="2324" ht="70.2" customHeight="1"/>
    <row r="2325" ht="70.2" customHeight="1"/>
    <row r="2326" ht="70.2" customHeight="1"/>
    <row r="2327" ht="70.2" customHeight="1"/>
    <row r="2328" ht="70.2" customHeight="1"/>
    <row r="2329" ht="70.2" customHeight="1"/>
    <row r="2330" ht="70.2" customHeight="1"/>
    <row r="2331" ht="70.2" customHeight="1"/>
    <row r="2332" ht="70.2" customHeight="1"/>
    <row r="2333" ht="70.2" customHeight="1"/>
    <row r="2334" ht="70.2" customHeight="1"/>
    <row r="2335" ht="70.2" customHeight="1"/>
    <row r="2336" ht="70.2" customHeight="1"/>
    <row r="2337" ht="70.2" customHeight="1"/>
    <row r="2338" ht="70.2" customHeight="1"/>
    <row r="2339" ht="70.2" customHeight="1"/>
    <row r="2340" ht="70.2" customHeight="1"/>
    <row r="2341" ht="70.2" customHeight="1"/>
    <row r="2342" ht="70.2" customHeight="1"/>
    <row r="2343" ht="70.2" customHeight="1"/>
    <row r="2344" ht="70.2" customHeight="1"/>
    <row r="2345" ht="70.2" customHeight="1"/>
    <row r="2346" ht="70.2" customHeight="1"/>
    <row r="2347" ht="70.2" customHeight="1"/>
    <row r="2348" ht="70.2" customHeight="1"/>
    <row r="2349" ht="70.2" customHeight="1"/>
    <row r="2350" ht="70.2" customHeight="1"/>
    <row r="2351" ht="70.2" customHeight="1"/>
    <row r="2352" ht="70.2" customHeight="1"/>
    <row r="2353" ht="70.2" customHeight="1"/>
    <row r="2354" ht="70.2" customHeight="1"/>
    <row r="2355" ht="70.2" customHeight="1"/>
    <row r="2356" ht="70.2" customHeight="1"/>
    <row r="2357" ht="70.2" customHeight="1"/>
    <row r="2358" ht="70.2" customHeight="1"/>
    <row r="2359" ht="70.2" customHeight="1"/>
    <row r="2360" ht="70.2" customHeight="1"/>
    <row r="2361" ht="70.2" customHeight="1"/>
    <row r="2362" ht="70.2" customHeight="1"/>
    <row r="2363" ht="70.2" customHeight="1"/>
    <row r="2364" ht="70.2" customHeight="1"/>
    <row r="2365" ht="70.2" customHeight="1"/>
    <row r="2366" ht="70.2" customHeight="1"/>
    <row r="2367" ht="70.2" customHeight="1"/>
    <row r="2368" ht="70.2" customHeight="1"/>
    <row r="2369" ht="70.2" customHeight="1"/>
    <row r="2370" ht="70.2" customHeight="1"/>
    <row r="2371" ht="70.2" customHeight="1"/>
    <row r="2372" ht="70.2" customHeight="1"/>
    <row r="2373" ht="70.2" customHeight="1"/>
    <row r="2374" ht="70.2" customHeight="1"/>
    <row r="2375" ht="70.2" customHeight="1"/>
    <row r="2376" ht="70.2" customHeight="1"/>
    <row r="2377" ht="70.2" customHeight="1"/>
    <row r="2378" ht="70.2" customHeight="1"/>
    <row r="2379" ht="70.2" customHeight="1"/>
    <row r="2380" ht="70.2" customHeight="1"/>
    <row r="2381" ht="70.2" customHeight="1"/>
    <row r="2382" ht="70.2" customHeight="1"/>
    <row r="2383" ht="70.2" customHeight="1"/>
    <row r="2384" ht="70.2" customHeight="1"/>
    <row r="2385" ht="70.2" customHeight="1"/>
    <row r="2386" ht="70.2" customHeight="1"/>
    <row r="2387" ht="70.2" customHeight="1"/>
    <row r="2388" ht="70.2" customHeight="1"/>
    <row r="2389" ht="70.2" customHeight="1"/>
    <row r="2390" ht="70.2" customHeight="1"/>
    <row r="2391" ht="70.2" customHeight="1"/>
    <row r="2392" ht="70.2" customHeight="1"/>
    <row r="2393" ht="70.2" customHeight="1"/>
    <row r="2394" ht="70.2" customHeight="1"/>
    <row r="2395" ht="70.2" customHeight="1"/>
    <row r="2396" ht="70.2" customHeight="1"/>
    <row r="2397" ht="70.2" customHeight="1"/>
    <row r="2398" ht="70.2" customHeight="1"/>
    <row r="2399" ht="70.2" customHeight="1"/>
    <row r="2400" ht="70.2" customHeight="1"/>
    <row r="2401" ht="70.2" customHeight="1"/>
    <row r="2402" ht="70.2" customHeight="1"/>
    <row r="2403" ht="70.2" customHeight="1"/>
    <row r="2404" ht="70.2" customHeight="1"/>
    <row r="2405" ht="70.2" customHeight="1"/>
    <row r="2406" ht="70.2" customHeight="1"/>
    <row r="2407" ht="70.2" customHeight="1"/>
    <row r="2408" ht="70.2" customHeight="1"/>
    <row r="2409" ht="70.2" customHeight="1"/>
    <row r="2410" ht="70.2" customHeight="1"/>
    <row r="2411" ht="70.2" customHeight="1"/>
    <row r="2412" ht="70.2" customHeight="1"/>
    <row r="2413" ht="70.2" customHeight="1"/>
    <row r="2414" ht="70.2" customHeight="1"/>
    <row r="2415" ht="70.2" customHeight="1"/>
    <row r="2416" ht="70.2" customHeight="1"/>
    <row r="2417" ht="70.2" customHeight="1"/>
    <row r="2418" ht="70.2" customHeight="1"/>
    <row r="2419" ht="70.2" customHeight="1"/>
    <row r="2420" ht="70.2" customHeight="1"/>
    <row r="2421" ht="70.2" customHeight="1"/>
    <row r="2422" ht="70.2" customHeight="1"/>
    <row r="2423" ht="70.2" customHeight="1"/>
    <row r="2424" ht="70.2" customHeight="1"/>
    <row r="2425" ht="70.2" customHeight="1"/>
    <row r="2426" ht="70.2" customHeight="1"/>
    <row r="2427" ht="70.2" customHeight="1"/>
    <row r="2428" ht="70.2" customHeight="1"/>
    <row r="2429" ht="70.2" customHeight="1"/>
    <row r="2430" ht="70.2" customHeight="1"/>
    <row r="2431" ht="70.2" customHeight="1"/>
    <row r="2432" ht="70.2" customHeight="1"/>
    <row r="2433" ht="70.2" customHeight="1"/>
    <row r="2434" ht="70.2" customHeight="1"/>
    <row r="2435" ht="70.2" customHeight="1"/>
    <row r="2436" ht="70.2" customHeight="1"/>
    <row r="2437" ht="70.2" customHeight="1"/>
    <row r="2438" ht="70.2" customHeight="1"/>
    <row r="2439" ht="70.2" customHeight="1"/>
    <row r="2440" ht="70.2" customHeight="1"/>
    <row r="2441" ht="70.2" customHeight="1"/>
    <row r="2442" ht="70.2" customHeight="1"/>
    <row r="2443" ht="70.2" customHeight="1"/>
    <row r="2444" ht="70.2" customHeight="1"/>
    <row r="2445" ht="70.2" customHeight="1"/>
    <row r="2446" ht="70.2" customHeight="1"/>
    <row r="2447" ht="70.2" customHeight="1"/>
    <row r="2448" ht="70.2" customHeight="1"/>
    <row r="2449" ht="70.2" customHeight="1"/>
    <row r="2450" ht="70.2" customHeight="1"/>
    <row r="2451" ht="70.2" customHeight="1"/>
    <row r="2452" ht="70.2" customHeight="1"/>
    <row r="2453" ht="70.2" customHeight="1"/>
    <row r="2454" ht="70.2" customHeight="1"/>
    <row r="2455" ht="70.2" customHeight="1"/>
    <row r="2456" ht="70.2" customHeight="1"/>
    <row r="2457" ht="70.2" customHeight="1"/>
    <row r="2458" ht="70.2" customHeight="1"/>
    <row r="2459" ht="70.2" customHeight="1"/>
    <row r="2460" ht="70.2" customHeight="1"/>
    <row r="2461" ht="70.2" customHeight="1"/>
    <row r="2462" ht="70.2" customHeight="1"/>
    <row r="2463" ht="70.2" customHeight="1"/>
    <row r="2464" ht="70.2" customHeight="1"/>
    <row r="2465" ht="70.2" customHeight="1"/>
    <row r="2466" ht="70.2" customHeight="1"/>
    <row r="2467" ht="70.2" customHeight="1"/>
    <row r="2468" ht="70.2" customHeight="1"/>
    <row r="2469" ht="70.2" customHeight="1"/>
    <row r="2470" ht="70.2" customHeight="1"/>
    <row r="2471" ht="70.2" customHeight="1"/>
    <row r="2472" ht="70.2" customHeight="1"/>
    <row r="2473" ht="70.2" customHeight="1"/>
    <row r="2474" ht="70.2" customHeight="1"/>
    <row r="2475" ht="70.2" customHeight="1"/>
    <row r="2476" ht="70.2" customHeight="1"/>
    <row r="2477" ht="70.2" customHeight="1"/>
    <row r="2478" ht="70.2" customHeight="1"/>
    <row r="2479" ht="70.2" customHeight="1"/>
    <row r="2480" ht="70.2" customHeight="1"/>
    <row r="2481" ht="70.2" customHeight="1"/>
    <row r="2482" ht="70.2" customHeight="1"/>
    <row r="2483" ht="70.2" customHeight="1"/>
    <row r="2484" ht="70.2" customHeight="1"/>
    <row r="2485" ht="70.2" customHeight="1"/>
    <row r="2486" ht="70.2" customHeight="1"/>
    <row r="2487" ht="70.2" customHeight="1"/>
    <row r="2488" ht="70.2" customHeight="1"/>
    <row r="2489" ht="70.2" customHeight="1"/>
    <row r="2490" ht="70.2" customHeight="1"/>
    <row r="2491" ht="70.2" customHeight="1"/>
    <row r="2492" ht="70.2" customHeight="1"/>
    <row r="2493" ht="70.2" customHeight="1"/>
    <row r="2494" ht="70.2" customHeight="1"/>
    <row r="2495" ht="70.2" customHeight="1"/>
    <row r="2496" ht="70.2" customHeight="1"/>
    <row r="2497" ht="70.2" customHeight="1"/>
    <row r="2498" ht="70.2" customHeight="1"/>
    <row r="2499" ht="70.2" customHeight="1"/>
    <row r="2500" ht="70.2" customHeight="1"/>
    <row r="2501" ht="70.2" customHeight="1"/>
    <row r="2502" ht="70.2" customHeight="1"/>
    <row r="2503" ht="70.2" customHeight="1"/>
    <row r="2504" ht="70.2" customHeight="1"/>
    <row r="2505" ht="70.2" customHeight="1"/>
    <row r="2506" ht="70.2" customHeight="1"/>
    <row r="2507" ht="70.2" customHeight="1"/>
    <row r="2508" ht="70.2" customHeight="1"/>
    <row r="2509" ht="70.2" customHeight="1"/>
    <row r="2510" ht="70.2" customHeight="1"/>
    <row r="2511" ht="70.2" customHeight="1"/>
    <row r="2512" ht="70.2" customHeight="1"/>
    <row r="2513" ht="70.2" customHeight="1"/>
    <row r="2514" ht="70.2" customHeight="1"/>
    <row r="2515" ht="70.2" customHeight="1"/>
    <row r="2516" ht="70.2" customHeight="1"/>
    <row r="2517" ht="70.2" customHeight="1"/>
    <row r="2518" ht="70.2" customHeight="1"/>
    <row r="2519" ht="70.2" customHeight="1"/>
    <row r="2520" ht="70.2" customHeight="1"/>
    <row r="2521" ht="70.2" customHeight="1"/>
    <row r="2522" ht="70.2" customHeight="1"/>
    <row r="2523" ht="70.2" customHeight="1"/>
    <row r="2524" ht="70.2" customHeight="1"/>
    <row r="2525" ht="70.2" customHeight="1"/>
    <row r="2526" ht="70.2" customHeight="1"/>
    <row r="2527" ht="70.2" customHeight="1"/>
    <row r="2528" ht="70.2" customHeight="1"/>
    <row r="2529" ht="70.2" customHeight="1"/>
    <row r="2530" ht="70.2" customHeight="1"/>
    <row r="2531" ht="70.2" customHeight="1"/>
    <row r="2532" ht="70.2" customHeight="1"/>
    <row r="2533" ht="70.2" customHeight="1"/>
    <row r="2534" ht="70.2" customHeight="1"/>
    <row r="2535" ht="70.2" customHeight="1"/>
    <row r="2536" ht="70.2" customHeight="1"/>
    <row r="2537" ht="70.2" customHeight="1"/>
    <row r="2538" ht="70.2" customHeight="1"/>
    <row r="2539" ht="70.2" customHeight="1"/>
    <row r="2540" ht="70.2" customHeight="1"/>
    <row r="2541" ht="70.2" customHeight="1"/>
    <row r="2542" ht="70.2" customHeight="1"/>
    <row r="2543" ht="70.2" customHeight="1"/>
    <row r="2544" ht="70.2" customHeight="1"/>
    <row r="2545" ht="70.2" customHeight="1"/>
    <row r="2546" ht="70.2" customHeight="1"/>
    <row r="2547" ht="70.2" customHeight="1"/>
    <row r="2548" ht="70.2" customHeight="1"/>
    <row r="2549" ht="70.2" customHeight="1"/>
    <row r="2550" ht="70.2" customHeight="1"/>
    <row r="2551" ht="70.2" customHeight="1"/>
    <row r="2552" ht="70.2" customHeight="1"/>
    <row r="2553" ht="70.2" customHeight="1"/>
    <row r="2554" ht="70.2" customHeight="1"/>
    <row r="2555" ht="70.2" customHeight="1"/>
    <row r="2556" ht="70.2" customHeight="1"/>
    <row r="2557" ht="70.2" customHeight="1"/>
    <row r="2558" ht="70.2" customHeight="1"/>
    <row r="2559" ht="70.2" customHeight="1"/>
    <row r="2560" ht="70.2" customHeight="1"/>
    <row r="2561" ht="70.2" customHeight="1"/>
    <row r="2562" ht="70.2" customHeight="1"/>
    <row r="2563" ht="70.2" customHeight="1"/>
    <row r="2564" ht="70.2" customHeight="1"/>
    <row r="2565" ht="70.2" customHeight="1"/>
    <row r="2566" ht="70.2" customHeight="1"/>
    <row r="2567" ht="70.2" customHeight="1"/>
    <row r="2568" ht="70.2" customHeight="1"/>
    <row r="2569" ht="70.2" customHeight="1"/>
    <row r="2570" ht="70.2" customHeight="1"/>
    <row r="2571" ht="70.2" customHeight="1"/>
    <row r="2572" ht="70.2" customHeight="1"/>
    <row r="2573" ht="70.2" customHeight="1"/>
    <row r="2574" ht="70.2" customHeight="1"/>
    <row r="2575" ht="70.2" customHeight="1"/>
    <row r="2576" ht="70.2" customHeight="1"/>
    <row r="2577" ht="70.2" customHeight="1"/>
    <row r="2578" ht="70.2" customHeight="1"/>
    <row r="2579" ht="70.2" customHeight="1"/>
    <row r="2580" ht="70.2" customHeight="1"/>
    <row r="2581" ht="70.2" customHeight="1"/>
    <row r="2582" ht="70.2" customHeight="1"/>
    <row r="2583" ht="70.2" customHeight="1"/>
    <row r="2584" ht="70.2" customHeight="1"/>
    <row r="2585" ht="70.2" customHeight="1"/>
    <row r="2586" ht="70.2" customHeight="1"/>
    <row r="2587" ht="70.2" customHeight="1"/>
    <row r="2588" ht="70.2" customHeight="1"/>
    <row r="2589" ht="70.2" customHeight="1"/>
    <row r="2590" ht="70.2" customHeight="1"/>
    <row r="2591" ht="70.2" customHeight="1"/>
    <row r="2592" ht="70.2" customHeight="1"/>
    <row r="2593" ht="70.2" customHeight="1"/>
    <row r="2594" ht="70.2" customHeight="1"/>
    <row r="2595" ht="70.2" customHeight="1"/>
    <row r="2596" ht="70.2" customHeight="1"/>
    <row r="2597" ht="70.2" customHeight="1"/>
    <row r="2598" ht="70.2" customHeight="1"/>
    <row r="2599" ht="70.2" customHeight="1"/>
    <row r="2600" ht="70.2" customHeight="1"/>
    <row r="2601" ht="70.2" customHeight="1"/>
    <row r="2602" ht="70.2" customHeight="1"/>
    <row r="2603" ht="70.2" customHeight="1"/>
    <row r="2604" ht="70.2" customHeight="1"/>
    <row r="2605" ht="70.2" customHeight="1"/>
    <row r="2606" ht="70.2" customHeight="1"/>
    <row r="2607" ht="70.2" customHeight="1"/>
    <row r="2608" ht="70.2" customHeight="1"/>
    <row r="2609" ht="70.2" customHeight="1"/>
    <row r="2610" ht="70.2" customHeight="1"/>
    <row r="2611" ht="70.2" customHeight="1"/>
    <row r="2612" ht="70.2" customHeight="1"/>
    <row r="2613" ht="70.2" customHeight="1"/>
    <row r="2614" ht="70.2" customHeight="1"/>
    <row r="2615" ht="70.2" customHeight="1"/>
    <row r="2616" ht="70.2" customHeight="1"/>
    <row r="2617" ht="70.2" customHeight="1"/>
    <row r="2618" ht="70.2" customHeight="1"/>
    <row r="2619" ht="70.2" customHeight="1"/>
    <row r="2620" ht="70.2" customHeight="1"/>
    <row r="2621" ht="70.2" customHeight="1"/>
    <row r="2622" ht="70.2" customHeight="1"/>
    <row r="2623" ht="70.2" customHeight="1"/>
    <row r="2624" ht="70.2" customHeight="1"/>
    <row r="2625" ht="70.2" customHeight="1"/>
    <row r="2626" ht="70.2" customHeight="1"/>
    <row r="2627" ht="70.2" customHeight="1"/>
    <row r="2628" ht="70.2" customHeight="1"/>
    <row r="2629" ht="70.2" customHeight="1"/>
    <row r="2630" ht="70.2" customHeight="1"/>
    <row r="2631" ht="70.2" customHeight="1"/>
    <row r="2632" ht="70.2" customHeight="1"/>
    <row r="2633" ht="70.2" customHeight="1"/>
    <row r="2634" ht="70.2" customHeight="1"/>
    <row r="2635" ht="70.2" customHeight="1"/>
    <row r="2636" ht="70.2" customHeight="1"/>
    <row r="2637" ht="70.2" customHeight="1"/>
    <row r="2638" ht="70.2" customHeight="1"/>
    <row r="2639" ht="70.2" customHeight="1"/>
    <row r="2640" ht="70.2" customHeight="1"/>
    <row r="2641" ht="70.2" customHeight="1"/>
    <row r="2642" ht="70.2" customHeight="1"/>
    <row r="2643" ht="70.2" customHeight="1"/>
    <row r="2644" ht="70.2" customHeight="1"/>
    <row r="2645" ht="70.2" customHeight="1"/>
    <row r="2646" ht="70.2" customHeight="1"/>
    <row r="2647" ht="70.2" customHeight="1"/>
    <row r="2648" ht="70.2" customHeight="1"/>
    <row r="2649" ht="70.2" customHeight="1"/>
    <row r="2650" ht="70.2" customHeight="1"/>
    <row r="2651" ht="70.2" customHeight="1"/>
    <row r="2652" ht="70.2" customHeight="1"/>
    <row r="2653" ht="70.2" customHeight="1"/>
    <row r="2654" ht="70.2" customHeight="1"/>
    <row r="2655" ht="70.2" customHeight="1"/>
    <row r="2656" ht="70.2" customHeight="1"/>
    <row r="2657" ht="70.2" customHeight="1"/>
    <row r="2658" ht="70.2" customHeight="1"/>
    <row r="2659" ht="70.2" customHeight="1"/>
    <row r="2660" ht="70.2" customHeight="1"/>
    <row r="2661" ht="70.2" customHeight="1"/>
    <row r="2662" ht="70.2" customHeight="1"/>
    <row r="2663" ht="70.2" customHeight="1"/>
    <row r="2664" ht="70.2" customHeight="1"/>
    <row r="2665" ht="70.2" customHeight="1"/>
    <row r="2666" ht="70.2" customHeight="1"/>
    <row r="2667" ht="70.2" customHeight="1"/>
    <row r="2668" ht="70.2" customHeight="1"/>
    <row r="2669" ht="70.2" customHeight="1"/>
    <row r="2670" ht="70.2" customHeight="1"/>
    <row r="2671" ht="70.2" customHeight="1"/>
    <row r="2672" ht="70.2" customHeight="1"/>
    <row r="2673" ht="70.2" customHeight="1"/>
    <row r="2674" ht="70.2" customHeight="1"/>
    <row r="2675" ht="70.2" customHeight="1"/>
    <row r="2676" ht="70.2" customHeight="1"/>
    <row r="2677" ht="70.2" customHeight="1"/>
    <row r="2678" ht="70.2" customHeight="1"/>
    <row r="2679" ht="70.2" customHeight="1"/>
    <row r="2680" ht="70.2" customHeight="1"/>
    <row r="2681" ht="70.2" customHeight="1"/>
    <row r="2682" ht="70.2" customHeight="1"/>
    <row r="2683" ht="70.2" customHeight="1"/>
    <row r="2684" ht="70.2" customHeight="1"/>
    <row r="2685" ht="70.2" customHeight="1"/>
    <row r="2686" ht="70.2" customHeight="1"/>
    <row r="2687" ht="70.2" customHeight="1"/>
    <row r="2688" ht="70.2" customHeight="1"/>
    <row r="2689" ht="70.2" customHeight="1"/>
    <row r="2690" ht="70.2" customHeight="1"/>
    <row r="2691" ht="70.2" customHeight="1"/>
    <row r="2692" ht="70.2" customHeight="1"/>
    <row r="2693" ht="70.2" customHeight="1"/>
    <row r="2694" ht="70.2" customHeight="1"/>
    <row r="2695" ht="70.2" customHeight="1"/>
    <row r="2696" ht="70.2" customHeight="1"/>
    <row r="2697" ht="70.2" customHeight="1"/>
    <row r="2698" ht="70.2" customHeight="1"/>
    <row r="2699" ht="70.2" customHeight="1"/>
    <row r="2700" ht="70.2" customHeight="1"/>
    <row r="2701" ht="70.2" customHeight="1"/>
    <row r="2702" ht="70.2" customHeight="1"/>
    <row r="2703" ht="70.2" customHeight="1"/>
    <row r="2704" ht="70.2" customHeight="1"/>
    <row r="2705" ht="70.2" customHeight="1"/>
    <row r="2706" ht="70.2" customHeight="1"/>
    <row r="2707" ht="70.2" customHeight="1"/>
    <row r="2708" ht="70.2" customHeight="1"/>
    <row r="2709" ht="70.2" customHeight="1"/>
    <row r="2710" ht="70.2" customHeight="1"/>
    <row r="2711" ht="70.2" customHeight="1"/>
    <row r="2712" ht="70.2" customHeight="1"/>
    <row r="2713" ht="70.2" customHeight="1"/>
    <row r="2714" ht="70.2" customHeight="1"/>
    <row r="2715" ht="70.2" customHeight="1"/>
    <row r="2716" ht="70.2" customHeight="1"/>
    <row r="2717" ht="70.2" customHeight="1"/>
    <row r="2718" ht="70.2" customHeight="1"/>
    <row r="2719" ht="70.2" customHeight="1"/>
    <row r="2720" ht="70.2" customHeight="1"/>
    <row r="2721" ht="70.2" customHeight="1"/>
    <row r="2722" ht="70.2" customHeight="1"/>
    <row r="2723" ht="70.2" customHeight="1"/>
    <row r="2724" ht="70.2" customHeight="1"/>
    <row r="2725" ht="70.2" customHeight="1"/>
    <row r="2726" ht="70.2" customHeight="1"/>
    <row r="2727" ht="70.2" customHeight="1"/>
    <row r="2728" ht="70.2" customHeight="1"/>
    <row r="2729" ht="70.2" customHeight="1"/>
    <row r="2730" ht="70.2" customHeight="1"/>
    <row r="2731" ht="70.2" customHeight="1"/>
    <row r="2732" ht="70.2" customHeight="1"/>
    <row r="2733" ht="70.2" customHeight="1"/>
    <row r="2734" ht="70.2" customHeight="1"/>
    <row r="2735" ht="70.2" customHeight="1"/>
    <row r="2736" ht="70.2" customHeight="1"/>
    <row r="2737" ht="70.2" customHeight="1"/>
    <row r="2738" ht="70.2" customHeight="1"/>
    <row r="2739" ht="70.2" customHeight="1"/>
    <row r="2740" ht="70.2" customHeight="1"/>
    <row r="2741" ht="70.2" customHeight="1"/>
    <row r="2742" ht="70.2" customHeight="1"/>
    <row r="2743" ht="70.2" customHeight="1"/>
    <row r="2744" ht="70.2" customHeight="1"/>
    <row r="2745" ht="70.2" customHeight="1"/>
    <row r="2746" ht="70.2" customHeight="1"/>
    <row r="2747" ht="70.2" customHeight="1"/>
    <row r="2748" ht="70.2" customHeight="1"/>
    <row r="2749" ht="70.2" customHeight="1"/>
    <row r="2750" ht="70.2" customHeight="1"/>
    <row r="2751" ht="70.2" customHeight="1"/>
    <row r="2752" ht="70.2" customHeight="1"/>
    <row r="2753" ht="70.2" customHeight="1"/>
    <row r="2754" ht="70.2" customHeight="1"/>
    <row r="2755" ht="70.2" customHeight="1"/>
    <row r="2756" ht="70.2" customHeight="1"/>
    <row r="2757" ht="70.2" customHeight="1"/>
    <row r="2758" ht="70.2" customHeight="1"/>
    <row r="2759" ht="70.2" customHeight="1"/>
    <row r="2760" ht="70.2" customHeight="1"/>
    <row r="2761" ht="70.2" customHeight="1"/>
    <row r="2762" ht="70.2" customHeight="1"/>
    <row r="2763" ht="70.2" customHeight="1"/>
    <row r="2764" ht="70.2" customHeight="1"/>
    <row r="2765" ht="70.2" customHeight="1"/>
    <row r="2766" ht="70.2" customHeight="1"/>
    <row r="2767" ht="70.2" customHeight="1"/>
    <row r="2768" ht="70.2" customHeight="1"/>
    <row r="2769" ht="70.2" customHeight="1"/>
    <row r="2770" ht="70.2" customHeight="1"/>
    <row r="2771" ht="70.2" customHeight="1"/>
    <row r="2772" ht="70.2" customHeight="1"/>
    <row r="2773" ht="70.2" customHeight="1"/>
    <row r="2774" ht="70.2" customHeight="1"/>
    <row r="2775" ht="70.2" customHeight="1"/>
    <row r="2776" ht="70.2" customHeight="1"/>
    <row r="2777" ht="70.2" customHeight="1"/>
    <row r="2778" ht="70.2" customHeight="1"/>
    <row r="2779" ht="70.2" customHeight="1"/>
    <row r="2780" ht="70.2" customHeight="1"/>
    <row r="2781" ht="70.2" customHeight="1"/>
    <row r="2782" ht="70.2" customHeight="1"/>
    <row r="2783" ht="70.2" customHeight="1"/>
    <row r="2784" ht="70.2" customHeight="1"/>
    <row r="2785" ht="70.2" customHeight="1"/>
    <row r="2786" ht="70.2" customHeight="1"/>
    <row r="2787" ht="70.2" customHeight="1"/>
    <row r="2788" ht="70.2" customHeight="1"/>
    <row r="2789" ht="70.2" customHeight="1"/>
    <row r="2790" ht="70.2" customHeight="1"/>
    <row r="2791" ht="70.2" customHeight="1"/>
    <row r="2792" ht="70.2" customHeight="1"/>
    <row r="2793" ht="70.2" customHeight="1"/>
    <row r="2794" ht="70.2" customHeight="1"/>
    <row r="2795" ht="70.2" customHeight="1"/>
    <row r="2796" ht="70.2" customHeight="1"/>
    <row r="2797" ht="70.2" customHeight="1"/>
    <row r="2798" ht="70.2" customHeight="1"/>
    <row r="2799" ht="70.2" customHeight="1"/>
    <row r="2800" ht="70.2" customHeight="1"/>
    <row r="2801" ht="70.2" customHeight="1"/>
    <row r="2802" ht="70.2" customHeight="1"/>
    <row r="2803" ht="70.2" customHeight="1"/>
    <row r="2804" ht="70.2" customHeight="1"/>
    <row r="2805" ht="70.2" customHeight="1"/>
    <row r="2806" ht="70.2" customHeight="1"/>
    <row r="2807" ht="70.2" customHeight="1"/>
    <row r="2808" ht="70.2" customHeight="1"/>
    <row r="2809" ht="70.2" customHeight="1"/>
    <row r="2810" ht="70.2" customHeight="1"/>
    <row r="2811" ht="70.2" customHeight="1"/>
    <row r="2812" ht="70.2" customHeight="1"/>
    <row r="2813" ht="70.2" customHeight="1"/>
    <row r="2814" ht="70.2" customHeight="1"/>
    <row r="2815" ht="70.2" customHeight="1"/>
    <row r="2816" ht="70.2" customHeight="1"/>
    <row r="2817" ht="70.2" customHeight="1"/>
    <row r="2818" ht="70.2" customHeight="1"/>
    <row r="2819" ht="70.2" customHeight="1"/>
    <row r="2820" ht="70.2" customHeight="1"/>
    <row r="2821" ht="70.2" customHeight="1"/>
    <row r="2822" ht="70.2" customHeight="1"/>
    <row r="2823" ht="70.2" customHeight="1"/>
    <row r="2824" ht="70.2" customHeight="1"/>
    <row r="2825" ht="70.2" customHeight="1"/>
    <row r="2826" ht="70.2" customHeight="1"/>
    <row r="2827" ht="70.2" customHeight="1"/>
    <row r="2828" ht="70.2" customHeight="1"/>
    <row r="2829" ht="70.2" customHeight="1"/>
    <row r="2830" ht="70.2" customHeight="1"/>
    <row r="2831" ht="70.2" customHeight="1"/>
    <row r="2832" ht="70.2" customHeight="1"/>
    <row r="2833" ht="70.2" customHeight="1"/>
    <row r="2834" ht="70.2" customHeight="1"/>
    <row r="2835" ht="70.2" customHeight="1"/>
    <row r="2836" ht="70.2" customHeight="1"/>
    <row r="2837" ht="70.2" customHeight="1"/>
    <row r="2838" ht="70.2" customHeight="1"/>
    <row r="2839" ht="70.2" customHeight="1"/>
    <row r="2840" ht="70.2" customHeight="1"/>
    <row r="2841" ht="70.2" customHeight="1"/>
    <row r="2842" ht="70.2" customHeight="1"/>
    <row r="2843" ht="70.2" customHeight="1"/>
    <row r="2844" ht="70.2" customHeight="1"/>
    <row r="2845" ht="70.2" customHeight="1"/>
    <row r="2846" ht="70.2" customHeight="1"/>
    <row r="2847" ht="70.2" customHeight="1"/>
    <row r="2848" ht="70.2" customHeight="1"/>
    <row r="2849" ht="70.2" customHeight="1"/>
    <row r="2850" ht="70.2" customHeight="1"/>
    <row r="2851" ht="70.2" customHeight="1"/>
    <row r="2852" ht="70.2" customHeight="1"/>
    <row r="2853" ht="70.2" customHeight="1"/>
    <row r="2854" ht="70.2" customHeight="1"/>
    <row r="2855" ht="70.2" customHeight="1"/>
    <row r="2856" ht="70.2" customHeight="1"/>
    <row r="2857" ht="70.2" customHeight="1"/>
    <row r="2858" ht="70.2" customHeight="1"/>
    <row r="2859" ht="70.2" customHeight="1"/>
    <row r="2860" ht="70.2" customHeight="1"/>
    <row r="2861" ht="70.2" customHeight="1"/>
    <row r="2862" ht="70.2" customHeight="1"/>
    <row r="2863" ht="70.2" customHeight="1"/>
    <row r="2864" ht="70.2" customHeight="1"/>
    <row r="2865" ht="70.2" customHeight="1"/>
    <row r="2866" ht="70.2" customHeight="1"/>
    <row r="2867" ht="70.2" customHeight="1"/>
    <row r="2868" ht="70.2" customHeight="1"/>
    <row r="2869" ht="70.2" customHeight="1"/>
    <row r="2870" ht="70.2" customHeight="1"/>
    <row r="2871" ht="70.2" customHeight="1"/>
    <row r="2872" ht="70.2" customHeight="1"/>
    <row r="2873" ht="70.2" customHeight="1"/>
    <row r="2874" ht="70.2" customHeight="1"/>
    <row r="2875" ht="70.2" customHeight="1"/>
    <row r="2876" ht="70.2" customHeight="1"/>
    <row r="2877" ht="70.2" customHeight="1"/>
    <row r="2878" ht="70.2" customHeight="1"/>
    <row r="2879" ht="70.2" customHeight="1"/>
    <row r="2880" ht="70.2" customHeight="1"/>
    <row r="2881" ht="70.2" customHeight="1"/>
    <row r="2882" ht="70.2" customHeight="1"/>
    <row r="2883" ht="70.2" customHeight="1"/>
    <row r="2884" ht="70.2" customHeight="1"/>
    <row r="2885" ht="70.2" customHeight="1"/>
    <row r="2886" ht="70.2" customHeight="1"/>
    <row r="2887" ht="70.2" customHeight="1"/>
    <row r="2888" ht="70.2" customHeight="1"/>
    <row r="2889" ht="70.2" customHeight="1"/>
    <row r="2890" ht="70.2" customHeight="1"/>
    <row r="2891" ht="70.2" customHeight="1"/>
    <row r="2892" ht="70.2" customHeight="1"/>
    <row r="2893" ht="70.2" customHeight="1"/>
    <row r="2894" ht="70.2" customHeight="1"/>
    <row r="2895" ht="70.2" customHeight="1"/>
    <row r="2896" ht="70.2" customHeight="1"/>
    <row r="2897" ht="70.2" customHeight="1"/>
    <row r="2898" ht="70.2" customHeight="1"/>
    <row r="2899" ht="70.2" customHeight="1"/>
    <row r="2900" ht="70.2" customHeight="1"/>
    <row r="2901" ht="70.2" customHeight="1"/>
    <row r="2902" ht="70.2" customHeight="1"/>
    <row r="2903" ht="70.2" customHeight="1"/>
    <row r="2904" ht="70.2" customHeight="1"/>
    <row r="2905" ht="70.2" customHeight="1"/>
    <row r="2906" ht="70.2" customHeight="1"/>
    <row r="2907" ht="70.2" customHeight="1"/>
    <row r="2908" ht="70.2" customHeight="1"/>
    <row r="2909" ht="70.2" customHeight="1"/>
    <row r="2910" ht="70.2" customHeight="1"/>
    <row r="2911" ht="70.2" customHeight="1"/>
    <row r="2912" ht="70.2" customHeight="1"/>
    <row r="2913" ht="70.2" customHeight="1"/>
    <row r="2914" ht="70.2" customHeight="1"/>
    <row r="2915" ht="70.2" customHeight="1"/>
    <row r="2916" ht="70.2" customHeight="1"/>
    <row r="2917" ht="70.2" customHeight="1"/>
    <row r="2918" ht="70.2" customHeight="1"/>
    <row r="2919" ht="70.2" customHeight="1"/>
    <row r="2920" ht="70.2" customHeight="1"/>
    <row r="2921" ht="70.2" customHeight="1"/>
    <row r="2922" ht="70.2" customHeight="1"/>
    <row r="2923" ht="70.2" customHeight="1"/>
    <row r="2924" ht="70.2" customHeight="1"/>
    <row r="2925" ht="70.2" customHeight="1"/>
    <row r="2926" ht="70.2" customHeight="1"/>
    <row r="2927" ht="70.2" customHeight="1"/>
    <row r="2928" ht="70.2" customHeight="1"/>
    <row r="2929" ht="70.2" customHeight="1"/>
    <row r="2930" ht="70.2" customHeight="1"/>
    <row r="2931" ht="70.2" customHeight="1"/>
    <row r="2932" ht="70.2" customHeight="1"/>
    <row r="2933" ht="70.2" customHeight="1"/>
    <row r="2934" ht="70.2" customHeight="1"/>
    <row r="2935" ht="70.2" customHeight="1"/>
    <row r="2936" ht="70.2" customHeight="1"/>
    <row r="2937" ht="70.2" customHeight="1"/>
    <row r="2938" ht="70.2" customHeight="1"/>
    <row r="2939" ht="70.2" customHeight="1"/>
    <row r="2940" ht="70.2" customHeight="1"/>
    <row r="2941" ht="70.2" customHeight="1"/>
    <row r="2942" ht="70.2" customHeight="1"/>
    <row r="2943" ht="70.2" customHeight="1"/>
    <row r="2944" ht="70.2" customHeight="1"/>
    <row r="2945" ht="70.2" customHeight="1"/>
    <row r="2946" ht="70.2" customHeight="1"/>
    <row r="2947" ht="70.2" customHeight="1"/>
    <row r="2948" ht="70.2" customHeight="1"/>
    <row r="2949" ht="70.2" customHeight="1"/>
    <row r="2950" ht="70.2" customHeight="1"/>
    <row r="2951" ht="70.2" customHeight="1"/>
    <row r="2952" ht="70.2" customHeight="1"/>
    <row r="2953" ht="70.2" customHeight="1"/>
    <row r="2954" ht="70.2" customHeight="1"/>
    <row r="2955" ht="70.2" customHeight="1"/>
    <row r="2956" ht="70.2" customHeight="1"/>
    <row r="2957" ht="70.2" customHeight="1"/>
    <row r="2958" ht="70.2" customHeight="1"/>
    <row r="2959" ht="70.2" customHeight="1"/>
    <row r="2960" ht="70.2" customHeight="1"/>
    <row r="2961" ht="70.2" customHeight="1"/>
    <row r="2962" ht="70.2" customHeight="1"/>
    <row r="2963" ht="70.2" customHeight="1"/>
    <row r="2964" ht="70.2" customHeight="1"/>
    <row r="2965" ht="70.2" customHeight="1"/>
    <row r="2966" ht="70.2" customHeight="1"/>
    <row r="2967" ht="70.2" customHeight="1"/>
    <row r="2968" ht="70.2" customHeight="1"/>
    <row r="2969" ht="70.2" customHeight="1"/>
    <row r="2970" ht="70.2" customHeight="1"/>
    <row r="2971" ht="70.2" customHeight="1"/>
    <row r="2972" ht="70.2" customHeight="1"/>
    <row r="2973" ht="70.2" customHeight="1"/>
    <row r="2974" ht="70.2" customHeight="1"/>
    <row r="2975" ht="70.2" customHeight="1"/>
    <row r="2976" ht="70.2" customHeight="1"/>
    <row r="2977" ht="70.2" customHeight="1"/>
    <row r="2978" ht="70.2" customHeight="1"/>
    <row r="2979" ht="70.2" customHeight="1"/>
    <row r="2980" ht="70.2" customHeight="1"/>
    <row r="2981" ht="70.2" customHeight="1"/>
    <row r="2982" ht="70.2" customHeight="1"/>
    <row r="2983" ht="70.2" customHeight="1"/>
    <row r="2984" ht="70.2" customHeight="1"/>
    <row r="2985" ht="70.2" customHeight="1"/>
    <row r="2986" ht="70.2" customHeight="1"/>
    <row r="2987" ht="70.2" customHeight="1"/>
    <row r="2988" ht="70.2" customHeight="1"/>
    <row r="2989" ht="70.2" customHeight="1"/>
    <row r="2990" ht="70.2" customHeight="1"/>
    <row r="2991" ht="70.2" customHeight="1"/>
    <row r="2992" ht="70.2" customHeight="1"/>
    <row r="2993" ht="70.2" customHeight="1"/>
    <row r="2994" ht="70.2" customHeight="1"/>
    <row r="2995" ht="70.2" customHeight="1"/>
    <row r="2996" ht="70.2" customHeight="1"/>
    <row r="2997" ht="70.2" customHeight="1"/>
    <row r="2998" ht="70.2" customHeight="1"/>
    <row r="2999" ht="70.2" customHeight="1"/>
    <row r="3000" ht="70.2" customHeight="1"/>
    <row r="3001" ht="70.2" customHeight="1"/>
    <row r="3002" ht="70.2" customHeight="1"/>
    <row r="3003" ht="70.2" customHeight="1"/>
    <row r="3004" ht="70.2" customHeight="1"/>
    <row r="3005" ht="70.2" customHeight="1"/>
    <row r="3006" ht="70.2" customHeight="1"/>
    <row r="3007" ht="70.2" customHeight="1"/>
    <row r="3008" ht="70.2" customHeight="1"/>
    <row r="3009" ht="70.2" customHeight="1"/>
    <row r="3010" ht="70.2" customHeight="1"/>
    <row r="3011" ht="70.2" customHeight="1"/>
    <row r="3012" ht="70.2" customHeight="1"/>
    <row r="3013" ht="70.2" customHeight="1"/>
    <row r="3014" ht="70.2" customHeight="1"/>
    <row r="3015" ht="70.2" customHeight="1"/>
    <row r="3016" ht="70.2" customHeight="1"/>
    <row r="3017" ht="70.2" customHeight="1"/>
    <row r="3018" ht="70.2" customHeight="1"/>
    <row r="3019" ht="70.2" customHeight="1"/>
    <row r="3020" ht="70.2" customHeight="1"/>
    <row r="3021" ht="70.2" customHeight="1"/>
    <row r="3022" ht="70.2" customHeight="1"/>
    <row r="3023" ht="70.2" customHeight="1"/>
    <row r="3024" ht="70.2" customHeight="1"/>
    <row r="3025" ht="70.2" customHeight="1"/>
    <row r="3026" ht="70.2" customHeight="1"/>
    <row r="3027" ht="70.2" customHeight="1"/>
    <row r="3028" ht="70.2" customHeight="1"/>
    <row r="3029" ht="70.2" customHeight="1"/>
    <row r="3030" ht="70.2" customHeight="1"/>
    <row r="3031" ht="70.2" customHeight="1"/>
    <row r="3032" ht="70.2" customHeight="1"/>
    <row r="3033" ht="70.2" customHeight="1"/>
    <row r="3034" ht="70.2" customHeight="1"/>
    <row r="3035" ht="70.2" customHeight="1"/>
    <row r="3036" ht="70.2" customHeight="1"/>
    <row r="3037" ht="70.2" customHeight="1"/>
    <row r="3038" ht="70.2" customHeight="1"/>
    <row r="3039" ht="70.2" customHeight="1"/>
    <row r="3040" ht="70.2" customHeight="1"/>
    <row r="3041" ht="70.2" customHeight="1"/>
    <row r="3042" ht="70.2" customHeight="1"/>
    <row r="3043" ht="70.2" customHeight="1"/>
    <row r="3044" ht="70.2" customHeight="1"/>
    <row r="3045" ht="70.2" customHeight="1"/>
    <row r="3046" ht="70.2" customHeight="1"/>
    <row r="3047" ht="70.2" customHeight="1"/>
    <row r="3048" ht="70.2" customHeight="1"/>
    <row r="3049" ht="70.2" customHeight="1"/>
    <row r="3050" ht="70.2" customHeight="1"/>
    <row r="3051" ht="70.2" customHeight="1"/>
    <row r="3052" ht="70.2" customHeight="1"/>
    <row r="3053" ht="70.2" customHeight="1"/>
    <row r="3054" ht="70.2" customHeight="1"/>
    <row r="3055" ht="70.2" customHeight="1"/>
    <row r="3056" ht="70.2" customHeight="1"/>
    <row r="3057" ht="70.2" customHeight="1"/>
    <row r="3058" ht="70.2" customHeight="1"/>
    <row r="3059" ht="70.2" customHeight="1"/>
    <row r="3060" ht="70.2" customHeight="1"/>
    <row r="3061" ht="70.2" customHeight="1"/>
    <row r="3062" ht="70.2" customHeight="1"/>
    <row r="3063" ht="70.2" customHeight="1"/>
    <row r="3064" ht="70.2" customHeight="1"/>
    <row r="3065" ht="70.2" customHeight="1"/>
    <row r="3066" ht="70.2" customHeight="1"/>
    <row r="3067" ht="70.2" customHeight="1"/>
    <row r="3068" ht="70.2" customHeight="1"/>
    <row r="3069" ht="70.2" customHeight="1"/>
    <row r="3070" ht="70.2" customHeight="1"/>
    <row r="3071" ht="70.2" customHeight="1"/>
    <row r="3072" ht="70.2" customHeight="1"/>
    <row r="3073" ht="70.2" customHeight="1"/>
    <row r="3074" ht="70.2" customHeight="1"/>
    <row r="3075" ht="70.2" customHeight="1"/>
    <row r="3076" ht="70.2" customHeight="1"/>
    <row r="3077" ht="70.2" customHeight="1"/>
    <row r="3078" ht="70.2" customHeight="1"/>
    <row r="3079" ht="70.2" customHeight="1"/>
    <row r="3080" ht="70.2" customHeight="1"/>
    <row r="3081" ht="70.2" customHeight="1"/>
    <row r="3082" ht="70.2" customHeight="1"/>
    <row r="3083" ht="70.2" customHeight="1"/>
    <row r="3084" ht="70.2" customHeight="1"/>
    <row r="3085" ht="70.2" customHeight="1"/>
    <row r="3086" ht="70.2" customHeight="1"/>
    <row r="3087" ht="70.2" customHeight="1"/>
    <row r="3088" ht="70.2" customHeight="1"/>
    <row r="3089" ht="70.2" customHeight="1"/>
    <row r="3090" ht="70.2" customHeight="1"/>
    <row r="3091" ht="70.2" customHeight="1"/>
    <row r="3092" ht="70.2" customHeight="1"/>
    <row r="3093" ht="70.2" customHeight="1"/>
    <row r="3094" ht="70.2" customHeight="1"/>
    <row r="3095" ht="70.2" customHeight="1"/>
    <row r="3096" ht="70.2" customHeight="1"/>
    <row r="3097" ht="70.2" customHeight="1"/>
    <row r="3098" ht="70.2" customHeight="1"/>
    <row r="3099" ht="70.2" customHeight="1"/>
    <row r="3100" ht="70.2" customHeight="1"/>
    <row r="3101" ht="70.2" customHeight="1"/>
    <row r="3102" ht="70.2" customHeight="1"/>
    <row r="3103" ht="70.2" customHeight="1"/>
    <row r="3104" ht="70.2" customHeight="1"/>
    <row r="3105" ht="70.2" customHeight="1"/>
    <row r="3106" ht="70.2" customHeight="1"/>
    <row r="3107" ht="70.2" customHeight="1"/>
    <row r="3108" ht="70.2" customHeight="1"/>
    <row r="3109" ht="70.2" customHeight="1"/>
    <row r="3110" ht="70.2" customHeight="1"/>
    <row r="3111" ht="70.2" customHeight="1"/>
    <row r="3112" ht="70.2" customHeight="1"/>
    <row r="3113" ht="70.2" customHeight="1"/>
    <row r="3114" ht="70.2" customHeight="1"/>
    <row r="3115" ht="70.2" customHeight="1"/>
    <row r="3116" ht="70.2" customHeight="1"/>
    <row r="3117" ht="70.2" customHeight="1"/>
    <row r="3118" ht="70.2" customHeight="1"/>
    <row r="3119" ht="70.2" customHeight="1"/>
    <row r="3120" ht="70.2" customHeight="1"/>
    <row r="3121" ht="70.2" customHeight="1"/>
    <row r="3122" ht="70.2" customHeight="1"/>
    <row r="3123" ht="70.2" customHeight="1"/>
    <row r="3124" ht="70.2" customHeight="1"/>
    <row r="3125" ht="70.2" customHeight="1"/>
    <row r="3126" ht="70.2" customHeight="1"/>
    <row r="3127" ht="70.2" customHeight="1"/>
    <row r="3128" ht="70.2" customHeight="1"/>
    <row r="3129" ht="70.2" customHeight="1"/>
    <row r="3130" ht="70.2" customHeight="1"/>
    <row r="3131" ht="70.2" customHeight="1"/>
    <row r="3132" ht="70.2" customHeight="1"/>
    <row r="3133" ht="70.2" customHeight="1"/>
    <row r="3134" ht="70.2" customHeight="1"/>
    <row r="3135" ht="70.2" customHeight="1"/>
    <row r="3136" ht="70.2" customHeight="1"/>
    <row r="3137" ht="70.2" customHeight="1"/>
    <row r="3138" ht="70.2" customHeight="1"/>
    <row r="3139" ht="70.2" customHeight="1"/>
    <row r="3140" ht="70.2" customHeight="1"/>
    <row r="3141" ht="70.2" customHeight="1"/>
    <row r="3142" ht="70.2" customHeight="1"/>
    <row r="3143" ht="70.2" customHeight="1"/>
    <row r="3144" ht="70.2" customHeight="1"/>
    <row r="3145" ht="70.2" customHeight="1"/>
    <row r="3146" ht="70.2" customHeight="1"/>
    <row r="3147" ht="70.2" customHeight="1"/>
    <row r="3148" ht="70.2" customHeight="1"/>
    <row r="3149" ht="70.2" customHeight="1"/>
    <row r="3150" ht="70.2" customHeight="1"/>
    <row r="3151" ht="70.2" customHeight="1"/>
    <row r="3152" ht="70.2" customHeight="1"/>
    <row r="3153" ht="70.2" customHeight="1"/>
    <row r="3154" ht="70.2" customHeight="1"/>
    <row r="3155" ht="70.2" customHeight="1"/>
    <row r="3156" ht="70.2" customHeight="1"/>
    <row r="3157" ht="70.2" customHeight="1"/>
    <row r="3158" ht="70.2" customHeight="1"/>
    <row r="3159" ht="70.2" customHeight="1"/>
    <row r="3160" ht="70.2" customHeight="1"/>
    <row r="3161" ht="70.2" customHeight="1"/>
    <row r="3162" ht="70.2" customHeight="1"/>
    <row r="3163" ht="70.2" customHeight="1"/>
    <row r="3164" ht="70.2" customHeight="1"/>
    <row r="3165" ht="70.2" customHeight="1"/>
    <row r="3166" ht="70.2" customHeight="1"/>
    <row r="3167" ht="70.2" customHeight="1"/>
    <row r="3168" ht="70.2" customHeight="1"/>
    <row r="3169" ht="70.2" customHeight="1"/>
    <row r="3170" ht="70.2" customHeight="1"/>
    <row r="3171" ht="70.2" customHeight="1"/>
    <row r="3172" ht="70.2" customHeight="1"/>
    <row r="3173" ht="70.2" customHeight="1"/>
    <row r="3174" ht="70.2" customHeight="1"/>
    <row r="3175" ht="70.2" customHeight="1"/>
    <row r="3176" ht="70.2" customHeight="1"/>
    <row r="3177" ht="70.2" customHeight="1"/>
    <row r="3178" ht="70.2" customHeight="1"/>
    <row r="3179" ht="70.2" customHeight="1"/>
    <row r="3180" ht="70.2" customHeight="1"/>
    <row r="3181" ht="70.2" customHeight="1"/>
    <row r="3182" ht="70.2" customHeight="1"/>
    <row r="3183" ht="70.2" customHeight="1"/>
    <row r="3184" ht="70.2" customHeight="1"/>
    <row r="3185" ht="70.2" customHeight="1"/>
    <row r="3186" ht="70.2" customHeight="1"/>
    <row r="3187" ht="70.2" customHeight="1"/>
    <row r="3188" ht="70.2" customHeight="1"/>
    <row r="3189" ht="70.2" customHeight="1"/>
    <row r="3190" ht="70.2" customHeight="1"/>
    <row r="3191" ht="70.2" customHeight="1"/>
    <row r="3192" ht="70.2" customHeight="1"/>
    <row r="3193" ht="70.2" customHeight="1"/>
    <row r="3194" ht="70.2" customHeight="1"/>
    <row r="3195" ht="70.2" customHeight="1"/>
    <row r="3196" ht="70.2" customHeight="1"/>
    <row r="3197" ht="70.2" customHeight="1"/>
    <row r="3198" ht="70.2" customHeight="1"/>
    <row r="3199" ht="70.2" customHeight="1"/>
    <row r="3200" ht="70.2" customHeight="1"/>
    <row r="3201" ht="70.2" customHeight="1"/>
    <row r="3202" ht="70.2" customHeight="1"/>
    <row r="3203" ht="70.2" customHeight="1"/>
    <row r="3204" ht="70.2" customHeight="1"/>
    <row r="3205" ht="70.2" customHeight="1"/>
    <row r="3206" ht="70.2" customHeight="1"/>
    <row r="3207" ht="70.2" customHeight="1"/>
    <row r="3208" ht="70.2" customHeight="1"/>
    <row r="3209" ht="70.2" customHeight="1"/>
    <row r="3210" ht="70.2" customHeight="1"/>
    <row r="3211" ht="70.2" customHeight="1"/>
    <row r="3212" ht="70.2" customHeight="1"/>
    <row r="3213" ht="70.2" customHeight="1"/>
    <row r="3214" ht="70.2" customHeight="1"/>
    <row r="3215" ht="70.2" customHeight="1"/>
    <row r="3216" ht="70.2" customHeight="1"/>
    <row r="3217" ht="70.2" customHeight="1"/>
    <row r="3218" ht="70.2" customHeight="1"/>
    <row r="3219" ht="70.2" customHeight="1"/>
    <row r="3220" ht="70.2" customHeight="1"/>
    <row r="3221" ht="70.2" customHeight="1"/>
    <row r="3222" ht="70.2" customHeight="1"/>
    <row r="3223" ht="70.2" customHeight="1"/>
    <row r="3224" ht="70.2" customHeight="1"/>
    <row r="3225" ht="70.2" customHeight="1"/>
    <row r="3226" ht="70.2" customHeight="1"/>
    <row r="3227" ht="70.2" customHeight="1"/>
    <row r="3228" ht="70.2" customHeight="1"/>
    <row r="3229" ht="70.2" customHeight="1"/>
    <row r="3230" ht="70.2" customHeight="1"/>
    <row r="3231" ht="70.2" customHeight="1"/>
    <row r="3232" ht="70.2" customHeight="1"/>
    <row r="3233" ht="70.2" customHeight="1"/>
    <row r="3234" ht="70.2" customHeight="1"/>
    <row r="3235" ht="70.2" customHeight="1"/>
    <row r="3236" ht="70.2" customHeight="1"/>
    <row r="3237" ht="70.2" customHeight="1"/>
    <row r="3238" ht="70.2" customHeight="1"/>
    <row r="3239" ht="70.2" customHeight="1"/>
    <row r="3240" ht="70.2" customHeight="1"/>
    <row r="3241" ht="70.2" customHeight="1"/>
    <row r="3242" ht="70.2" customHeight="1"/>
    <row r="3243" ht="70.2" customHeight="1"/>
    <row r="3244" ht="70.2" customHeight="1"/>
    <row r="3245" ht="70.2" customHeight="1"/>
    <row r="3246" ht="70.2" customHeight="1"/>
    <row r="3247" ht="70.2" customHeight="1"/>
    <row r="3248" ht="70.2" customHeight="1"/>
    <row r="3249" ht="70.2" customHeight="1"/>
    <row r="3250" ht="70.2" customHeight="1"/>
    <row r="3251" ht="70.2" customHeight="1"/>
    <row r="3252" ht="70.2" customHeight="1"/>
    <row r="3253" ht="70.2" customHeight="1"/>
    <row r="3254" ht="70.2" customHeight="1"/>
    <row r="3255" ht="70.2" customHeight="1"/>
    <row r="3256" ht="70.2" customHeight="1"/>
    <row r="3257" ht="70.2" customHeight="1"/>
    <row r="3258" ht="70.2" customHeight="1"/>
    <row r="3259" ht="70.2" customHeight="1"/>
    <row r="3260" ht="70.2" customHeight="1"/>
    <row r="3261" ht="70.2" customHeight="1"/>
    <row r="3262" ht="70.2" customHeight="1"/>
    <row r="3263" ht="70.2" customHeight="1"/>
    <row r="3264" ht="70.2" customHeight="1"/>
    <row r="3265" ht="70.2" customHeight="1"/>
    <row r="3266" ht="70.2" customHeight="1"/>
    <row r="3267" ht="70.2" customHeight="1"/>
    <row r="3268" ht="70.2" customHeight="1"/>
    <row r="3269" ht="70.2" customHeight="1"/>
    <row r="3270" ht="70.2" customHeight="1"/>
    <row r="3271" ht="70.2" customHeight="1"/>
    <row r="3272" ht="70.2" customHeight="1"/>
    <row r="3273" ht="70.2" customHeight="1"/>
    <row r="3274" ht="70.2" customHeight="1"/>
    <row r="3275" ht="70.2" customHeight="1"/>
    <row r="3276" ht="70.2" customHeight="1"/>
    <row r="3277" ht="70.2" customHeight="1"/>
    <row r="3278" ht="70.2" customHeight="1"/>
    <row r="3279" ht="70.2" customHeight="1"/>
    <row r="3280" ht="70.2" customHeight="1"/>
    <row r="3281" ht="70.2" customHeight="1"/>
    <row r="3282" ht="70.2" customHeight="1"/>
    <row r="3283" ht="70.2" customHeight="1"/>
    <row r="3284" ht="70.2" customHeight="1"/>
    <row r="3285" ht="70.2" customHeight="1"/>
    <row r="3286" ht="70.2" customHeight="1"/>
    <row r="3287" ht="70.2" customHeight="1"/>
    <row r="3288" ht="70.2" customHeight="1"/>
    <row r="3289" ht="70.2" customHeight="1"/>
    <row r="3290" ht="70.2" customHeight="1"/>
    <row r="3291" ht="70.2" customHeight="1"/>
    <row r="3292" ht="70.2" customHeight="1"/>
    <row r="3293" ht="70.2" customHeight="1"/>
    <row r="3294" ht="70.2" customHeight="1"/>
    <row r="3295" ht="70.2" customHeight="1"/>
    <row r="3296" ht="70.2" customHeight="1"/>
    <row r="3297" ht="70.2" customHeight="1"/>
    <row r="3298" ht="70.2" customHeight="1"/>
    <row r="3299" ht="70.2" customHeight="1"/>
    <row r="3300" ht="70.2" customHeight="1"/>
    <row r="3301" ht="70.2" customHeight="1"/>
    <row r="3302" ht="70.2" customHeight="1"/>
    <row r="3303" ht="70.2" customHeight="1"/>
    <row r="3304" ht="70.2" customHeight="1"/>
    <row r="3305" ht="70.2" customHeight="1"/>
    <row r="3306" ht="70.2" customHeight="1"/>
    <row r="3307" ht="70.2" customHeight="1"/>
    <row r="3308" ht="70.2" customHeight="1"/>
    <row r="3309" ht="70.2" customHeight="1"/>
    <row r="3310" ht="70.2" customHeight="1"/>
    <row r="3311" ht="70.2" customHeight="1"/>
    <row r="3312" ht="70.2" customHeight="1"/>
    <row r="3313" ht="70.2" customHeight="1"/>
    <row r="3314" ht="70.2" customHeight="1"/>
    <row r="3315" ht="70.2" customHeight="1"/>
    <row r="3316" ht="70.2" customHeight="1"/>
    <row r="3317" ht="70.2" customHeight="1"/>
    <row r="3318" ht="70.2" customHeight="1"/>
    <row r="3319" ht="70.2" customHeight="1"/>
    <row r="3320" ht="70.2" customHeight="1"/>
    <row r="3321" ht="70.2" customHeight="1"/>
    <row r="3322" ht="70.2" customHeight="1"/>
    <row r="3323" ht="70.2" customHeight="1"/>
    <row r="3324" ht="70.2" customHeight="1"/>
    <row r="3325" ht="70.2" customHeight="1"/>
    <row r="3326" ht="70.2" customHeight="1"/>
    <row r="3327" ht="70.2" customHeight="1"/>
    <row r="3328" ht="70.2" customHeight="1"/>
    <row r="3329" ht="70.2" customHeight="1"/>
    <row r="3330" ht="70.2" customHeight="1"/>
    <row r="3331" ht="70.2" customHeight="1"/>
    <row r="3332" ht="70.2" customHeight="1"/>
    <row r="3333" ht="70.2" customHeight="1"/>
    <row r="3334" ht="70.2" customHeight="1"/>
    <row r="3335" ht="70.2" customHeight="1"/>
    <row r="3336" ht="70.2" customHeight="1"/>
    <row r="3337" ht="70.2" customHeight="1"/>
    <row r="3338" ht="70.2" customHeight="1"/>
    <row r="3339" ht="70.2" customHeight="1"/>
    <row r="3340" ht="70.2" customHeight="1"/>
    <row r="3341" ht="70.2" customHeight="1"/>
    <row r="3342" ht="70.2" customHeight="1"/>
    <row r="3343" ht="70.2" customHeight="1"/>
    <row r="3344" ht="70.2" customHeight="1"/>
    <row r="3345" ht="70.2" customHeight="1"/>
    <row r="3346" ht="70.2" customHeight="1"/>
    <row r="3347" ht="70.2" customHeight="1"/>
    <row r="3348" ht="70.2" customHeight="1"/>
    <row r="3349" ht="70.2" customHeight="1"/>
    <row r="3350" ht="70.2" customHeight="1"/>
    <row r="3351" ht="70.2" customHeight="1"/>
    <row r="3352" ht="70.2" customHeight="1"/>
    <row r="3353" ht="70.2" customHeight="1"/>
    <row r="3354" ht="70.2" customHeight="1"/>
    <row r="3355" ht="70.2" customHeight="1"/>
    <row r="3356" ht="70.2" customHeight="1"/>
    <row r="3357" ht="70.2" customHeight="1"/>
    <row r="3358" ht="70.2" customHeight="1"/>
    <row r="3359" ht="70.2" customHeight="1"/>
    <row r="3360" ht="70.2" customHeight="1"/>
    <row r="3361" ht="70.2" customHeight="1"/>
    <row r="3362" ht="70.2" customHeight="1"/>
    <row r="3363" ht="70.2" customHeight="1"/>
    <row r="3364" ht="70.2" customHeight="1"/>
    <row r="3365" ht="70.2" customHeight="1"/>
    <row r="3366" ht="70.2" customHeight="1"/>
    <row r="3367" ht="70.2" customHeight="1"/>
    <row r="3368" ht="70.2" customHeight="1"/>
    <row r="3369" ht="70.2" customHeight="1"/>
    <row r="3370" ht="70.2" customHeight="1"/>
    <row r="3371" ht="70.2" customHeight="1"/>
    <row r="3372" ht="70.2" customHeight="1"/>
    <row r="3373" ht="70.2" customHeight="1"/>
    <row r="3374" ht="70.2" customHeight="1"/>
    <row r="3375" ht="70.2" customHeight="1"/>
    <row r="3376" ht="70.2" customHeight="1"/>
    <row r="3377" ht="70.2" customHeight="1"/>
    <row r="3378" ht="70.2" customHeight="1"/>
    <row r="3379" ht="70.2" customHeight="1"/>
    <row r="3380" ht="70.2" customHeight="1"/>
    <row r="3381" ht="70.2" customHeight="1"/>
    <row r="3382" ht="70.2" customHeight="1"/>
    <row r="3383" ht="70.2" customHeight="1"/>
    <row r="3384" ht="70.2" customHeight="1"/>
    <row r="3385" ht="70.2" customHeight="1"/>
    <row r="3386" ht="70.2" customHeight="1"/>
    <row r="3387" ht="70.2" customHeight="1"/>
    <row r="3388" ht="70.2" customHeight="1"/>
    <row r="3389" ht="70.2" customHeight="1"/>
    <row r="3390" ht="70.2" customHeight="1"/>
    <row r="3391" ht="70.2" customHeight="1"/>
    <row r="3392" ht="70.2" customHeight="1"/>
    <row r="3393" ht="70.2" customHeight="1"/>
    <row r="3394" ht="70.2" customHeight="1"/>
    <row r="3395" ht="70.2" customHeight="1"/>
    <row r="3396" ht="70.2" customHeight="1"/>
    <row r="3397" ht="70.2" customHeight="1"/>
    <row r="3398" ht="70.2" customHeight="1"/>
    <row r="3399" ht="70.2" customHeight="1"/>
    <row r="3400" ht="70.2" customHeight="1"/>
    <row r="3401" ht="70.2" customHeight="1"/>
    <row r="3402" ht="70.2" customHeight="1"/>
    <row r="3403" ht="70.2" customHeight="1"/>
    <row r="3404" ht="70.2" customHeight="1"/>
    <row r="3405" ht="70.2" customHeight="1"/>
    <row r="3406" ht="70.2" customHeight="1"/>
    <row r="3407" ht="70.2" customHeight="1"/>
    <row r="3408" ht="70.2" customHeight="1"/>
    <row r="3409" ht="70.2" customHeight="1"/>
    <row r="3410" ht="70.2" customHeight="1"/>
    <row r="3411" ht="70.2" customHeight="1"/>
    <row r="3412" ht="70.2" customHeight="1"/>
    <row r="3413" ht="70.2" customHeight="1"/>
    <row r="3414" ht="70.2" customHeight="1"/>
    <row r="3415" ht="70.2" customHeight="1"/>
    <row r="3416" ht="70.2" customHeight="1"/>
    <row r="3417" ht="70.2" customHeight="1"/>
    <row r="3418" ht="70.2" customHeight="1"/>
    <row r="3419" ht="70.2" customHeight="1"/>
    <row r="3420" ht="70.2" customHeight="1"/>
    <row r="3421" ht="70.2" customHeight="1"/>
    <row r="3422" ht="70.2" customHeight="1"/>
    <row r="3423" ht="70.2" customHeight="1"/>
    <row r="3424" ht="70.2" customHeight="1"/>
    <row r="3425" ht="70.2" customHeight="1"/>
    <row r="3426" ht="70.2" customHeight="1"/>
    <row r="3427" ht="70.2" customHeight="1"/>
    <row r="3428" ht="70.2" customHeight="1"/>
    <row r="3429" ht="70.2" customHeight="1"/>
    <row r="3430" ht="70.2" customHeight="1"/>
    <row r="3431" ht="70.2" customHeight="1"/>
    <row r="3432" ht="70.2" customHeight="1"/>
    <row r="3433" ht="70.2" customHeight="1"/>
    <row r="3434" ht="70.2" customHeight="1"/>
    <row r="3435" ht="70.2" customHeight="1"/>
    <row r="3436" ht="70.2" customHeight="1"/>
    <row r="3437" ht="70.2" customHeight="1"/>
    <row r="3438" ht="70.2" customHeight="1"/>
    <row r="3439" ht="70.2" customHeight="1"/>
    <row r="3440" ht="70.2" customHeight="1"/>
    <row r="3441" ht="70.2" customHeight="1"/>
    <row r="3442" ht="70.2" customHeight="1"/>
    <row r="3443" ht="70.2" customHeight="1"/>
    <row r="3444" ht="70.2" customHeight="1"/>
    <row r="3445" ht="70.2" customHeight="1"/>
    <row r="3446" ht="70.2" customHeight="1"/>
    <row r="3447" ht="70.2" customHeight="1"/>
    <row r="3448" ht="70.2" customHeight="1"/>
    <row r="3449" ht="70.2" customHeight="1"/>
    <row r="3450" ht="70.2" customHeight="1"/>
    <row r="3451" ht="70.2" customHeight="1"/>
    <row r="3452" ht="70.2" customHeight="1"/>
    <row r="3453" ht="70.2" customHeight="1"/>
    <row r="3454" ht="70.2" customHeight="1"/>
    <row r="3455" ht="70.2" customHeight="1"/>
    <row r="3456" ht="70.2" customHeight="1"/>
    <row r="3457" ht="70.2" customHeight="1"/>
    <row r="3458" ht="70.2" customHeight="1"/>
    <row r="3459" ht="70.2" customHeight="1"/>
    <row r="3460" ht="70.2" customHeight="1"/>
    <row r="3461" ht="70.2" customHeight="1"/>
    <row r="3462" ht="70.2" customHeight="1"/>
    <row r="3463" ht="70.2" customHeight="1"/>
    <row r="3464" ht="70.2" customHeight="1"/>
    <row r="3465" ht="70.2" customHeight="1"/>
    <row r="3466" ht="70.2" customHeight="1"/>
    <row r="3467" ht="70.2" customHeight="1"/>
    <row r="3468" ht="70.2" customHeight="1"/>
    <row r="3469" ht="70.2" customHeight="1"/>
    <row r="3470" ht="70.2" customHeight="1"/>
    <row r="3471" ht="70.2" customHeight="1"/>
    <row r="3472" ht="70.2" customHeight="1"/>
    <row r="3473" ht="70.2" customHeight="1"/>
    <row r="3474" ht="70.2" customHeight="1"/>
    <row r="3475" ht="70.2" customHeight="1"/>
    <row r="3476" ht="70.2" customHeight="1"/>
    <row r="3477" ht="70.2" customHeight="1"/>
    <row r="3478" ht="70.2" customHeight="1"/>
    <row r="3479" ht="70.2" customHeight="1"/>
    <row r="3480" ht="70.2" customHeight="1"/>
    <row r="3481" ht="70.2" customHeight="1"/>
    <row r="3482" ht="70.2" customHeight="1"/>
    <row r="3483" ht="70.2" customHeight="1"/>
    <row r="3484" ht="70.2" customHeight="1"/>
    <row r="3485" ht="70.2" customHeight="1"/>
    <row r="3486" ht="70.2" customHeight="1"/>
    <row r="3487" ht="70.2" customHeight="1"/>
    <row r="3488" ht="70.2" customHeight="1"/>
    <row r="3489" ht="70.2" customHeight="1"/>
    <row r="3490" ht="70.2" customHeight="1"/>
    <row r="3491" ht="70.2" customHeight="1"/>
    <row r="3492" ht="70.2" customHeight="1"/>
    <row r="3493" ht="70.2" customHeight="1"/>
    <row r="3494" ht="70.2" customHeight="1"/>
    <row r="3495" ht="70.2" customHeight="1"/>
    <row r="3496" ht="70.2" customHeight="1"/>
    <row r="3497" ht="70.2" customHeight="1"/>
    <row r="3498" ht="70.2" customHeight="1"/>
    <row r="3499" ht="70.2" customHeight="1"/>
    <row r="3500" ht="70.2" customHeight="1"/>
    <row r="3501" ht="70.2" customHeight="1"/>
    <row r="3502" ht="70.2" customHeight="1"/>
    <row r="3503" ht="70.2" customHeight="1"/>
    <row r="3504" ht="70.2" customHeight="1"/>
    <row r="3505" ht="70.2" customHeight="1"/>
    <row r="3506" ht="70.2" customHeight="1"/>
    <row r="3507" ht="70.2" customHeight="1"/>
    <row r="3508" ht="70.2" customHeight="1"/>
    <row r="3509" ht="70.2" customHeight="1"/>
    <row r="3510" ht="70.2" customHeight="1"/>
    <row r="3511" ht="70.2" customHeight="1"/>
    <row r="3512" ht="70.2" customHeight="1"/>
    <row r="3513" ht="70.2" customHeight="1"/>
    <row r="3514" ht="70.2" customHeight="1"/>
    <row r="3515" ht="70.2" customHeight="1"/>
    <row r="3516" ht="70.2" customHeight="1"/>
    <row r="3517" ht="70.2" customHeight="1"/>
    <row r="3518" ht="70.2" customHeight="1"/>
    <row r="3519" ht="70.2" customHeight="1"/>
    <row r="3520" ht="70.2" customHeight="1"/>
    <row r="3521" ht="70.2" customHeight="1"/>
    <row r="3522" ht="70.2" customHeight="1"/>
    <row r="3523" ht="70.2" customHeight="1"/>
    <row r="3524" ht="70.2" customHeight="1"/>
    <row r="3525" ht="70.2" customHeight="1"/>
    <row r="3526" ht="70.2" customHeight="1"/>
    <row r="3527" ht="70.2" customHeight="1"/>
    <row r="3528" ht="70.2" customHeight="1"/>
    <row r="3529" ht="70.2" customHeight="1"/>
    <row r="3530" ht="70.2" customHeight="1"/>
    <row r="3531" ht="70.2" customHeight="1"/>
    <row r="3532" ht="70.2" customHeight="1"/>
    <row r="3533" ht="70.2" customHeight="1"/>
    <row r="3534" ht="70.2" customHeight="1"/>
    <row r="3535" ht="70.2" customHeight="1"/>
    <row r="3536" ht="70.2" customHeight="1"/>
    <row r="3537" ht="70.2" customHeight="1"/>
    <row r="3538" ht="70.2" customHeight="1"/>
    <row r="3539" ht="70.2" customHeight="1"/>
    <row r="3540" ht="70.2" customHeight="1"/>
    <row r="3541" ht="70.2" customHeight="1"/>
    <row r="3542" ht="70.2" customHeight="1"/>
    <row r="3543" ht="70.2" customHeight="1"/>
    <row r="3544" ht="70.2" customHeight="1"/>
    <row r="3545" ht="70.2" customHeight="1"/>
    <row r="3546" ht="70.2" customHeight="1"/>
    <row r="3547" ht="70.2" customHeight="1"/>
    <row r="3548" ht="70.2" customHeight="1"/>
    <row r="3549" ht="70.2" customHeight="1"/>
    <row r="3550" ht="70.2" customHeight="1"/>
    <row r="3551" ht="70.2" customHeight="1"/>
    <row r="3552" ht="70.2" customHeight="1"/>
    <row r="3553" ht="70.2" customHeight="1"/>
    <row r="3554" ht="70.2" customHeight="1"/>
    <row r="3555" ht="70.2" customHeight="1"/>
    <row r="3556" ht="70.2" customHeight="1"/>
    <row r="3557" ht="70.2" customHeight="1"/>
    <row r="3558" ht="70.2" customHeight="1"/>
    <row r="3559" ht="70.2" customHeight="1"/>
    <row r="3560" ht="70.2" customHeight="1"/>
    <row r="3561" ht="70.2" customHeight="1"/>
    <row r="3562" ht="70.2" customHeight="1"/>
    <row r="3563" ht="70.2" customHeight="1"/>
    <row r="3564" ht="70.2" customHeight="1"/>
    <row r="3565" ht="70.2" customHeight="1"/>
    <row r="3566" ht="70.2" customHeight="1"/>
    <row r="3567" ht="70.2" customHeight="1"/>
    <row r="3568" ht="70.2" customHeight="1"/>
    <row r="3569" ht="70.2" customHeight="1"/>
    <row r="3570" ht="70.2" customHeight="1"/>
    <row r="3571" ht="70.2" customHeight="1"/>
    <row r="3572" ht="70.2" customHeight="1"/>
    <row r="3573" ht="70.2" customHeight="1"/>
    <row r="3574" ht="70.2" customHeight="1"/>
    <row r="3575" ht="70.2" customHeight="1"/>
    <row r="3576" ht="70.2" customHeight="1"/>
    <row r="3577" ht="70.2" customHeight="1"/>
    <row r="3578" ht="70.2" customHeight="1"/>
    <row r="3579" ht="70.2" customHeight="1"/>
    <row r="3580" ht="70.2" customHeight="1"/>
    <row r="3581" ht="70.2" customHeight="1"/>
    <row r="3582" ht="70.2" customHeight="1"/>
    <row r="3583" ht="70.2" customHeight="1"/>
    <row r="3584" ht="70.2" customHeight="1"/>
    <row r="3585" ht="70.2" customHeight="1"/>
    <row r="3586" ht="70.2" customHeight="1"/>
    <row r="3587" ht="70.2" customHeight="1"/>
    <row r="3588" ht="70.2" customHeight="1"/>
    <row r="3589" ht="70.2" customHeight="1"/>
    <row r="3590" ht="70.2" customHeight="1"/>
    <row r="3591" ht="70.2" customHeight="1"/>
    <row r="3592" ht="70.2" customHeight="1"/>
    <row r="3593" ht="70.2" customHeight="1"/>
    <row r="3594" ht="70.2" customHeight="1"/>
    <row r="3595" ht="70.2" customHeight="1"/>
    <row r="3596" ht="70.2" customHeight="1"/>
    <row r="3597" ht="70.2" customHeight="1"/>
    <row r="3598" ht="70.2" customHeight="1"/>
    <row r="3599" ht="70.2" customHeight="1"/>
    <row r="3600" ht="70.2" customHeight="1"/>
    <row r="3601" ht="70.2" customHeight="1"/>
    <row r="3602" ht="70.2" customHeight="1"/>
    <row r="3603" ht="70.2" customHeight="1"/>
    <row r="3604" ht="70.2" customHeight="1"/>
    <row r="3605" ht="70.2" customHeight="1"/>
    <row r="3606" ht="70.2" customHeight="1"/>
    <row r="3607" ht="70.2" customHeight="1"/>
    <row r="3608" ht="70.2" customHeight="1"/>
    <row r="3609" ht="70.2" customHeight="1"/>
    <row r="3610" ht="70.2" customHeight="1"/>
    <row r="3611" ht="70.2" customHeight="1"/>
    <row r="3612" ht="70.2" customHeight="1"/>
    <row r="3613" ht="70.2" customHeight="1"/>
    <row r="3614" ht="70.2" customHeight="1"/>
    <row r="3615" ht="70.2" customHeight="1"/>
    <row r="3616" ht="70.2" customHeight="1"/>
    <row r="3617" ht="70.2" customHeight="1"/>
    <row r="3618" ht="70.2" customHeight="1"/>
    <row r="3619" ht="70.2" customHeight="1"/>
    <row r="3620" ht="70.2" customHeight="1"/>
    <row r="3621" ht="70.2" customHeight="1"/>
    <row r="3622" ht="70.2" customHeight="1"/>
    <row r="3623" ht="70.2" customHeight="1"/>
    <row r="3624" ht="70.2" customHeight="1"/>
    <row r="3625" ht="70.2" customHeight="1"/>
    <row r="3626" ht="70.2" customHeight="1"/>
    <row r="3627" ht="70.2" customHeight="1"/>
    <row r="3628" ht="70.2" customHeight="1"/>
    <row r="3629" ht="70.2" customHeight="1"/>
    <row r="3630" ht="70.2" customHeight="1"/>
    <row r="3631" ht="70.2" customHeight="1"/>
    <row r="3632" ht="70.2" customHeight="1"/>
    <row r="3633" ht="70.2" customHeight="1"/>
    <row r="3634" ht="70.2" customHeight="1"/>
    <row r="3635" ht="70.2" customHeight="1"/>
    <row r="3636" ht="70.2" customHeight="1"/>
    <row r="3637" ht="70.2" customHeight="1"/>
    <row r="3638" ht="70.2" customHeight="1"/>
    <row r="3639" ht="70.2" customHeight="1"/>
    <row r="3640" ht="70.2" customHeight="1"/>
    <row r="3641" ht="70.2" customHeight="1"/>
    <row r="3642" ht="70.2" customHeight="1"/>
    <row r="3643" ht="70.2" customHeight="1"/>
    <row r="3644" ht="70.2" customHeight="1"/>
    <row r="3645" ht="70.2" customHeight="1"/>
    <row r="3646" ht="70.2" customHeight="1"/>
    <row r="3647" ht="70.2" customHeight="1"/>
    <row r="3648" ht="70.2" customHeight="1"/>
    <row r="3649" ht="70.2" customHeight="1"/>
    <row r="3650" ht="70.2" customHeight="1"/>
    <row r="3651" ht="70.2" customHeight="1"/>
    <row r="3652" ht="70.2" customHeight="1"/>
    <row r="3653" ht="70.2" customHeight="1"/>
    <row r="3654" ht="70.2" customHeight="1"/>
    <row r="3655" ht="70.2" customHeight="1"/>
    <row r="3656" ht="70.2" customHeight="1"/>
    <row r="3657" ht="70.2" customHeight="1"/>
    <row r="3658" ht="70.2" customHeight="1"/>
    <row r="3659" ht="70.2" customHeight="1"/>
    <row r="3660" ht="70.2" customHeight="1"/>
    <row r="3661" ht="70.2" customHeight="1"/>
    <row r="3662" ht="70.2" customHeight="1"/>
    <row r="3663" ht="70.2" customHeight="1"/>
    <row r="3664" ht="70.2" customHeight="1"/>
    <row r="3665" ht="70.2" customHeight="1"/>
    <row r="3666" ht="70.2" customHeight="1"/>
    <row r="3667" ht="70.2" customHeight="1"/>
    <row r="3668" ht="70.2" customHeight="1"/>
    <row r="3669" ht="70.2" customHeight="1"/>
    <row r="3670" ht="70.2" customHeight="1"/>
    <row r="3671" ht="70.2" customHeight="1"/>
    <row r="3672" ht="70.2" customHeight="1"/>
    <row r="3673" ht="70.2" customHeight="1"/>
    <row r="3674" ht="70.2" customHeight="1"/>
    <row r="3675" ht="70.2" customHeight="1"/>
    <row r="3676" ht="70.2" customHeight="1"/>
    <row r="3677" ht="70.2" customHeight="1"/>
    <row r="3678" ht="70.2" customHeight="1"/>
    <row r="3679" ht="70.2" customHeight="1"/>
    <row r="3680" ht="70.2" customHeight="1"/>
    <row r="3681" ht="70.2" customHeight="1"/>
    <row r="3682" ht="70.2" customHeight="1"/>
    <row r="3683" ht="70.2" customHeight="1"/>
    <row r="3684" ht="70.2" customHeight="1"/>
    <row r="3685" ht="70.2" customHeight="1"/>
    <row r="3686" ht="70.2" customHeight="1"/>
    <row r="3687" ht="70.2" customHeight="1"/>
    <row r="3688" ht="70.2" customHeight="1"/>
    <row r="3689" ht="70.2" customHeight="1"/>
    <row r="3690" ht="70.2" customHeight="1"/>
    <row r="3691" ht="70.2" customHeight="1"/>
    <row r="3692" ht="70.2" customHeight="1"/>
    <row r="3693" ht="70.2" customHeight="1"/>
    <row r="3694" ht="70.2" customHeight="1"/>
    <row r="3695" ht="70.2" customHeight="1"/>
    <row r="3696" ht="70.2" customHeight="1"/>
    <row r="3697" ht="70.2" customHeight="1"/>
    <row r="3698" ht="70.2" customHeight="1"/>
    <row r="3699" ht="70.2" customHeight="1"/>
    <row r="3700" ht="70.2" customHeight="1"/>
    <row r="3701" ht="70.2" customHeight="1"/>
    <row r="3702" ht="70.2" customHeight="1"/>
    <row r="3703" ht="70.2" customHeight="1"/>
    <row r="3704" ht="70.2" customHeight="1"/>
    <row r="3705" ht="70.2" customHeight="1"/>
    <row r="3706" ht="70.2" customHeight="1"/>
    <row r="3707" ht="70.2" customHeight="1"/>
    <row r="3708" ht="70.2" customHeight="1"/>
    <row r="3709" ht="70.2" customHeight="1"/>
    <row r="3710" ht="70.2" customHeight="1"/>
    <row r="3711" ht="70.2" customHeight="1"/>
    <row r="3712" ht="70.2" customHeight="1"/>
    <row r="3713" ht="70.2" customHeight="1"/>
    <row r="3714" ht="70.2" customHeight="1"/>
    <row r="3715" ht="70.2" customHeight="1"/>
    <row r="3716" ht="70.2" customHeight="1"/>
    <row r="3717" ht="70.2" customHeight="1"/>
    <row r="3718" ht="70.2" customHeight="1"/>
    <row r="3719" ht="70.2" customHeight="1"/>
    <row r="3720" ht="70.2" customHeight="1"/>
    <row r="3721" ht="70.2" customHeight="1"/>
    <row r="3722" ht="70.2" customHeight="1"/>
    <row r="3723" ht="70.2" customHeight="1"/>
    <row r="3724" ht="70.2" customHeight="1"/>
    <row r="3725" ht="70.2" customHeight="1"/>
    <row r="3726" ht="70.2" customHeight="1"/>
    <row r="3727" ht="70.2" customHeight="1"/>
    <row r="3728" ht="70.2" customHeight="1"/>
    <row r="3729" ht="70.2" customHeight="1"/>
    <row r="3730" ht="70.2" customHeight="1"/>
    <row r="3731" ht="70.2" customHeight="1"/>
    <row r="3732" ht="70.2" customHeight="1"/>
    <row r="3733" ht="70.2" customHeight="1"/>
    <row r="3734" ht="70.2" customHeight="1"/>
    <row r="3735" ht="70.2" customHeight="1"/>
    <row r="3736" ht="70.2" customHeight="1"/>
    <row r="3737" ht="70.2" customHeight="1"/>
    <row r="3738" ht="70.2" customHeight="1"/>
    <row r="3739" ht="70.2" customHeight="1"/>
    <row r="3740" ht="70.2" customHeight="1"/>
    <row r="3741" ht="70.2" customHeight="1"/>
    <row r="3742" ht="70.2" customHeight="1"/>
    <row r="3743" ht="70.2" customHeight="1"/>
    <row r="3744" ht="70.2" customHeight="1"/>
    <row r="3745" ht="70.2" customHeight="1"/>
    <row r="3746" ht="70.2" customHeight="1"/>
    <row r="3747" ht="70.2" customHeight="1"/>
    <row r="3748" ht="70.2" customHeight="1"/>
    <row r="3749" ht="70.2" customHeight="1"/>
    <row r="3750" ht="70.2" customHeight="1"/>
    <row r="3751" ht="70.2" customHeight="1"/>
    <row r="3752" ht="70.2" customHeight="1"/>
    <row r="3753" ht="70.2" customHeight="1"/>
    <row r="3754" ht="70.2" customHeight="1"/>
    <row r="3755" ht="70.2" customHeight="1"/>
    <row r="3756" ht="70.2" customHeight="1"/>
    <row r="3757" ht="70.2" customHeight="1"/>
    <row r="3758" ht="70.2" customHeight="1"/>
    <row r="3759" ht="70.2" customHeight="1"/>
    <row r="3760" ht="70.2" customHeight="1"/>
    <row r="3761" ht="70.2" customHeight="1"/>
    <row r="3762" ht="70.2" customHeight="1"/>
    <row r="3763" ht="70.2" customHeight="1"/>
    <row r="3764" ht="70.2" customHeight="1"/>
    <row r="3765" ht="70.2" customHeight="1"/>
    <row r="3766" ht="70.2" customHeight="1"/>
    <row r="3767" ht="70.2" customHeight="1"/>
    <row r="3768" ht="70.2" customHeight="1"/>
    <row r="3769" ht="70.2" customHeight="1"/>
    <row r="3770" ht="70.2" customHeight="1"/>
    <row r="3771" ht="70.2" customHeight="1"/>
    <row r="3772" ht="70.2" customHeight="1"/>
    <row r="3773" ht="70.2" customHeight="1"/>
    <row r="3774" ht="70.2" customHeight="1"/>
    <row r="3775" ht="70.2" customHeight="1"/>
    <row r="3776" ht="70.2" customHeight="1"/>
    <row r="3777" ht="70.2" customHeight="1"/>
    <row r="3778" ht="70.2" customHeight="1"/>
    <row r="3779" ht="70.2" customHeight="1"/>
    <row r="3780" ht="70.2" customHeight="1"/>
    <row r="3781" ht="70.2" customHeight="1"/>
    <row r="3782" ht="70.2" customHeight="1"/>
    <row r="3783" ht="70.2" customHeight="1"/>
    <row r="3784" ht="70.2" customHeight="1"/>
    <row r="3785" ht="70.2" customHeight="1"/>
    <row r="3786" ht="70.2" customHeight="1"/>
    <row r="3787" ht="70.2" customHeight="1"/>
    <row r="3788" ht="70.2" customHeight="1"/>
    <row r="3789" ht="70.2" customHeight="1"/>
    <row r="3790" ht="70.2" customHeight="1"/>
    <row r="3791" ht="70.2" customHeight="1"/>
    <row r="3792" ht="70.2" customHeight="1"/>
    <row r="3793" ht="70.2" customHeight="1"/>
    <row r="3794" ht="70.2" customHeight="1"/>
    <row r="3795" ht="70.2" customHeight="1"/>
    <row r="3796" ht="70.2" customHeight="1"/>
    <row r="3797" ht="70.2" customHeight="1"/>
    <row r="3798" ht="70.2" customHeight="1"/>
    <row r="3799" ht="70.2" customHeight="1"/>
    <row r="3800" ht="70.2" customHeight="1"/>
    <row r="3801" ht="70.2" customHeight="1"/>
    <row r="3802" ht="70.2" customHeight="1"/>
    <row r="3803" ht="70.2" customHeight="1"/>
    <row r="3804" ht="70.2" customHeight="1"/>
    <row r="3805" ht="70.2" customHeight="1"/>
    <row r="3806" ht="70.2" customHeight="1"/>
    <row r="3807" ht="70.2" customHeight="1"/>
    <row r="3808" ht="70.2" customHeight="1"/>
    <row r="3809" ht="70.2" customHeight="1"/>
    <row r="3810" ht="70.2" customHeight="1"/>
    <row r="3811" ht="70.2" customHeight="1"/>
    <row r="3812" ht="70.2" customHeight="1"/>
    <row r="3813" ht="70.2" customHeight="1"/>
    <row r="3814" ht="70.2" customHeight="1"/>
    <row r="3815" ht="70.2" customHeight="1"/>
    <row r="3816" ht="70.2" customHeight="1"/>
    <row r="3817" ht="70.2" customHeight="1"/>
    <row r="3818" ht="70.2" customHeight="1"/>
    <row r="3819" ht="70.2" customHeight="1"/>
    <row r="3820" ht="70.2" customHeight="1"/>
    <row r="3821" ht="70.2" customHeight="1"/>
    <row r="3822" ht="70.2" customHeight="1"/>
    <row r="3823" ht="70.2" customHeight="1"/>
    <row r="3824" ht="70.2" customHeight="1"/>
    <row r="3825" ht="70.2" customHeight="1"/>
    <row r="3826" ht="70.2" customHeight="1"/>
    <row r="3827" ht="70.2" customHeight="1"/>
    <row r="3828" ht="70.2" customHeight="1"/>
    <row r="3829" ht="70.2" customHeight="1"/>
    <row r="3830" ht="70.2" customHeight="1"/>
    <row r="3831" ht="70.2" customHeight="1"/>
    <row r="3832" ht="70.2" customHeight="1"/>
    <row r="3833" ht="70.2" customHeight="1"/>
    <row r="3834" ht="70.2" customHeight="1"/>
    <row r="3835" ht="70.2" customHeight="1"/>
    <row r="3836" ht="70.2" customHeight="1"/>
    <row r="3837" ht="70.2" customHeight="1"/>
    <row r="3838" ht="70.2" customHeight="1"/>
    <row r="3839" ht="70.2" customHeight="1"/>
    <row r="3840" ht="70.2" customHeight="1"/>
    <row r="3841" ht="70.2" customHeight="1"/>
    <row r="3842" ht="70.2" customHeight="1"/>
    <row r="3843" ht="70.2" customHeight="1"/>
    <row r="3844" ht="70.2" customHeight="1"/>
    <row r="3845" ht="70.2" customHeight="1"/>
    <row r="3846" ht="70.2" customHeight="1"/>
    <row r="3847" ht="70.2" customHeight="1"/>
    <row r="3848" ht="70.2" customHeight="1"/>
    <row r="3849" ht="70.2" customHeight="1"/>
    <row r="3850" ht="70.2" customHeight="1"/>
    <row r="3851" ht="70.2" customHeight="1"/>
    <row r="3852" ht="70.2" customHeight="1"/>
    <row r="3853" ht="70.2" customHeight="1"/>
    <row r="3854" ht="70.2" customHeight="1"/>
    <row r="3855" ht="70.2" customHeight="1"/>
    <row r="3856" ht="70.2" customHeight="1"/>
    <row r="3857" ht="70.2" customHeight="1"/>
    <row r="3858" ht="70.2" customHeight="1"/>
    <row r="3859" ht="70.2" customHeight="1"/>
    <row r="3860" ht="70.2" customHeight="1"/>
    <row r="3861" ht="70.2" customHeight="1"/>
    <row r="3862" ht="70.2" customHeight="1"/>
    <row r="3863" ht="70.2" customHeight="1"/>
    <row r="3864" ht="70.2" customHeight="1"/>
    <row r="3865" ht="70.2" customHeight="1"/>
    <row r="3866" ht="70.2" customHeight="1"/>
    <row r="3867" ht="70.2" customHeight="1"/>
    <row r="3868" ht="70.2" customHeight="1"/>
    <row r="3869" ht="70.2" customHeight="1"/>
    <row r="3870" ht="70.2" customHeight="1"/>
    <row r="3871" ht="70.2" customHeight="1"/>
    <row r="3872" ht="70.2" customHeight="1"/>
    <row r="3873" ht="70.2" customHeight="1"/>
    <row r="3874" ht="70.2" customHeight="1"/>
    <row r="3875" ht="70.2" customHeight="1"/>
    <row r="3876" ht="70.2" customHeight="1"/>
    <row r="3877" ht="70.2" customHeight="1"/>
    <row r="3878" ht="70.2" customHeight="1"/>
    <row r="3879" ht="70.2" customHeight="1"/>
    <row r="3880" ht="70.2" customHeight="1"/>
    <row r="3881" ht="70.2" customHeight="1"/>
    <row r="3882" ht="70.2" customHeight="1"/>
    <row r="3883" ht="70.2" customHeight="1"/>
    <row r="3884" ht="70.2" customHeight="1"/>
    <row r="3885" ht="70.2" customHeight="1"/>
    <row r="3886" ht="70.2" customHeight="1"/>
    <row r="3887" ht="70.2" customHeight="1"/>
    <row r="3888" ht="70.2" customHeight="1"/>
    <row r="3889" ht="70.2" customHeight="1"/>
    <row r="3890" ht="70.2" customHeight="1"/>
    <row r="3891" ht="70.2" customHeight="1"/>
    <row r="3892" ht="70.2" customHeight="1"/>
    <row r="3893" ht="70.2" customHeight="1"/>
    <row r="3894" ht="70.2" customHeight="1"/>
    <row r="3895" ht="70.2" customHeight="1"/>
    <row r="3896" ht="70.2" customHeight="1"/>
    <row r="3897" ht="70.2" customHeight="1"/>
    <row r="3898" ht="70.2" customHeight="1"/>
    <row r="3899" ht="70.2" customHeight="1"/>
    <row r="3900" ht="70.2" customHeight="1"/>
    <row r="3901" ht="70.2" customHeight="1"/>
    <row r="3902" ht="70.2" customHeight="1"/>
    <row r="3903" ht="70.2" customHeight="1"/>
    <row r="3904" ht="70.2" customHeight="1"/>
    <row r="3905" ht="70.2" customHeight="1"/>
    <row r="3906" ht="70.2" customHeight="1"/>
    <row r="3907" ht="70.2" customHeight="1"/>
    <row r="3908" ht="70.2" customHeight="1"/>
    <row r="3909" ht="70.2" customHeight="1"/>
    <row r="3910" ht="70.2" customHeight="1"/>
    <row r="3911" ht="70.2" customHeight="1"/>
    <row r="3912" ht="70.2" customHeight="1"/>
    <row r="3913" ht="70.2" customHeight="1"/>
    <row r="3914" ht="70.2" customHeight="1"/>
    <row r="3915" ht="70.2" customHeight="1"/>
    <row r="3916" ht="70.2" customHeight="1"/>
    <row r="3917" ht="70.2" customHeight="1"/>
    <row r="3918" ht="70.2" customHeight="1"/>
    <row r="3919" ht="70.2" customHeight="1"/>
    <row r="3920" ht="70.2" customHeight="1"/>
    <row r="3921" ht="70.2" customHeight="1"/>
    <row r="3922" ht="70.2" customHeight="1"/>
    <row r="3923" ht="70.2" customHeight="1"/>
    <row r="3924" ht="70.2" customHeight="1"/>
    <row r="3925" ht="70.2" customHeight="1"/>
    <row r="3926" ht="70.2" customHeight="1"/>
    <row r="3927" ht="70.2" customHeight="1"/>
    <row r="3928" ht="70.2" customHeight="1"/>
    <row r="3929" ht="70.2" customHeight="1"/>
    <row r="3930" ht="70.2" customHeight="1"/>
    <row r="3931" ht="70.2" customHeight="1"/>
    <row r="3932" ht="70.2" customHeight="1"/>
    <row r="3933" ht="70.2" customHeight="1"/>
    <row r="3934" ht="70.2" customHeight="1"/>
    <row r="3935" ht="70.2" customHeight="1"/>
    <row r="3936" ht="70.2" customHeight="1"/>
    <row r="3937" ht="70.2" customHeight="1"/>
    <row r="3938" ht="70.2" customHeight="1"/>
    <row r="3939" ht="70.2" customHeight="1"/>
    <row r="3940" ht="70.2" customHeight="1"/>
    <row r="3941" ht="70.2" customHeight="1"/>
    <row r="3942" ht="70.2" customHeight="1"/>
    <row r="3943" ht="70.2" customHeight="1"/>
    <row r="3944" ht="70.2" customHeight="1"/>
    <row r="3945" ht="70.2" customHeight="1"/>
    <row r="3946" ht="70.2" customHeight="1"/>
    <row r="3947" ht="70.2" customHeight="1"/>
    <row r="3948" ht="70.2" customHeight="1"/>
    <row r="3949" ht="70.2" customHeight="1"/>
    <row r="3950" ht="70.2" customHeight="1"/>
    <row r="3951" ht="70.2" customHeight="1"/>
    <row r="3952" ht="70.2" customHeight="1"/>
    <row r="3953" ht="70.2" customHeight="1"/>
    <row r="3954" ht="70.2" customHeight="1"/>
    <row r="3955" ht="70.2" customHeight="1"/>
    <row r="3956" ht="70.2" customHeight="1"/>
    <row r="3957" ht="70.2" customHeight="1"/>
    <row r="3958" ht="70.2" customHeight="1"/>
    <row r="3959" ht="70.2" customHeight="1"/>
    <row r="3960" ht="70.2" customHeight="1"/>
    <row r="3961" ht="70.2" customHeight="1"/>
    <row r="3962" ht="70.2" customHeight="1"/>
    <row r="3963" ht="70.2" customHeight="1"/>
    <row r="3964" ht="70.2" customHeight="1"/>
    <row r="3965" ht="70.2" customHeight="1"/>
    <row r="3966" ht="70.2" customHeight="1"/>
    <row r="3967" ht="70.2" customHeight="1"/>
    <row r="3968" ht="70.2" customHeight="1"/>
    <row r="3969" ht="70.2" customHeight="1"/>
    <row r="3970" ht="70.2" customHeight="1"/>
    <row r="3971" ht="70.2" customHeight="1"/>
    <row r="3972" ht="70.2" customHeight="1"/>
    <row r="3973" ht="70.2" customHeight="1"/>
    <row r="3974" ht="70.2" customHeight="1"/>
    <row r="3975" ht="70.2" customHeight="1"/>
    <row r="3976" ht="70.2" customHeight="1"/>
    <row r="3977" ht="70.2" customHeight="1"/>
    <row r="3978" ht="70.2" customHeight="1"/>
    <row r="3979" ht="70.2" customHeight="1"/>
    <row r="3980" ht="70.2" customHeight="1"/>
    <row r="3981" ht="70.2" customHeight="1"/>
    <row r="3982" ht="70.2" customHeight="1"/>
    <row r="3983" ht="70.2" customHeight="1"/>
    <row r="3984" ht="70.2" customHeight="1"/>
    <row r="3985" ht="70.2" customHeight="1"/>
    <row r="3986" ht="70.2" customHeight="1"/>
    <row r="3987" ht="70.2" customHeight="1"/>
    <row r="3988" ht="70.2" customHeight="1"/>
    <row r="3989" ht="70.2" customHeight="1"/>
    <row r="3990" ht="70.2" customHeight="1"/>
    <row r="3991" ht="70.2" customHeight="1"/>
    <row r="3992" ht="70.2" customHeight="1"/>
    <row r="3993" ht="70.2" customHeight="1"/>
    <row r="3994" ht="70.2" customHeight="1"/>
    <row r="3995" ht="70.2" customHeight="1"/>
    <row r="3996" ht="70.2" customHeight="1"/>
    <row r="3997" ht="70.2" customHeight="1"/>
    <row r="3998" ht="70.2" customHeight="1"/>
    <row r="3999" ht="70.2" customHeight="1"/>
    <row r="4000" ht="70.2" customHeight="1"/>
    <row r="4001" ht="70.2" customHeight="1"/>
    <row r="4002" ht="70.2" customHeight="1"/>
    <row r="4003" ht="70.2" customHeight="1"/>
    <row r="4004" ht="70.2" customHeight="1"/>
    <row r="4005" ht="70.2" customHeight="1"/>
    <row r="4006" ht="70.2" customHeight="1"/>
    <row r="4007" ht="70.2" customHeight="1"/>
    <row r="4008" ht="70.2" customHeight="1"/>
    <row r="4009" ht="70.2" customHeight="1"/>
    <row r="4010" ht="70.2" customHeight="1"/>
    <row r="4011" ht="70.2" customHeight="1"/>
    <row r="4012" ht="70.2" customHeight="1"/>
    <row r="4013" ht="70.2" customHeight="1"/>
    <row r="4014" ht="70.2" customHeight="1"/>
    <row r="4015" ht="70.2" customHeight="1"/>
    <row r="4016" ht="70.2" customHeight="1"/>
    <row r="4017" ht="70.2" customHeight="1"/>
    <row r="4018" ht="70.2" customHeight="1"/>
    <row r="4019" ht="70.2" customHeight="1"/>
    <row r="4020" ht="70.2" customHeight="1"/>
    <row r="4021" ht="70.2" customHeight="1"/>
    <row r="4022" ht="70.2" customHeight="1"/>
    <row r="4023" ht="70.2" customHeight="1"/>
    <row r="4024" ht="70.2" customHeight="1"/>
    <row r="4025" ht="70.2" customHeight="1"/>
    <row r="4026" ht="70.2" customHeight="1"/>
    <row r="4027" ht="70.2" customHeight="1"/>
    <row r="4028" ht="70.2" customHeight="1"/>
    <row r="4029" ht="70.2" customHeight="1"/>
    <row r="4030" ht="70.2" customHeight="1"/>
    <row r="4031" ht="70.2" customHeight="1"/>
    <row r="4032" ht="70.2" customHeight="1"/>
    <row r="4033" ht="70.2" customHeight="1"/>
    <row r="4034" ht="70.2" customHeight="1"/>
    <row r="4035" ht="70.2" customHeight="1"/>
    <row r="4036" ht="70.2" customHeight="1"/>
    <row r="4037" ht="70.2" customHeight="1"/>
    <row r="4038" ht="70.2" customHeight="1"/>
    <row r="4039" ht="70.2" customHeight="1"/>
    <row r="4040" ht="70.2" customHeight="1"/>
    <row r="4041" ht="70.2" customHeight="1"/>
    <row r="4042" ht="70.2" customHeight="1"/>
    <row r="4043" ht="70.2" customHeight="1"/>
    <row r="4044" ht="70.2" customHeight="1"/>
    <row r="4045" ht="70.2" customHeight="1"/>
    <row r="4046" ht="70.2" customHeight="1"/>
    <row r="4047" ht="70.2" customHeight="1"/>
    <row r="4048" ht="70.2" customHeight="1"/>
    <row r="4049" ht="70.2" customHeight="1"/>
    <row r="4050" ht="70.2" customHeight="1"/>
    <row r="4051" ht="70.2" customHeight="1"/>
    <row r="4052" ht="70.2" customHeight="1"/>
    <row r="4053" ht="70.2" customHeight="1"/>
    <row r="4054" ht="70.2" customHeight="1"/>
    <row r="4055" ht="70.2" customHeight="1"/>
    <row r="4056" ht="70.2" customHeight="1"/>
    <row r="4057" ht="70.2" customHeight="1"/>
    <row r="4058" ht="70.2" customHeight="1"/>
    <row r="4059" ht="70.2" customHeight="1"/>
    <row r="4060" ht="70.2" customHeight="1"/>
    <row r="4061" ht="70.2" customHeight="1"/>
    <row r="4062" ht="70.2" customHeight="1"/>
    <row r="4063" ht="70.2" customHeight="1"/>
    <row r="4064" ht="70.2" customHeight="1"/>
    <row r="4065" ht="70.2" customHeight="1"/>
    <row r="4066" ht="70.2" customHeight="1"/>
    <row r="4067" ht="70.2" customHeight="1"/>
    <row r="4068" ht="70.2" customHeight="1"/>
    <row r="4069" ht="70.2" customHeight="1"/>
    <row r="4070" ht="70.2" customHeight="1"/>
    <row r="4071" ht="70.2" customHeight="1"/>
    <row r="4072" ht="70.2" customHeight="1"/>
    <row r="4073" ht="70.2" customHeight="1"/>
    <row r="4074" ht="70.2" customHeight="1"/>
    <row r="4075" ht="70.2" customHeight="1"/>
    <row r="4076" ht="70.2" customHeight="1"/>
    <row r="4077" ht="70.2" customHeight="1"/>
    <row r="4078" ht="70.2" customHeight="1"/>
    <row r="4079" ht="70.2" customHeight="1"/>
    <row r="4080" ht="70.2" customHeight="1"/>
    <row r="4081" ht="70.2" customHeight="1"/>
    <row r="4082" ht="70.2" customHeight="1"/>
    <row r="4083" ht="70.2" customHeight="1"/>
    <row r="4084" ht="70.2" customHeight="1"/>
    <row r="4085" ht="70.2" customHeight="1"/>
    <row r="4086" ht="70.2" customHeight="1"/>
    <row r="4087" ht="70.2" customHeight="1"/>
    <row r="4088" ht="70.2" customHeight="1"/>
    <row r="4089" ht="70.2" customHeight="1"/>
    <row r="4090" ht="70.2" customHeight="1"/>
    <row r="4091" ht="70.2" customHeight="1"/>
    <row r="4092" ht="70.2" customHeight="1"/>
    <row r="4093" ht="70.2" customHeight="1"/>
    <row r="4094" ht="70.2" customHeight="1"/>
    <row r="4095" ht="70.2" customHeight="1"/>
    <row r="4096" ht="70.2" customHeight="1"/>
    <row r="4097" ht="70.2" customHeight="1"/>
    <row r="4098" ht="70.2" customHeight="1"/>
    <row r="4099" ht="70.2" customHeight="1"/>
    <row r="4100" ht="70.2" customHeight="1"/>
    <row r="4101" ht="70.2" customHeight="1"/>
    <row r="4102" ht="70.2" customHeight="1"/>
    <row r="4103" ht="70.2" customHeight="1"/>
    <row r="4104" ht="70.2" customHeight="1"/>
    <row r="4105" ht="70.2" customHeight="1"/>
    <row r="4106" ht="70.2" customHeight="1"/>
    <row r="4107" ht="70.2" customHeight="1"/>
    <row r="4108" ht="70.2" customHeight="1"/>
    <row r="4109" ht="70.2" customHeight="1"/>
    <row r="4110" ht="70.2" customHeight="1"/>
    <row r="4111" ht="70.2" customHeight="1"/>
    <row r="4112" ht="70.2" customHeight="1"/>
    <row r="4113" ht="70.2" customHeight="1"/>
    <row r="4114" ht="70.2" customHeight="1"/>
    <row r="4115" ht="70.2" customHeight="1"/>
    <row r="4116" ht="70.2" customHeight="1"/>
    <row r="4117" ht="70.2" customHeight="1"/>
    <row r="4118" ht="70.2" customHeight="1"/>
    <row r="4119" ht="70.2" customHeight="1"/>
    <row r="4120" ht="70.2" customHeight="1"/>
    <row r="4121" ht="70.2" customHeight="1"/>
    <row r="4122" ht="70.2" customHeight="1"/>
    <row r="4123" ht="70.2" customHeight="1"/>
    <row r="4124" ht="70.2" customHeight="1"/>
    <row r="4125" ht="70.2" customHeight="1"/>
    <row r="4126" ht="70.2" customHeight="1"/>
    <row r="4127" ht="70.2" customHeight="1"/>
    <row r="4128" ht="70.2" customHeight="1"/>
    <row r="4129" ht="70.2" customHeight="1"/>
    <row r="4130" ht="70.2" customHeight="1"/>
    <row r="4131" ht="70.2" customHeight="1"/>
    <row r="4132" ht="70.2" customHeight="1"/>
    <row r="4133" ht="70.2" customHeight="1"/>
    <row r="4134" ht="70.2" customHeight="1"/>
    <row r="4135" ht="70.2" customHeight="1"/>
    <row r="4136" ht="70.2" customHeight="1"/>
    <row r="4137" ht="70.2" customHeight="1"/>
    <row r="4138" ht="70.2" customHeight="1"/>
    <row r="4139" ht="70.2" customHeight="1"/>
    <row r="4140" ht="70.2" customHeight="1"/>
    <row r="4141" ht="70.2" customHeight="1"/>
    <row r="4142" ht="70.2" customHeight="1"/>
    <row r="4143" ht="70.2" customHeight="1"/>
    <row r="4144" ht="70.2" customHeight="1"/>
    <row r="4145" ht="70.2" customHeight="1"/>
    <row r="4146" ht="70.2" customHeight="1"/>
    <row r="4147" ht="70.2" customHeight="1"/>
    <row r="4148" ht="70.2" customHeight="1"/>
    <row r="4149" ht="70.2" customHeight="1"/>
    <row r="4150" ht="70.2" customHeight="1"/>
    <row r="4151" ht="70.2" customHeight="1"/>
    <row r="4152" ht="70.2" customHeight="1"/>
    <row r="4153" ht="70.2" customHeight="1"/>
    <row r="4154" ht="70.2" customHeight="1"/>
    <row r="4155" ht="70.2" customHeight="1"/>
    <row r="4156" ht="70.2" customHeight="1"/>
    <row r="4157" ht="70.2" customHeight="1"/>
    <row r="4158" ht="70.2" customHeight="1"/>
    <row r="4159" ht="70.2" customHeight="1"/>
    <row r="4160" ht="70.2" customHeight="1"/>
    <row r="4161" ht="70.2" customHeight="1"/>
    <row r="4162" ht="70.2" customHeight="1"/>
    <row r="4163" ht="70.2" customHeight="1"/>
    <row r="4164" ht="70.2" customHeight="1"/>
    <row r="4165" ht="70.2" customHeight="1"/>
    <row r="4166" ht="70.2" customHeight="1"/>
    <row r="4167" ht="70.2" customHeight="1"/>
    <row r="4168" ht="70.2" customHeight="1"/>
    <row r="4169" ht="70.2" customHeight="1"/>
    <row r="4170" ht="70.2" customHeight="1"/>
    <row r="4171" ht="70.2" customHeight="1"/>
    <row r="4172" ht="70.2" customHeight="1"/>
    <row r="4173" ht="70.2" customHeight="1"/>
    <row r="4174" ht="70.2" customHeight="1"/>
    <row r="4175" ht="70.2" customHeight="1"/>
    <row r="4176" ht="70.2" customHeight="1"/>
    <row r="4177" ht="70.2" customHeight="1"/>
    <row r="4178" ht="70.2" customHeight="1"/>
    <row r="4179" ht="70.2" customHeight="1"/>
    <row r="4180" ht="70.2" customHeight="1"/>
    <row r="4181" ht="70.2" customHeight="1"/>
    <row r="4182" ht="70.2" customHeight="1"/>
    <row r="4183" ht="70.2" customHeight="1"/>
    <row r="4184" ht="70.2" customHeight="1"/>
    <row r="4185" ht="70.2" customHeight="1"/>
    <row r="4186" ht="70.2" customHeight="1"/>
    <row r="4187" ht="70.2" customHeight="1"/>
    <row r="4188" ht="70.2" customHeight="1"/>
    <row r="4189" ht="70.2" customHeight="1"/>
    <row r="4190" ht="70.2" customHeight="1"/>
    <row r="4191" ht="70.2" customHeight="1"/>
    <row r="4192" ht="70.2" customHeight="1"/>
    <row r="4193" ht="70.2" customHeight="1"/>
    <row r="4194" ht="70.2" customHeight="1"/>
    <row r="4195" ht="70.2" customHeight="1"/>
    <row r="4196" ht="70.2" customHeight="1"/>
    <row r="4197" ht="70.2" customHeight="1"/>
    <row r="4198" ht="70.2" customHeight="1"/>
    <row r="4199" ht="70.2" customHeight="1"/>
    <row r="4200" ht="70.2" customHeight="1"/>
    <row r="4201" ht="70.2" customHeight="1"/>
    <row r="4202" ht="70.2" customHeight="1"/>
    <row r="4203" ht="70.2" customHeight="1"/>
    <row r="4204" ht="70.2" customHeight="1"/>
    <row r="4205" ht="70.2" customHeight="1"/>
    <row r="4206" ht="70.2" customHeight="1"/>
    <row r="4207" ht="70.2" customHeight="1"/>
    <row r="4208" ht="70.2" customHeight="1"/>
    <row r="4209" ht="70.2" customHeight="1"/>
    <row r="4210" ht="70.2" customHeight="1"/>
    <row r="4211" ht="70.2" customHeight="1"/>
    <row r="4212" ht="70.2" customHeight="1"/>
    <row r="4213" ht="70.2" customHeight="1"/>
    <row r="4214" ht="70.2" customHeight="1"/>
    <row r="4215" ht="70.2" customHeight="1"/>
    <row r="4216" ht="70.2" customHeight="1"/>
    <row r="4217" ht="70.2" customHeight="1"/>
    <row r="4218" ht="70.2" customHeight="1"/>
    <row r="4219" ht="70.2" customHeight="1"/>
    <row r="4220" ht="70.2" customHeight="1"/>
    <row r="4221" ht="70.2" customHeight="1"/>
    <row r="4222" ht="70.2" customHeight="1"/>
    <row r="4223" ht="70.2" customHeight="1"/>
    <row r="4224" ht="70.2" customHeight="1"/>
    <row r="4225" ht="70.2" customHeight="1"/>
    <row r="4226" ht="70.2" customHeight="1"/>
    <row r="4227" ht="70.2" customHeight="1"/>
    <row r="4228" ht="70.2" customHeight="1"/>
    <row r="4229" ht="70.2" customHeight="1"/>
    <row r="4230" ht="70.2" customHeight="1"/>
    <row r="4231" ht="70.2" customHeight="1"/>
    <row r="4232" ht="70.2" customHeight="1"/>
    <row r="4233" ht="70.2" customHeight="1"/>
    <row r="4234" ht="70.2" customHeight="1"/>
    <row r="4235" ht="70.2" customHeight="1"/>
    <row r="4236" ht="70.2" customHeight="1"/>
    <row r="4237" ht="70.2" customHeight="1"/>
    <row r="4238" ht="70.2" customHeight="1"/>
    <row r="4239" ht="70.2" customHeight="1"/>
    <row r="4240" ht="70.2" customHeight="1"/>
    <row r="4241" ht="70.2" customHeight="1"/>
    <row r="4242" ht="70.2" customHeight="1"/>
    <row r="4243" ht="70.2" customHeight="1"/>
    <row r="4244" ht="70.2" customHeight="1"/>
    <row r="4245" ht="70.2" customHeight="1"/>
    <row r="4246" ht="70.2" customHeight="1"/>
    <row r="4247" ht="70.2" customHeight="1"/>
    <row r="4248" ht="70.2" customHeight="1"/>
    <row r="4249" ht="70.2" customHeight="1"/>
    <row r="4250" ht="70.2" customHeight="1"/>
    <row r="4251" ht="70.2" customHeight="1"/>
    <row r="4252" ht="70.2" customHeight="1"/>
    <row r="4253" ht="70.2" customHeight="1"/>
    <row r="4254" ht="70.2" customHeight="1"/>
    <row r="4255" ht="70.2" customHeight="1"/>
    <row r="4256" ht="70.2" customHeight="1"/>
    <row r="4257" ht="70.2" customHeight="1"/>
    <row r="4258" ht="70.2" customHeight="1"/>
    <row r="4259" ht="70.2" customHeight="1"/>
    <row r="4260" ht="70.2" customHeight="1"/>
    <row r="4261" ht="70.2" customHeight="1"/>
    <row r="4262" ht="70.2" customHeight="1"/>
    <row r="4263" ht="70.2" customHeight="1"/>
    <row r="4264" ht="70.2" customHeight="1"/>
    <row r="4265" ht="70.2" customHeight="1"/>
    <row r="4266" ht="70.2" customHeight="1"/>
    <row r="4267" ht="70.2" customHeight="1"/>
    <row r="4268" ht="70.2" customHeight="1"/>
    <row r="4269" ht="70.2" customHeight="1"/>
    <row r="4270" ht="70.2" customHeight="1"/>
    <row r="4271" ht="70.2" customHeight="1"/>
    <row r="4272" ht="70.2" customHeight="1"/>
    <row r="4273" ht="70.2" customHeight="1"/>
    <row r="4274" ht="70.2" customHeight="1"/>
    <row r="4275" ht="70.2" customHeight="1"/>
    <row r="4276" ht="70.2" customHeight="1"/>
    <row r="4277" ht="70.2" customHeight="1"/>
    <row r="4278" ht="70.2" customHeight="1"/>
    <row r="4279" ht="70.2" customHeight="1"/>
    <row r="4280" ht="70.2" customHeight="1"/>
    <row r="4281" ht="70.2" customHeight="1"/>
    <row r="4282" ht="70.2" customHeight="1"/>
    <row r="4283" ht="70.2" customHeight="1"/>
    <row r="4284" ht="70.2" customHeight="1"/>
    <row r="4285" ht="70.2" customHeight="1"/>
    <row r="4286" ht="70.2" customHeight="1"/>
    <row r="4287" ht="70.2" customHeight="1"/>
    <row r="4288" ht="70.2" customHeight="1"/>
    <row r="4289" ht="70.2" customHeight="1"/>
    <row r="4290" ht="70.2" customHeight="1"/>
    <row r="4291" ht="70.2" customHeight="1"/>
    <row r="4292" ht="70.2" customHeight="1"/>
    <row r="4293" ht="70.2" customHeight="1"/>
    <row r="4294" ht="70.2" customHeight="1"/>
    <row r="4295" ht="70.2" customHeight="1"/>
    <row r="4296" ht="70.2" customHeight="1"/>
    <row r="4297" ht="70.2" customHeight="1"/>
    <row r="4298" ht="70.2" customHeight="1"/>
    <row r="4299" ht="70.2" customHeight="1"/>
    <row r="4300" ht="70.2" customHeight="1"/>
    <row r="4301" ht="70.2" customHeight="1"/>
    <row r="4302" ht="70.2" customHeight="1"/>
    <row r="4303" ht="70.2" customHeight="1"/>
    <row r="4304" ht="70.2" customHeight="1"/>
    <row r="4305" ht="70.2" customHeight="1"/>
    <row r="4306" ht="70.2" customHeight="1"/>
    <row r="4307" ht="70.2" customHeight="1"/>
    <row r="4308" ht="70.2" customHeight="1"/>
    <row r="4309" ht="70.2" customHeight="1"/>
    <row r="4310" ht="70.2" customHeight="1"/>
    <row r="4311" ht="70.2" customHeight="1"/>
    <row r="4312" ht="70.2" customHeight="1"/>
    <row r="4313" ht="70.2" customHeight="1"/>
    <row r="4314" ht="70.2" customHeight="1"/>
    <row r="4315" ht="70.2" customHeight="1"/>
    <row r="4316" ht="70.2" customHeight="1"/>
    <row r="4317" ht="70.2" customHeight="1"/>
    <row r="4318" ht="70.2" customHeight="1"/>
    <row r="4319" ht="70.2" customHeight="1"/>
    <row r="4320" ht="70.2" customHeight="1"/>
    <row r="4321" ht="70.2" customHeight="1"/>
    <row r="4322" ht="70.2" customHeight="1"/>
    <row r="4323" ht="70.2" customHeight="1"/>
    <row r="4324" ht="70.2" customHeight="1"/>
    <row r="4325" ht="70.2" customHeight="1"/>
    <row r="4326" ht="70.2" customHeight="1"/>
    <row r="4327" ht="70.2" customHeight="1"/>
    <row r="4328" ht="70.2" customHeight="1"/>
    <row r="4329" ht="70.2" customHeight="1"/>
    <row r="4330" ht="70.2" customHeight="1"/>
    <row r="4331" ht="70.2" customHeight="1"/>
    <row r="4332" ht="70.2" customHeight="1"/>
    <row r="4333" ht="70.2" customHeight="1"/>
    <row r="4334" ht="70.2" customHeight="1"/>
    <row r="4335" ht="70.2" customHeight="1"/>
    <row r="4336" ht="70.2" customHeight="1"/>
    <row r="4337" ht="70.2" customHeight="1"/>
    <row r="4338" ht="70.2" customHeight="1"/>
    <row r="4339" ht="70.2" customHeight="1"/>
    <row r="4340" ht="70.2" customHeight="1"/>
    <row r="4341" ht="70.2" customHeight="1"/>
    <row r="4342" ht="70.2" customHeight="1"/>
    <row r="4343" ht="70.2" customHeight="1"/>
    <row r="4344" ht="70.2" customHeight="1"/>
    <row r="4345" ht="70.2" customHeight="1"/>
    <row r="4346" ht="70.2" customHeight="1"/>
    <row r="4347" ht="70.2" customHeight="1"/>
    <row r="4348" ht="70.2" customHeight="1"/>
    <row r="4349" ht="70.2" customHeight="1"/>
    <row r="4350" ht="70.2" customHeight="1"/>
    <row r="4351" ht="70.2" customHeight="1"/>
    <row r="4352" ht="70.2" customHeight="1"/>
    <row r="4353" ht="70.2" customHeight="1"/>
    <row r="4354" ht="70.2" customHeight="1"/>
    <row r="4355" ht="70.2" customHeight="1"/>
    <row r="4356" ht="70.2" customHeight="1"/>
    <row r="4357" ht="70.2" customHeight="1"/>
    <row r="4358" ht="70.2" customHeight="1"/>
    <row r="4359" ht="70.2" customHeight="1"/>
    <row r="4360" ht="70.2" customHeight="1"/>
    <row r="4361" ht="70.2" customHeight="1"/>
    <row r="4362" ht="70.2" customHeight="1"/>
    <row r="4363" ht="70.2" customHeight="1"/>
    <row r="4364" ht="70.2" customHeight="1"/>
    <row r="4365" ht="70.2" customHeight="1"/>
    <row r="4366" ht="70.2" customHeight="1"/>
    <row r="4367" ht="70.2" customHeight="1"/>
    <row r="4368" ht="70.2" customHeight="1"/>
    <row r="4369" ht="70.2" customHeight="1"/>
    <row r="4370" ht="70.2" customHeight="1"/>
    <row r="4371" ht="70.2" customHeight="1"/>
    <row r="4372" ht="70.2" customHeight="1"/>
    <row r="4373" ht="70.2" customHeight="1"/>
    <row r="4374" ht="70.2" customHeight="1"/>
    <row r="4375" ht="70.2" customHeight="1"/>
    <row r="4376" ht="70.2" customHeight="1"/>
    <row r="4377" ht="70.2" customHeight="1"/>
    <row r="4378" ht="70.2" customHeight="1"/>
    <row r="4379" ht="70.2" customHeight="1"/>
    <row r="4380" ht="70.2" customHeight="1"/>
    <row r="4381" ht="70.2" customHeight="1"/>
    <row r="4382" ht="70.2" customHeight="1"/>
    <row r="4383" ht="70.2" customHeight="1"/>
    <row r="4384" ht="70.2" customHeight="1"/>
    <row r="4385" ht="70.2" customHeight="1"/>
    <row r="4386" ht="70.2" customHeight="1"/>
    <row r="4387" ht="70.2" customHeight="1"/>
    <row r="4388" ht="70.2" customHeight="1"/>
    <row r="4389" ht="70.2" customHeight="1"/>
    <row r="4390" ht="70.2" customHeight="1"/>
    <row r="4391" ht="70.2" customHeight="1"/>
    <row r="4392" ht="70.2" customHeight="1"/>
    <row r="4393" ht="70.2" customHeight="1"/>
    <row r="4394" ht="70.2" customHeight="1"/>
    <row r="4395" ht="70.2" customHeight="1"/>
    <row r="4396" ht="70.2" customHeight="1"/>
    <row r="4397" ht="70.2" customHeight="1"/>
    <row r="4398" ht="70.2" customHeight="1"/>
    <row r="4399" ht="70.2" customHeight="1"/>
    <row r="4400" ht="70.2" customHeight="1"/>
    <row r="4401" ht="70.2" customHeight="1"/>
    <row r="4402" ht="70.2" customHeight="1"/>
    <row r="4403" ht="70.2" customHeight="1"/>
    <row r="4404" ht="70.2" customHeight="1"/>
    <row r="4405" ht="70.2" customHeight="1"/>
    <row r="4406" ht="70.2" customHeight="1"/>
    <row r="4407" ht="70.2" customHeight="1"/>
    <row r="4408" ht="70.2" customHeight="1"/>
    <row r="4409" ht="70.2" customHeight="1"/>
    <row r="4410" ht="70.2" customHeight="1"/>
    <row r="4411" ht="70.2" customHeight="1"/>
    <row r="4412" ht="70.2" customHeight="1"/>
    <row r="4413" ht="70.2" customHeight="1"/>
    <row r="4414" ht="70.2" customHeight="1"/>
    <row r="4415" ht="70.2" customHeight="1"/>
    <row r="4416" ht="70.2" customHeight="1"/>
    <row r="4417" ht="70.2" customHeight="1"/>
    <row r="4418" ht="70.2" customHeight="1"/>
    <row r="4419" ht="70.2" customHeight="1"/>
    <row r="4420" ht="70.2" customHeight="1"/>
    <row r="4421" ht="70.2" customHeight="1"/>
    <row r="4422" ht="70.2" customHeight="1"/>
    <row r="4423" ht="70.2" customHeight="1"/>
    <row r="4424" ht="70.2" customHeight="1"/>
    <row r="4425" ht="70.2" customHeight="1"/>
    <row r="4426" ht="70.2" customHeight="1"/>
    <row r="4427" ht="70.2" customHeight="1"/>
    <row r="4428" ht="70.2" customHeight="1"/>
    <row r="4429" ht="70.2" customHeight="1"/>
    <row r="4430" ht="70.2" customHeight="1"/>
    <row r="4431" ht="70.2" customHeight="1"/>
    <row r="4432" ht="70.2" customHeight="1"/>
    <row r="4433" ht="70.2" customHeight="1"/>
    <row r="4434" ht="70.2" customHeight="1"/>
    <row r="4435" ht="70.2" customHeight="1"/>
    <row r="4436" ht="70.2" customHeight="1"/>
    <row r="4437" ht="70.2" customHeight="1"/>
    <row r="4438" ht="70.2" customHeight="1"/>
    <row r="4439" ht="70.2" customHeight="1"/>
    <row r="4440" ht="70.2" customHeight="1"/>
    <row r="4441" ht="70.2" customHeight="1"/>
    <row r="4442" ht="70.2" customHeight="1"/>
    <row r="4443" ht="70.2" customHeight="1"/>
    <row r="4444" ht="70.2" customHeight="1"/>
    <row r="4445" ht="70.2" customHeight="1"/>
    <row r="4446" ht="70.2" customHeight="1"/>
    <row r="4447" ht="70.2" customHeight="1"/>
    <row r="4448" ht="70.2" customHeight="1"/>
    <row r="4449" ht="70.2" customHeight="1"/>
    <row r="4450" ht="70.2" customHeight="1"/>
    <row r="4451" ht="70.2" customHeight="1"/>
    <row r="4452" ht="70.2" customHeight="1"/>
    <row r="4453" ht="70.2" customHeight="1"/>
    <row r="4454" ht="70.2" customHeight="1"/>
    <row r="4455" ht="70.2" customHeight="1"/>
    <row r="4456" ht="70.2" customHeight="1"/>
    <row r="4457" ht="70.2" customHeight="1"/>
    <row r="4458" ht="70.2" customHeight="1"/>
    <row r="4459" ht="70.2" customHeight="1"/>
    <row r="4460" ht="70.2" customHeight="1"/>
    <row r="4461" ht="70.2" customHeight="1"/>
    <row r="4462" ht="70.2" customHeight="1"/>
    <row r="4463" ht="70.2" customHeight="1"/>
    <row r="4464" ht="70.2" customHeight="1"/>
    <row r="4465" ht="70.2" customHeight="1"/>
    <row r="4466" ht="70.2" customHeight="1"/>
    <row r="4467" ht="70.2" customHeight="1"/>
    <row r="4468" ht="70.2" customHeight="1"/>
    <row r="4469" ht="70.2" customHeight="1"/>
    <row r="4470" ht="70.2" customHeight="1"/>
    <row r="4471" ht="70.2" customHeight="1"/>
    <row r="4472" ht="70.2" customHeight="1"/>
    <row r="4473" ht="70.2" customHeight="1"/>
    <row r="4474" ht="70.2" customHeight="1"/>
    <row r="4475" ht="70.2" customHeight="1"/>
    <row r="4476" ht="70.2" customHeight="1"/>
    <row r="4477" ht="70.2" customHeight="1"/>
    <row r="4478" ht="70.2" customHeight="1"/>
    <row r="4479" ht="70.2" customHeight="1"/>
    <row r="4480" ht="70.2" customHeight="1"/>
    <row r="4481" ht="70.2" customHeight="1"/>
    <row r="4482" ht="70.2" customHeight="1"/>
    <row r="4483" ht="70.2" customHeight="1"/>
    <row r="4484" ht="70.2" customHeight="1"/>
    <row r="4485" ht="70.2" customHeight="1"/>
    <row r="4486" ht="70.2" customHeight="1"/>
    <row r="4487" ht="70.2" customHeight="1"/>
    <row r="4488" ht="70.2" customHeight="1"/>
    <row r="4489" ht="70.2" customHeight="1"/>
    <row r="4490" ht="70.2" customHeight="1"/>
    <row r="4491" ht="70.2" customHeight="1"/>
    <row r="4492" ht="70.2" customHeight="1"/>
    <row r="4493" ht="70.2" customHeight="1"/>
    <row r="4494" ht="70.2" customHeight="1"/>
    <row r="4495" ht="70.2" customHeight="1"/>
    <row r="4496" ht="70.2" customHeight="1"/>
    <row r="4497" ht="70.2" customHeight="1"/>
    <row r="4498" ht="70.2" customHeight="1"/>
    <row r="4499" ht="70.2" customHeight="1"/>
    <row r="4500" ht="70.2" customHeight="1"/>
    <row r="4501" ht="70.2" customHeight="1"/>
    <row r="4502" ht="70.2" customHeight="1"/>
    <row r="4503" ht="70.2" customHeight="1"/>
    <row r="4504" ht="70.2" customHeight="1"/>
    <row r="4505" ht="70.2" customHeight="1"/>
    <row r="4506" ht="70.2" customHeight="1"/>
    <row r="4507" ht="70.2" customHeight="1"/>
    <row r="4508" ht="70.2" customHeight="1"/>
    <row r="4509" ht="70.2" customHeight="1"/>
    <row r="4510" ht="70.2" customHeight="1"/>
    <row r="4511" ht="70.2" customHeight="1"/>
    <row r="4512" ht="70.2" customHeight="1"/>
    <row r="4513" ht="70.2" customHeight="1"/>
    <row r="4514" ht="70.2" customHeight="1"/>
    <row r="4515" ht="70.2" customHeight="1"/>
    <row r="4516" ht="70.2" customHeight="1"/>
    <row r="4517" ht="70.2" customHeight="1"/>
    <row r="4518" ht="70.2" customHeight="1"/>
    <row r="4519" ht="70.2" customHeight="1"/>
    <row r="4520" ht="70.2" customHeight="1"/>
    <row r="4521" ht="70.2" customHeight="1"/>
    <row r="4522" ht="70.2" customHeight="1"/>
    <row r="4523" ht="70.2" customHeight="1"/>
    <row r="4524" ht="70.2" customHeight="1"/>
    <row r="4525" ht="70.2" customHeight="1"/>
    <row r="4526" ht="70.2" customHeight="1"/>
    <row r="4527" ht="70.2" customHeight="1"/>
    <row r="4528" ht="70.2" customHeight="1"/>
    <row r="4529" ht="70.2" customHeight="1"/>
    <row r="4530" ht="70.2" customHeight="1"/>
    <row r="4531" ht="70.2" customHeight="1"/>
    <row r="4532" ht="70.2" customHeight="1"/>
    <row r="4533" ht="70.2" customHeight="1"/>
    <row r="4534" ht="70.2" customHeight="1"/>
    <row r="4535" ht="70.2" customHeight="1"/>
    <row r="4536" ht="70.2" customHeight="1"/>
    <row r="4537" ht="70.2" customHeight="1"/>
    <row r="4538" ht="70.2" customHeight="1"/>
    <row r="4539" ht="70.2" customHeight="1"/>
    <row r="4540" ht="70.2" customHeight="1"/>
    <row r="4541" ht="70.2" customHeight="1"/>
    <row r="4542" ht="70.2" customHeight="1"/>
    <row r="4543" ht="70.2" customHeight="1"/>
    <row r="4544" ht="70.2" customHeight="1"/>
    <row r="4545" ht="70.2" customHeight="1"/>
    <row r="4546" ht="70.2" customHeight="1"/>
    <row r="4547" ht="70.2" customHeight="1"/>
    <row r="4548" ht="70.2" customHeight="1"/>
    <row r="4549" ht="70.2" customHeight="1"/>
    <row r="4550" ht="70.2" customHeight="1"/>
    <row r="4551" ht="70.2" customHeight="1"/>
    <row r="4552" ht="70.2" customHeight="1"/>
    <row r="4553" ht="70.2" customHeight="1"/>
    <row r="4554" ht="70.2" customHeight="1"/>
    <row r="4555" ht="70.2" customHeight="1"/>
    <row r="4556" ht="70.2" customHeight="1"/>
    <row r="4557" ht="70.2" customHeight="1"/>
    <row r="4558" ht="70.2" customHeight="1"/>
    <row r="4559" ht="70.2" customHeight="1"/>
    <row r="4560" ht="70.2" customHeight="1"/>
    <row r="4561" ht="70.2" customHeight="1"/>
    <row r="4562" ht="70.2" customHeight="1"/>
    <row r="4563" ht="70.2" customHeight="1"/>
    <row r="4564" ht="70.2" customHeight="1"/>
    <row r="4565" ht="70.2" customHeight="1"/>
    <row r="4566" ht="70.2" customHeight="1"/>
    <row r="4567" ht="70.2" customHeight="1"/>
    <row r="4568" ht="70.2" customHeight="1"/>
    <row r="4569" ht="70.2" customHeight="1"/>
    <row r="4570" ht="70.2" customHeight="1"/>
    <row r="4571" ht="70.2" customHeight="1"/>
    <row r="4572" ht="70.2" customHeight="1"/>
    <row r="4573" ht="70.2" customHeight="1"/>
    <row r="4574" ht="70.2" customHeight="1"/>
    <row r="4575" ht="70.2" customHeight="1"/>
    <row r="4576" ht="70.2" customHeight="1"/>
    <row r="4577" ht="70.2" customHeight="1"/>
    <row r="4578" ht="70.2" customHeight="1"/>
    <row r="4579" ht="70.2" customHeight="1"/>
    <row r="4580" ht="70.2" customHeight="1"/>
    <row r="4581" ht="70.2" customHeight="1"/>
    <row r="4582" ht="70.2" customHeight="1"/>
    <row r="4583" ht="70.2" customHeight="1"/>
    <row r="4584" ht="70.2" customHeight="1"/>
    <row r="4585" ht="70.2" customHeight="1"/>
    <row r="4586" ht="70.2" customHeight="1"/>
    <row r="4587" ht="70.2" customHeight="1"/>
    <row r="4588" ht="70.2" customHeight="1"/>
    <row r="4589" ht="70.2" customHeight="1"/>
    <row r="4590" ht="70.2" customHeight="1"/>
    <row r="4591" ht="70.2" customHeight="1"/>
    <row r="4592" ht="70.2" customHeight="1"/>
    <row r="4593" ht="70.2" customHeight="1"/>
    <row r="4594" ht="70.2" customHeight="1"/>
    <row r="4595" ht="70.2" customHeight="1"/>
    <row r="4596" ht="70.2" customHeight="1"/>
    <row r="4597" ht="70.2" customHeight="1"/>
    <row r="4598" ht="70.2" customHeight="1"/>
    <row r="4599" ht="70.2" customHeight="1"/>
    <row r="4600" ht="70.2" customHeight="1"/>
    <row r="4601" ht="70.2" customHeight="1"/>
    <row r="4602" ht="70.2" customHeight="1"/>
    <row r="4603" ht="70.2" customHeight="1"/>
    <row r="4604" ht="70.2" customHeight="1"/>
    <row r="4605" ht="70.2" customHeight="1"/>
    <row r="4606" ht="70.2" customHeight="1"/>
    <row r="4607" ht="70.2" customHeight="1"/>
    <row r="4608" ht="70.2" customHeight="1"/>
    <row r="4609" ht="70.2" customHeight="1"/>
    <row r="4610" ht="70.2" customHeight="1"/>
    <row r="4611" ht="70.2" customHeight="1"/>
    <row r="4612" ht="70.2" customHeight="1"/>
    <row r="4613" ht="70.2" customHeight="1"/>
    <row r="4614" ht="70.2" customHeight="1"/>
    <row r="4615" ht="70.2" customHeight="1"/>
    <row r="4616" ht="70.2" customHeight="1"/>
    <row r="4617" ht="70.2" customHeight="1"/>
    <row r="4618" ht="70.2" customHeight="1"/>
    <row r="4619" ht="70.2" customHeight="1"/>
    <row r="4620" ht="70.2" customHeight="1"/>
    <row r="4621" ht="70.2" customHeight="1"/>
    <row r="4622" ht="70.2" customHeight="1"/>
    <row r="4623" ht="70.2" customHeight="1"/>
    <row r="4624" ht="70.2" customHeight="1"/>
    <row r="4625" ht="70.2" customHeight="1"/>
    <row r="4626" ht="70.2" customHeight="1"/>
    <row r="4627" ht="70.2" customHeight="1"/>
    <row r="4628" ht="70.2" customHeight="1"/>
    <row r="4629" ht="70.2" customHeight="1"/>
    <row r="4630" ht="70.2" customHeight="1"/>
    <row r="4631" ht="70.2" customHeight="1"/>
    <row r="4632" ht="70.2" customHeight="1"/>
    <row r="4633" ht="70.2" customHeight="1"/>
    <row r="4634" ht="70.2" customHeight="1"/>
    <row r="4635" ht="70.2" customHeight="1"/>
    <row r="4636" ht="70.2" customHeight="1"/>
    <row r="4637" ht="70.2" customHeight="1"/>
    <row r="4638" ht="70.2" customHeight="1"/>
    <row r="4639" ht="70.2" customHeight="1"/>
    <row r="4640" ht="70.2" customHeight="1"/>
    <row r="4641" ht="70.2" customHeight="1"/>
    <row r="4642" ht="70.2" customHeight="1"/>
    <row r="4643" ht="70.2" customHeight="1"/>
    <row r="4644" ht="70.2" customHeight="1"/>
    <row r="4645" ht="70.2" customHeight="1"/>
    <row r="4646" ht="70.2" customHeight="1"/>
    <row r="4647" ht="70.2" customHeight="1"/>
    <row r="4648" ht="70.2" customHeight="1"/>
    <row r="4649" ht="70.2" customHeight="1"/>
    <row r="4650" ht="70.2" customHeight="1"/>
    <row r="4651" ht="70.2" customHeight="1"/>
    <row r="4652" ht="70.2" customHeight="1"/>
    <row r="4653" ht="70.2" customHeight="1"/>
    <row r="4654" ht="70.2" customHeight="1"/>
    <row r="4655" ht="70.2" customHeight="1"/>
    <row r="4656" ht="70.2" customHeight="1"/>
    <row r="4657" ht="70.2" customHeight="1"/>
    <row r="4658" ht="70.2" customHeight="1"/>
    <row r="4659" ht="70.2" customHeight="1"/>
    <row r="4660" ht="70.2" customHeight="1"/>
    <row r="4661" ht="70.2" customHeight="1"/>
    <row r="4662" ht="70.2" customHeight="1"/>
    <row r="4663" ht="70.2" customHeight="1"/>
    <row r="4664" ht="70.2" customHeight="1"/>
    <row r="4665" ht="70.2" customHeight="1"/>
    <row r="4666" ht="70.2" customHeight="1"/>
    <row r="4667" ht="70.2" customHeight="1"/>
    <row r="4668" ht="70.2" customHeight="1"/>
    <row r="4669" ht="70.2" customHeight="1"/>
    <row r="4670" ht="70.2" customHeight="1"/>
    <row r="4671" ht="70.2" customHeight="1"/>
    <row r="4672" ht="70.2" customHeight="1"/>
    <row r="4673" ht="70.2" customHeight="1"/>
    <row r="4674" ht="70.2" customHeight="1"/>
    <row r="4675" ht="70.2" customHeight="1"/>
    <row r="4676" ht="70.2" customHeight="1"/>
    <row r="4677" ht="70.2" customHeight="1"/>
    <row r="4678" ht="70.2" customHeight="1"/>
    <row r="4679" ht="70.2" customHeight="1"/>
    <row r="4680" ht="70.2" customHeight="1"/>
    <row r="4681" ht="70.2" customHeight="1"/>
    <row r="4682" ht="70.2" customHeight="1"/>
    <row r="4683" ht="70.2" customHeight="1"/>
    <row r="4684" ht="70.2" customHeight="1"/>
    <row r="4685" ht="70.2" customHeight="1"/>
    <row r="4686" ht="70.2" customHeight="1"/>
    <row r="4687" ht="70.2" customHeight="1"/>
    <row r="4688" ht="70.2" customHeight="1"/>
    <row r="4689" ht="70.2" customHeight="1"/>
    <row r="4690" ht="70.2" customHeight="1"/>
    <row r="4691" ht="70.2" customHeight="1"/>
    <row r="4692" ht="70.2" customHeight="1"/>
    <row r="4693" ht="70.2" customHeight="1"/>
    <row r="4694" ht="70.2" customHeight="1"/>
    <row r="4695" ht="70.2" customHeight="1"/>
    <row r="4696" ht="70.2" customHeight="1"/>
    <row r="4697" ht="70.2" customHeight="1"/>
    <row r="4698" ht="70.2" customHeight="1"/>
    <row r="4699" ht="70.2" customHeight="1"/>
    <row r="4700" ht="70.2" customHeight="1"/>
    <row r="4701" ht="70.2" customHeight="1"/>
    <row r="4702" ht="70.2" customHeight="1"/>
    <row r="4703" ht="70.2" customHeight="1"/>
    <row r="4704" ht="70.2" customHeight="1"/>
    <row r="4705" ht="70.2" customHeight="1"/>
    <row r="4706" ht="70.2" customHeight="1"/>
    <row r="4707" ht="70.2" customHeight="1"/>
    <row r="4708" ht="70.2" customHeight="1"/>
    <row r="4709" ht="70.2" customHeight="1"/>
    <row r="4710" ht="70.2" customHeight="1"/>
    <row r="4711" ht="70.2" customHeight="1"/>
    <row r="4712" ht="70.2" customHeight="1"/>
    <row r="4713" ht="70.2" customHeight="1"/>
    <row r="4714" ht="70.2" customHeight="1"/>
    <row r="4715" ht="70.2" customHeight="1"/>
    <row r="4716" ht="70.2" customHeight="1"/>
    <row r="4717" ht="70.2" customHeight="1"/>
    <row r="4718" ht="70.2" customHeight="1"/>
    <row r="4719" ht="70.2" customHeight="1"/>
    <row r="4720" ht="70.2" customHeight="1"/>
    <row r="4721" ht="70.2" customHeight="1"/>
    <row r="4722" ht="70.2" customHeight="1"/>
    <row r="4723" ht="70.2" customHeight="1"/>
    <row r="4724" ht="70.2" customHeight="1"/>
    <row r="4725" ht="70.2" customHeight="1"/>
    <row r="4726" ht="70.2" customHeight="1"/>
    <row r="4727" ht="70.2" customHeight="1"/>
    <row r="4728" ht="70.2" customHeight="1"/>
    <row r="4729" ht="70.2" customHeight="1"/>
    <row r="4730" ht="70.2" customHeight="1"/>
    <row r="4731" ht="70.2" customHeight="1"/>
    <row r="4732" ht="70.2" customHeight="1"/>
    <row r="4733" ht="70.2" customHeight="1"/>
    <row r="4734" ht="70.2" customHeight="1"/>
    <row r="4735" ht="70.2" customHeight="1"/>
    <row r="4736" ht="70.2" customHeight="1"/>
    <row r="4737" ht="70.2" customHeight="1"/>
    <row r="4738" ht="70.2" customHeight="1"/>
    <row r="4739" ht="70.2" customHeight="1"/>
    <row r="4740" ht="70.2" customHeight="1"/>
    <row r="4741" ht="70.2" customHeight="1"/>
    <row r="4742" ht="70.2" customHeight="1"/>
    <row r="4743" ht="70.2" customHeight="1"/>
    <row r="4744" ht="70.2" customHeight="1"/>
    <row r="4745" ht="70.2" customHeight="1"/>
    <row r="4746" ht="70.2" customHeight="1"/>
    <row r="4747" ht="70.2" customHeight="1"/>
    <row r="4748" ht="70.2" customHeight="1"/>
    <row r="4749" ht="70.2" customHeight="1"/>
    <row r="4750" ht="70.2" customHeight="1"/>
    <row r="4751" ht="70.2" customHeight="1"/>
    <row r="4752" ht="70.2" customHeight="1"/>
    <row r="4753" ht="70.2" customHeight="1"/>
    <row r="4754" ht="70.2" customHeight="1"/>
    <row r="4755" ht="70.2" customHeight="1"/>
    <row r="4756" ht="70.2" customHeight="1"/>
    <row r="4757" ht="70.2" customHeight="1"/>
    <row r="4758" ht="70.2" customHeight="1"/>
    <row r="4759" ht="70.2" customHeight="1"/>
    <row r="4760" ht="70.2" customHeight="1"/>
    <row r="4761" ht="70.2" customHeight="1"/>
    <row r="4762" ht="70.2" customHeight="1"/>
    <row r="4763" ht="70.2" customHeight="1"/>
    <row r="4764" ht="70.2" customHeight="1"/>
    <row r="4765" ht="70.2" customHeight="1"/>
    <row r="4766" ht="70.2" customHeight="1"/>
    <row r="4767" ht="70.2" customHeight="1"/>
    <row r="4768" ht="70.2" customHeight="1"/>
    <row r="4769" ht="70.2" customHeight="1"/>
    <row r="4770" ht="70.2" customHeight="1"/>
    <row r="4771" ht="70.2" customHeight="1"/>
    <row r="4772" ht="70.2" customHeight="1"/>
    <row r="4773" ht="70.2" customHeight="1"/>
    <row r="4774" ht="70.2" customHeight="1"/>
    <row r="4775" ht="70.2" customHeight="1"/>
    <row r="4776" ht="70.2" customHeight="1"/>
    <row r="4777" ht="70.2" customHeight="1"/>
    <row r="4778" ht="70.2" customHeight="1"/>
    <row r="4779" ht="70.2" customHeight="1"/>
    <row r="4780" ht="70.2" customHeight="1"/>
    <row r="4781" ht="70.2" customHeight="1"/>
    <row r="4782" ht="70.2" customHeight="1"/>
    <row r="4783" ht="70.2" customHeight="1"/>
    <row r="4784" ht="70.2" customHeight="1"/>
    <row r="4785" ht="70.2" customHeight="1"/>
    <row r="4786" ht="70.2" customHeight="1"/>
    <row r="4787" ht="70.2" customHeight="1"/>
    <row r="4788" ht="70.2" customHeight="1"/>
    <row r="4789" ht="70.2" customHeight="1"/>
    <row r="4790" ht="70.2" customHeight="1"/>
    <row r="4791" ht="70.2" customHeight="1"/>
    <row r="4792" ht="70.2" customHeight="1"/>
    <row r="4793" ht="70.2" customHeight="1"/>
    <row r="4794" ht="70.2" customHeight="1"/>
    <row r="4795" ht="70.2" customHeight="1"/>
    <row r="4796" ht="70.2" customHeight="1"/>
    <row r="4797" ht="70.2" customHeight="1"/>
    <row r="4798" ht="70.2" customHeight="1"/>
    <row r="4799" ht="70.2" customHeight="1"/>
    <row r="4800" ht="70.2" customHeight="1"/>
    <row r="4801" ht="70.2" customHeight="1"/>
    <row r="4802" ht="70.2" customHeight="1"/>
    <row r="4803" ht="70.2" customHeight="1"/>
    <row r="4804" ht="70.2" customHeight="1"/>
    <row r="4805" ht="70.2" customHeight="1"/>
    <row r="4806" ht="70.2" customHeight="1"/>
    <row r="4807" ht="70.2" customHeight="1"/>
    <row r="4808" ht="70.2" customHeight="1"/>
    <row r="4809" ht="70.2" customHeight="1"/>
    <row r="4810" ht="70.2" customHeight="1"/>
    <row r="4811" ht="70.2" customHeight="1"/>
    <row r="4812" ht="70.2" customHeight="1"/>
    <row r="4813" ht="70.2" customHeight="1"/>
    <row r="4814" ht="70.2" customHeight="1"/>
    <row r="4815" ht="70.2" customHeight="1"/>
    <row r="4816" ht="70.2" customHeight="1"/>
    <row r="4817" ht="70.2" customHeight="1"/>
    <row r="4818" ht="70.2" customHeight="1"/>
    <row r="4819" ht="70.2" customHeight="1"/>
    <row r="4820" ht="70.2" customHeight="1"/>
    <row r="4821" ht="70.2" customHeight="1"/>
    <row r="4822" ht="70.2" customHeight="1"/>
    <row r="4823" ht="70.2" customHeight="1"/>
    <row r="4824" ht="70.2" customHeight="1"/>
    <row r="4825" ht="70.2" customHeight="1"/>
    <row r="4826" ht="70.2" customHeight="1"/>
    <row r="4827" ht="70.2" customHeight="1"/>
    <row r="4828" ht="70.2" customHeight="1"/>
    <row r="4829" ht="70.2" customHeight="1"/>
    <row r="4830" ht="70.2" customHeight="1"/>
    <row r="4831" ht="70.2" customHeight="1"/>
    <row r="4832" ht="70.2" customHeight="1"/>
    <row r="4833" ht="70.2" customHeight="1"/>
    <row r="4834" ht="70.2" customHeight="1"/>
    <row r="4835" ht="70.2" customHeight="1"/>
    <row r="4836" ht="70.2" customHeight="1"/>
    <row r="4837" ht="70.2" customHeight="1"/>
    <row r="4838" ht="70.2" customHeight="1"/>
    <row r="4839" ht="70.2" customHeight="1"/>
    <row r="4840" ht="70.2" customHeight="1"/>
    <row r="4841" ht="70.2" customHeight="1"/>
    <row r="4842" ht="70.2" customHeight="1"/>
    <row r="4843" ht="70.2" customHeight="1"/>
    <row r="4844" ht="70.2" customHeight="1"/>
    <row r="4845" ht="70.2" customHeight="1"/>
    <row r="4846" ht="70.2" customHeight="1"/>
    <row r="4847" ht="70.2" customHeight="1"/>
    <row r="4848" ht="70.2" customHeight="1"/>
    <row r="4849" ht="70.2" customHeight="1"/>
    <row r="4850" ht="70.2" customHeight="1"/>
    <row r="4851" ht="70.2" customHeight="1"/>
    <row r="4852" ht="70.2" customHeight="1"/>
    <row r="4853" ht="70.2" customHeight="1"/>
    <row r="4854" ht="70.2" customHeight="1"/>
    <row r="4855" ht="70.2" customHeight="1"/>
    <row r="4856" ht="70.2" customHeight="1"/>
    <row r="4857" ht="70.2" customHeight="1"/>
    <row r="4858" ht="70.2" customHeight="1"/>
    <row r="4859" ht="70.2" customHeight="1"/>
    <row r="4860" ht="70.2" customHeight="1"/>
    <row r="4861" ht="70.2" customHeight="1"/>
    <row r="4862" ht="70.2" customHeight="1"/>
    <row r="4863" ht="70.2" customHeight="1"/>
    <row r="4864" ht="70.2" customHeight="1"/>
    <row r="4865" ht="70.2" customHeight="1"/>
    <row r="4866" ht="70.2" customHeight="1"/>
    <row r="4867" ht="70.2" customHeight="1"/>
    <row r="4868" ht="70.2" customHeight="1"/>
    <row r="4869" ht="70.2" customHeight="1"/>
    <row r="4870" ht="70.2" customHeight="1"/>
    <row r="4871" ht="70.2" customHeight="1"/>
    <row r="4872" ht="70.2" customHeight="1"/>
    <row r="4873" ht="70.2" customHeight="1"/>
    <row r="4874" ht="70.2" customHeight="1"/>
    <row r="4875" ht="70.2" customHeight="1"/>
    <row r="4876" ht="70.2" customHeight="1"/>
    <row r="4877" ht="70.2" customHeight="1"/>
    <row r="4878" ht="70.2" customHeight="1"/>
    <row r="4879" ht="70.2" customHeight="1"/>
    <row r="4880" ht="70.2" customHeight="1"/>
    <row r="4881" ht="70.2" customHeight="1"/>
    <row r="4882" ht="70.2" customHeight="1"/>
    <row r="4883" ht="70.2" customHeight="1"/>
    <row r="4884" ht="70.2" customHeight="1"/>
    <row r="4885" ht="70.2" customHeight="1"/>
    <row r="4886" ht="70.2" customHeight="1"/>
    <row r="4887" ht="70.2" customHeight="1"/>
    <row r="4888" ht="70.2" customHeight="1"/>
    <row r="4889" ht="70.2" customHeight="1"/>
    <row r="4890" ht="70.2" customHeight="1"/>
    <row r="4891" ht="70.2" customHeight="1"/>
    <row r="4892" ht="70.2" customHeight="1"/>
    <row r="4893" ht="70.2" customHeight="1"/>
    <row r="4894" ht="70.2" customHeight="1"/>
    <row r="4895" ht="70.2" customHeight="1"/>
    <row r="4896" ht="70.2" customHeight="1"/>
    <row r="4897" ht="70.2" customHeight="1"/>
    <row r="4898" ht="70.2" customHeight="1"/>
    <row r="4899" ht="70.2" customHeight="1"/>
    <row r="4900" ht="70.2" customHeight="1"/>
    <row r="4901" ht="70.2" customHeight="1"/>
    <row r="4902" ht="70.2" customHeight="1"/>
    <row r="4903" ht="70.2" customHeight="1"/>
    <row r="4904" ht="70.2" customHeight="1"/>
    <row r="4905" ht="70.2" customHeight="1"/>
    <row r="4906" ht="70.2" customHeight="1"/>
    <row r="4907" ht="70.2" customHeight="1"/>
    <row r="4908" ht="70.2" customHeight="1"/>
    <row r="4909" ht="70.2" customHeight="1"/>
    <row r="4910" ht="70.2" customHeight="1"/>
    <row r="4911" ht="70.2" customHeight="1"/>
    <row r="4912" ht="70.2" customHeight="1"/>
    <row r="4913" ht="70.2" customHeight="1"/>
    <row r="4914" ht="70.2" customHeight="1"/>
    <row r="4915" ht="70.2" customHeight="1"/>
    <row r="4916" ht="70.2" customHeight="1"/>
    <row r="4917" ht="70.2" customHeight="1"/>
    <row r="4918" ht="70.2" customHeight="1"/>
    <row r="4919" ht="70.2" customHeight="1"/>
    <row r="4920" ht="70.2" customHeight="1"/>
    <row r="4921" ht="70.2" customHeight="1"/>
    <row r="4922" ht="70.2" customHeight="1"/>
    <row r="4923" ht="70.2" customHeight="1"/>
    <row r="4924" ht="70.2" customHeight="1"/>
    <row r="4925" ht="70.2" customHeight="1"/>
    <row r="4926" ht="70.2" customHeight="1"/>
    <row r="4927" ht="70.2" customHeight="1"/>
    <row r="4928" ht="70.2" customHeight="1"/>
    <row r="4929" ht="70.2" customHeight="1"/>
    <row r="4930" ht="70.2" customHeight="1"/>
    <row r="4931" ht="70.2" customHeight="1"/>
    <row r="4932" ht="70.2" customHeight="1"/>
    <row r="4933" ht="70.2" customHeight="1"/>
    <row r="4934" ht="70.2" customHeight="1"/>
    <row r="4935" ht="70.2" customHeight="1"/>
    <row r="4936" ht="70.2" customHeight="1"/>
    <row r="4937" ht="70.2" customHeight="1"/>
    <row r="4938" ht="70.2" customHeight="1"/>
    <row r="4939" ht="70.2" customHeight="1"/>
    <row r="4940" ht="70.2" customHeight="1"/>
    <row r="4941" ht="70.2" customHeight="1"/>
    <row r="4942" ht="70.2" customHeight="1"/>
    <row r="4943" ht="70.2" customHeight="1"/>
    <row r="4944" ht="70.2" customHeight="1"/>
    <row r="4945" ht="70.2" customHeight="1"/>
    <row r="4946" ht="70.2" customHeight="1"/>
    <row r="4947" ht="70.2" customHeight="1"/>
    <row r="4948" ht="70.2" customHeight="1"/>
    <row r="4949" ht="70.2" customHeight="1"/>
    <row r="4950" ht="70.2" customHeight="1"/>
    <row r="4951" ht="70.2" customHeight="1"/>
    <row r="4952" ht="70.2" customHeight="1"/>
    <row r="4953" ht="70.2" customHeight="1"/>
    <row r="4954" ht="70.2" customHeight="1"/>
    <row r="4955" ht="70.2" customHeight="1"/>
    <row r="4956" ht="70.2" customHeight="1"/>
    <row r="4957" ht="70.2" customHeight="1"/>
    <row r="4958" ht="70.2" customHeight="1"/>
    <row r="4959" ht="70.2" customHeight="1"/>
    <row r="4960" ht="70.2" customHeight="1"/>
    <row r="4961" ht="70.2" customHeight="1"/>
    <row r="4962" ht="70.2" customHeight="1"/>
    <row r="4963" ht="70.2" customHeight="1"/>
    <row r="4964" ht="70.2" customHeight="1"/>
    <row r="4965" ht="70.2" customHeight="1"/>
    <row r="4966" ht="70.2" customHeight="1"/>
    <row r="4967" ht="70.2" customHeight="1"/>
    <row r="4968" ht="70.2" customHeight="1"/>
    <row r="4969" ht="70.2" customHeight="1"/>
    <row r="4970" ht="70.2" customHeight="1"/>
    <row r="4971" ht="70.2" customHeight="1"/>
    <row r="4972" ht="70.2" customHeight="1"/>
    <row r="4973" ht="70.2" customHeight="1"/>
    <row r="4974" ht="70.2" customHeight="1"/>
    <row r="4975" ht="70.2" customHeight="1"/>
    <row r="4976" ht="70.2" customHeight="1"/>
    <row r="4977" ht="70.2" customHeight="1"/>
    <row r="4978" ht="70.2" customHeight="1"/>
    <row r="4979" ht="70.2" customHeight="1"/>
    <row r="4980" ht="70.2" customHeight="1"/>
    <row r="4981" ht="70.2" customHeight="1"/>
    <row r="4982" ht="70.2" customHeight="1"/>
    <row r="4983" ht="70.2" customHeight="1"/>
    <row r="4984" ht="70.2" customHeight="1"/>
    <row r="4985" ht="70.2" customHeight="1"/>
    <row r="4986" ht="70.2" customHeight="1"/>
    <row r="4987" ht="70.2" customHeight="1"/>
    <row r="4988" ht="70.2" customHeight="1"/>
    <row r="4989" ht="70.2" customHeight="1"/>
    <row r="4990" ht="70.2" customHeight="1"/>
    <row r="4991" ht="70.2" customHeight="1"/>
    <row r="4992" ht="70.2" customHeight="1"/>
    <row r="4993" ht="70.2" customHeight="1"/>
    <row r="4994" ht="70.2" customHeight="1"/>
    <row r="4995" ht="70.2" customHeight="1"/>
    <row r="4996" ht="70.2" customHeight="1"/>
    <row r="4997" ht="70.2" customHeight="1"/>
    <row r="4998" ht="70.2" customHeight="1"/>
    <row r="4999" ht="70.2" customHeight="1"/>
    <row r="5000" ht="70.2" customHeight="1"/>
    <row r="5001" ht="70.2" customHeight="1"/>
    <row r="5002" ht="70.2" customHeight="1"/>
    <row r="5003" ht="70.2" customHeight="1"/>
    <row r="5004" ht="70.2" customHeight="1"/>
    <row r="5005" ht="70.2" customHeight="1"/>
    <row r="5006" ht="70.2" customHeight="1"/>
    <row r="5007" ht="70.2" customHeight="1"/>
    <row r="5008" ht="70.2" customHeight="1"/>
    <row r="5009" ht="70.2" customHeight="1"/>
    <row r="5010" ht="70.2" customHeight="1"/>
    <row r="5011" ht="70.2" customHeight="1"/>
    <row r="5012" ht="70.2" customHeight="1"/>
    <row r="5013" ht="70.2" customHeight="1"/>
    <row r="5014" ht="70.2" customHeight="1"/>
    <row r="5015" ht="70.2" customHeight="1"/>
    <row r="5016" ht="70.2" customHeight="1"/>
    <row r="5017" ht="70.2" customHeight="1"/>
    <row r="5018" ht="70.2" customHeight="1"/>
    <row r="5019" ht="70.2" customHeight="1"/>
    <row r="5020" ht="70.2" customHeight="1"/>
    <row r="5021" ht="70.2" customHeight="1"/>
    <row r="5022" ht="70.2" customHeight="1"/>
    <row r="5023" ht="70.2" customHeight="1"/>
    <row r="5024" ht="70.2" customHeight="1"/>
    <row r="5025" ht="70.2" customHeight="1"/>
    <row r="5026" ht="70.2" customHeight="1"/>
    <row r="5027" ht="70.2" customHeight="1"/>
    <row r="5028" ht="70.2" customHeight="1"/>
    <row r="5029" ht="70.2" customHeight="1"/>
    <row r="5030" ht="70.2" customHeight="1"/>
    <row r="5031" ht="70.2" customHeight="1"/>
    <row r="5032" ht="70.2" customHeight="1"/>
    <row r="5033" ht="70.2" customHeight="1"/>
    <row r="5034" ht="70.2" customHeight="1"/>
    <row r="5035" ht="70.2" customHeight="1"/>
    <row r="5036" ht="70.2" customHeight="1"/>
    <row r="5037" ht="70.2" customHeight="1"/>
    <row r="5038" ht="70.2" customHeight="1"/>
    <row r="5039" ht="70.2" customHeight="1"/>
    <row r="5040" ht="70.2" customHeight="1"/>
    <row r="5041" ht="70.2" customHeight="1"/>
    <row r="5042" ht="70.2" customHeight="1"/>
    <row r="5043" ht="70.2" customHeight="1"/>
    <row r="5044" ht="70.2" customHeight="1"/>
    <row r="5045" ht="70.2" customHeight="1"/>
    <row r="5046" ht="70.2" customHeight="1"/>
    <row r="5047" ht="70.2" customHeight="1"/>
    <row r="5048" ht="70.2" customHeight="1"/>
    <row r="5049" ht="70.2" customHeight="1"/>
    <row r="5050" ht="70.2" customHeight="1"/>
    <row r="5051" ht="70.2" customHeight="1"/>
    <row r="5052" ht="70.2" customHeight="1"/>
    <row r="5053" ht="70.2" customHeight="1"/>
    <row r="5054" ht="70.2" customHeight="1"/>
    <row r="5055" ht="70.2" customHeight="1"/>
    <row r="5056" ht="70.2" customHeight="1"/>
    <row r="5057" ht="70.2" customHeight="1"/>
    <row r="5058" ht="70.2" customHeight="1"/>
    <row r="5059" ht="70.2" customHeight="1"/>
    <row r="5060" ht="70.2" customHeight="1"/>
    <row r="5061" ht="70.2" customHeight="1"/>
    <row r="5062" ht="70.2" customHeight="1"/>
    <row r="5063" ht="70.2" customHeight="1"/>
    <row r="5064" ht="70.2" customHeight="1"/>
    <row r="5065" ht="70.2" customHeight="1"/>
    <row r="5066" ht="70.2" customHeight="1"/>
    <row r="5067" ht="70.2" customHeight="1"/>
    <row r="5068" ht="70.2" customHeight="1"/>
    <row r="5069" ht="70.2" customHeight="1"/>
    <row r="5070" ht="70.2" customHeight="1"/>
    <row r="5071" ht="70.2" customHeight="1"/>
    <row r="5072" ht="70.2" customHeight="1"/>
    <row r="5073" ht="70.2" customHeight="1"/>
    <row r="5074" ht="70.2" customHeight="1"/>
    <row r="5075" ht="70.2" customHeight="1"/>
    <row r="5076" ht="70.2" customHeight="1"/>
    <row r="5077" ht="70.2" customHeight="1"/>
    <row r="5078" ht="70.2" customHeight="1"/>
    <row r="5079" ht="70.2" customHeight="1"/>
    <row r="5080" ht="70.2" customHeight="1"/>
    <row r="5081" ht="70.2" customHeight="1"/>
    <row r="5082" ht="70.2" customHeight="1"/>
    <row r="5083" ht="70.2" customHeight="1"/>
    <row r="5084" ht="70.2" customHeight="1"/>
    <row r="5085" ht="70.2" customHeight="1"/>
    <row r="5086" ht="70.2" customHeight="1"/>
    <row r="5087" ht="70.2" customHeight="1"/>
    <row r="5088" ht="70.2" customHeight="1"/>
    <row r="5089" ht="70.2" customHeight="1"/>
    <row r="5090" ht="70.2" customHeight="1"/>
    <row r="5091" ht="70.2" customHeight="1"/>
    <row r="5092" ht="70.2" customHeight="1"/>
    <row r="5093" ht="70.2" customHeight="1"/>
    <row r="5094" ht="70.2" customHeight="1"/>
    <row r="5095" ht="70.2" customHeight="1"/>
    <row r="5096" ht="70.2" customHeight="1"/>
    <row r="5097" ht="70.2" customHeight="1"/>
    <row r="5098" ht="70.2" customHeight="1"/>
    <row r="5099" ht="70.2" customHeight="1"/>
    <row r="5100" ht="70.2" customHeight="1"/>
    <row r="5101" ht="70.2" customHeight="1"/>
    <row r="5102" ht="70.2" customHeight="1"/>
    <row r="5103" ht="70.2" customHeight="1"/>
    <row r="5104" ht="70.2" customHeight="1"/>
    <row r="5105" ht="70.2" customHeight="1"/>
    <row r="5106" ht="70.2" customHeight="1"/>
    <row r="5107" ht="70.2" customHeight="1"/>
    <row r="5108" ht="70.2" customHeight="1"/>
    <row r="5109" ht="70.2" customHeight="1"/>
    <row r="5110" ht="70.2" customHeight="1"/>
    <row r="5111" ht="70.2" customHeight="1"/>
    <row r="5112" ht="70.2" customHeight="1"/>
    <row r="5113" ht="70.2" customHeight="1"/>
    <row r="5114" ht="70.2" customHeight="1"/>
    <row r="5115" ht="70.2" customHeight="1"/>
    <row r="5116" ht="70.2" customHeight="1"/>
    <row r="5117" ht="70.2" customHeight="1"/>
    <row r="5118" ht="70.2" customHeight="1"/>
    <row r="5119" ht="70.2" customHeight="1"/>
    <row r="5120" ht="70.2" customHeight="1"/>
    <row r="5121" ht="70.2" customHeight="1"/>
    <row r="5122" ht="70.2" customHeight="1"/>
    <row r="5123" ht="70.2" customHeight="1"/>
    <row r="5124" ht="70.2" customHeight="1"/>
    <row r="5125" ht="70.2" customHeight="1"/>
    <row r="5126" ht="70.2" customHeight="1"/>
    <row r="5127" ht="70.2" customHeight="1"/>
    <row r="5128" ht="70.2" customHeight="1"/>
    <row r="5129" ht="70.2" customHeight="1"/>
    <row r="5130" ht="70.2" customHeight="1"/>
    <row r="5131" ht="70.2" customHeight="1"/>
    <row r="5132" ht="70.2" customHeight="1"/>
    <row r="5133" ht="70.2" customHeight="1"/>
    <row r="5134" ht="70.2" customHeight="1"/>
    <row r="5135" ht="70.2" customHeight="1"/>
    <row r="5136" ht="70.2" customHeight="1"/>
    <row r="5137" ht="70.2" customHeight="1"/>
    <row r="5138" ht="70.2" customHeight="1"/>
    <row r="5139" ht="70.2" customHeight="1"/>
    <row r="5140" ht="70.2" customHeight="1"/>
    <row r="5141" ht="70.2" customHeight="1"/>
    <row r="5142" ht="70.2" customHeight="1"/>
    <row r="5143" ht="70.2" customHeight="1"/>
    <row r="5144" ht="70.2" customHeight="1"/>
    <row r="5145" ht="70.2" customHeight="1"/>
    <row r="5146" ht="70.2" customHeight="1"/>
    <row r="5147" ht="70.2" customHeight="1"/>
    <row r="5148" ht="70.2" customHeight="1"/>
    <row r="5149" ht="70.2" customHeight="1"/>
    <row r="5150" ht="70.2" customHeight="1"/>
    <row r="5151" ht="70.2" customHeight="1"/>
    <row r="5152" ht="70.2" customHeight="1"/>
    <row r="5153" ht="70.2" customHeight="1"/>
    <row r="5154" ht="70.2" customHeight="1"/>
    <row r="5155" ht="70.2" customHeight="1"/>
    <row r="5156" ht="70.2" customHeight="1"/>
    <row r="5157" ht="70.2" customHeight="1"/>
    <row r="5158" ht="70.2" customHeight="1"/>
    <row r="5159" ht="70.2" customHeight="1"/>
    <row r="5160" ht="70.2" customHeight="1"/>
    <row r="5161" ht="70.2" customHeight="1"/>
    <row r="5162" ht="70.2" customHeight="1"/>
    <row r="5163" ht="70.2" customHeight="1"/>
    <row r="5164" ht="70.2" customHeight="1"/>
    <row r="5165" ht="70.2" customHeight="1"/>
    <row r="5166" ht="70.2" customHeight="1"/>
    <row r="5167" ht="70.2" customHeight="1"/>
    <row r="5168" ht="70.2" customHeight="1"/>
    <row r="5169" ht="70.2" customHeight="1"/>
    <row r="5170" ht="70.2" customHeight="1"/>
    <row r="5171" ht="70.2" customHeight="1"/>
    <row r="5172" ht="70.2" customHeight="1"/>
    <row r="5173" ht="70.2" customHeight="1"/>
    <row r="5174" ht="70.2" customHeight="1"/>
    <row r="5175" ht="70.2" customHeight="1"/>
    <row r="5176" ht="70.2" customHeight="1"/>
    <row r="5177" ht="70.2" customHeight="1"/>
    <row r="5178" ht="70.2" customHeight="1"/>
    <row r="5179" ht="70.2" customHeight="1"/>
    <row r="5180" ht="70.2" customHeight="1"/>
    <row r="5181" ht="70.2" customHeight="1"/>
    <row r="5182" ht="70.2" customHeight="1"/>
    <row r="5183" ht="70.2" customHeight="1"/>
    <row r="5184" ht="70.2" customHeight="1"/>
    <row r="5185" ht="70.2" customHeight="1"/>
    <row r="5186" ht="70.2" customHeight="1"/>
    <row r="5187" ht="70.2" customHeight="1"/>
    <row r="5188" ht="70.2" customHeight="1"/>
    <row r="5189" ht="70.2" customHeight="1"/>
    <row r="5190" ht="70.2" customHeight="1"/>
    <row r="5191" ht="70.2" customHeight="1"/>
    <row r="5192" ht="70.2" customHeight="1"/>
    <row r="5193" ht="70.2" customHeight="1"/>
    <row r="5194" ht="70.2" customHeight="1"/>
    <row r="5195" ht="70.2" customHeight="1"/>
    <row r="5196" ht="70.2" customHeight="1"/>
    <row r="5197" ht="70.2" customHeight="1"/>
    <row r="5198" ht="70.2" customHeight="1"/>
    <row r="5199" ht="70.2" customHeight="1"/>
    <row r="5200" ht="70.2" customHeight="1"/>
    <row r="5201" ht="70.2" customHeight="1"/>
    <row r="5202" ht="70.2" customHeight="1"/>
    <row r="5203" ht="70.2" customHeight="1"/>
    <row r="5204" ht="70.2" customHeight="1"/>
    <row r="5205" ht="70.2" customHeight="1"/>
    <row r="5206" ht="70.2" customHeight="1"/>
    <row r="5207" ht="70.2" customHeight="1"/>
    <row r="5208" ht="70.2" customHeight="1"/>
    <row r="5209" ht="70.2" customHeight="1"/>
    <row r="5210" ht="70.2" customHeight="1"/>
    <row r="5211" ht="70.2" customHeight="1"/>
    <row r="5212" ht="70.2" customHeight="1"/>
    <row r="5213" ht="70.2" customHeight="1"/>
    <row r="5214" ht="70.2" customHeight="1"/>
    <row r="5215" ht="70.2" customHeight="1"/>
    <row r="5216" ht="70.2" customHeight="1"/>
    <row r="5217" ht="70.2" customHeight="1"/>
    <row r="5218" ht="70.2" customHeight="1"/>
    <row r="5219" ht="70.2" customHeight="1"/>
    <row r="5220" ht="70.2" customHeight="1"/>
    <row r="5221" ht="70.2" customHeight="1"/>
    <row r="5222" ht="70.2" customHeight="1"/>
    <row r="5223" ht="70.2" customHeight="1"/>
    <row r="5224" ht="70.2" customHeight="1"/>
    <row r="5225" ht="70.2" customHeight="1"/>
    <row r="5226" ht="70.2" customHeight="1"/>
    <row r="5227" ht="70.2" customHeight="1"/>
    <row r="5228" ht="70.2" customHeight="1"/>
    <row r="5229" ht="70.2" customHeight="1"/>
    <row r="5230" ht="70.2" customHeight="1"/>
    <row r="5231" ht="70.2" customHeight="1"/>
    <row r="5232" ht="70.2" customHeight="1"/>
    <row r="5233" ht="70.2" customHeight="1"/>
    <row r="5234" ht="70.2" customHeight="1"/>
    <row r="5235" ht="70.2" customHeight="1"/>
    <row r="5236" ht="70.2" customHeight="1"/>
    <row r="5237" ht="70.2" customHeight="1"/>
    <row r="5238" ht="70.2" customHeight="1"/>
    <row r="5239" ht="70.2" customHeight="1"/>
    <row r="5240" ht="70.2" customHeight="1"/>
    <row r="5241" ht="70.2" customHeight="1"/>
    <row r="5242" ht="70.2" customHeight="1"/>
    <row r="5243" ht="70.2" customHeight="1"/>
    <row r="5244" ht="70.2" customHeight="1"/>
    <row r="5245" ht="70.2" customHeight="1"/>
    <row r="5246" ht="70.2" customHeight="1"/>
    <row r="5247" ht="70.2" customHeight="1"/>
    <row r="5248" ht="70.2" customHeight="1"/>
    <row r="5249" ht="70.2" customHeight="1"/>
    <row r="5250" ht="70.2" customHeight="1"/>
    <row r="5251" ht="70.2" customHeight="1"/>
    <row r="5252" ht="70.2" customHeight="1"/>
    <row r="5253" ht="70.2" customHeight="1"/>
    <row r="5254" ht="70.2" customHeight="1"/>
    <row r="5255" ht="70.2" customHeight="1"/>
    <row r="5256" ht="70.2" customHeight="1"/>
    <row r="5257" ht="70.2" customHeight="1"/>
    <row r="5258" ht="70.2" customHeight="1"/>
    <row r="5259" ht="70.2" customHeight="1"/>
    <row r="5260" ht="70.2" customHeight="1"/>
    <row r="5261" ht="70.2" customHeight="1"/>
    <row r="5262" ht="70.2" customHeight="1"/>
    <row r="5263" ht="70.2" customHeight="1"/>
    <row r="5264" ht="70.2" customHeight="1"/>
    <row r="5265" ht="70.2" customHeight="1"/>
    <row r="5266" ht="70.2" customHeight="1"/>
    <row r="5267" ht="70.2" customHeight="1"/>
    <row r="5268" ht="70.2" customHeight="1"/>
    <row r="5269" ht="70.2" customHeight="1"/>
    <row r="5270" ht="70.2" customHeight="1"/>
    <row r="5271" ht="70.2" customHeight="1"/>
    <row r="5272" ht="70.2" customHeight="1"/>
    <row r="5273" ht="70.2" customHeight="1"/>
    <row r="5274" ht="70.2" customHeight="1"/>
    <row r="5275" ht="70.2" customHeight="1"/>
    <row r="5276" ht="70.2" customHeight="1"/>
    <row r="5277" ht="70.2" customHeight="1"/>
    <row r="5278" ht="70.2" customHeight="1"/>
    <row r="5279" ht="70.2" customHeight="1"/>
    <row r="5280" ht="70.2" customHeight="1"/>
    <row r="5281" ht="70.2" customHeight="1"/>
    <row r="5282" ht="70.2" customHeight="1"/>
    <row r="5283" ht="70.2" customHeight="1"/>
    <row r="5284" ht="70.2" customHeight="1"/>
    <row r="5285" ht="70.2" customHeight="1"/>
    <row r="5286" ht="70.2" customHeight="1"/>
    <row r="5287" ht="70.2" customHeight="1"/>
    <row r="5288" ht="70.2" customHeight="1"/>
    <row r="5289" ht="70.2" customHeight="1"/>
    <row r="5290" ht="70.2" customHeight="1"/>
    <row r="5291" ht="70.2" customHeight="1"/>
    <row r="5292" ht="70.2" customHeight="1"/>
    <row r="5293" ht="70.2" customHeight="1"/>
    <row r="5294" ht="70.2" customHeight="1"/>
    <row r="5295" ht="70.2" customHeight="1"/>
    <row r="5296" ht="70.2" customHeight="1"/>
    <row r="5297" ht="70.2" customHeight="1"/>
    <row r="5298" ht="70.2" customHeight="1"/>
    <row r="5299" ht="70.2" customHeight="1"/>
    <row r="5300" ht="70.2" customHeight="1"/>
    <row r="5301" ht="70.2" customHeight="1"/>
    <row r="5302" ht="70.2" customHeight="1"/>
    <row r="5303" ht="70.2" customHeight="1"/>
    <row r="5304" ht="70.2" customHeight="1"/>
    <row r="5305" ht="70.2" customHeight="1"/>
    <row r="5306" ht="70.2" customHeight="1"/>
    <row r="5307" ht="70.2" customHeight="1"/>
    <row r="5308" ht="70.2" customHeight="1"/>
    <row r="5309" ht="70.2" customHeight="1"/>
    <row r="5310" ht="70.2" customHeight="1"/>
    <row r="5311" ht="70.2" customHeight="1"/>
    <row r="5312" ht="70.2" customHeight="1"/>
    <row r="5313" ht="70.2" customHeight="1"/>
    <row r="5314" ht="70.2" customHeight="1"/>
    <row r="5315" ht="70.2" customHeight="1"/>
    <row r="5316" ht="70.2" customHeight="1"/>
    <row r="5317" ht="70.2" customHeight="1"/>
    <row r="5318" ht="70.2" customHeight="1"/>
    <row r="5319" ht="70.2" customHeight="1"/>
    <row r="5320" ht="70.2" customHeight="1"/>
    <row r="5321" ht="70.2" customHeight="1"/>
    <row r="5322" ht="70.2" customHeight="1"/>
    <row r="5323" ht="70.2" customHeight="1"/>
    <row r="5324" ht="70.2" customHeight="1"/>
    <row r="5325" ht="70.2" customHeight="1"/>
    <row r="5326" ht="70.2" customHeight="1"/>
    <row r="5327" ht="70.2" customHeight="1"/>
    <row r="5328" ht="70.2" customHeight="1"/>
    <row r="5329" ht="70.2" customHeight="1"/>
    <row r="5330" ht="70.2" customHeight="1"/>
    <row r="5331" ht="70.2" customHeight="1"/>
    <row r="5332" ht="70.2" customHeight="1"/>
    <row r="5333" ht="70.2" customHeight="1"/>
    <row r="5334" ht="70.2" customHeight="1"/>
    <row r="5335" ht="70.2" customHeight="1"/>
    <row r="5336" ht="70.2" customHeight="1"/>
    <row r="5337" ht="70.2" customHeight="1"/>
    <row r="5338" ht="70.2" customHeight="1"/>
    <row r="5339" ht="70.2" customHeight="1"/>
    <row r="5340" ht="70.2" customHeight="1"/>
    <row r="5341" ht="70.2" customHeight="1"/>
    <row r="5342" ht="70.2" customHeight="1"/>
    <row r="5343" ht="70.2" customHeight="1"/>
    <row r="5344" ht="70.2" customHeight="1"/>
    <row r="5345" ht="70.2" customHeight="1"/>
    <row r="5346" ht="70.2" customHeight="1"/>
    <row r="5347" ht="70.2" customHeight="1"/>
    <row r="5348" ht="70.2" customHeight="1"/>
    <row r="5349" ht="70.2" customHeight="1"/>
    <row r="5350" ht="70.2" customHeight="1"/>
    <row r="5351" ht="70.2" customHeight="1"/>
    <row r="5352" ht="70.2" customHeight="1"/>
    <row r="5353" ht="70.2" customHeight="1"/>
    <row r="5354" ht="70.2" customHeight="1"/>
    <row r="5355" ht="70.2" customHeight="1"/>
    <row r="5356" ht="70.2" customHeight="1"/>
    <row r="5357" ht="70.2" customHeight="1"/>
    <row r="5358" ht="70.2" customHeight="1"/>
    <row r="5359" ht="70.2" customHeight="1"/>
    <row r="5360" ht="70.2" customHeight="1"/>
    <row r="5361" ht="70.2" customHeight="1"/>
    <row r="5362" ht="70.2" customHeight="1"/>
    <row r="5363" ht="70.2" customHeight="1"/>
    <row r="5364" ht="70.2" customHeight="1"/>
    <row r="5365" ht="70.2" customHeight="1"/>
    <row r="5366" ht="70.2" customHeight="1"/>
    <row r="5367" ht="70.2" customHeight="1"/>
    <row r="5368" ht="70.2" customHeight="1"/>
    <row r="5369" ht="70.2" customHeight="1"/>
    <row r="5370" ht="70.2" customHeight="1"/>
    <row r="5371" ht="70.2" customHeight="1"/>
    <row r="5372" ht="70.2" customHeight="1"/>
    <row r="5373" ht="70.2" customHeight="1"/>
    <row r="5374" ht="70.2" customHeight="1"/>
    <row r="5375" ht="70.2" customHeight="1"/>
    <row r="5376" ht="70.2" customHeight="1"/>
    <row r="5377" ht="70.2" customHeight="1"/>
    <row r="5378" ht="70.2" customHeight="1"/>
    <row r="5379" ht="70.2" customHeight="1"/>
    <row r="5380" ht="70.2" customHeight="1"/>
    <row r="5381" ht="70.2" customHeight="1"/>
    <row r="5382" ht="70.2" customHeight="1"/>
    <row r="5383" ht="70.2" customHeight="1"/>
    <row r="5384" ht="70.2" customHeight="1"/>
    <row r="5385" ht="70.2" customHeight="1"/>
    <row r="5386" ht="70.2" customHeight="1"/>
    <row r="5387" ht="70.2" customHeight="1"/>
    <row r="5388" ht="70.2" customHeight="1"/>
    <row r="5389" ht="70.2" customHeight="1"/>
  </sheetData>
  <mergeCells count="2">
    <mergeCell ref="M1:V1"/>
    <mergeCell ref="M2:V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AF3C4-4447-4926-99E5-B54DCC3B4C0B}">
  <dimension ref="A1:B128"/>
  <sheetViews>
    <sheetView topLeftCell="A113" workbookViewId="0">
      <selection activeCell="E140" sqref="E140"/>
    </sheetView>
  </sheetViews>
  <sheetFormatPr defaultRowHeight="14.4"/>
  <cols>
    <col min="1" max="1" width="43.296875" style="13" bestFit="1" customWidth="1"/>
    <col min="2" max="16384" width="8.796875" style="13"/>
  </cols>
  <sheetData>
    <row r="1" spans="1:2">
      <c r="A1" s="13" t="s">
        <v>5324</v>
      </c>
      <c r="B1" s="13" t="s">
        <v>5323</v>
      </c>
    </row>
    <row r="2" spans="1:2">
      <c r="A2" t="str">
        <f>EDİT!B1</f>
        <v>sambro-kahverengi-deri-aplik</v>
      </c>
      <c r="B2" s="13" t="str">
        <f>CONCATENATE("https://hekastore.com/products/",A2)</f>
        <v>https://hekastore.com/products/sambro-kahverengi-deri-aplik</v>
      </c>
    </row>
    <row r="3" spans="1:2">
      <c r="A3" t="e">
        <f>EDİT!#REF!</f>
        <v>#REF!</v>
      </c>
      <c r="B3" s="13" t="e">
        <f t="shared" ref="B3:B66" si="0">CONCATENATE("https://hekastore.com/products/",A3)</f>
        <v>#REF!</v>
      </c>
    </row>
    <row r="4" spans="1:2">
      <c r="A4" t="e">
        <f>EDİT!#REF!</f>
        <v>#REF!</v>
      </c>
      <c r="B4" s="13" t="e">
        <f t="shared" si="0"/>
        <v>#REF!</v>
      </c>
    </row>
    <row r="5" spans="1:2">
      <c r="A5" t="e">
        <f>EDİT!#REF!</f>
        <v>#REF!</v>
      </c>
      <c r="B5" s="13" t="e">
        <f t="shared" si="0"/>
        <v>#REF!</v>
      </c>
    </row>
    <row r="6" spans="1:2">
      <c r="A6" t="e">
        <f>EDİT!#REF!</f>
        <v>#REF!</v>
      </c>
      <c r="B6" s="13" t="e">
        <f t="shared" si="0"/>
        <v>#REF!</v>
      </c>
    </row>
    <row r="7" spans="1:2">
      <c r="A7" t="e">
        <f>EDİT!#REF!</f>
        <v>#REF!</v>
      </c>
      <c r="B7" s="13" t="e">
        <f t="shared" si="0"/>
        <v>#REF!</v>
      </c>
    </row>
    <row r="8" spans="1:2">
      <c r="A8" t="e">
        <f>EDİT!#REF!</f>
        <v>#REF!</v>
      </c>
      <c r="B8" s="13" t="e">
        <f t="shared" si="0"/>
        <v>#REF!</v>
      </c>
    </row>
    <row r="9" spans="1:2">
      <c r="A9" t="e">
        <f>EDİT!#REF!</f>
        <v>#REF!</v>
      </c>
      <c r="B9" s="13" t="e">
        <f t="shared" si="0"/>
        <v>#REF!</v>
      </c>
    </row>
    <row r="10" spans="1:2">
      <c r="A10" t="e">
        <f>EDİT!#REF!</f>
        <v>#REF!</v>
      </c>
      <c r="B10" s="13" t="e">
        <f t="shared" si="0"/>
        <v>#REF!</v>
      </c>
    </row>
    <row r="11" spans="1:2">
      <c r="A11" t="e">
        <f>EDİT!#REF!</f>
        <v>#REF!</v>
      </c>
      <c r="B11" s="13" t="e">
        <f t="shared" si="0"/>
        <v>#REF!</v>
      </c>
    </row>
    <row r="12" spans="1:2">
      <c r="A12" t="e">
        <f>EDİT!#REF!</f>
        <v>#REF!</v>
      </c>
      <c r="B12" s="13" t="e">
        <f t="shared" si="0"/>
        <v>#REF!</v>
      </c>
    </row>
    <row r="13" spans="1:2">
      <c r="A13" t="e">
        <f>EDİT!#REF!</f>
        <v>#REF!</v>
      </c>
      <c r="B13" s="13" t="e">
        <f t="shared" si="0"/>
        <v>#REF!</v>
      </c>
    </row>
    <row r="14" spans="1:2">
      <c r="A14" t="e">
        <f>EDİT!#REF!</f>
        <v>#REF!</v>
      </c>
      <c r="B14" s="13" t="e">
        <f t="shared" si="0"/>
        <v>#REF!</v>
      </c>
    </row>
    <row r="15" spans="1:2">
      <c r="A15" t="e">
        <f>EDİT!#REF!</f>
        <v>#REF!</v>
      </c>
      <c r="B15" s="13" t="e">
        <f t="shared" si="0"/>
        <v>#REF!</v>
      </c>
    </row>
    <row r="16" spans="1:2">
      <c r="A16" t="e">
        <f>EDİT!#REF!</f>
        <v>#REF!</v>
      </c>
      <c r="B16" s="13" t="e">
        <f t="shared" si="0"/>
        <v>#REF!</v>
      </c>
    </row>
    <row r="17" spans="1:2">
      <c r="A17" t="e">
        <f>EDİT!#REF!</f>
        <v>#REF!</v>
      </c>
      <c r="B17" s="13" t="e">
        <f t="shared" si="0"/>
        <v>#REF!</v>
      </c>
    </row>
    <row r="18" spans="1:2">
      <c r="A18" t="e">
        <f>EDİT!#REF!</f>
        <v>#REF!</v>
      </c>
      <c r="B18" s="13" t="e">
        <f t="shared" si="0"/>
        <v>#REF!</v>
      </c>
    </row>
    <row r="19" spans="1:2">
      <c r="A19" t="e">
        <f>EDİT!#REF!</f>
        <v>#REF!</v>
      </c>
      <c r="B19" s="13" t="e">
        <f t="shared" si="0"/>
        <v>#REF!</v>
      </c>
    </row>
    <row r="20" spans="1:2">
      <c r="A20" t="e">
        <f>EDİT!#REF!</f>
        <v>#REF!</v>
      </c>
      <c r="B20" s="13" t="e">
        <f t="shared" si="0"/>
        <v>#REF!</v>
      </c>
    </row>
    <row r="21" spans="1:2">
      <c r="A21" t="e">
        <f>EDİT!#REF!</f>
        <v>#REF!</v>
      </c>
      <c r="B21" s="13" t="e">
        <f t="shared" si="0"/>
        <v>#REF!</v>
      </c>
    </row>
    <row r="22" spans="1:2">
      <c r="A22" t="e">
        <f>EDİT!#REF!</f>
        <v>#REF!</v>
      </c>
      <c r="B22" s="13" t="e">
        <f t="shared" si="0"/>
        <v>#REF!</v>
      </c>
    </row>
    <row r="23" spans="1:2">
      <c r="A23" t="e">
        <f>EDİT!#REF!</f>
        <v>#REF!</v>
      </c>
      <c r="B23" s="13" t="e">
        <f t="shared" si="0"/>
        <v>#REF!</v>
      </c>
    </row>
    <row r="24" spans="1:2">
      <c r="A24" t="e">
        <f>EDİT!#REF!</f>
        <v>#REF!</v>
      </c>
      <c r="B24" s="13" t="e">
        <f t="shared" si="0"/>
        <v>#REF!</v>
      </c>
    </row>
    <row r="25" spans="1:2">
      <c r="A25" t="e">
        <f>EDİT!#REF!</f>
        <v>#REF!</v>
      </c>
      <c r="B25" s="13" t="e">
        <f t="shared" si="0"/>
        <v>#REF!</v>
      </c>
    </row>
    <row r="26" spans="1:2">
      <c r="A26" t="e">
        <f>EDİT!#REF!</f>
        <v>#REF!</v>
      </c>
      <c r="B26" s="13" t="e">
        <f t="shared" si="0"/>
        <v>#REF!</v>
      </c>
    </row>
    <row r="27" spans="1:2">
      <c r="A27" t="e">
        <f>EDİT!#REF!</f>
        <v>#REF!</v>
      </c>
      <c r="B27" s="13" t="e">
        <f t="shared" si="0"/>
        <v>#REF!</v>
      </c>
    </row>
    <row r="28" spans="1:2">
      <c r="A28" t="e">
        <f>EDİT!#REF!</f>
        <v>#REF!</v>
      </c>
      <c r="B28" s="13" t="e">
        <f t="shared" si="0"/>
        <v>#REF!</v>
      </c>
    </row>
    <row r="29" spans="1:2">
      <c r="A29" t="e">
        <f>EDİT!#REF!</f>
        <v>#REF!</v>
      </c>
      <c r="B29" s="13" t="e">
        <f t="shared" si="0"/>
        <v>#REF!</v>
      </c>
    </row>
    <row r="30" spans="1:2">
      <c r="A30" t="e">
        <f>EDİT!#REF!</f>
        <v>#REF!</v>
      </c>
      <c r="B30" s="13" t="e">
        <f t="shared" si="0"/>
        <v>#REF!</v>
      </c>
    </row>
    <row r="31" spans="1:2">
      <c r="A31" t="e">
        <f>EDİT!#REF!</f>
        <v>#REF!</v>
      </c>
      <c r="B31" s="13" t="e">
        <f t="shared" si="0"/>
        <v>#REF!</v>
      </c>
    </row>
    <row r="32" spans="1:2">
      <c r="A32" t="e">
        <f>EDİT!#REF!</f>
        <v>#REF!</v>
      </c>
      <c r="B32" s="13" t="e">
        <f t="shared" si="0"/>
        <v>#REF!</v>
      </c>
    </row>
    <row r="33" spans="1:2">
      <c r="A33" t="e">
        <f>EDİT!#REF!</f>
        <v>#REF!</v>
      </c>
      <c r="B33" s="13" t="e">
        <f t="shared" si="0"/>
        <v>#REF!</v>
      </c>
    </row>
    <row r="34" spans="1:2">
      <c r="A34" t="e">
        <f>EDİT!#REF!</f>
        <v>#REF!</v>
      </c>
      <c r="B34" s="13" t="e">
        <f t="shared" si="0"/>
        <v>#REF!</v>
      </c>
    </row>
    <row r="35" spans="1:2">
      <c r="A35" t="e">
        <f>EDİT!#REF!</f>
        <v>#REF!</v>
      </c>
      <c r="B35" s="13" t="e">
        <f t="shared" si="0"/>
        <v>#REF!</v>
      </c>
    </row>
    <row r="36" spans="1:2">
      <c r="A36" t="e">
        <f>EDİT!#REF!</f>
        <v>#REF!</v>
      </c>
      <c r="B36" s="13" t="e">
        <f t="shared" si="0"/>
        <v>#REF!</v>
      </c>
    </row>
    <row r="37" spans="1:2">
      <c r="A37" t="e">
        <f>EDİT!#REF!</f>
        <v>#REF!</v>
      </c>
      <c r="B37" s="13" t="e">
        <f t="shared" si="0"/>
        <v>#REF!</v>
      </c>
    </row>
    <row r="38" spans="1:2">
      <c r="A38" t="e">
        <f>EDİT!#REF!</f>
        <v>#REF!</v>
      </c>
      <c r="B38" s="13" t="e">
        <f t="shared" si="0"/>
        <v>#REF!</v>
      </c>
    </row>
    <row r="39" spans="1:2">
      <c r="A39" t="e">
        <f>EDİT!#REF!</f>
        <v>#REF!</v>
      </c>
      <c r="B39" s="13" t="e">
        <f t="shared" si="0"/>
        <v>#REF!</v>
      </c>
    </row>
    <row r="40" spans="1:2">
      <c r="A40" t="e">
        <f>EDİT!#REF!</f>
        <v>#REF!</v>
      </c>
      <c r="B40" s="13" t="e">
        <f t="shared" si="0"/>
        <v>#REF!</v>
      </c>
    </row>
    <row r="41" spans="1:2">
      <c r="A41" t="e">
        <f>EDİT!#REF!</f>
        <v>#REF!</v>
      </c>
      <c r="B41" s="13" t="e">
        <f t="shared" si="0"/>
        <v>#REF!</v>
      </c>
    </row>
    <row r="42" spans="1:2">
      <c r="A42" t="e">
        <f>EDİT!#REF!</f>
        <v>#REF!</v>
      </c>
      <c r="B42" s="13" t="e">
        <f t="shared" si="0"/>
        <v>#REF!</v>
      </c>
    </row>
    <row r="43" spans="1:2">
      <c r="A43" t="e">
        <f>EDİT!#REF!</f>
        <v>#REF!</v>
      </c>
      <c r="B43" s="13" t="e">
        <f t="shared" si="0"/>
        <v>#REF!</v>
      </c>
    </row>
    <row r="44" spans="1:2">
      <c r="A44" t="e">
        <f>EDİT!#REF!</f>
        <v>#REF!</v>
      </c>
      <c r="B44" s="13" t="e">
        <f t="shared" si="0"/>
        <v>#REF!</v>
      </c>
    </row>
    <row r="45" spans="1:2">
      <c r="A45" t="e">
        <f>EDİT!#REF!</f>
        <v>#REF!</v>
      </c>
      <c r="B45" s="13" t="e">
        <f t="shared" si="0"/>
        <v>#REF!</v>
      </c>
    </row>
    <row r="46" spans="1:2">
      <c r="A46" t="e">
        <f>EDİT!#REF!</f>
        <v>#REF!</v>
      </c>
      <c r="B46" s="13" t="e">
        <f t="shared" si="0"/>
        <v>#REF!</v>
      </c>
    </row>
    <row r="47" spans="1:2">
      <c r="A47" t="e">
        <f>EDİT!#REF!</f>
        <v>#REF!</v>
      </c>
      <c r="B47" s="13" t="e">
        <f t="shared" si="0"/>
        <v>#REF!</v>
      </c>
    </row>
    <row r="48" spans="1:2">
      <c r="A48" t="e">
        <f>EDİT!#REF!</f>
        <v>#REF!</v>
      </c>
      <c r="B48" s="13" t="e">
        <f t="shared" si="0"/>
        <v>#REF!</v>
      </c>
    </row>
    <row r="49" spans="1:2">
      <c r="A49" t="e">
        <f>EDİT!#REF!</f>
        <v>#REF!</v>
      </c>
      <c r="B49" s="13" t="e">
        <f t="shared" si="0"/>
        <v>#REF!</v>
      </c>
    </row>
    <row r="50" spans="1:2">
      <c r="A50" t="e">
        <f>EDİT!#REF!</f>
        <v>#REF!</v>
      </c>
      <c r="B50" s="13" t="e">
        <f t="shared" si="0"/>
        <v>#REF!</v>
      </c>
    </row>
    <row r="51" spans="1:2">
      <c r="A51" t="e">
        <f>EDİT!#REF!</f>
        <v>#REF!</v>
      </c>
      <c r="B51" s="13" t="e">
        <f t="shared" si="0"/>
        <v>#REF!</v>
      </c>
    </row>
    <row r="52" spans="1:2">
      <c r="A52" t="e">
        <f>EDİT!#REF!</f>
        <v>#REF!</v>
      </c>
      <c r="B52" s="13" t="e">
        <f t="shared" si="0"/>
        <v>#REF!</v>
      </c>
    </row>
    <row r="53" spans="1:2">
      <c r="A53" t="e">
        <f>EDİT!#REF!</f>
        <v>#REF!</v>
      </c>
      <c r="B53" s="13" t="e">
        <f t="shared" si="0"/>
        <v>#REF!</v>
      </c>
    </row>
    <row r="54" spans="1:2">
      <c r="A54" t="e">
        <f>EDİT!#REF!</f>
        <v>#REF!</v>
      </c>
      <c r="B54" s="13" t="e">
        <f t="shared" si="0"/>
        <v>#REF!</v>
      </c>
    </row>
    <row r="55" spans="1:2">
      <c r="A55" t="e">
        <f>EDİT!#REF!</f>
        <v>#REF!</v>
      </c>
      <c r="B55" s="13" t="e">
        <f t="shared" si="0"/>
        <v>#REF!</v>
      </c>
    </row>
    <row r="56" spans="1:2">
      <c r="A56" t="e">
        <f>EDİT!#REF!</f>
        <v>#REF!</v>
      </c>
      <c r="B56" s="13" t="e">
        <f t="shared" si="0"/>
        <v>#REF!</v>
      </c>
    </row>
    <row r="57" spans="1:2">
      <c r="A57" t="e">
        <f>EDİT!#REF!</f>
        <v>#REF!</v>
      </c>
      <c r="B57" s="13" t="e">
        <f t="shared" si="0"/>
        <v>#REF!</v>
      </c>
    </row>
    <row r="58" spans="1:2">
      <c r="A58" t="e">
        <f>EDİT!#REF!</f>
        <v>#REF!</v>
      </c>
      <c r="B58" s="13" t="e">
        <f t="shared" si="0"/>
        <v>#REF!</v>
      </c>
    </row>
    <row r="59" spans="1:2">
      <c r="A59" t="e">
        <f>EDİT!#REF!</f>
        <v>#REF!</v>
      </c>
      <c r="B59" s="13" t="e">
        <f t="shared" si="0"/>
        <v>#REF!</v>
      </c>
    </row>
    <row r="60" spans="1:2">
      <c r="A60" t="e">
        <f>EDİT!#REF!</f>
        <v>#REF!</v>
      </c>
      <c r="B60" s="13" t="e">
        <f t="shared" si="0"/>
        <v>#REF!</v>
      </c>
    </row>
    <row r="61" spans="1:2">
      <c r="A61" t="e">
        <f>EDİT!#REF!</f>
        <v>#REF!</v>
      </c>
      <c r="B61" s="13" t="e">
        <f t="shared" si="0"/>
        <v>#REF!</v>
      </c>
    </row>
    <row r="62" spans="1:2">
      <c r="A62" t="e">
        <f>EDİT!#REF!</f>
        <v>#REF!</v>
      </c>
      <c r="B62" s="13" t="e">
        <f t="shared" si="0"/>
        <v>#REF!</v>
      </c>
    </row>
    <row r="63" spans="1:2">
      <c r="A63" t="e">
        <f>EDİT!#REF!</f>
        <v>#REF!</v>
      </c>
      <c r="B63" s="13" t="e">
        <f t="shared" si="0"/>
        <v>#REF!</v>
      </c>
    </row>
    <row r="64" spans="1:2">
      <c r="A64" t="e">
        <f>EDİT!#REF!</f>
        <v>#REF!</v>
      </c>
      <c r="B64" s="13" t="e">
        <f t="shared" si="0"/>
        <v>#REF!</v>
      </c>
    </row>
    <row r="65" spans="1:2">
      <c r="A65" t="e">
        <f>EDİT!#REF!</f>
        <v>#REF!</v>
      </c>
      <c r="B65" s="13" t="e">
        <f t="shared" si="0"/>
        <v>#REF!</v>
      </c>
    </row>
    <row r="66" spans="1:2">
      <c r="A66" t="e">
        <f>EDİT!#REF!</f>
        <v>#REF!</v>
      </c>
      <c r="B66" s="13" t="e">
        <f t="shared" si="0"/>
        <v>#REF!</v>
      </c>
    </row>
    <row r="67" spans="1:2">
      <c r="A67" t="e">
        <f>EDİT!#REF!</f>
        <v>#REF!</v>
      </c>
      <c r="B67" s="13" t="e">
        <f t="shared" ref="B67:B128" si="1">CONCATENATE("https://hekastore.com/products/",A67)</f>
        <v>#REF!</v>
      </c>
    </row>
    <row r="68" spans="1:2">
      <c r="A68" t="e">
        <f>EDİT!#REF!</f>
        <v>#REF!</v>
      </c>
      <c r="B68" s="13" t="e">
        <f t="shared" si="1"/>
        <v>#REF!</v>
      </c>
    </row>
    <row r="69" spans="1:2">
      <c r="A69" t="e">
        <f>EDİT!#REF!</f>
        <v>#REF!</v>
      </c>
      <c r="B69" s="13" t="e">
        <f t="shared" si="1"/>
        <v>#REF!</v>
      </c>
    </row>
    <row r="70" spans="1:2">
      <c r="A70" t="e">
        <f>EDİT!#REF!</f>
        <v>#REF!</v>
      </c>
      <c r="B70" s="13" t="e">
        <f t="shared" si="1"/>
        <v>#REF!</v>
      </c>
    </row>
    <row r="71" spans="1:2">
      <c r="A71" t="e">
        <f>EDİT!#REF!</f>
        <v>#REF!</v>
      </c>
      <c r="B71" s="13" t="e">
        <f t="shared" si="1"/>
        <v>#REF!</v>
      </c>
    </row>
    <row r="72" spans="1:2">
      <c r="A72" t="e">
        <f>EDİT!#REF!</f>
        <v>#REF!</v>
      </c>
      <c r="B72" s="13" t="e">
        <f t="shared" si="1"/>
        <v>#REF!</v>
      </c>
    </row>
    <row r="73" spans="1:2">
      <c r="A73" t="e">
        <f>EDİT!#REF!</f>
        <v>#REF!</v>
      </c>
      <c r="B73" s="13" t="e">
        <f t="shared" si="1"/>
        <v>#REF!</v>
      </c>
    </row>
    <row r="74" spans="1:2">
      <c r="A74" t="e">
        <f>EDİT!#REF!</f>
        <v>#REF!</v>
      </c>
      <c r="B74" s="13" t="e">
        <f t="shared" si="1"/>
        <v>#REF!</v>
      </c>
    </row>
    <row r="75" spans="1:2">
      <c r="A75" t="e">
        <f>EDİT!#REF!</f>
        <v>#REF!</v>
      </c>
      <c r="B75" s="13" t="e">
        <f t="shared" si="1"/>
        <v>#REF!</v>
      </c>
    </row>
    <row r="76" spans="1:2">
      <c r="A76" t="e">
        <f>EDİT!#REF!</f>
        <v>#REF!</v>
      </c>
      <c r="B76" s="13" t="e">
        <f t="shared" si="1"/>
        <v>#REF!</v>
      </c>
    </row>
    <row r="77" spans="1:2">
      <c r="A77" t="e">
        <f>EDİT!#REF!</f>
        <v>#REF!</v>
      </c>
      <c r="B77" s="13" t="e">
        <f t="shared" si="1"/>
        <v>#REF!</v>
      </c>
    </row>
    <row r="78" spans="1:2">
      <c r="A78" t="e">
        <f>EDİT!#REF!</f>
        <v>#REF!</v>
      </c>
      <c r="B78" s="13" t="e">
        <f t="shared" si="1"/>
        <v>#REF!</v>
      </c>
    </row>
    <row r="79" spans="1:2">
      <c r="A79" t="e">
        <f>EDİT!#REF!</f>
        <v>#REF!</v>
      </c>
      <c r="B79" s="13" t="e">
        <f t="shared" si="1"/>
        <v>#REF!</v>
      </c>
    </row>
    <row r="80" spans="1:2">
      <c r="A80" t="e">
        <f>EDİT!#REF!</f>
        <v>#REF!</v>
      </c>
      <c r="B80" s="13" t="e">
        <f t="shared" si="1"/>
        <v>#REF!</v>
      </c>
    </row>
    <row r="81" spans="1:2">
      <c r="A81" t="e">
        <f>EDİT!#REF!</f>
        <v>#REF!</v>
      </c>
      <c r="B81" s="13" t="e">
        <f t="shared" si="1"/>
        <v>#REF!</v>
      </c>
    </row>
    <row r="82" spans="1:2">
      <c r="A82" t="e">
        <f>EDİT!#REF!</f>
        <v>#REF!</v>
      </c>
      <c r="B82" s="13" t="e">
        <f t="shared" si="1"/>
        <v>#REF!</v>
      </c>
    </row>
    <row r="83" spans="1:2">
      <c r="A83" t="e">
        <f>EDİT!#REF!</f>
        <v>#REF!</v>
      </c>
      <c r="B83" s="13" t="e">
        <f t="shared" si="1"/>
        <v>#REF!</v>
      </c>
    </row>
    <row r="84" spans="1:2">
      <c r="A84" t="e">
        <f>EDİT!#REF!</f>
        <v>#REF!</v>
      </c>
      <c r="B84" s="13" t="e">
        <f t="shared" si="1"/>
        <v>#REF!</v>
      </c>
    </row>
    <row r="85" spans="1:2">
      <c r="A85" t="e">
        <f>EDİT!#REF!</f>
        <v>#REF!</v>
      </c>
      <c r="B85" s="13" t="e">
        <f t="shared" si="1"/>
        <v>#REF!</v>
      </c>
    </row>
    <row r="86" spans="1:2">
      <c r="A86" t="e">
        <f>EDİT!#REF!</f>
        <v>#REF!</v>
      </c>
      <c r="B86" s="13" t="e">
        <f t="shared" si="1"/>
        <v>#REF!</v>
      </c>
    </row>
    <row r="87" spans="1:2">
      <c r="A87" t="e">
        <f>EDİT!#REF!</f>
        <v>#REF!</v>
      </c>
      <c r="B87" s="13" t="e">
        <f t="shared" si="1"/>
        <v>#REF!</v>
      </c>
    </row>
    <row r="88" spans="1:2">
      <c r="A88" t="e">
        <f>EDİT!#REF!</f>
        <v>#REF!</v>
      </c>
      <c r="B88" s="13" t="e">
        <f t="shared" si="1"/>
        <v>#REF!</v>
      </c>
    </row>
    <row r="89" spans="1:2">
      <c r="A89" t="e">
        <f>EDİT!#REF!</f>
        <v>#REF!</v>
      </c>
      <c r="B89" s="13" t="e">
        <f t="shared" si="1"/>
        <v>#REF!</v>
      </c>
    </row>
    <row r="90" spans="1:2">
      <c r="A90" t="e">
        <f>EDİT!#REF!</f>
        <v>#REF!</v>
      </c>
      <c r="B90" s="13" t="e">
        <f t="shared" si="1"/>
        <v>#REF!</v>
      </c>
    </row>
    <row r="91" spans="1:2">
      <c r="A91" t="e">
        <f>EDİT!#REF!</f>
        <v>#REF!</v>
      </c>
      <c r="B91" s="13" t="e">
        <f t="shared" si="1"/>
        <v>#REF!</v>
      </c>
    </row>
    <row r="92" spans="1:2">
      <c r="A92" t="e">
        <f>EDİT!#REF!</f>
        <v>#REF!</v>
      </c>
      <c r="B92" s="13" t="e">
        <f t="shared" si="1"/>
        <v>#REF!</v>
      </c>
    </row>
    <row r="93" spans="1:2">
      <c r="A93" t="e">
        <f>EDİT!#REF!</f>
        <v>#REF!</v>
      </c>
      <c r="B93" s="13" t="e">
        <f t="shared" si="1"/>
        <v>#REF!</v>
      </c>
    </row>
    <row r="94" spans="1:2">
      <c r="A94" t="e">
        <f>EDİT!#REF!</f>
        <v>#REF!</v>
      </c>
      <c r="B94" s="13" t="e">
        <f t="shared" si="1"/>
        <v>#REF!</v>
      </c>
    </row>
    <row r="95" spans="1:2">
      <c r="A95" t="e">
        <f>EDİT!#REF!</f>
        <v>#REF!</v>
      </c>
      <c r="B95" s="13" t="e">
        <f t="shared" si="1"/>
        <v>#REF!</v>
      </c>
    </row>
    <row r="96" spans="1:2">
      <c r="A96" t="e">
        <f>EDİT!#REF!</f>
        <v>#REF!</v>
      </c>
      <c r="B96" s="13" t="e">
        <f t="shared" si="1"/>
        <v>#REF!</v>
      </c>
    </row>
    <row r="97" spans="1:2">
      <c r="A97" t="e">
        <f>EDİT!#REF!</f>
        <v>#REF!</v>
      </c>
      <c r="B97" s="13" t="e">
        <f t="shared" si="1"/>
        <v>#REF!</v>
      </c>
    </row>
    <row r="98" spans="1:2">
      <c r="A98" t="e">
        <f>EDİT!#REF!</f>
        <v>#REF!</v>
      </c>
      <c r="B98" s="13" t="e">
        <f t="shared" si="1"/>
        <v>#REF!</v>
      </c>
    </row>
    <row r="99" spans="1:2">
      <c r="A99" t="e">
        <f>EDİT!#REF!</f>
        <v>#REF!</v>
      </c>
      <c r="B99" s="13" t="e">
        <f t="shared" si="1"/>
        <v>#REF!</v>
      </c>
    </row>
    <row r="100" spans="1:2">
      <c r="A100" t="e">
        <f>EDİT!#REF!</f>
        <v>#REF!</v>
      </c>
      <c r="B100" s="13" t="e">
        <f t="shared" si="1"/>
        <v>#REF!</v>
      </c>
    </row>
    <row r="101" spans="1:2">
      <c r="A101" t="e">
        <f>EDİT!#REF!</f>
        <v>#REF!</v>
      </c>
      <c r="B101" s="13" t="e">
        <f t="shared" si="1"/>
        <v>#REF!</v>
      </c>
    </row>
    <row r="102" spans="1:2">
      <c r="A102" t="e">
        <f>EDİT!#REF!</f>
        <v>#REF!</v>
      </c>
      <c r="B102" s="13" t="e">
        <f t="shared" si="1"/>
        <v>#REF!</v>
      </c>
    </row>
    <row r="103" spans="1:2">
      <c r="A103" t="e">
        <f>EDİT!#REF!</f>
        <v>#REF!</v>
      </c>
      <c r="B103" s="13" t="e">
        <f t="shared" si="1"/>
        <v>#REF!</v>
      </c>
    </row>
    <row r="104" spans="1:2">
      <c r="A104" t="e">
        <f>EDİT!#REF!</f>
        <v>#REF!</v>
      </c>
      <c r="B104" s="13" t="e">
        <f t="shared" si="1"/>
        <v>#REF!</v>
      </c>
    </row>
    <row r="105" spans="1:2">
      <c r="A105" t="e">
        <f>EDİT!#REF!</f>
        <v>#REF!</v>
      </c>
      <c r="B105" s="13" t="e">
        <f t="shared" si="1"/>
        <v>#REF!</v>
      </c>
    </row>
    <row r="106" spans="1:2">
      <c r="A106" t="e">
        <f>EDİT!#REF!</f>
        <v>#REF!</v>
      </c>
      <c r="B106" s="13" t="e">
        <f t="shared" si="1"/>
        <v>#REF!</v>
      </c>
    </row>
    <row r="107" spans="1:2">
      <c r="A107" t="e">
        <f>EDİT!#REF!</f>
        <v>#REF!</v>
      </c>
      <c r="B107" s="13" t="e">
        <f t="shared" si="1"/>
        <v>#REF!</v>
      </c>
    </row>
    <row r="108" spans="1:2">
      <c r="A108" t="e">
        <f>EDİT!#REF!</f>
        <v>#REF!</v>
      </c>
      <c r="B108" s="13" t="e">
        <f t="shared" si="1"/>
        <v>#REF!</v>
      </c>
    </row>
    <row r="109" spans="1:2">
      <c r="A109" t="e">
        <f>EDİT!#REF!</f>
        <v>#REF!</v>
      </c>
      <c r="B109" s="13" t="e">
        <f t="shared" si="1"/>
        <v>#REF!</v>
      </c>
    </row>
    <row r="110" spans="1:2">
      <c r="A110" t="e">
        <f>EDİT!#REF!</f>
        <v>#REF!</v>
      </c>
      <c r="B110" s="13" t="e">
        <f t="shared" si="1"/>
        <v>#REF!</v>
      </c>
    </row>
    <row r="111" spans="1:2">
      <c r="A111" t="e">
        <f>EDİT!#REF!</f>
        <v>#REF!</v>
      </c>
      <c r="B111" s="13" t="e">
        <f t="shared" si="1"/>
        <v>#REF!</v>
      </c>
    </row>
    <row r="112" spans="1:2">
      <c r="A112" t="e">
        <f>EDİT!#REF!</f>
        <v>#REF!</v>
      </c>
      <c r="B112" s="13" t="e">
        <f t="shared" si="1"/>
        <v>#REF!</v>
      </c>
    </row>
    <row r="113" spans="1:2">
      <c r="A113" t="e">
        <f>EDİT!#REF!</f>
        <v>#REF!</v>
      </c>
      <c r="B113" s="13" t="e">
        <f t="shared" si="1"/>
        <v>#REF!</v>
      </c>
    </row>
    <row r="114" spans="1:2">
      <c r="A114" t="e">
        <f>EDİT!#REF!</f>
        <v>#REF!</v>
      </c>
      <c r="B114" s="13" t="e">
        <f t="shared" si="1"/>
        <v>#REF!</v>
      </c>
    </row>
    <row r="115" spans="1:2">
      <c r="A115" t="e">
        <f>EDİT!#REF!</f>
        <v>#REF!</v>
      </c>
      <c r="B115" s="13" t="e">
        <f t="shared" si="1"/>
        <v>#REF!</v>
      </c>
    </row>
    <row r="116" spans="1:2">
      <c r="A116" t="e">
        <f>EDİT!#REF!</f>
        <v>#REF!</v>
      </c>
      <c r="B116" s="13" t="e">
        <f t="shared" si="1"/>
        <v>#REF!</v>
      </c>
    </row>
    <row r="117" spans="1:2">
      <c r="A117" t="e">
        <f>EDİT!#REF!</f>
        <v>#REF!</v>
      </c>
      <c r="B117" s="13" t="e">
        <f t="shared" si="1"/>
        <v>#REF!</v>
      </c>
    </row>
    <row r="118" spans="1:2">
      <c r="A118" t="e">
        <f>EDİT!#REF!</f>
        <v>#REF!</v>
      </c>
      <c r="B118" s="13" t="e">
        <f t="shared" si="1"/>
        <v>#REF!</v>
      </c>
    </row>
    <row r="119" spans="1:2">
      <c r="A119" t="e">
        <f>EDİT!#REF!</f>
        <v>#REF!</v>
      </c>
      <c r="B119" s="13" t="e">
        <f t="shared" si="1"/>
        <v>#REF!</v>
      </c>
    </row>
    <row r="120" spans="1:2">
      <c r="A120" t="e">
        <f>EDİT!#REF!</f>
        <v>#REF!</v>
      </c>
      <c r="B120" s="13" t="e">
        <f t="shared" si="1"/>
        <v>#REF!</v>
      </c>
    </row>
    <row r="121" spans="1:2">
      <c r="A121" t="e">
        <f>EDİT!#REF!</f>
        <v>#REF!</v>
      </c>
      <c r="B121" s="13" t="e">
        <f t="shared" si="1"/>
        <v>#REF!</v>
      </c>
    </row>
    <row r="122" spans="1:2">
      <c r="A122" t="e">
        <f>EDİT!#REF!</f>
        <v>#REF!</v>
      </c>
      <c r="B122" s="13" t="e">
        <f t="shared" si="1"/>
        <v>#REF!</v>
      </c>
    </row>
    <row r="123" spans="1:2">
      <c r="A123" t="e">
        <f>EDİT!#REF!</f>
        <v>#REF!</v>
      </c>
      <c r="B123" s="13" t="e">
        <f t="shared" si="1"/>
        <v>#REF!</v>
      </c>
    </row>
    <row r="124" spans="1:2">
      <c r="A124" t="e">
        <f>EDİT!#REF!</f>
        <v>#REF!</v>
      </c>
      <c r="B124" s="13" t="e">
        <f t="shared" si="1"/>
        <v>#REF!</v>
      </c>
    </row>
    <row r="125" spans="1:2">
      <c r="A125" t="e">
        <f>EDİT!#REF!</f>
        <v>#REF!</v>
      </c>
      <c r="B125" s="13" t="e">
        <f t="shared" si="1"/>
        <v>#REF!</v>
      </c>
    </row>
    <row r="126" spans="1:2">
      <c r="A126" t="e">
        <f>EDİT!#REF!</f>
        <v>#REF!</v>
      </c>
      <c r="B126" s="13" t="e">
        <f t="shared" si="1"/>
        <v>#REF!</v>
      </c>
    </row>
    <row r="127" spans="1:2">
      <c r="A127" t="e">
        <f>EDİT!#REF!</f>
        <v>#REF!</v>
      </c>
      <c r="B127" s="13" t="e">
        <f t="shared" si="1"/>
        <v>#REF!</v>
      </c>
    </row>
    <row r="128" spans="1:2">
      <c r="A128" t="e">
        <f>EDİT!#REF!</f>
        <v>#REF!</v>
      </c>
      <c r="B128" s="13" t="e">
        <f t="shared" si="1"/>
        <v>#REF!</v>
      </c>
    </row>
  </sheetData>
  <conditionalFormatting sqref="A1:B1 A129:B1048576 B2:B128">
    <cfRule type="duplicateValues" dxfId="4" priority="3"/>
  </conditionalFormatting>
  <conditionalFormatting sqref="A1:XFD1 A129:XFD1048576 B2:XFD128">
    <cfRule type="duplicateValues" dxfId="3" priority="2"/>
  </conditionalFormatting>
  <conditionalFormatting sqref="A2:A128">
    <cfRule type="duplicateValues" dxfId="2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EDİT</vt:lpstr>
      <vt:lpstr>BARTENDER</vt:lpstr>
      <vt:lpstr>DATA</vt:lpstr>
      <vt:lpstr>QR KONTROL</vt:lpstr>
      <vt:lpstr>Worksheet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Heka Lighting</dc:creator>
  <cp:lastModifiedBy>Heka Lighting</cp:lastModifiedBy>
  <cp:lastPrinted>2026-03-11T12:14:03Z</cp:lastPrinted>
  <dcterms:created xsi:type="dcterms:W3CDTF">2026-02-13T11:35:49Z</dcterms:created>
  <dcterms:modified xsi:type="dcterms:W3CDTF">2026-03-18T07:06:02Z</dcterms:modified>
</cp:coreProperties>
</file>